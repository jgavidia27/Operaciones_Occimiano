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vi\Desktop\"/>
    </mc:Choice>
  </mc:AlternateContent>
  <xr:revisionPtr revIDLastSave="0" documentId="8_{49435DD0-1FF3-4517-893F-13864B36D3FE}" xr6:coauthVersionLast="47" xr6:coauthVersionMax="47" xr10:uidLastSave="{00000000-0000-0000-0000-000000000000}"/>
  <bookViews>
    <workbookView xWindow="-108" yWindow="-108" windowWidth="23256" windowHeight="12456" xr2:uid="{600D5055-7BF4-4922-BF7B-5FB20ADBE902}"/>
  </bookViews>
  <sheets>
    <sheet name="Hoj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Hoja1!$A$2:$N$330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1" l="1"/>
  <c r="S33" i="1"/>
  <c r="R32" i="1"/>
  <c r="R33" i="1"/>
  <c r="R34" i="1"/>
  <c r="R35" i="1"/>
  <c r="R3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3" i="1"/>
  <c r="D9" i="1"/>
  <c r="D10" i="1"/>
  <c r="D8" i="1"/>
  <c r="D11" i="1"/>
  <c r="D12" i="1"/>
  <c r="D103" i="1"/>
  <c r="D13" i="1"/>
  <c r="D143" i="1"/>
  <c r="D141" i="1"/>
  <c r="D14" i="1"/>
  <c r="D15" i="1"/>
  <c r="D16" i="1"/>
  <c r="D17" i="1"/>
  <c r="D19" i="1"/>
  <c r="D20" i="1"/>
  <c r="D22" i="1"/>
  <c r="D24" i="1"/>
  <c r="D25" i="1"/>
  <c r="D113" i="1"/>
  <c r="D26" i="1"/>
  <c r="D27" i="1"/>
  <c r="D192" i="1"/>
  <c r="D31" i="1"/>
  <c r="D152" i="1"/>
  <c r="D32" i="1"/>
  <c r="D311" i="1"/>
  <c r="D39" i="1"/>
  <c r="D40" i="1"/>
  <c r="D41" i="1"/>
  <c r="D128" i="1"/>
  <c r="D136" i="1"/>
  <c r="D42" i="1"/>
  <c r="D43" i="1"/>
  <c r="D44" i="1"/>
  <c r="D45" i="1"/>
  <c r="D46" i="1"/>
  <c r="D119" i="1"/>
  <c r="D137" i="1"/>
  <c r="D104" i="1"/>
  <c r="D183" i="1"/>
  <c r="D100" i="1"/>
  <c r="D49" i="1"/>
  <c r="D133" i="1"/>
  <c r="D51" i="1"/>
  <c r="D52" i="1"/>
  <c r="D63" i="1"/>
  <c r="D57" i="1"/>
  <c r="D62" i="1"/>
  <c r="D64" i="1"/>
  <c r="D65" i="1"/>
  <c r="D66" i="1"/>
  <c r="D155" i="1"/>
  <c r="D67" i="1"/>
  <c r="D101" i="1"/>
  <c r="D68" i="1"/>
  <c r="D118" i="1"/>
  <c r="D69" i="1"/>
  <c r="D96" i="1"/>
  <c r="D74" i="1"/>
  <c r="D112" i="1"/>
  <c r="D126" i="1"/>
  <c r="D107" i="1"/>
  <c r="D76" i="1"/>
  <c r="D77" i="1"/>
  <c r="D312" i="1"/>
  <c r="D73" i="1"/>
  <c r="D79" i="1"/>
  <c r="D80" i="1"/>
  <c r="D81" i="1"/>
  <c r="D82" i="1"/>
  <c r="D184" i="1"/>
  <c r="D185" i="1"/>
  <c r="D114" i="1"/>
  <c r="D83" i="1"/>
  <c r="D122" i="1"/>
  <c r="D84" i="1"/>
  <c r="D116" i="1"/>
  <c r="D85" i="1"/>
  <c r="D102" i="1"/>
  <c r="D142" i="1"/>
  <c r="D165" i="1"/>
  <c r="D88" i="1"/>
  <c r="D89" i="1"/>
  <c r="D90" i="1"/>
  <c r="D91" i="1"/>
  <c r="D92" i="1"/>
  <c r="D93" i="1"/>
  <c r="D109" i="1"/>
  <c r="D21" i="1"/>
  <c r="D115" i="1"/>
  <c r="D110" i="1"/>
  <c r="D171" i="1"/>
  <c r="D172" i="1"/>
  <c r="D86" i="1"/>
  <c r="D87" i="1"/>
  <c r="D130" i="1"/>
  <c r="D78" i="1"/>
  <c r="D193" i="1"/>
  <c r="D194" i="1"/>
  <c r="D97" i="1"/>
  <c r="D195" i="1"/>
  <c r="D199" i="1"/>
  <c r="D196" i="1"/>
  <c r="D197" i="1"/>
  <c r="D198" i="1"/>
  <c r="D188" i="1"/>
  <c r="D186" i="1"/>
  <c r="D187" i="1"/>
  <c r="D202" i="1"/>
  <c r="D203" i="1"/>
  <c r="D204" i="1"/>
  <c r="D106" i="1"/>
  <c r="D228" i="1"/>
  <c r="D205" i="1"/>
  <c r="D208" i="1"/>
  <c r="D310" i="1"/>
  <c r="D206" i="1"/>
  <c r="D207" i="1"/>
  <c r="D123" i="1"/>
  <c r="D200" i="1"/>
  <c r="D201" i="1"/>
  <c r="D125" i="1"/>
  <c r="D150" i="1"/>
  <c r="D117" i="1"/>
  <c r="D23" i="1"/>
  <c r="D140" i="1"/>
  <c r="D134" i="1"/>
  <c r="D157" i="1"/>
  <c r="D135" i="1"/>
  <c r="D37" i="1"/>
  <c r="D235" i="1"/>
  <c r="D47" i="1"/>
  <c r="D48" i="1"/>
  <c r="D111" i="1"/>
  <c r="D50" i="1"/>
  <c r="D156" i="1"/>
  <c r="D58" i="1"/>
  <c r="D59" i="1"/>
  <c r="D60" i="1"/>
  <c r="D75" i="1"/>
  <c r="D139" i="1"/>
  <c r="D138" i="1"/>
  <c r="D131" i="1"/>
  <c r="D154" i="1"/>
  <c r="D132" i="1"/>
  <c r="D94" i="1"/>
  <c r="D166" i="1"/>
  <c r="D18" i="1"/>
  <c r="D29" i="1"/>
  <c r="D30" i="1"/>
  <c r="D35" i="1"/>
  <c r="D129" i="1"/>
  <c r="D149" i="1"/>
  <c r="D124" i="1"/>
  <c r="D120" i="1"/>
  <c r="D53" i="1"/>
  <c r="D54" i="1"/>
  <c r="D55" i="1"/>
  <c r="D105" i="1"/>
  <c r="D56" i="1"/>
  <c r="D108" i="1"/>
  <c r="D147" i="1"/>
  <c r="D61" i="1"/>
  <c r="D95" i="1"/>
  <c r="D161" i="1"/>
  <c r="D33" i="1"/>
  <c r="D151" i="1"/>
  <c r="D121" i="1"/>
  <c r="D148" i="1"/>
  <c r="D145" i="1"/>
  <c r="D70" i="1"/>
  <c r="D153" i="1"/>
  <c r="D210" i="1"/>
  <c r="D211" i="1"/>
  <c r="D212" i="1"/>
  <c r="D214" i="1"/>
  <c r="D213" i="1"/>
  <c r="D215" i="1"/>
  <c r="D4" i="1"/>
  <c r="D3" i="1"/>
  <c r="D219" i="1"/>
  <c r="D218" i="1"/>
  <c r="D227" i="1"/>
  <c r="D72" i="1"/>
  <c r="D220" i="1"/>
  <c r="D234" i="1"/>
  <c r="D232" i="1"/>
  <c r="D233" i="1"/>
  <c r="D189" i="1"/>
  <c r="D190" i="1"/>
  <c r="D191" i="1"/>
  <c r="D98" i="1"/>
  <c r="D251" i="1"/>
  <c r="D254" i="1"/>
  <c r="D256" i="1"/>
  <c r="D257" i="1"/>
  <c r="D258" i="1"/>
  <c r="D259" i="1"/>
  <c r="D263" i="1"/>
  <c r="D264" i="1"/>
  <c r="D266" i="1"/>
  <c r="D267" i="1"/>
  <c r="D268" i="1"/>
  <c r="D269" i="1"/>
  <c r="D270" i="1"/>
  <c r="D271" i="1"/>
  <c r="D272" i="1"/>
  <c r="D275" i="1"/>
  <c r="D276" i="1"/>
  <c r="D277" i="1"/>
  <c r="D278" i="1"/>
  <c r="D279" i="1"/>
  <c r="D281" i="1"/>
  <c r="D282" i="1"/>
  <c r="D291" i="1"/>
  <c r="D285" i="1"/>
  <c r="D287" i="1"/>
  <c r="D265" i="1"/>
  <c r="D250" i="1"/>
  <c r="D253" i="1"/>
  <c r="D249" i="1"/>
  <c r="D273" i="1"/>
  <c r="D274" i="1"/>
  <c r="D261" i="1"/>
  <c r="D260" i="1"/>
  <c r="D262" i="1"/>
  <c r="D252" i="1"/>
  <c r="D280" i="1"/>
  <c r="D283" i="1"/>
  <c r="D284" i="1"/>
  <c r="D286" i="1"/>
  <c r="D5" i="1"/>
  <c r="D6" i="1"/>
  <c r="D28" i="1"/>
  <c r="D34" i="1"/>
  <c r="D36" i="1"/>
  <c r="D38" i="1"/>
  <c r="D71" i="1"/>
  <c r="D99" i="1"/>
  <c r="D127" i="1"/>
  <c r="D144" i="1"/>
  <c r="D146" i="1"/>
  <c r="D158" i="1"/>
  <c r="D159" i="1"/>
  <c r="D160" i="1"/>
  <c r="D162" i="1"/>
  <c r="D163" i="1"/>
  <c r="D164" i="1"/>
  <c r="D167" i="1"/>
  <c r="D168" i="1"/>
  <c r="D169" i="1"/>
  <c r="D170" i="1"/>
  <c r="D173" i="1"/>
  <c r="D174" i="1"/>
  <c r="D175" i="1"/>
  <c r="D176" i="1"/>
  <c r="D177" i="1"/>
  <c r="D178" i="1"/>
  <c r="D179" i="1"/>
  <c r="D180" i="1"/>
  <c r="D181" i="1"/>
  <c r="D182" i="1"/>
  <c r="D209" i="1"/>
  <c r="D216" i="1"/>
  <c r="D217" i="1"/>
  <c r="D221" i="1"/>
  <c r="D222" i="1"/>
  <c r="D223" i="1"/>
  <c r="D224" i="1"/>
  <c r="D225" i="1"/>
  <c r="D226" i="1"/>
  <c r="D229" i="1"/>
  <c r="D230" i="1"/>
  <c r="D231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55" i="1"/>
  <c r="D288" i="1"/>
  <c r="D289" i="1"/>
  <c r="D290" i="1"/>
  <c r="D293" i="1"/>
  <c r="D294" i="1"/>
  <c r="D295" i="1"/>
  <c r="D297" i="1"/>
  <c r="D299" i="1"/>
  <c r="D302" i="1"/>
  <c r="D303" i="1"/>
  <c r="D304" i="1"/>
  <c r="D305" i="1"/>
  <c r="D306" i="1"/>
  <c r="D307" i="1"/>
  <c r="D292" i="1"/>
  <c r="D296" i="1"/>
  <c r="D298" i="1"/>
  <c r="D300" i="1"/>
  <c r="D301" i="1"/>
  <c r="D308" i="1"/>
  <c r="D309" i="1"/>
  <c r="D313" i="1"/>
  <c r="D314" i="1"/>
  <c r="D315" i="1"/>
  <c r="D316" i="1"/>
  <c r="D317" i="1"/>
  <c r="D318" i="1"/>
  <c r="D319" i="1"/>
  <c r="D320" i="1"/>
  <c r="D7" i="1"/>
  <c r="S36" i="1" l="1"/>
  <c r="S35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" i="1"/>
  <c r="L4" i="1" l="1"/>
  <c r="L8" i="1" l="1"/>
  <c r="L43" i="1"/>
  <c r="L9" i="1"/>
  <c r="L25" i="1"/>
  <c r="L19" i="1"/>
  <c r="L30" i="1"/>
  <c r="L42" i="1"/>
  <c r="L14" i="1"/>
  <c r="L13" i="1"/>
  <c r="L7" i="1"/>
  <c r="L12" i="1"/>
  <c r="L21" i="1"/>
  <c r="L3" i="1"/>
  <c r="L33" i="1"/>
  <c r="L35" i="1"/>
  <c r="L18" i="1"/>
  <c r="L6" i="1"/>
  <c r="L40" i="1"/>
  <c r="L26" i="1"/>
  <c r="L27" i="1"/>
  <c r="L16" i="1"/>
  <c r="L37" i="1"/>
  <c r="L41" i="1"/>
  <c r="L39" i="1"/>
  <c r="L15" i="1"/>
  <c r="L31" i="1"/>
  <c r="L34" i="1"/>
  <c r="L28" i="1"/>
  <c r="L5" i="1"/>
  <c r="L36" i="1"/>
  <c r="L11" i="1"/>
  <c r="L24" i="1"/>
  <c r="L10" i="1"/>
  <c r="L23" i="1"/>
  <c r="L38" i="1"/>
  <c r="L17" i="1"/>
  <c r="L20" i="1"/>
  <c r="L32" i="1"/>
  <c r="L22" i="1"/>
  <c r="L29" i="1"/>
  <c r="S34" i="1" l="1"/>
</calcChain>
</file>

<file path=xl/sharedStrings.xml><?xml version="1.0" encoding="utf-8"?>
<sst xmlns="http://schemas.openxmlformats.org/spreadsheetml/2006/main" count="880" uniqueCount="828">
  <si>
    <t>CODIGO COPEC</t>
  </si>
  <si>
    <t>DESCRIPCIÓN</t>
  </si>
  <si>
    <t>REP</t>
  </si>
  <si>
    <t>VIGENTE</t>
  </si>
  <si>
    <t>REP-0001 Lanza con pistola perdente MIX</t>
  </si>
  <si>
    <t>REP-0001</t>
  </si>
  <si>
    <t>REP-0008 Manguera azul alta presión MIX 3,5m</t>
  </si>
  <si>
    <t>REP-0008</t>
  </si>
  <si>
    <t>REP-0009 Manguera azul alta presión (brazo alto) MIX 4,7m</t>
  </si>
  <si>
    <t>REP-0009</t>
  </si>
  <si>
    <t>REP-0007 Manguera azul alta presión MIX 4,0m</t>
  </si>
  <si>
    <t>REP-0007</t>
  </si>
  <si>
    <t>REP-0010 Niple recto bronce con PVC (termo)</t>
  </si>
  <si>
    <t>REP-0010</t>
  </si>
  <si>
    <t>REP-0011 Tee ¼” galvanizada hilo exterior X 3 CAT</t>
  </si>
  <si>
    <t>REP-0011</t>
  </si>
  <si>
    <t>REP-0112 Manguera dura químicos Rilsan 6mm x 1m</t>
  </si>
  <si>
    <t>REP-0112</t>
  </si>
  <si>
    <t>REP-0012 Codo bronce con PVC (termo) ½”</t>
  </si>
  <si>
    <t>REP-0012</t>
  </si>
  <si>
    <t>REP-0172 Codo conexión rápida ¼” MIX</t>
  </si>
  <si>
    <t>REP-0172</t>
  </si>
  <si>
    <t>REP-0168 Niple conexión rápida ¼” MIX</t>
  </si>
  <si>
    <t>REP-0168</t>
  </si>
  <si>
    <t>REP-0013 Tubo PVC diam 15 accoron</t>
  </si>
  <si>
    <t>REP-0013</t>
  </si>
  <si>
    <t>REP-0014 Lanza de cepillo MIX 1,2m</t>
  </si>
  <si>
    <t>REP-0014</t>
  </si>
  <si>
    <t>REP-0015 Bomba de osmosis MIX</t>
  </si>
  <si>
    <t>REP-0015</t>
  </si>
  <si>
    <t>REP-0016 Golilla ½” MIX</t>
  </si>
  <si>
    <t>REP-0016</t>
  </si>
  <si>
    <t>REP-0018 Manguera blanda químicos Rilsan 6mm x 1m</t>
  </si>
  <si>
    <t>REP-0018</t>
  </si>
  <si>
    <t>REP-0019 Golilla 3/8” MIX</t>
  </si>
  <si>
    <t>REP-0019</t>
  </si>
  <si>
    <t>REP-0021 Electroválvula 287 ½” Burkert</t>
  </si>
  <si>
    <t>REP-0021</t>
  </si>
  <si>
    <t>REP-0023 Bomba dosificadora shampoo MIX</t>
  </si>
  <si>
    <t>REP-0023</t>
  </si>
  <si>
    <t>REP-0024 Bomba dosificadora cera MIX</t>
  </si>
  <si>
    <t>REP-0024</t>
  </si>
  <si>
    <t>REP-0122 Tee ¼” X 6mm MIX</t>
  </si>
  <si>
    <t>REP-0122</t>
  </si>
  <si>
    <t>REP-0025 Tuerca inox para cubre fichero MIX</t>
  </si>
  <si>
    <t>REP-0025</t>
  </si>
  <si>
    <t>REP-0026 Tornillo cubre fichero MIX</t>
  </si>
  <si>
    <t>REP-0026</t>
  </si>
  <si>
    <t>REP-0274 Manguera brazo giratorio 1,55 mt</t>
  </si>
  <si>
    <t>REP-0274</t>
  </si>
  <si>
    <t>REP-0030 Lanza alta presión Mosmatic</t>
  </si>
  <si>
    <t>REP-0030</t>
  </si>
  <si>
    <t>REP-0184 Relé auxiliar 10A MIX</t>
  </si>
  <si>
    <t>REP-0184</t>
  </si>
  <si>
    <t>REP-0031 Tee inox ½” central MFM MIX</t>
  </si>
  <si>
    <t>REP-0031</t>
  </si>
  <si>
    <t>REP-0496 Manguera baja presión poliuretano 10m</t>
  </si>
  <si>
    <t>REP-0496</t>
  </si>
  <si>
    <t>REP-0038 Inyector cepillo ¼” MIX</t>
  </si>
  <si>
    <t>REP-0038</t>
  </si>
  <si>
    <t>REP-0039 Tee inoxidable MIX ¼”' x 6mm</t>
  </si>
  <si>
    <t>REP-0039</t>
  </si>
  <si>
    <t>REP-0040 Membrana electroválvula Burkert</t>
  </si>
  <si>
    <t>REP-0040</t>
  </si>
  <si>
    <t>REP-0151 Motor trifásico para osmosis MIX</t>
  </si>
  <si>
    <t>REP-0151</t>
  </si>
  <si>
    <t>REP-0159 Flujometro 250 lt</t>
  </si>
  <si>
    <t>REP-0159</t>
  </si>
  <si>
    <t>REP-0041 Junta 90° 1/4 para brazo giratorio MIX CENTRO</t>
  </si>
  <si>
    <t>REP-0041</t>
  </si>
  <si>
    <t>REP-0042 Junta recta ¼” para brazo giratorio MIX EXTREMO</t>
  </si>
  <si>
    <t>REP-0042</t>
  </si>
  <si>
    <t>REP-0043 soporte superior fichero G20</t>
  </si>
  <si>
    <t>REP-0043</t>
  </si>
  <si>
    <t>REP-0044 Reducción para cepillo MIX ¼” HI a 3/8" HE</t>
  </si>
  <si>
    <t>REP-0044</t>
  </si>
  <si>
    <t>REP-0045 Kit pistón electroválvula ¼” Burkert</t>
  </si>
  <si>
    <t>REP-0045</t>
  </si>
  <si>
    <t>REP-0046 Kit válvulas bomba dosificadoras MIX</t>
  </si>
  <si>
    <t>REP-0046</t>
  </si>
  <si>
    <t>REP-0128 Kit electroválvula ¾” Sirai</t>
  </si>
  <si>
    <t>REP-0128</t>
  </si>
  <si>
    <t>REP-0160 Kit electroválvula (reparación L180) Burkert</t>
  </si>
  <si>
    <t>REP-0160</t>
  </si>
  <si>
    <t>REP-0113 Pulsador de tacto (Mself) MIX</t>
  </si>
  <si>
    <t>REP-0113</t>
  </si>
  <si>
    <t>REP-0262 Membrana osmosis (Mself) Axeon</t>
  </si>
  <si>
    <t>REP-0262</t>
  </si>
  <si>
    <t>REP-0109 Lexan para cubre fichero MIX</t>
  </si>
  <si>
    <t>REP-0109</t>
  </si>
  <si>
    <t>REP-0049 Niple PVC conexión rápida MIX 8mm</t>
  </si>
  <si>
    <t>REP-0049</t>
  </si>
  <si>
    <t>REP-0156 Inyector PVC MIX</t>
  </si>
  <si>
    <t>REP-0156</t>
  </si>
  <si>
    <t>REP-0051 Vaso porta filtros (Mself) MIX</t>
  </si>
  <si>
    <t>REP-0051</t>
  </si>
  <si>
    <t>REP-0052 Bisagra central puerta (Mself) MIX 1 un</t>
  </si>
  <si>
    <t>REP-0052</t>
  </si>
  <si>
    <t>REP-0063 Placa electrónica (Twister) MIX</t>
  </si>
  <si>
    <t>REP-0063</t>
  </si>
  <si>
    <t>REP-0057 Bisagra extremos puerta (Mself) MIX 2 un</t>
  </si>
  <si>
    <t>REP-0057</t>
  </si>
  <si>
    <t>REP-0062 Sensor nivel 2 contactos para osmosis MIX</t>
  </si>
  <si>
    <t>REP-0062</t>
  </si>
  <si>
    <t>REP-0064 Cepillo de lavado MIX</t>
  </si>
  <si>
    <t>REP-0064</t>
  </si>
  <si>
    <t>REP-0065 Placa de aspirado Twister&amp;Dry M2 (tambor plástico-2013)</t>
  </si>
  <si>
    <t>REP-0065</t>
  </si>
  <si>
    <t>REP-0066 PLC programado S7-1200 Siemens MIX</t>
  </si>
  <si>
    <t>REP-0066</t>
  </si>
  <si>
    <t>REP-0191 Extensión 8+8 (para PLC S7-1200) Siemens</t>
  </si>
  <si>
    <t>REP-0191</t>
  </si>
  <si>
    <t>REP-0067 Transformador Twister M2</t>
  </si>
  <si>
    <t>REP-0067</t>
  </si>
  <si>
    <t>REP-0110 Grifo osmosis 1/2 alta presión MIX</t>
  </si>
  <si>
    <t>REP-0110</t>
  </si>
  <si>
    <t>REP-0068 Codo 45° para manguera cepillo MIX</t>
  </si>
  <si>
    <t>REP-0068</t>
  </si>
  <si>
    <t>REP-0127 Golillas aislantes pulsadores</t>
  </si>
  <si>
    <t>REP-0127</t>
  </si>
  <si>
    <t>REP-0069 Codo 90° inox cepillo MIX</t>
  </si>
  <si>
    <t>REP-0069</t>
  </si>
  <si>
    <t>REP-0102 Pistola mousse ST-75 MIX</t>
  </si>
  <si>
    <t>REP-0102</t>
  </si>
  <si>
    <t>REP-0074 Fusible 5X20 2A MIX</t>
  </si>
  <si>
    <t>REP-0074</t>
  </si>
  <si>
    <t>REP-0121 Presostato 1/4 (bomba CAT) MIX</t>
  </si>
  <si>
    <t>REP-0121</t>
  </si>
  <si>
    <t>REP-0144 EV 1/4\ burket cod 125302w</t>
  </si>
  <si>
    <t>REP-0144</t>
  </si>
  <si>
    <t>REP-0116 Electroválvula L180 ½” (salida osmosis) Burkert</t>
  </si>
  <si>
    <t>REP-0116</t>
  </si>
  <si>
    <t>REP-0076 Presóstato para osmosis KP1 MIX</t>
  </si>
  <si>
    <t>REP-0076</t>
  </si>
  <si>
    <t>REP-0161 Relé mini 24V MIX</t>
  </si>
  <si>
    <t>REP-0161</t>
  </si>
  <si>
    <t>REP-0077 Válvula pulsar (bomba CAT) MIX</t>
  </si>
  <si>
    <t>REP-0077</t>
  </si>
  <si>
    <t>REP-0497 Flexible aspiradora D.38 (Twister) MIX 5 mt</t>
  </si>
  <si>
    <t>REP-0497</t>
  </si>
  <si>
    <t>REP-0073 Manguera alta presión ¼” x 9 m</t>
  </si>
  <si>
    <t>REP-0073</t>
  </si>
  <si>
    <t>REP-0084 Perno Racco (conexión CAT) MIX 1/2"</t>
  </si>
  <si>
    <t>REP-0084</t>
  </si>
  <si>
    <t>REP-0085 Junta 90° 3/8 para brazo giratorio Mosmatic</t>
  </si>
  <si>
    <t>REP-0085</t>
  </si>
  <si>
    <t>REP-0086 Junta recta 3/8” para brazo giratorio Mosmatic</t>
  </si>
  <si>
    <t>REP-0086</t>
  </si>
  <si>
    <t>REP-0087 Boquilla plana de aspirado (Twister) MIX</t>
  </si>
  <si>
    <t>REP-0087</t>
  </si>
  <si>
    <t>REP-0263 Filtro sedimentos AXEON</t>
  </si>
  <si>
    <t>REP-0263</t>
  </si>
  <si>
    <t>REP-0264 Filtro carbón activo AXEON</t>
  </si>
  <si>
    <t>REP-0264</t>
  </si>
  <si>
    <t>REP-0123 Manguera dura lavallantas Rilsan 8mm x 1m</t>
  </si>
  <si>
    <t>REP-0123</t>
  </si>
  <si>
    <t>REP-0088 Válvula ¼” Viton</t>
  </si>
  <si>
    <t>REP-0088</t>
  </si>
  <si>
    <t>REP-0134 Válvula retención bronce ¾” MIX</t>
  </si>
  <si>
    <t>REP-0134</t>
  </si>
  <si>
    <t>REP-0089 Válvula bronce ½” MIX</t>
  </si>
  <si>
    <t>REP-0089</t>
  </si>
  <si>
    <t>REP-0125 Válvula de retención inox ¼” MIX</t>
  </si>
  <si>
    <t>REP-0125</t>
  </si>
  <si>
    <t>REP-0090 Reducción ½” a ¼” inoxidable MIX</t>
  </si>
  <si>
    <t>REP-0090</t>
  </si>
  <si>
    <t>REP-0111 Niple giratorio ½” MIX</t>
  </si>
  <si>
    <t>REP-0111</t>
  </si>
  <si>
    <t>REP-0169 Niple galvanizado ½” MIX</t>
  </si>
  <si>
    <t>REP-0169</t>
  </si>
  <si>
    <t>REP-0399 Conexión interior flexible aspiración (Twister multifunción) MIX</t>
  </si>
  <si>
    <t>REP-0399</t>
  </si>
  <si>
    <t>REP-0093 Manguito giratorio para boquilla aspirado (Twister) MIX</t>
  </si>
  <si>
    <t>REP-0093</t>
  </si>
  <si>
    <t>REP-0094 Niple hexagonal inox ½”</t>
  </si>
  <si>
    <t>REP-0094</t>
  </si>
  <si>
    <t>REP-0095 Tee ½” hi-he extremo/hi central MIX</t>
  </si>
  <si>
    <t>REP-0095</t>
  </si>
  <si>
    <t>REP-0096 Codo ¼” X 6mm MIX</t>
  </si>
  <si>
    <t>REP-0096</t>
  </si>
  <si>
    <t>REP-0097 Protector boquilla lanza MIX</t>
  </si>
  <si>
    <t>REP-0097</t>
  </si>
  <si>
    <t>REP-0098 Boquilla lanza MIX</t>
  </si>
  <si>
    <t>REP-0098</t>
  </si>
  <si>
    <t>REP-0118 Manómetro 0-250 bar (bomba CAT) MIX</t>
  </si>
  <si>
    <t>REP-0118</t>
  </si>
  <si>
    <t>REP-0020 Bomba 3cp 1140 CAT</t>
  </si>
  <si>
    <t>REP-0020</t>
  </si>
  <si>
    <t>REP-0124 Campana (bomba 3cp) CAT</t>
  </si>
  <si>
    <t>REP-0124</t>
  </si>
  <si>
    <t>REP-0119 Junta (bomba 3cp) CAT</t>
  </si>
  <si>
    <t>REP-0119</t>
  </si>
  <si>
    <t>REP-0241 Kit de válvulas 33062 (bomba 3cp) CAT</t>
  </si>
  <si>
    <t>REP-0241</t>
  </si>
  <si>
    <t>REP-0242 Kit sellos de agua 33983 (bomba 3cp) CAT</t>
  </si>
  <si>
    <t>REP-0242</t>
  </si>
  <si>
    <t>REP-0091 Perno Racor 3/2 (conexión CAT) MIX</t>
  </si>
  <si>
    <t>REP-0091</t>
  </si>
  <si>
    <t>REP-0092 Conector tipo banjo 3/8 con hilo (conexión CAT) MIX</t>
  </si>
  <si>
    <t>REP-0092</t>
  </si>
  <si>
    <t>REP-0153 Motor 3hp (bomba 3cp) CAT</t>
  </si>
  <si>
    <t>REP-0153</t>
  </si>
  <si>
    <t>REP-0081 Manguera conexión (bomba 3cp) CAT</t>
  </si>
  <si>
    <t>REP-0081</t>
  </si>
  <si>
    <t>REP-0276 Electrobomba Espa</t>
  </si>
  <si>
    <t>REP-0276</t>
  </si>
  <si>
    <t>REP-0277 Presóstato para hidropack</t>
  </si>
  <si>
    <t>REP-0277</t>
  </si>
  <si>
    <t>REP-0103 Manómetro seco 0-6 bar MIX</t>
  </si>
  <si>
    <t>REP-0103</t>
  </si>
  <si>
    <t>REP-0278 Válvula pie de estanque</t>
  </si>
  <si>
    <t>REP-0278</t>
  </si>
  <si>
    <t>REP-0283 Guardamotor (sistema hidroneumático) 6,3 a 10 Amp</t>
  </si>
  <si>
    <t>REP-0283</t>
  </si>
  <si>
    <t>REP-0280 Tanque hidroneumático 24 lt Varen</t>
  </si>
  <si>
    <t>REP-0280</t>
  </si>
  <si>
    <t>REP-0281 Filtro válvula pie de estanque</t>
  </si>
  <si>
    <t>REP-0281</t>
  </si>
  <si>
    <t>REP-0282 Válvula 5 vías bronce</t>
  </si>
  <si>
    <t>REP-0282</t>
  </si>
  <si>
    <t>REP-0268 Paño de pulir scotch brite 3M 10,5"</t>
  </si>
  <si>
    <t>REP-0268</t>
  </si>
  <si>
    <t>REP-0266 Limpiador de acero inox aerosol 3M</t>
  </si>
  <si>
    <t>REP-0266</t>
  </si>
  <si>
    <t>REP-0267 Paños de pulir scotch brite 3M 7,5" 10un</t>
  </si>
  <si>
    <t>REP-0267</t>
  </si>
  <si>
    <t>REP-0294 Ánodo de sacrificio (termo trifásico) Trotter</t>
  </si>
  <si>
    <t>REP-0294</t>
  </si>
  <si>
    <t>REP-0295 Arosello para ánodo (termo trifásico) Trotter</t>
  </si>
  <si>
    <t>REP-0295</t>
  </si>
  <si>
    <t>REP-0296 Calefactor 3 Kw -220V (Resistencia)</t>
  </si>
  <si>
    <t>REP-0296</t>
  </si>
  <si>
    <t>REP-0115 Cable fichero (Mself) RM5 40 cm</t>
  </si>
  <si>
    <t>REP-0115</t>
  </si>
  <si>
    <t>REP-0345 Termo inoxidable 100 lt trifásico 6 Kw Trotter</t>
  </si>
  <si>
    <t>REP-0345</t>
  </si>
  <si>
    <t>REP-0298 Termo cincado 100 lt trifásico 6 Kw Trotter</t>
  </si>
  <si>
    <t>REP-0298</t>
  </si>
  <si>
    <t>REP-0301 Termostato (termo trifásico) Trotter</t>
  </si>
  <si>
    <t>REP-0301</t>
  </si>
  <si>
    <t>REP-0495 Espiral protección (tiras de 10 m)</t>
  </si>
  <si>
    <t>REP-0495</t>
  </si>
  <si>
    <t>REP-0287 Gravilla para carga ablandador Inquinat 25 kg</t>
  </si>
  <si>
    <t>REP-0287</t>
  </si>
  <si>
    <t>REP-0299 Bornera cerámica para conexión de 3 polos Trotter</t>
  </si>
  <si>
    <t>REP-0299</t>
  </si>
  <si>
    <t>REP-0300 Resistencia 6 Kw (termo trifásico) Trotter</t>
  </si>
  <si>
    <t>REP-0300</t>
  </si>
  <si>
    <t>REP-0135 Resorte cónico sistema vibración aspiradora (Twister) MIX</t>
  </si>
  <si>
    <t>REP-0135</t>
  </si>
  <si>
    <t>REP-0289 Resorte filtro de aspirado (Twister) MIX</t>
  </si>
  <si>
    <t>REP-0289</t>
  </si>
  <si>
    <t>REP-0290 Golilla filtro de aspirado (Twister) MIX</t>
  </si>
  <si>
    <t>REP-0290</t>
  </si>
  <si>
    <t>REP-0138 Contactor 24V MIX</t>
  </si>
  <si>
    <t>REP-0138</t>
  </si>
  <si>
    <t>REP-0182 Relé mini 24VCA Finder</t>
  </si>
  <si>
    <t>REP-0182</t>
  </si>
  <si>
    <t>REP-0126 Válvula de fondo para químicos MIX</t>
  </si>
  <si>
    <t>REP-0126</t>
  </si>
  <si>
    <t>REP-0022 Inyector electroválvula Burkert</t>
  </si>
  <si>
    <t>REP-0022</t>
  </si>
  <si>
    <t>REP-0165 Ingreso lateral Burket</t>
  </si>
  <si>
    <t>REP-0165</t>
  </si>
  <si>
    <t>REP-0157 O-ring separador electroválvula MIX</t>
  </si>
  <si>
    <t>REP-0157</t>
  </si>
  <si>
    <t>REP-0198 Válvula con retención ¾” Robex</t>
  </si>
  <si>
    <t>REP-0198</t>
  </si>
  <si>
    <t>REP-0158 Conector manguera ¼” MIX</t>
  </si>
  <si>
    <t>REP-0158</t>
  </si>
  <si>
    <t>REP-0036 Motor 3hp doble bobinado (bomba 3cp) CAT</t>
  </si>
  <si>
    <t>REP-0036</t>
  </si>
  <si>
    <t>REP-0353 Fichero RM5 EVO Comestero</t>
  </si>
  <si>
    <t>REP-0353</t>
  </si>
  <si>
    <t>REP-0047 Cable fichero (Twister) 1,5 mt MIX</t>
  </si>
  <si>
    <t>REP-0047</t>
  </si>
  <si>
    <t>REP-0048 Cerradura puerta (Mself) MIX</t>
  </si>
  <si>
    <t>REP-0048</t>
  </si>
  <si>
    <t>REP-0120 Placa fichero pequeña RM 927 MIX</t>
  </si>
  <si>
    <t>REP-0120</t>
  </si>
  <si>
    <t>REP-0050 Tee PVC MIX ¼”</t>
  </si>
  <si>
    <t>REP-0050</t>
  </si>
  <si>
    <t>REP-0192 Microinterruptor contactor motor Trifásico</t>
  </si>
  <si>
    <t>REP-0192</t>
  </si>
  <si>
    <t>REP-0058 Adaptador parada emergencia MIX</t>
  </si>
  <si>
    <t>REP-0058</t>
  </si>
  <si>
    <t>REP-0059 Contacto normal cerrado parada de emergencia MIX</t>
  </si>
  <si>
    <t>REP-0059</t>
  </si>
  <si>
    <t>REP-0060 Parada de emergencia rasante</t>
  </si>
  <si>
    <t>REP-0060</t>
  </si>
  <si>
    <t>REP-0075 Horómetro 24V</t>
  </si>
  <si>
    <t>REP-0075</t>
  </si>
  <si>
    <t>REP-0164 Electroválvula L 180 Burket 3/4´´</t>
  </si>
  <si>
    <t>REP-0164</t>
  </si>
  <si>
    <t>REP-0162 Numeral lavadora (Mself) MIX</t>
  </si>
  <si>
    <t>REP-0162</t>
  </si>
  <si>
    <t>REP-0154 Conductímetro c901 MIX</t>
  </si>
  <si>
    <t>REP-0154</t>
  </si>
  <si>
    <t>REP-0187 Sensor conductímetro MIX</t>
  </si>
  <si>
    <t>REP-0187</t>
  </si>
  <si>
    <t>REP-0155 Tapa campana (bomba 3cp) CAT</t>
  </si>
  <si>
    <t>REP-0155</t>
  </si>
  <si>
    <t>REP-0099 Manómetro de glicerina 0-12 bar MIX</t>
  </si>
  <si>
    <t>REP-0099</t>
  </si>
  <si>
    <t>REP-0236 Tuerca inoxidable protector fichero</t>
  </si>
  <si>
    <t>REP-0236</t>
  </si>
  <si>
    <t>REP-0017 Junta de osmosis MIX</t>
  </si>
  <si>
    <t>REP-0017</t>
  </si>
  <si>
    <t>REP-0028 Conexión curva bronce ½”</t>
  </si>
  <si>
    <t>REP-0028</t>
  </si>
  <si>
    <t>REP-0029 Display 3 cifras MIX</t>
  </si>
  <si>
    <t>REP-0029</t>
  </si>
  <si>
    <t>REP-0034 PLC programado S7-200 Siemens (Mself hasta 2014) MIX</t>
  </si>
  <si>
    <t>REP-0034</t>
  </si>
  <si>
    <t>REP-0152 Electroválvula ¾” (bajada osmosis) Sirai</t>
  </si>
  <si>
    <t>REP-0152</t>
  </si>
  <si>
    <t>REP-0181 Contactor 10 24V</t>
  </si>
  <si>
    <t>REP-0181</t>
  </si>
  <si>
    <t>REP-0136 Manómetro 0-25 bar MIX</t>
  </si>
  <si>
    <t>REP-0136</t>
  </si>
  <si>
    <t>REP-0173 Motor trifásico aspiradora (Twister M2) MIX</t>
  </si>
  <si>
    <t>REP-0173</t>
  </si>
  <si>
    <t>REP-0129 Filtro aspiradora (Twister M2) Mix</t>
  </si>
  <si>
    <t>REP-0129</t>
  </si>
  <si>
    <t>REP-0053 Boquilla de soplado (Twister&amp;Dry) MIX</t>
  </si>
  <si>
    <t>REP-0053</t>
  </si>
  <si>
    <t>REP-0055 Filtro aspiradora (Twister) MIX</t>
  </si>
  <si>
    <t>REP-0055</t>
  </si>
  <si>
    <t>REP-0114 Sello poliuretano para filtro (Twister) MIX</t>
  </si>
  <si>
    <t>REP-0114</t>
  </si>
  <si>
    <t>REP-0056 Cerradura aspiradora (Twister) MIX</t>
  </si>
  <si>
    <t>REP-0056</t>
  </si>
  <si>
    <t>REP-0117 Numeral aspiradora (Twister) MIX</t>
  </si>
  <si>
    <t>REP-0117</t>
  </si>
  <si>
    <t>REP-0179 Transformador 400/220 Twister</t>
  </si>
  <si>
    <t>REP-0179</t>
  </si>
  <si>
    <t>REP-0061 Indicador luminoso LED azul (Twister) MIX</t>
  </si>
  <si>
    <t>REP-0061</t>
  </si>
  <si>
    <t>REP-0101 Caja eléctrica (Twister) MIX</t>
  </si>
  <si>
    <t>REP-0101</t>
  </si>
  <si>
    <t>REP-0205 Chapa Aspirado Tambor Plástico (TW2013)</t>
  </si>
  <si>
    <t>REP-0205</t>
  </si>
  <si>
    <t>REP-0032 Porta fichero MIX</t>
  </si>
  <si>
    <t>REP-0032</t>
  </si>
  <si>
    <t>REP-0183 Pistola perfume con boquilla MIX</t>
  </si>
  <si>
    <t>REP-0183</t>
  </si>
  <si>
    <t>REP-0132 Pistola renovador de neumático punta inoxidable</t>
  </si>
  <si>
    <t>REP-0132</t>
  </si>
  <si>
    <t>REP-0180 Lanza para MIX Dry completa</t>
  </si>
  <si>
    <t>REP-0180</t>
  </si>
  <si>
    <t>REP-0176 Motor Mix Dry 220v 7A ( Motor secado)</t>
  </si>
  <si>
    <t>REP-0176</t>
  </si>
  <si>
    <t>REP-0070 Motor soplado (Twister&amp;Dry) MIX</t>
  </si>
  <si>
    <t>REP-0070</t>
  </si>
  <si>
    <t>REP-0185 Rodillo Lavatapete LTS400</t>
  </si>
  <si>
    <t>REP-0185</t>
  </si>
  <si>
    <t>REP-0314 Inverter 2,2 Kw 380-480V MIX</t>
  </si>
  <si>
    <t>REP-0314</t>
  </si>
  <si>
    <t>REP-0315 Ventilador 24V AC (para inverter) MIX</t>
  </si>
  <si>
    <t>REP-0315</t>
  </si>
  <si>
    <t>REP-0316 Int. Aut. C60N 3P 16A</t>
  </si>
  <si>
    <t>REP-0316</t>
  </si>
  <si>
    <t>REP-0318 Int. MT 10 KA 1P+1N D 2A</t>
  </si>
  <si>
    <t>REP-0318</t>
  </si>
  <si>
    <t>REP-0317 Int. MT 6KA 1N 1MOD 2A C</t>
  </si>
  <si>
    <t>REP-0317</t>
  </si>
  <si>
    <t>REP-0319 Int. MT 6KA 1N 1MOD 6A C</t>
  </si>
  <si>
    <t>REP-0319</t>
  </si>
  <si>
    <t>INS-0009 Paños reutilizables Politex rollo 500 unidades</t>
  </si>
  <si>
    <t>INS-0009</t>
  </si>
  <si>
    <t>INS-0006 Abrillantador de Gomas R4 Flowey 5 kg</t>
  </si>
  <si>
    <t>INS-0006</t>
  </si>
  <si>
    <t>REP-0327 Válvula de inyección shampoo/lavallantas MIX</t>
  </si>
  <si>
    <t>REP-0327</t>
  </si>
  <si>
    <t>REP-0326 Válvula de inyección cera MIX</t>
  </si>
  <si>
    <t>REP-0326</t>
  </si>
  <si>
    <t>REP-0344 Electroválvula 100 bar ½” MIX</t>
  </si>
  <si>
    <t>REP-0344</t>
  </si>
  <si>
    <t>REP-0072 Guarnición tubo aspirado y soplado TW S2</t>
  </si>
  <si>
    <t>REP-0072</t>
  </si>
  <si>
    <t>REP-0329 Espiral y terminales (sanitizado) MIX</t>
  </si>
  <si>
    <t>REP-0329</t>
  </si>
  <si>
    <t>REP-0352 Manguera gris baja presión MIX 4,0m</t>
  </si>
  <si>
    <t>REP-0352</t>
  </si>
  <si>
    <t>REP-0350 Manguera roja alta presión MIX 3,5m</t>
  </si>
  <si>
    <t>REP-0350</t>
  </si>
  <si>
    <t>REP-0351 Manguera gris baja presión MIX 4,7m</t>
  </si>
  <si>
    <t>REP-0351</t>
  </si>
  <si>
    <t>REP-0269 Pulsador doble on/off verde y rojo</t>
  </si>
  <si>
    <t>REP-0269</t>
  </si>
  <si>
    <t>REP-0270 Pulsador armado verde</t>
  </si>
  <si>
    <t>REP-0270</t>
  </si>
  <si>
    <t>REP-0271 Pulsador armado rojo</t>
  </si>
  <si>
    <t>REP-0271</t>
  </si>
  <si>
    <t>REP-0104 Display 4 cifras MIX</t>
  </si>
  <si>
    <t>REP-0104</t>
  </si>
  <si>
    <t>REP-0376 Alimentación tarjeta electrónica (Twister multifunción) MIX</t>
  </si>
  <si>
    <t>REP-0376</t>
  </si>
  <si>
    <t>REP-0379 BOMBA ELECTROMAGNÉTICA (LAVA INTERIOR)</t>
  </si>
  <si>
    <t>REP-0379</t>
  </si>
  <si>
    <t>REP-0381 Kit espiral y pistola renovador de tableros</t>
  </si>
  <si>
    <t>REP-0381</t>
  </si>
  <si>
    <t>REP-0382 Filtro para bidón (Smart2 Pro) MIX</t>
  </si>
  <si>
    <t>REP-0382</t>
  </si>
  <si>
    <t>REP-0383 ACCESORIOS ASPIRADOR (BOCCHETTA + MANICOTTI LAVA INTERIOR)</t>
  </si>
  <si>
    <t>REP-0383</t>
  </si>
  <si>
    <t>REP-0385 Boquilla succión (Twister multifunción) MIX</t>
  </si>
  <si>
    <t>REP-0385</t>
  </si>
  <si>
    <t>REP-0389 Motor modulo (Twister multifunción) MIX</t>
  </si>
  <si>
    <t>REP-0389</t>
  </si>
  <si>
    <t>REP-0390 Bomba modulo (Twister multifunción) MIX</t>
  </si>
  <si>
    <t>REP-0390</t>
  </si>
  <si>
    <t>REP-0392 Cerradura (Twister multifunción) MIX</t>
  </si>
  <si>
    <t>REP-0392</t>
  </si>
  <si>
    <t>REP-0393 Palanca interior (Twister multifunción) MIX</t>
  </si>
  <si>
    <t>REP-0393</t>
  </si>
  <si>
    <t>REP-0394 Interruptor encendido apagado (Twister multifunción) MIX</t>
  </si>
  <si>
    <t>REP-0394</t>
  </si>
  <si>
    <t>REP-0395 CABLE (LAVA INTERIOR)</t>
  </si>
  <si>
    <t>REP-0395</t>
  </si>
  <si>
    <t>REP-0396 Perillas de programación tiempo (Twister multifunción) MIX</t>
  </si>
  <si>
    <t>REP-0396</t>
  </si>
  <si>
    <t>REP-0397 Contactor (Twister multifunción) MIX</t>
  </si>
  <si>
    <t>REP-0397</t>
  </si>
  <si>
    <t>REP-0398 Interruptor térmico (Twister Multifunción)</t>
  </si>
  <si>
    <t>REP-0398</t>
  </si>
  <si>
    <t>REP-0401 GANCHO (LAVA INTERIOR)</t>
  </si>
  <si>
    <t>REP-0401</t>
  </si>
  <si>
    <t>REP-0403 Módulo Sabrina foam (Twister multifunción) MIX</t>
  </si>
  <si>
    <t>REP-0403</t>
  </si>
  <si>
    <t>REP-0404 CONTACTOR 2 (LAVA INTERIOR)</t>
  </si>
  <si>
    <t>REP-0404</t>
  </si>
  <si>
    <t>REP-0405 MOTOR ASPIRADO CON TURBINA (LAVA INTERIOR)</t>
  </si>
  <si>
    <t>REP-0405</t>
  </si>
  <si>
    <t>REP-0406 Codo 45° PVC (Twister multifunción) MIX</t>
  </si>
  <si>
    <t>REP-0406</t>
  </si>
  <si>
    <t>REP-0408 Tubo espiral perfume (Twister multifunción) MIX</t>
  </si>
  <si>
    <t>REP-0408</t>
  </si>
  <si>
    <t>REP-0409 Chasis (Twister multifunción) MIX</t>
  </si>
  <si>
    <t>REP-0409</t>
  </si>
  <si>
    <t>REP-0419 Manguera silicona tipo Rilsan (Twister multifunción) MIX 150 cm</t>
  </si>
  <si>
    <t>REP-0419</t>
  </si>
  <si>
    <t>REP-0413 Tambor metálico filtro (Twister multifunción) MIX</t>
  </si>
  <si>
    <t>REP-0413</t>
  </si>
  <si>
    <t>REP-0415 Display digital de tiempo (Twister multifunción) MIX</t>
  </si>
  <si>
    <t>REP-0415</t>
  </si>
  <si>
    <t>REP-0391 Bisagra (Twister multifunción) MIX</t>
  </si>
  <si>
    <t>REP-0391</t>
  </si>
  <si>
    <t>REP-0375 Tarjeta electrónica display (Twister multifunción) MIX</t>
  </si>
  <si>
    <t>REP-0375</t>
  </si>
  <si>
    <t>REP-0378 Parada emergencia rojo (Twister multifunción) MIX</t>
  </si>
  <si>
    <t>REP-0378</t>
  </si>
  <si>
    <t>REP-0374 Protección fichero MIX</t>
  </si>
  <si>
    <t>REP-0374</t>
  </si>
  <si>
    <t>REP-0234 Sujetador flexible (Twister) MIX</t>
  </si>
  <si>
    <t>REP-0234</t>
  </si>
  <si>
    <t>REP-0400 ELETTROVALVOLA 230V - 50HZ 1/4 COMPLETA (LAVA INTERIOR)</t>
  </si>
  <si>
    <t>REP-0400</t>
  </si>
  <si>
    <t>REP-0387 Espiral cepillo (Twister multifunción)</t>
  </si>
  <si>
    <t>REP-0387</t>
  </si>
  <si>
    <t>REP-0386 Cepillo aplicación químico (Twister multifunción) MIX</t>
  </si>
  <si>
    <t>REP-0386</t>
  </si>
  <si>
    <t>REP-0388 MANGUERA ASPIRACIÓN LAVAINTERIORES DRY (LAVA INTERIOR)</t>
  </si>
  <si>
    <t>REP-0388</t>
  </si>
  <si>
    <t>REP-0377 Pulsador LED anti-vándalo azul MIX</t>
  </si>
  <si>
    <t>REP-0377</t>
  </si>
  <si>
    <t>REP-0054 Flexible de soplado (Twister&amp;Dry) MIX</t>
  </si>
  <si>
    <t>REP-0054</t>
  </si>
  <si>
    <t>REP-0407 Acople rápido de bombas (Twister multifunción) MIX</t>
  </si>
  <si>
    <t>REP-0407</t>
  </si>
  <si>
    <t>REP-0410 Boquilla bronce pistola (Twister multifunción) MIX</t>
  </si>
  <si>
    <t>REP-0410</t>
  </si>
  <si>
    <t>REP-0412 Boquilla cerámica pistola (Twister multifunción) MIX</t>
  </si>
  <si>
    <t>REP-0412</t>
  </si>
  <si>
    <t>REP-0414 Manguito giratorio boquilla de succión (Twister multifunción) MIX</t>
  </si>
  <si>
    <t>REP-0414</t>
  </si>
  <si>
    <t>INS-0026 Shampoo tapices I1 Flowey 5 lts</t>
  </si>
  <si>
    <t>INS-0026</t>
  </si>
  <si>
    <t>INS-0027 Renovador de tableros C4 Flowey 5 lts</t>
  </si>
  <si>
    <t>INS-0027</t>
  </si>
  <si>
    <t>INS-0029 RENOVADOR DE TABLEROS ALT.</t>
  </si>
  <si>
    <t>INS-0029</t>
  </si>
  <si>
    <t>INS-0030 PERFUME CITRICO ALT.</t>
  </si>
  <si>
    <t>INS-0030</t>
  </si>
  <si>
    <t>REP-0027 Niple 1/2 x 20 recto</t>
  </si>
  <si>
    <t>REP-0027</t>
  </si>
  <si>
    <t>REP-0033 Extensión EM 223 (S7-200 Siemens) (Mself hasta 2014) MIX</t>
  </si>
  <si>
    <t>REP-0033</t>
  </si>
  <si>
    <t>REP-0035 Codo 90° 1/2 MX20</t>
  </si>
  <si>
    <t>REP-0035</t>
  </si>
  <si>
    <t>REP-0037 Válvula Robex 1/2 entrada mself</t>
  </si>
  <si>
    <t>REP-0037</t>
  </si>
  <si>
    <t>REP-0071 Mango Goma Asp S2 Diam 38/60</t>
  </si>
  <si>
    <t>REP-0071</t>
  </si>
  <si>
    <t>REP-0105 Cable interfaz serial 9/25 para programación ficheros</t>
  </si>
  <si>
    <t>REP-0105</t>
  </si>
  <si>
    <t>REP-0149 Kit de sellos de agua interpump</t>
  </si>
  <si>
    <t>REP-0149</t>
  </si>
  <si>
    <t>REP-0175 Relé mini 24V azul MIX</t>
  </si>
  <si>
    <t>REP-0175</t>
  </si>
  <si>
    <t>REP-0178 Pieza cierre lateral Burket</t>
  </si>
  <si>
    <t>REP-0178</t>
  </si>
  <si>
    <t>REP-0202 Transformador 380 / 18 - 24 V</t>
  </si>
  <si>
    <t>REP-0202</t>
  </si>
  <si>
    <t>REP-0203 Recuadro Burket</t>
  </si>
  <si>
    <t>REP-0203</t>
  </si>
  <si>
    <t>REP-0204 Bomba cat 5 cp</t>
  </si>
  <si>
    <t>REP-0204</t>
  </si>
  <si>
    <t>REP-0208 Válvula de fondo químicos (Twister multifunción) MIX</t>
  </si>
  <si>
    <t>REP-0208</t>
  </si>
  <si>
    <t>REP-0219 Zocalo finder 2S</t>
  </si>
  <si>
    <t>REP-0219</t>
  </si>
  <si>
    <t>REP-0223 Tee de acople rapido x3 1/4</t>
  </si>
  <si>
    <t>REP-0223</t>
  </si>
  <si>
    <t>REP-0237 Separadores PVC (bomba 3cp) CAT</t>
  </si>
  <si>
    <t>REP-0237</t>
  </si>
  <si>
    <t>REP-0238 Sellos de aceite (bomba 3cp) CAT</t>
  </si>
  <si>
    <t>REP-0238</t>
  </si>
  <si>
    <t>REP-0239 Pistones cerámicos (bomba 3cp) CAT</t>
  </si>
  <si>
    <t>REP-0239</t>
  </si>
  <si>
    <t>REP-0240 Pernos culatín m8x65 (bomba 3cp) CAT</t>
  </si>
  <si>
    <t>REP-0240</t>
  </si>
  <si>
    <t>REP-0243 Golillas pistones (bomba 3cp) CAT</t>
  </si>
  <si>
    <t>REP-0243</t>
  </si>
  <si>
    <t>REP-0245 Cubre o-ring (bomba 3cp) CAT</t>
  </si>
  <si>
    <t>REP-0245</t>
  </si>
  <si>
    <t>REP-0246 Golilla pistón ranura (bomba 3cp) CAT</t>
  </si>
  <si>
    <t>REP-0246</t>
  </si>
  <si>
    <t>REP-0248 Retainer, plunger w/stud3/5cp</t>
  </si>
  <si>
    <t>REP-0248</t>
  </si>
  <si>
    <t>REP-0249 Cat o-ring 3/5cp</t>
  </si>
  <si>
    <t>REP-0249</t>
  </si>
  <si>
    <t>REP-0252 Portasellos (bomba 3cp) CAT</t>
  </si>
  <si>
    <t>REP-0252</t>
  </si>
  <si>
    <t>REP-0253 cat bearing ball, 3/5cp</t>
  </si>
  <si>
    <t>REP-0253</t>
  </si>
  <si>
    <t>REP-0254 Tapón inferior aceite (bomba 3cp) CAT</t>
  </si>
  <si>
    <t>REP-0254</t>
  </si>
  <si>
    <t>REP-0255 Tapa válvula 46756 (bomba 3cp) CAT</t>
  </si>
  <si>
    <t>REP-0255</t>
  </si>
  <si>
    <t>REP-0256 Visor nivel aceite (bomba 3cp) CAT</t>
  </si>
  <si>
    <t>REP-0256</t>
  </si>
  <si>
    <t>REP-0309 Ficha Lavado COPEC MOD \A\ personalizadas Lavamax</t>
  </si>
  <si>
    <t>REP-0309</t>
  </si>
  <si>
    <t>REP-0320 Kit pistola+espiral+sujetador (sanitizado) MIX</t>
  </si>
  <si>
    <t>REP-0320</t>
  </si>
  <si>
    <t>REP-0321 Filtro (pistola mousse) MIX</t>
  </si>
  <si>
    <t>REP-0321</t>
  </si>
  <si>
    <t>REP-0328 Resina Sunresin para carga ablandador Inquinat</t>
  </si>
  <si>
    <t>REP-0328</t>
  </si>
  <si>
    <t>REP-0333 FILTRO DE SEDIMENTO TEXPRO</t>
  </si>
  <si>
    <t>REP-0333</t>
  </si>
  <si>
    <t>REP-0336 Visera para Display de 4 cifras</t>
  </si>
  <si>
    <t>REP-0336</t>
  </si>
  <si>
    <t>REP-0337 Llave de bola ½”</t>
  </si>
  <si>
    <t>REP-0337</t>
  </si>
  <si>
    <t>REP-0338 Copla bronce ½” x ½”</t>
  </si>
  <si>
    <t>REP-0338</t>
  </si>
  <si>
    <t>REP-0339 Kit analizador de durezas de alto rango 100 determinaciones</t>
  </si>
  <si>
    <t>REP-0339</t>
  </si>
  <si>
    <t>REP-0340 Pulsador armado azul</t>
  </si>
  <si>
    <t>REP-0340</t>
  </si>
  <si>
    <t>REP-0341 Kit analizador de durezas bajo rango 100 det</t>
  </si>
  <si>
    <t>REP-0341</t>
  </si>
  <si>
    <t>REP-0346  SOPORTE DE PLASTICO PARA MANGUERA DE SOPLADO</t>
  </si>
  <si>
    <t>REP-0346</t>
  </si>
  <si>
    <t>REP-0347 Contactor 4KW DILEM 10 24V 50/60</t>
  </si>
  <si>
    <t>REP-0347</t>
  </si>
  <si>
    <t>REP-0348 Diferencial tipo B Siemens</t>
  </si>
  <si>
    <t>REP-0348</t>
  </si>
  <si>
    <t>REP-0354 Reducción ½” a ¼” bronce MIX</t>
  </si>
  <si>
    <t>REP-0354</t>
  </si>
  <si>
    <t>REP-0355 O-ring para boquilla (pistola mousse) MIX</t>
  </si>
  <si>
    <t>REP-0355</t>
  </si>
  <si>
    <t>REP-0357 Manguera roja alta presión MIX 4,0m</t>
  </si>
  <si>
    <t>REP-0357</t>
  </si>
  <si>
    <t>REP-0361 CARCASA DE MEMBRANA DE OSMOSIS</t>
  </si>
  <si>
    <t>REP-0361</t>
  </si>
  <si>
    <t>REP-0362 Gatillo (pistola mousse) MIX</t>
  </si>
  <si>
    <t>REP-0362</t>
  </si>
  <si>
    <t>REP-0363 Boquilla + cuerpo lanza (pistola mousse) MIX</t>
  </si>
  <si>
    <t>REP-0363</t>
  </si>
  <si>
    <t>REP-0364 Bomba dosificadora de Mousse</t>
  </si>
  <si>
    <t>REP-0364</t>
  </si>
  <si>
    <t>REP-0365 MANGUERA 1/4" 1 MT COLOR ROJO EXT. PUNTA HE-HI 3/8</t>
  </si>
  <si>
    <t>REP-0365</t>
  </si>
  <si>
    <t>REP-0366 CODO BRONCE 1/4 HE- HI</t>
  </si>
  <si>
    <t>REP-0366</t>
  </si>
  <si>
    <t>REP-0367 RESINA CATIONICA G8 CG8 SACO DE 28,32L</t>
  </si>
  <si>
    <t>REP-0367</t>
  </si>
  <si>
    <t>REP-0368 GRAVILLA SILICA MALLA 4"-8" SACO</t>
  </si>
  <si>
    <t>REP-0368</t>
  </si>
  <si>
    <t>REP-0369 HF1 MEMBRANA DE OSMOSIS PARA MSELF</t>
  </si>
  <si>
    <t>REP-0369</t>
  </si>
  <si>
    <t>REP-0370 HR3 MEMBRANA SE OSMOSIS PARA MSELF</t>
  </si>
  <si>
    <t>REP-0370</t>
  </si>
  <si>
    <t>REP-0380 Kit espiral y pistola perfume</t>
  </si>
  <si>
    <t>REP-0380</t>
  </si>
  <si>
    <t>REP-0416 Cubre Fichero inox Plus (Twister multifunción) MIX</t>
  </si>
  <si>
    <t>REP-0416</t>
  </si>
  <si>
    <t>REP-0417 Lexan para cubre fichero (Twister multifunción) MIX</t>
  </si>
  <si>
    <t>REP-0417</t>
  </si>
  <si>
    <t>REP-0418 UNION AMERICANA INOXIDABLE DE 1/2"</t>
  </si>
  <si>
    <t>REP-0418</t>
  </si>
  <si>
    <t>REP-0430 membranas de osmosis de CSM RE4021-BLN-K</t>
  </si>
  <si>
    <t>REP-0430</t>
  </si>
  <si>
    <t>REP-0432 CODO INOX 1/2 HE HI</t>
  </si>
  <si>
    <t>REP-0432</t>
  </si>
  <si>
    <t>REP-0436 O´RINGS TAPA CARCASA DE OSMOSIS</t>
  </si>
  <si>
    <t>REP-0436</t>
  </si>
  <si>
    <t>REP-0440 TAPON ROJO BOMBA CAT</t>
  </si>
  <si>
    <t>REP-0440</t>
  </si>
  <si>
    <t>REP-0441 CULATIN BOMBA CAT</t>
  </si>
  <si>
    <t>REP-0441</t>
  </si>
  <si>
    <t>REP-0450 ANODO MAGNESIO DELGADO</t>
  </si>
  <si>
    <t>REP-0450</t>
  </si>
  <si>
    <t>REP-0453 COMPRESOR CAMBELL LAVAINTERIORES</t>
  </si>
  <si>
    <t>REP-0453</t>
  </si>
  <si>
    <t>REP-0460 MARIPOSA PARA ASPIRADO</t>
  </si>
  <si>
    <t>REP-0460</t>
  </si>
  <si>
    <t>REP-0463 Membrana Osmosis (Smart2 Pro) MIX</t>
  </si>
  <si>
    <t>REP-0463</t>
  </si>
  <si>
    <t>REP-0467 VALVULA SOBRE PRECION 8 BAR</t>
  </si>
  <si>
    <t>REP-0467</t>
  </si>
  <si>
    <t>REP-0470 PORTA FILTRO CON ELEMENTO PARA COMPRESOR LAVAINTERIOR</t>
  </si>
  <si>
    <t>REP-0470</t>
  </si>
  <si>
    <t>REP-0472 ANODO GRUESO FRONTAL 4 PERNOS</t>
  </si>
  <si>
    <t>REP-0472</t>
  </si>
  <si>
    <t>REP-0473 ORIN´G ANODO GRUESO</t>
  </si>
  <si>
    <t>REP-0473</t>
  </si>
  <si>
    <t xml:space="preserve">LX MANGUERA 3,5 MTS COLOR ROJO </t>
  </si>
  <si>
    <t>LX MANGUERAS DE 4,7 MTS COLOR GRIS</t>
  </si>
  <si>
    <t xml:space="preserve"> 504910</t>
  </si>
  <si>
    <t>LX MANGUERA DE 4.0 MTS COLOR GRIS</t>
  </si>
  <si>
    <t xml:space="preserve"> 504911</t>
  </si>
  <si>
    <t>LX CUBRE FICHERO (LAVA INTERIOR)</t>
  </si>
  <si>
    <t xml:space="preserve"> 504912</t>
  </si>
  <si>
    <t>LX TARJ ELECTRÓNICA LAVAINTERIOR</t>
  </si>
  <si>
    <t xml:space="preserve"> 504913</t>
  </si>
  <si>
    <t>LX ALIMEN TARJ ELECTRÓ (LAVA INTERIOR)</t>
  </si>
  <si>
    <t xml:space="preserve"> 504914</t>
  </si>
  <si>
    <t xml:space="preserve">LX PULSAD AZUL LUMI (LAVA INTERIOR) </t>
  </si>
  <si>
    <t xml:space="preserve"> 504915</t>
  </si>
  <si>
    <t>LX PULSAD ROJO LUMINOSO (LAVA INTERIOR)</t>
  </si>
  <si>
    <t xml:space="preserve"> 504916</t>
  </si>
  <si>
    <t>LX BBA PRODUCT ELECTROMAG LAVAINTERIOR</t>
  </si>
  <si>
    <t xml:space="preserve"> 504917</t>
  </si>
  <si>
    <t>LX ESPIRAL+PISTOL RENOVADOR LAVAINTERIOR</t>
  </si>
  <si>
    <t xml:space="preserve"> 504918</t>
  </si>
  <si>
    <t>LX FILTR METÁLICO ASPIRADO LAVAINTERIOR</t>
  </si>
  <si>
    <t xml:space="preserve"> 504919</t>
  </si>
  <si>
    <t>LX KIT ASPIR BOQ MANG SUJET LAVAINTERIOR</t>
  </si>
  <si>
    <t xml:space="preserve"> 504920</t>
  </si>
  <si>
    <t>LX BOQUILLA LAVAINTERIORES DRY</t>
  </si>
  <si>
    <t xml:space="preserve"> 504921</t>
  </si>
  <si>
    <t>LX CEPILLO COMPLETO LAVAINTERIORES</t>
  </si>
  <si>
    <t xml:space="preserve"> 504922</t>
  </si>
  <si>
    <t xml:space="preserve">LX ESPIRAL LAVAINTERIORES DRY </t>
  </si>
  <si>
    <t xml:space="preserve"> 504923</t>
  </si>
  <si>
    <t>LX MANG ASP AGUA DELGADA LAVAINTERIOR</t>
  </si>
  <si>
    <t xml:space="preserve"> 504924</t>
  </si>
  <si>
    <t>LX MOTOR MÓD ASPIRA AGUA LAVAINTERIOR</t>
  </si>
  <si>
    <t xml:space="preserve"> 504925</t>
  </si>
  <si>
    <t xml:space="preserve">LX BOMBA MODULO LAVAINTERIORES DRY </t>
  </si>
  <si>
    <t xml:space="preserve"> 504926</t>
  </si>
  <si>
    <t>LX BISAGRA (LAVA INTERIOR)</t>
  </si>
  <si>
    <t xml:space="preserve"> 504927</t>
  </si>
  <si>
    <t>LX CERRADURA (LAVA INTERIOR)</t>
  </si>
  <si>
    <t xml:space="preserve"> 504928</t>
  </si>
  <si>
    <t>LX PALANC INTERI CERRADURA LAVAINTERIOR</t>
  </si>
  <si>
    <t xml:space="preserve"> 504929</t>
  </si>
  <si>
    <t>LX INTERRUPTOR ON/OFF (LAVA INTERIOR)</t>
  </si>
  <si>
    <t xml:space="preserve"> 504930</t>
  </si>
  <si>
    <t>LX CABLE (LAVA INTERIOR)</t>
  </si>
  <si>
    <t xml:space="preserve"> 504931</t>
  </si>
  <si>
    <t>LX PERILLA TIMER PROGRAMAS LAVAINTERIOR</t>
  </si>
  <si>
    <t xml:space="preserve"> 504932</t>
  </si>
  <si>
    <t>LX CONTACTOR 24V NO (LAVA INTERIOR)</t>
  </si>
  <si>
    <t xml:space="preserve"> 504933</t>
  </si>
  <si>
    <t>LX INTERRUP TÉRMIC 4.2-5.7A LAVAINTERIOR</t>
  </si>
  <si>
    <t xml:space="preserve"> 504934</t>
  </si>
  <si>
    <t>LX MANGO SUJETA ASPIR LAVAINTERIOR</t>
  </si>
  <si>
    <t xml:space="preserve"> 504935</t>
  </si>
  <si>
    <t>LX ELECTROVÁL 230V 50HZ 1/4 LAVAINTERIOR</t>
  </si>
  <si>
    <t xml:space="preserve"> 504936</t>
  </si>
  <si>
    <t>LX GANCHO (LAVA INTERIOR)</t>
  </si>
  <si>
    <t xml:space="preserve"> 504937</t>
  </si>
  <si>
    <t>LX MÓD REGULADOR MEZCL PROD LAVAINTERIOR</t>
  </si>
  <si>
    <t xml:space="preserve"> 504938</t>
  </si>
  <si>
    <t>LX CONTACTOR 230V LAVAINTERIOR</t>
  </si>
  <si>
    <t xml:space="preserve"> 504939</t>
  </si>
  <si>
    <t>LX MOTOR ASPIRADO TURBINA LAVAINTERIOR</t>
  </si>
  <si>
    <t xml:space="preserve"> 504940</t>
  </si>
  <si>
    <t>LX CODO45° ENTRAD TAMB ASPIR LAVAINTERIO</t>
  </si>
  <si>
    <t xml:space="preserve"> 504941</t>
  </si>
  <si>
    <t>LX ACOPLE RÁPIDO DE BOMBAS LAVAINTERIOR</t>
  </si>
  <si>
    <t xml:space="preserve"> 504942</t>
  </si>
  <si>
    <t>LX TUBO A ESPIRAL  PERFUME LAVAINTERIOR</t>
  </si>
  <si>
    <t xml:space="preserve"> 504943</t>
  </si>
  <si>
    <t>LX BOQUILLA BRONCE PISTOLA LAVAINTERIOR</t>
  </si>
  <si>
    <t xml:space="preserve"> 504944</t>
  </si>
  <si>
    <t>LX BOQUILLA VERDE  PISTOLA LAVAINTERIOR</t>
  </si>
  <si>
    <t xml:space="preserve"> 504945</t>
  </si>
  <si>
    <t>LX TAMBOR CILÍNDRICO FILTRO ASPIRADO</t>
  </si>
  <si>
    <t xml:space="preserve"> 504946</t>
  </si>
  <si>
    <t>LX  MANGUITO BOQUILLA ASPIR LAVATAPIZ</t>
  </si>
  <si>
    <t xml:space="preserve"> 504947</t>
  </si>
  <si>
    <t>LX DISPLAY (LAVA INTERIOR)</t>
  </si>
  <si>
    <t xml:space="preserve"> 504948</t>
  </si>
  <si>
    <t>LX CUBREFICHERO INOX PLUS 2022</t>
  </si>
  <si>
    <t xml:space="preserve"> 504949</t>
  </si>
  <si>
    <t>LX MANG SILICON D8/D5 150CM LAVAINTERIOR</t>
  </si>
  <si>
    <t xml:space="preserve"> 504950</t>
  </si>
  <si>
    <t>LX TAPA CARCASA OSMOSIS</t>
  </si>
  <si>
    <t>REP-0435</t>
  </si>
  <si>
    <t xml:space="preserve"> 504951</t>
  </si>
  <si>
    <t>LX VÁLVULA ROMPE VACÍO</t>
  </si>
  <si>
    <t>REP-0442</t>
  </si>
  <si>
    <t xml:space="preserve"> 504952</t>
  </si>
  <si>
    <t>LX TEE ACOPLE RÁPIDO</t>
  </si>
  <si>
    <t>REP-0451</t>
  </si>
  <si>
    <t xml:space="preserve"> 504953</t>
  </si>
  <si>
    <t xml:space="preserve">LX BOMBA DOSIFICADORA DE PRODUCTO </t>
  </si>
  <si>
    <t>REP-0454</t>
  </si>
  <si>
    <t xml:space="preserve"> 504954</t>
  </si>
  <si>
    <t>LX CABEZAL MULTIFUNCIÓN ROHS</t>
  </si>
  <si>
    <t>REP-0455</t>
  </si>
  <si>
    <t xml:space="preserve"> 504955</t>
  </si>
  <si>
    <t>LX PERN LARGO ALLEN ELECTROVÁL 1/2 (442)</t>
  </si>
  <si>
    <t>REP-0491</t>
  </si>
  <si>
    <t xml:space="preserve"> 504956</t>
  </si>
  <si>
    <t>LX FILTRO TIPO Y</t>
  </si>
  <si>
    <t>REP-0493</t>
  </si>
  <si>
    <t xml:space="preserve"> 504957</t>
  </si>
  <si>
    <t>LX BOQUILLA INTERNA PUNTA PISTOLA MOUSSE</t>
  </si>
  <si>
    <t>REP-0500</t>
  </si>
  <si>
    <t xml:space="preserve"> 504958</t>
  </si>
  <si>
    <t>LX PUNTA PISTOLA DE MOUSSE</t>
  </si>
  <si>
    <t>REP-0501</t>
  </si>
  <si>
    <t xml:space="preserve"> 504959</t>
  </si>
  <si>
    <t xml:space="preserve">LX MANGUERA ENTRADA EV ALTA PRESIÓN </t>
  </si>
  <si>
    <t>REP-0503</t>
  </si>
  <si>
    <t xml:space="preserve"> 504960</t>
  </si>
  <si>
    <t>LX FUSIBLE PLACA DE ASPIRADO</t>
  </si>
  <si>
    <t>REP-0504</t>
  </si>
  <si>
    <t xml:space="preserve"> 504961</t>
  </si>
  <si>
    <t xml:space="preserve">LX ORING PEQUEÑO EV ALTA PRESIÓN </t>
  </si>
  <si>
    <t>REP-0505</t>
  </si>
  <si>
    <t xml:space="preserve"> 504962</t>
  </si>
  <si>
    <t>LX CUERPO CEPILLO (LAVA INTERIOR)</t>
  </si>
  <si>
    <t>REP-0506</t>
  </si>
  <si>
    <t xml:space="preserve"> 504963</t>
  </si>
  <si>
    <t>LX LANZA+PISTOLA CORTA+ACOPLE 3/8</t>
  </si>
  <si>
    <t>REP-0508</t>
  </si>
  <si>
    <t xml:space="preserve"> 504964</t>
  </si>
  <si>
    <t>LX BOQUILLA DRY LAVAINTERIOR ALTERNATIVA</t>
  </si>
  <si>
    <t>REP-0509</t>
  </si>
  <si>
    <t>REPUESTOS DADOS DE BAJA</t>
  </si>
  <si>
    <t>REP-0511</t>
  </si>
  <si>
    <t>REP-0512</t>
  </si>
  <si>
    <t>REP-0513</t>
  </si>
  <si>
    <t>REP-0514</t>
  </si>
  <si>
    <t>REP-0515</t>
  </si>
  <si>
    <t>REP-0517</t>
  </si>
  <si>
    <t>REP-0518</t>
  </si>
  <si>
    <t>REP-0519</t>
  </si>
  <si>
    <t>REP-0521</t>
  </si>
  <si>
    <t>REP-0522</t>
  </si>
  <si>
    <t>REP-0524</t>
  </si>
  <si>
    <t>REP-0531</t>
  </si>
  <si>
    <t>REP-0532</t>
  </si>
  <si>
    <t>REP-0533</t>
  </si>
  <si>
    <t>REP-0534</t>
  </si>
  <si>
    <t>REP-0535</t>
  </si>
  <si>
    <t>REP-0536</t>
  </si>
  <si>
    <t>REP-0537</t>
  </si>
  <si>
    <t>REP-0538</t>
  </si>
  <si>
    <t>REP-0539</t>
  </si>
  <si>
    <t>REP-0540</t>
  </si>
  <si>
    <t>REP-0541</t>
  </si>
  <si>
    <t>REP-0545</t>
  </si>
  <si>
    <t>REP-0546</t>
  </si>
  <si>
    <t>REP-0552</t>
  </si>
  <si>
    <t>REP-0553</t>
  </si>
  <si>
    <t>REP-0556</t>
  </si>
  <si>
    <t>REP-0563</t>
  </si>
  <si>
    <t>REPUESTOS NUEVOS A AGREGAR</t>
  </si>
  <si>
    <t>REP-0509 Boquilla dry lavainterior alternativa</t>
  </si>
  <si>
    <t>REP-0511 Bipass cabezal 1"</t>
  </si>
  <si>
    <t>REP-0512 Canastillo cabezal con oring</t>
  </si>
  <si>
    <t>REP-0513 Rele finder zocalo (kit mousse eco)</t>
  </si>
  <si>
    <t>REP-0514 Bouilla pistola mousse st-75 05 (kit mousse eco)</t>
  </si>
  <si>
    <t>REP-0515 Pasador punta pistola de mousse</t>
  </si>
  <si>
    <t>REP-0517 Rele ultradelgado 24v</t>
  </si>
  <si>
    <t>REP-0518 Tubo inoxidable mango de lanza AP</t>
  </si>
  <si>
    <t>REP-0519 Tapa interior lavainterior</t>
  </si>
  <si>
    <t>REP-0521 Gatillo pistola perdente celeste</t>
  </si>
  <si>
    <t>REP-0522 Codo 3/8 HIHI</t>
  </si>
  <si>
    <t>REP-0524 Codo 3/8 HE 1/4HI bronce</t>
  </si>
  <si>
    <t>REP-0531 Guia asta mself</t>
  </si>
  <si>
    <t>REP-0532 Asta mself</t>
  </si>
  <si>
    <t>REP-0533 Union central mself</t>
  </si>
  <si>
    <t>REP-0534 Boquilla recta de laton 1/2</t>
  </si>
  <si>
    <t>REP-0535 Valvula 3/4 recta</t>
  </si>
  <si>
    <t>REP-0536 Boquilla cromada recta 3/4</t>
  </si>
  <si>
    <t>REP-0537 Manguea roja 4.7 metros</t>
  </si>
  <si>
    <t>REP-0538 Bisagra de aspirado</t>
  </si>
  <si>
    <t>REP-0539 Marco negro de puerta de aspirado</t>
  </si>
  <si>
    <t>REP-0540 Asta superior e inferior aspirado</t>
  </si>
  <si>
    <t>REP-0541 Stiker parada emergencia aspirado</t>
  </si>
  <si>
    <t>REP-0545 Valvula pulsar bypass incluido</t>
  </si>
  <si>
    <t>REP-0546 Niple recto 3/8 3/8 bronce</t>
  </si>
  <si>
    <t>REP-0552 Numeral (nacional)</t>
  </si>
  <si>
    <t>REP-0553 Tee 3/8 HE x 3/8 HE x 3/8 HI</t>
  </si>
  <si>
    <t>REP-0556 Reduccion 1/2x3/8</t>
  </si>
  <si>
    <t>REP-0563 Controlador de agua</t>
  </si>
  <si>
    <t>PRECIO 1S 2026</t>
  </si>
  <si>
    <t>PRECIO NUEVO 2S 2026</t>
  </si>
  <si>
    <t>REP-0643</t>
  </si>
  <si>
    <t>REP-0644</t>
  </si>
  <si>
    <t>REP-0645</t>
  </si>
  <si>
    <t>REP-0648</t>
  </si>
  <si>
    <t>REP-0649</t>
  </si>
  <si>
    <t>REP-0643 Borde amarillo de seguridad</t>
  </si>
  <si>
    <t>REP-0644 Estanque de resina para ablandador</t>
  </si>
  <si>
    <t>REP-0645 Display Touch EX 205 MSELF</t>
  </si>
  <si>
    <t>REP-0648 Tapa visor cámara de producto multifunción</t>
  </si>
  <si>
    <t>REP-0649 Sello para aspirado multifunción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</si>
</sst>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0" borderId="0" xfId="0" applyFont="1"/>
    <xf numFmtId="164" fontId="4" fillId="0" borderId="0" xfId="1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3" borderId="0" xfId="0" applyFill="1"/>
    <xf numFmtId="0" fontId="2" fillId="3" borderId="0" xfId="0" applyFont="1" applyFill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10" fontId="0" fillId="0" borderId="0" xfId="2" applyNumberFormat="1" applyFont="1"/>
    <xf numFmtId="10" fontId="6" fillId="0" borderId="0" xfId="2" applyNumberFormat="1" applyFont="1"/>
    <xf numFmtId="0" fontId="2" fillId="4" borderId="0" xfId="0" applyFont="1" applyFill="1"/>
    <xf numFmtId="0" fontId="0" fillId="4" borderId="0" xfId="0" applyFill="1"/>
    <xf numFmtId="164" fontId="5" fillId="0" borderId="0" xfId="1" applyFont="1" applyAlignment="1">
      <alignment horizontal="center"/>
    </xf>
    <xf numFmtId="0" fontId="5" fillId="0" borderId="0" xfId="1" applyNumberFormat="1" applyFont="1" applyAlignment="1">
      <alignment horizontal="center"/>
    </xf>
    <xf numFmtId="164" fontId="4" fillId="0" borderId="0" xfId="0" applyNumberFormat="1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COBROS\LIQ%202026\LIQ%202026-06\2026-06%20REP.xlsx" TargetMode="External"/><Relationship Id="rId1" Type="http://schemas.openxmlformats.org/officeDocument/2006/relationships/externalLinkPath" Target="file:///G:\Unidades%20compartidas\ABASTECIMIENTO%20Y%20LOGISTICA\COBROS\LIQ%202026\LIQ%202026-06\2026-06%20RE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6-07-10%20Lista%20de%20Precios%20Vigente%20Segundo%20Semestre%202026.xlsx" TargetMode="External"/><Relationship Id="rId2" Type="http://schemas.openxmlformats.org/officeDocument/2006/relationships/externalLinkPath" Target="file:///C:\Users\jgavi\Downloads\2026-07-10%20Lista%20de%20Precios%20Vigente%20Segundo%20Semestre%202026.xlsx" TargetMode="External"/><Relationship Id="rId1" Type="http://schemas.openxmlformats.org/officeDocument/2006/relationships/externalLinkPath" Target="/Users/jgavi/Downloads/2026-07-10%20Lista%20de%20Precios%20Vigente%20Segundo%20Semestre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BASTECIMIENTO%20Y%20LOGISTICA\PRECIOS\LISTAS%20OFICIALES\2026-01-09%20Lista%20de%20Precios%20Vigente%20Primer%20Semestre%202026.xlsx" TargetMode="External"/><Relationship Id="rId1" Type="http://schemas.openxmlformats.org/officeDocument/2006/relationships/externalLinkPath" Target="file:///G:\Unidades%20compartidas\ABASTECIMIENTO%20Y%20LOGISTICA\PRECIOS\LISTAS%20OFICIALES\2026-01-09%20Lista%20de%20Precios%20Vigente%20Primer%20Semest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W1" t="str">
            <v>REP</v>
          </cell>
          <cell r="X1" t="str">
            <v>COD</v>
          </cell>
          <cell r="Y1" t="str">
            <v>DESCRIPCIÓN</v>
          </cell>
          <cell r="Z1" t="str">
            <v>HABILITADO</v>
          </cell>
        </row>
        <row r="2">
          <cell r="W2" t="str">
            <v>INS-0001</v>
          </cell>
          <cell r="X2" t="str">
            <v>09.01.642</v>
          </cell>
          <cell r="Y2" t="str">
            <v xml:space="preserve">Shampoo ev14 (22 kg) </v>
          </cell>
          <cell r="Z2" t="str">
            <v>Si</v>
          </cell>
        </row>
        <row r="3">
          <cell r="W3" t="str">
            <v>INS-0002</v>
          </cell>
          <cell r="X3" t="str">
            <v>09.01.642C</v>
          </cell>
          <cell r="Y3" t="str">
            <v>Shampoo ev14 COPEC (22kgs)</v>
          </cell>
          <cell r="Z3" t="str">
            <v>No</v>
          </cell>
        </row>
        <row r="4">
          <cell r="W4" t="str">
            <v>INS-0003</v>
          </cell>
          <cell r="X4" t="str">
            <v>35.00.008</v>
          </cell>
          <cell r="Y4" t="str">
            <v>Shampoo ev8 (22kg)</v>
          </cell>
          <cell r="Z4" t="str">
            <v>No</v>
          </cell>
        </row>
        <row r="5">
          <cell r="W5" t="str">
            <v>INS-0004</v>
          </cell>
          <cell r="X5" t="str">
            <v>35.00.008C</v>
          </cell>
          <cell r="Y5" t="str">
            <v>shampoo ev8 COPEC (22kgs)</v>
          </cell>
          <cell r="Z5" t="str">
            <v>No</v>
          </cell>
        </row>
        <row r="6">
          <cell r="W6" t="str">
            <v>INS-0006</v>
          </cell>
          <cell r="X6" t="str">
            <v>09.01.793</v>
          </cell>
          <cell r="Y6" t="str">
            <v>Abrillantador de gomas</v>
          </cell>
          <cell r="Z6" t="str">
            <v>Si</v>
          </cell>
        </row>
        <row r="7">
          <cell r="W7" t="str">
            <v>INS-0007</v>
          </cell>
          <cell r="X7" t="str">
            <v>09.01.794</v>
          </cell>
          <cell r="Y7" t="str">
            <v>Perfume flowey fresh 12L DESCATALOGADO</v>
          </cell>
          <cell r="Z7" t="str">
            <v>No</v>
          </cell>
        </row>
        <row r="8">
          <cell r="W8" t="str">
            <v>INS-0008</v>
          </cell>
          <cell r="X8" t="str">
            <v>09.01.794A</v>
          </cell>
          <cell r="Y8" t="str">
            <v>Perfume flowey fresh 5lt</v>
          </cell>
          <cell r="Z8" t="str">
            <v>No</v>
          </cell>
        </row>
        <row r="9">
          <cell r="W9" t="str">
            <v>INS-0009</v>
          </cell>
          <cell r="X9" t="str">
            <v>09.00.583</v>
          </cell>
          <cell r="Y9" t="str">
            <v>Rollo de 500 paños politex (5kg)</v>
          </cell>
          <cell r="Z9" t="str">
            <v>Si</v>
          </cell>
        </row>
        <row r="10">
          <cell r="W10" t="str">
            <v>INS-0010</v>
          </cell>
          <cell r="X10" t="str">
            <v>I-01</v>
          </cell>
          <cell r="Y10" t="str">
            <v>Renovador de gomas nacional</v>
          </cell>
          <cell r="Z10" t="str">
            <v>No</v>
          </cell>
        </row>
        <row r="11">
          <cell r="W11" t="str">
            <v>INS-0011</v>
          </cell>
          <cell r="X11" t="str">
            <v>09.01.401C</v>
          </cell>
          <cell r="Y11" t="str">
            <v>Espuma activa super EV17 COPEC (20 litros)</v>
          </cell>
          <cell r="Z11" t="str">
            <v>No</v>
          </cell>
        </row>
        <row r="12">
          <cell r="W12" t="str">
            <v>INS-0012</v>
          </cell>
          <cell r="X12" t="str">
            <v>35.00.007</v>
          </cell>
          <cell r="Y12" t="str">
            <v>Cera base (20 lt)</v>
          </cell>
          <cell r="Z12" t="str">
            <v>No</v>
          </cell>
        </row>
        <row r="13">
          <cell r="W13" t="str">
            <v>INS-0013</v>
          </cell>
          <cell r="X13" t="str">
            <v>35.00.007C</v>
          </cell>
          <cell r="Y13" t="str">
            <v>Cera base E30 COPEC (20lt)</v>
          </cell>
          <cell r="Z13" t="str">
            <v>No</v>
          </cell>
        </row>
        <row r="14">
          <cell r="W14" t="str">
            <v>INS-0015</v>
          </cell>
          <cell r="X14" t="str">
            <v>09.01.322</v>
          </cell>
          <cell r="Y14" t="str">
            <v>Lavallantas r7 (22KG)</v>
          </cell>
          <cell r="Z14" t="str">
            <v>No</v>
          </cell>
        </row>
        <row r="15">
          <cell r="W15" t="str">
            <v>INS-0016</v>
          </cell>
          <cell r="X15" t="str">
            <v>09.01.322C</v>
          </cell>
          <cell r="Y15" t="str">
            <v>Lavallantas R7 COPEC (22 Kgs)</v>
          </cell>
          <cell r="Z15" t="str">
            <v>No</v>
          </cell>
        </row>
        <row r="16">
          <cell r="W16" t="str">
            <v>INS-0017</v>
          </cell>
          <cell r="X16" t="str">
            <v>09.01.401</v>
          </cell>
          <cell r="Y16" t="str">
            <v>Espuma activa super ev17 (22KG)</v>
          </cell>
          <cell r="Z16" t="str">
            <v>No</v>
          </cell>
        </row>
        <row r="17">
          <cell r="W17" t="str">
            <v>INS-0018</v>
          </cell>
          <cell r="X17" t="str">
            <v/>
          </cell>
          <cell r="Y17" t="str">
            <v>Sanitizante Decutec Concentrado 1 Lt.</v>
          </cell>
          <cell r="Z17" t="str">
            <v>No</v>
          </cell>
        </row>
        <row r="18">
          <cell r="W18" t="str">
            <v>INS-0019</v>
          </cell>
          <cell r="X18" t="str">
            <v>(INS-0019)</v>
          </cell>
          <cell r="Y18" t="str">
            <v>Cera optimum hidrofugante para Copec - D 20Kg</v>
          </cell>
          <cell r="Z18" t="str">
            <v>No</v>
          </cell>
        </row>
        <row r="19">
          <cell r="W19" t="str">
            <v>INS-0020</v>
          </cell>
          <cell r="X19" t="str">
            <v>INS-0020</v>
          </cell>
          <cell r="Y19" t="str">
            <v xml:space="preserve"> CERA QUIMILAB  OPTIMUM HIDROFUGANTE 20KG</v>
          </cell>
          <cell r="Z19" t="str">
            <v>No</v>
          </cell>
        </row>
        <row r="20">
          <cell r="W20" t="str">
            <v>INS-0021</v>
          </cell>
          <cell r="X20" t="str">
            <v>INS-0021</v>
          </cell>
          <cell r="Y20" t="str">
            <v>Shampoo Quimilab 22 kilos bidón Azul Copec</v>
          </cell>
          <cell r="Z20" t="str">
            <v>No</v>
          </cell>
        </row>
        <row r="21">
          <cell r="W21" t="str">
            <v>INS-0022</v>
          </cell>
          <cell r="X21" t="str">
            <v>INS-0022</v>
          </cell>
          <cell r="Y21" t="str">
            <v xml:space="preserve">Shampoo quimilab 22 kilos bidón azul </v>
          </cell>
          <cell r="Z21" t="str">
            <v>No</v>
          </cell>
        </row>
        <row r="22">
          <cell r="W22" t="str">
            <v>INS-0023</v>
          </cell>
          <cell r="X22" t="str">
            <v>09.03.168</v>
          </cell>
          <cell r="Y22" t="str">
            <v>Shampoo EV47 (22 kg) MIX</v>
          </cell>
          <cell r="Z22" t="str">
            <v>No</v>
          </cell>
        </row>
        <row r="23">
          <cell r="W23" t="str">
            <v>INS-0024</v>
          </cell>
          <cell r="X23" t="str">
            <v>09.03.167</v>
          </cell>
          <cell r="Y23" t="str">
            <v>Cera E48 (20lt) mix</v>
          </cell>
          <cell r="Z23" t="str">
            <v>No</v>
          </cell>
        </row>
        <row r="24">
          <cell r="W24" t="str">
            <v>INS-0025</v>
          </cell>
          <cell r="X24" t="str">
            <v/>
          </cell>
          <cell r="Y24" t="str">
            <v>LAVALLANTAS OCCIMIANO 27L R</v>
          </cell>
          <cell r="Z24" t="str">
            <v>No</v>
          </cell>
        </row>
        <row r="25">
          <cell r="W25" t="str">
            <v>INS-0026</v>
          </cell>
          <cell r="X25" t="str">
            <v>09.03.169</v>
          </cell>
          <cell r="Y25" t="str">
            <v xml:space="preserve"> ( Shampoo tapiz) textil cleaner I1-5</v>
          </cell>
          <cell r="Z25" t="str">
            <v>Si</v>
          </cell>
        </row>
        <row r="26">
          <cell r="W26" t="str">
            <v>INS-0027</v>
          </cell>
          <cell r="X26" t="str">
            <v>09.03.170</v>
          </cell>
          <cell r="Y26" t="str">
            <v xml:space="preserve"> ( Renovador de tableros) cockpit cleaner c4-5</v>
          </cell>
          <cell r="Z26" t="str">
            <v>No</v>
          </cell>
        </row>
        <row r="27">
          <cell r="W27" t="str">
            <v>INS-0028</v>
          </cell>
          <cell r="X27" t="str">
            <v>09.03.167</v>
          </cell>
          <cell r="Y27" t="str">
            <v>CERA E48 CAR PROTECT ( BIDONES 22KG)</v>
          </cell>
          <cell r="Z27" t="str">
            <v>No</v>
          </cell>
        </row>
        <row r="28">
          <cell r="W28" t="str">
            <v>INS-0029</v>
          </cell>
          <cell r="X28" t="str">
            <v/>
          </cell>
          <cell r="Y28" t="str">
            <v>Renovador de tableros alt.</v>
          </cell>
          <cell r="Z28" t="str">
            <v>No</v>
          </cell>
        </row>
        <row r="29">
          <cell r="W29" t="str">
            <v>INS-0030</v>
          </cell>
          <cell r="X29" t="str">
            <v/>
          </cell>
          <cell r="Y29" t="str">
            <v>Perfume citrico alt.</v>
          </cell>
          <cell r="Z29" t="str">
            <v>Si</v>
          </cell>
        </row>
        <row r="30">
          <cell r="W30" t="str">
            <v>INS-0031</v>
          </cell>
          <cell r="X30" t="str">
            <v/>
          </cell>
          <cell r="Y30" t="str">
            <v>Lavatapiz A.</v>
          </cell>
          <cell r="Z30" t="str">
            <v>No</v>
          </cell>
        </row>
        <row r="31">
          <cell r="W31" t="str">
            <v>INS-0032</v>
          </cell>
          <cell r="X31" t="str">
            <v/>
          </cell>
          <cell r="Y31" t="str">
            <v>R8 Lavallantas  5 litros</v>
          </cell>
          <cell r="Z31" t="str">
            <v>Si</v>
          </cell>
        </row>
        <row r="32">
          <cell r="W32" t="str">
            <v>INS-0033</v>
          </cell>
          <cell r="X32" t="str">
            <v/>
          </cell>
          <cell r="Y32" t="str">
            <v>X5 Process traffic hp 25 litros</v>
          </cell>
          <cell r="Z32" t="str">
            <v>Si</v>
          </cell>
        </row>
        <row r="33">
          <cell r="W33" t="str">
            <v>INS-0034</v>
          </cell>
          <cell r="X33" t="str">
            <v/>
          </cell>
          <cell r="Y33" t="str">
            <v xml:space="preserve">X8 Process pre wash 25 litros </v>
          </cell>
          <cell r="Z33" t="str">
            <v>Si</v>
          </cell>
        </row>
        <row r="34">
          <cell r="W34" t="str">
            <v>INS-0035</v>
          </cell>
          <cell r="X34" t="str">
            <v/>
          </cell>
          <cell r="Y34" t="str">
            <v xml:space="preserve">X46 Coatinium 25 litros </v>
          </cell>
          <cell r="Z34" t="str">
            <v>Si</v>
          </cell>
        </row>
        <row r="35">
          <cell r="W35" t="str">
            <v>INS-0036</v>
          </cell>
          <cell r="X35" t="str">
            <v/>
          </cell>
          <cell r="Y35" t="str">
            <v xml:space="preserve">Ev11-25 brillant wax </v>
          </cell>
          <cell r="Z35" t="str">
            <v>Si</v>
          </cell>
        </row>
        <row r="36">
          <cell r="W36" t="str">
            <v>INS-0037</v>
          </cell>
          <cell r="X36" t="str">
            <v>EV32</v>
          </cell>
          <cell r="Y36" t="str">
            <v>Espuma EV32 bidón 25 litros</v>
          </cell>
          <cell r="Z36" t="str">
            <v>Si</v>
          </cell>
        </row>
        <row r="37">
          <cell r="W37" t="str">
            <v>INS-0038</v>
          </cell>
          <cell r="X37" t="str">
            <v>EV0001</v>
          </cell>
          <cell r="Y37" t="str">
            <v>Shampoo ev14 (27 kg)</v>
          </cell>
          <cell r="Z37" t="str">
            <v>Si</v>
          </cell>
        </row>
        <row r="38">
          <cell r="W38" t="str">
            <v>INS-0039</v>
          </cell>
          <cell r="X38" t="str">
            <v>R7</v>
          </cell>
          <cell r="Y38" t="str">
            <v>Lavallantas r7 (27 KG)</v>
          </cell>
          <cell r="Z38" t="str">
            <v>Si</v>
          </cell>
        </row>
        <row r="39">
          <cell r="W39" t="str">
            <v>REP-0001</v>
          </cell>
          <cell r="X39" t="str">
            <v>00.01.039</v>
          </cell>
          <cell r="Y39" t="str">
            <v>Lanza con pistola perdente larga</v>
          </cell>
          <cell r="Z39" t="str">
            <v>Si</v>
          </cell>
        </row>
        <row r="40">
          <cell r="W40" t="str">
            <v>REP-0002</v>
          </cell>
          <cell r="X40" t="str">
            <v>00.01.042BLU</v>
          </cell>
          <cell r="Y40" t="str">
            <v>Manguera azul 3,5m</v>
          </cell>
          <cell r="Z40" t="str">
            <v>No</v>
          </cell>
        </row>
        <row r="41">
          <cell r="W41" t="str">
            <v>REP-0003</v>
          </cell>
          <cell r="X41" t="str">
            <v>00.01.043BLU</v>
          </cell>
          <cell r="Y41" t="str">
            <v xml:space="preserve">Manguera 4,8m blu AP </v>
          </cell>
          <cell r="Z41" t="str">
            <v>No</v>
          </cell>
        </row>
        <row r="42">
          <cell r="W42" t="str">
            <v>REP-0004</v>
          </cell>
          <cell r="X42" t="str">
            <v>00.01.044BLU</v>
          </cell>
          <cell r="Y42" t="str">
            <v>Manguera azul 4,0m con terminación MIX AP</v>
          </cell>
          <cell r="Z42" t="str">
            <v>No</v>
          </cell>
        </row>
        <row r="43">
          <cell r="W43" t="str">
            <v>REP-0005</v>
          </cell>
          <cell r="X43" t="str">
            <v>00.01.116BLU</v>
          </cell>
          <cell r="Y43" t="str">
            <v>Manguera 4,8m BLU baja presión</v>
          </cell>
          <cell r="Z43" t="str">
            <v>No</v>
          </cell>
        </row>
        <row r="44">
          <cell r="W44" t="str">
            <v>REP-0006</v>
          </cell>
          <cell r="X44" t="str">
            <v>00.01.117BLU</v>
          </cell>
          <cell r="Y44" t="str">
            <v>Manguera azul 4,0m con terminación  MIX baja presión</v>
          </cell>
          <cell r="Z44" t="str">
            <v>No</v>
          </cell>
        </row>
        <row r="45">
          <cell r="W45" t="str">
            <v>REP-0007</v>
          </cell>
          <cell r="X45" t="str">
            <v>09.03.092BLU</v>
          </cell>
          <cell r="Y45" t="str">
            <v>Manguera 4,0 mts color azul</v>
          </cell>
          <cell r="Z45" t="str">
            <v>Si</v>
          </cell>
        </row>
        <row r="46">
          <cell r="W46" t="str">
            <v>REP-0008</v>
          </cell>
          <cell r="X46" t="str">
            <v>09.03.059BLU</v>
          </cell>
          <cell r="Y46" t="str">
            <v>Manguera 3,5 mts color azul</v>
          </cell>
          <cell r="Z46" t="str">
            <v>Si</v>
          </cell>
        </row>
        <row r="47">
          <cell r="W47" t="str">
            <v>REP-0009</v>
          </cell>
          <cell r="X47" t="str">
            <v>09.03.060BLU</v>
          </cell>
          <cell r="Y47" t="str">
            <v>Manguera 4,7 mts color azul</v>
          </cell>
          <cell r="Z47" t="str">
            <v>Si</v>
          </cell>
        </row>
        <row r="48">
          <cell r="W48" t="str">
            <v>REP-0010</v>
          </cell>
          <cell r="X48" t="str">
            <v>09.00.030</v>
          </cell>
          <cell r="Y48" t="str">
            <v>Niple recto bronce con PVC</v>
          </cell>
          <cell r="Z48" t="str">
            <v>Si</v>
          </cell>
        </row>
        <row r="49">
          <cell r="W49" t="str">
            <v>REP-0011</v>
          </cell>
          <cell r="X49" t="str">
            <v>09.00.032</v>
          </cell>
          <cell r="Y49" t="str">
            <v>Tee he 1/4 salida Cat</v>
          </cell>
          <cell r="Z49" t="str">
            <v>Si</v>
          </cell>
        </row>
        <row r="50">
          <cell r="W50" t="str">
            <v>REP-0012</v>
          </cell>
          <cell r="X50" t="str">
            <v>09.00.034</v>
          </cell>
          <cell r="Y50" t="str">
            <v>Codo PVC bronce 1/2</v>
          </cell>
          <cell r="Z50" t="str">
            <v>Si</v>
          </cell>
        </row>
        <row r="51">
          <cell r="W51" t="str">
            <v>REP-0013</v>
          </cell>
          <cell r="X51" t="str">
            <v>09.00.061</v>
          </cell>
          <cell r="Y51" t="str">
            <v>Tubo PVC accoron</v>
          </cell>
          <cell r="Z51" t="str">
            <v>Si</v>
          </cell>
        </row>
        <row r="52">
          <cell r="W52" t="str">
            <v>REP-0014</v>
          </cell>
          <cell r="X52" t="str">
            <v>09.00.208</v>
          </cell>
          <cell r="Y52" t="str">
            <v>Lanza cepillo 1200 mm</v>
          </cell>
          <cell r="Z52" t="str">
            <v>Si</v>
          </cell>
        </row>
        <row r="53">
          <cell r="W53" t="str">
            <v>REP-0015</v>
          </cell>
          <cell r="X53" t="str">
            <v>09.00.275</v>
          </cell>
          <cell r="Y53" t="str">
            <v>Bomba de osmosis</v>
          </cell>
          <cell r="Z53" t="str">
            <v>Si</v>
          </cell>
        </row>
        <row r="54">
          <cell r="W54" t="str">
            <v>REP-0016</v>
          </cell>
          <cell r="X54" t="str">
            <v>09.00.285</v>
          </cell>
          <cell r="Y54" t="str">
            <v>Golilla 1/2</v>
          </cell>
          <cell r="Z54" t="str">
            <v>Si</v>
          </cell>
        </row>
        <row r="55">
          <cell r="W55" t="str">
            <v>REP-0017</v>
          </cell>
          <cell r="X55" t="str">
            <v>09.00.321</v>
          </cell>
          <cell r="Y55" t="str">
            <v>Junta bomba de osmosis</v>
          </cell>
          <cell r="Z55" t="str">
            <v>Si</v>
          </cell>
        </row>
        <row r="56">
          <cell r="W56" t="str">
            <v>REP-0018</v>
          </cell>
          <cell r="X56" t="str">
            <v>09.00.412</v>
          </cell>
          <cell r="Y56" t="str">
            <v>Manguera succion producto</v>
          </cell>
          <cell r="Z56" t="str">
            <v>Si</v>
          </cell>
        </row>
        <row r="57">
          <cell r="W57" t="str">
            <v>REP-0019</v>
          </cell>
          <cell r="X57" t="str">
            <v>09.00.437</v>
          </cell>
          <cell r="Y57" t="str">
            <v>Golilla 3/8</v>
          </cell>
          <cell r="Z57" t="str">
            <v>Si</v>
          </cell>
        </row>
        <row r="58">
          <cell r="W58" t="str">
            <v>REP-0020</v>
          </cell>
          <cell r="X58" t="str">
            <v>09.00.441</v>
          </cell>
          <cell r="Y58" t="str">
            <v>Bomba 3CP 1140 CAT</v>
          </cell>
          <cell r="Z58" t="str">
            <v>Si</v>
          </cell>
        </row>
        <row r="59">
          <cell r="W59" t="str">
            <v>REP-0021</v>
          </cell>
          <cell r="X59" t="str">
            <v>09.00.442</v>
          </cell>
          <cell r="Y59" t="str">
            <v>EV Burkert 287 1/2</v>
          </cell>
          <cell r="Z59" t="str">
            <v>Si</v>
          </cell>
        </row>
        <row r="60">
          <cell r="W60" t="str">
            <v>REP-0022</v>
          </cell>
          <cell r="X60" t="str">
            <v>09.00.443</v>
          </cell>
          <cell r="Y60" t="str">
            <v>Inyector Burket</v>
          </cell>
          <cell r="Z60" t="str">
            <v>Si</v>
          </cell>
        </row>
        <row r="61">
          <cell r="W61" t="str">
            <v>REP-0023</v>
          </cell>
          <cell r="X61" t="str">
            <v>09.00.486</v>
          </cell>
          <cell r="Y61" t="str">
            <v>Bomba dosificadora de shampoo</v>
          </cell>
          <cell r="Z61" t="str">
            <v>Si</v>
          </cell>
        </row>
        <row r="62">
          <cell r="W62" t="str">
            <v>REP-0024</v>
          </cell>
          <cell r="X62" t="str">
            <v>09.00.487</v>
          </cell>
          <cell r="Y62" t="str">
            <v>Bomba dosificadora de  cera</v>
          </cell>
          <cell r="Z62" t="str">
            <v>Si</v>
          </cell>
        </row>
        <row r="63">
          <cell r="W63" t="str">
            <v>REP-0025</v>
          </cell>
          <cell r="X63" t="str">
            <v>09.00.629</v>
          </cell>
          <cell r="Y63" t="str">
            <v>Tuerca inox para cubre fichero</v>
          </cell>
          <cell r="Z63" t="str">
            <v>Si</v>
          </cell>
        </row>
        <row r="64">
          <cell r="W64" t="str">
            <v>REP-0026</v>
          </cell>
          <cell r="X64" t="str">
            <v>09.00.631</v>
          </cell>
          <cell r="Y64" t="str">
            <v>Tornillo cubrefichero</v>
          </cell>
          <cell r="Z64" t="str">
            <v>Si</v>
          </cell>
        </row>
        <row r="65">
          <cell r="W65" t="str">
            <v>REP-0027</v>
          </cell>
          <cell r="X65" t="str">
            <v>09.00.662</v>
          </cell>
          <cell r="Y65" t="str">
            <v>Niple recto 1/2 HEX20</v>
          </cell>
          <cell r="Z65" t="str">
            <v>Si</v>
          </cell>
        </row>
        <row r="66">
          <cell r="W66" t="str">
            <v>REP-0028</v>
          </cell>
          <cell r="X66" t="str">
            <v>09.00.766</v>
          </cell>
          <cell r="Y66" t="str">
            <v>Unión americana 90° 1/2</v>
          </cell>
          <cell r="Z66" t="str">
            <v>Si</v>
          </cell>
        </row>
        <row r="67">
          <cell r="W67" t="str">
            <v>REP-0029</v>
          </cell>
          <cell r="X67" t="str">
            <v>09.00.784</v>
          </cell>
          <cell r="Y67" t="str">
            <v>Display de 3 cifras</v>
          </cell>
          <cell r="Z67" t="str">
            <v>Si</v>
          </cell>
        </row>
        <row r="68">
          <cell r="W68" t="str">
            <v>REP-0030</v>
          </cell>
          <cell r="X68" t="str">
            <v>09.00.815</v>
          </cell>
          <cell r="Y68" t="str">
            <v>Lanza alta presión</v>
          </cell>
          <cell r="Z68" t="str">
            <v>Si</v>
          </cell>
        </row>
        <row r="69">
          <cell r="W69" t="str">
            <v>REP-0031</v>
          </cell>
          <cell r="X69" t="str">
            <v>09.00.827</v>
          </cell>
          <cell r="Y69" t="str">
            <v>Tee inox 1/2 HEHEHI central</v>
          </cell>
          <cell r="Z69" t="str">
            <v>Si</v>
          </cell>
        </row>
        <row r="70">
          <cell r="W70" t="str">
            <v>REP-0032</v>
          </cell>
          <cell r="X70" t="str">
            <v>09.00.961</v>
          </cell>
          <cell r="Y70" t="str">
            <v>Portafichero</v>
          </cell>
          <cell r="Z70" t="str">
            <v>Si</v>
          </cell>
        </row>
        <row r="71">
          <cell r="W71" t="str">
            <v>REP-0033</v>
          </cell>
          <cell r="X71" t="str">
            <v>09.00.984</v>
          </cell>
          <cell r="Y71" t="str">
            <v>Extension EM 223</v>
          </cell>
          <cell r="Z71" t="str">
            <v>Si</v>
          </cell>
        </row>
        <row r="72">
          <cell r="W72" t="str">
            <v>REP-0034</v>
          </cell>
          <cell r="X72" t="str">
            <v>09.00.987</v>
          </cell>
          <cell r="Y72" t="str">
            <v>PLC simatic S7-200</v>
          </cell>
          <cell r="Z72" t="str">
            <v>Si</v>
          </cell>
        </row>
        <row r="73">
          <cell r="W73" t="str">
            <v>REP-0035</v>
          </cell>
          <cell r="X73" t="str">
            <v>09.01.011</v>
          </cell>
          <cell r="Y73" t="str">
            <v>Codo 90° 1/2 HEX20</v>
          </cell>
          <cell r="Z73" t="str">
            <v>Si</v>
          </cell>
        </row>
        <row r="74">
          <cell r="W74" t="str">
            <v>REP-0036</v>
          </cell>
          <cell r="X74" t="str">
            <v>09.01.034</v>
          </cell>
          <cell r="Y74" t="str">
            <v>Motor cat trifásico doble bobinado</v>
          </cell>
          <cell r="Z74" t="str">
            <v>Si</v>
          </cell>
        </row>
        <row r="75">
          <cell r="W75" t="str">
            <v>REP-0037</v>
          </cell>
          <cell r="X75" t="str">
            <v>09.01.064</v>
          </cell>
          <cell r="Y75" t="str">
            <v>Válvula Robex 1/2 entrada mself</v>
          </cell>
          <cell r="Z75" t="str">
            <v>Si</v>
          </cell>
        </row>
        <row r="76">
          <cell r="W76" t="str">
            <v>REP-0038</v>
          </cell>
          <cell r="X76" t="str">
            <v>09.01.065</v>
          </cell>
          <cell r="Y76" t="str">
            <v>Inyector espuma</v>
          </cell>
          <cell r="Z76" t="str">
            <v>Si</v>
          </cell>
        </row>
        <row r="77">
          <cell r="W77" t="str">
            <v>REP-0039</v>
          </cell>
          <cell r="X77" t="str">
            <v>09.01.104</v>
          </cell>
          <cell r="Y77" t="str">
            <v>Tee 1/4 x 6 mm inoxidable</v>
          </cell>
          <cell r="Z77" t="str">
            <v>Si</v>
          </cell>
        </row>
        <row r="78">
          <cell r="W78" t="str">
            <v>REP-0040</v>
          </cell>
          <cell r="X78" t="str">
            <v>09.01.115</v>
          </cell>
          <cell r="Y78" t="str">
            <v>Membrana electroválvula Burkert</v>
          </cell>
          <cell r="Z78" t="str">
            <v>Si</v>
          </cell>
        </row>
        <row r="79">
          <cell r="W79" t="str">
            <v>REP-0041</v>
          </cell>
          <cell r="X79" t="str">
            <v>09.01.159</v>
          </cell>
          <cell r="Y79" t="str">
            <v>Junta giratoria centro MTM 1/4</v>
          </cell>
          <cell r="Z79" t="str">
            <v>Si</v>
          </cell>
        </row>
        <row r="80">
          <cell r="W80" t="str">
            <v>REP-0042</v>
          </cell>
          <cell r="X80" t="str">
            <v>09.01.160</v>
          </cell>
          <cell r="Y80" t="str">
            <v>Junta giratoria extremo MTM 1/4</v>
          </cell>
          <cell r="Z80" t="str">
            <v>Si</v>
          </cell>
        </row>
        <row r="81">
          <cell r="W81" t="str">
            <v>REP-0043</v>
          </cell>
          <cell r="X81" t="str">
            <v>09.01.163</v>
          </cell>
          <cell r="Y81" t="str">
            <v>soporte superior fichero G20</v>
          </cell>
          <cell r="Z81" t="str">
            <v>No</v>
          </cell>
        </row>
        <row r="82">
          <cell r="W82" t="str">
            <v>REP-0044</v>
          </cell>
          <cell r="X82" t="str">
            <v>09.01.168</v>
          </cell>
          <cell r="Y82" t="str">
            <v>Reduccion 3/8 he x 1/4 hi bronce</v>
          </cell>
          <cell r="Z82" t="str">
            <v>Si</v>
          </cell>
        </row>
        <row r="83">
          <cell r="W83" t="str">
            <v>REP-0045</v>
          </cell>
          <cell r="X83" t="str">
            <v>09.01.190</v>
          </cell>
          <cell r="Y83" t="str">
            <v>Pistón kit reparacion EV Burket</v>
          </cell>
          <cell r="Z83" t="str">
            <v>Si</v>
          </cell>
        </row>
        <row r="84">
          <cell r="W84" t="str">
            <v>REP-0046</v>
          </cell>
          <cell r="X84" t="str">
            <v>09.01.198</v>
          </cell>
          <cell r="Y84" t="str">
            <v>Kit válvulas esf aspir/entrega</v>
          </cell>
          <cell r="Z84" t="str">
            <v>Si</v>
          </cell>
        </row>
        <row r="85">
          <cell r="W85" t="str">
            <v>REP-0047</v>
          </cell>
          <cell r="X85" t="str">
            <v>09.01.408</v>
          </cell>
          <cell r="Y85" t="str">
            <v>Cable fichero 1,50 cm</v>
          </cell>
          <cell r="Z85" t="str">
            <v>Si</v>
          </cell>
        </row>
        <row r="86">
          <cell r="W86" t="str">
            <v>REP-0048</v>
          </cell>
          <cell r="X86" t="str">
            <v>09.01.431</v>
          </cell>
          <cell r="Y86" t="str">
            <v>Cerradura nueva Mself</v>
          </cell>
          <cell r="Z86" t="str">
            <v>Si</v>
          </cell>
        </row>
        <row r="87">
          <cell r="W87" t="str">
            <v>REP-0049</v>
          </cell>
          <cell r="X87" t="str">
            <v>09.01.610</v>
          </cell>
          <cell r="Y87" t="str">
            <v>Niple recto PVC 1/4 x 8 mm</v>
          </cell>
          <cell r="Z87" t="str">
            <v>Si</v>
          </cell>
        </row>
        <row r="88">
          <cell r="W88" t="str">
            <v>REP-0050</v>
          </cell>
          <cell r="X88" t="str">
            <v>09.01.613</v>
          </cell>
          <cell r="Y88" t="str">
            <v>Tee PVC 1/4 x 6 mm</v>
          </cell>
          <cell r="Z88" t="str">
            <v>Si</v>
          </cell>
        </row>
        <row r="89">
          <cell r="W89" t="str">
            <v>REP-0051</v>
          </cell>
          <cell r="X89" t="str">
            <v>09.01.643</v>
          </cell>
          <cell r="Y89" t="str">
            <v>Vaso portafiltro Mself</v>
          </cell>
          <cell r="Z89" t="str">
            <v>Si</v>
          </cell>
        </row>
        <row r="90">
          <cell r="W90" t="str">
            <v>REP-0052</v>
          </cell>
          <cell r="X90" t="str">
            <v>09.01.686</v>
          </cell>
          <cell r="Y90" t="str">
            <v>Bisagras centro puerta Mself</v>
          </cell>
          <cell r="Z90" t="str">
            <v>Si</v>
          </cell>
        </row>
        <row r="91">
          <cell r="W91" t="str">
            <v>REP-0053</v>
          </cell>
          <cell r="X91" t="str">
            <v>09.01.701</v>
          </cell>
          <cell r="Y91" t="str">
            <v>Boquilla manguera soplado Twister&amp;Dry</v>
          </cell>
          <cell r="Z91" t="str">
            <v>Si</v>
          </cell>
        </row>
        <row r="92">
          <cell r="W92" t="str">
            <v>REP-0054</v>
          </cell>
          <cell r="X92" t="str">
            <v>09.01.702</v>
          </cell>
          <cell r="Y92" t="str">
            <v>Manguera soplado Twister&amp;Dry</v>
          </cell>
          <cell r="Z92" t="str">
            <v>Si</v>
          </cell>
        </row>
        <row r="93">
          <cell r="W93" t="str">
            <v>REP-0055</v>
          </cell>
          <cell r="X93" t="str">
            <v>09.01.716</v>
          </cell>
          <cell r="Y93" t="str">
            <v>Filtro aspiradora tambor metálico</v>
          </cell>
          <cell r="Z93" t="str">
            <v>Si</v>
          </cell>
        </row>
        <row r="94">
          <cell r="W94" t="str">
            <v>REP-0056</v>
          </cell>
          <cell r="X94" t="str">
            <v>09.01.726</v>
          </cell>
          <cell r="Y94" t="str">
            <v>Cerradura aspiradora Twister &amp; Dry</v>
          </cell>
          <cell r="Z94" t="str">
            <v>Si</v>
          </cell>
        </row>
        <row r="95">
          <cell r="W95" t="str">
            <v>REP-0057</v>
          </cell>
          <cell r="X95" t="str">
            <v>09.01.741</v>
          </cell>
          <cell r="Y95" t="str">
            <v>Bisagras extremos puerta Mself</v>
          </cell>
          <cell r="Z95" t="str">
            <v>Si</v>
          </cell>
        </row>
        <row r="96">
          <cell r="W96" t="str">
            <v>REP-0058</v>
          </cell>
          <cell r="X96" t="str">
            <v>09.01.757</v>
          </cell>
          <cell r="Y96" t="str">
            <v>Adaptador parada de emergencia</v>
          </cell>
          <cell r="Z96" t="str">
            <v>Si</v>
          </cell>
        </row>
        <row r="97">
          <cell r="W97" t="str">
            <v>REP-0059</v>
          </cell>
          <cell r="X97" t="str">
            <v>09.01.816</v>
          </cell>
          <cell r="Y97" t="str">
            <v>Contacto auxiliar NC para parada de emergencia</v>
          </cell>
          <cell r="Z97" t="str">
            <v>Si</v>
          </cell>
        </row>
        <row r="98">
          <cell r="W98" t="str">
            <v>REP-0060</v>
          </cell>
          <cell r="X98" t="str">
            <v>09.01.915</v>
          </cell>
          <cell r="Y98" t="str">
            <v>Parada de emergencia rasante</v>
          </cell>
          <cell r="Z98" t="str">
            <v>Si</v>
          </cell>
        </row>
        <row r="99">
          <cell r="W99" t="str">
            <v>REP-0061</v>
          </cell>
          <cell r="X99" t="str">
            <v>09.01.925</v>
          </cell>
          <cell r="Y99" t="str">
            <v>Indicador luminoso azul</v>
          </cell>
          <cell r="Z99" t="str">
            <v>Si</v>
          </cell>
        </row>
        <row r="100">
          <cell r="W100" t="str">
            <v>REP-0062</v>
          </cell>
          <cell r="X100" t="str">
            <v>09.01.943</v>
          </cell>
          <cell r="Y100" t="str">
            <v>Sensor de nivel de 2 contactos</v>
          </cell>
          <cell r="Z100" t="str">
            <v>Si</v>
          </cell>
        </row>
        <row r="101">
          <cell r="W101" t="str">
            <v>REP-0063</v>
          </cell>
          <cell r="X101" t="str">
            <v>09.01.957</v>
          </cell>
          <cell r="Y101" t="str">
            <v>Placa electronica aspirado</v>
          </cell>
          <cell r="Z101" t="str">
            <v>Si</v>
          </cell>
        </row>
        <row r="102">
          <cell r="W102" t="str">
            <v>REP-0064</v>
          </cell>
          <cell r="X102" t="str">
            <v>09.02.050</v>
          </cell>
          <cell r="Y102" t="str">
            <v>Cepillo MTM</v>
          </cell>
          <cell r="Z102" t="str">
            <v>Si</v>
          </cell>
        </row>
        <row r="103">
          <cell r="W103" t="str">
            <v>REP-0065</v>
          </cell>
          <cell r="X103" t="str">
            <v>09.02.067</v>
          </cell>
          <cell r="Y103" t="str">
            <v>Placa de aspirado Twister&amp;Dry M2 (tambor plástico-2013)</v>
          </cell>
          <cell r="Z103" t="str">
            <v>Si</v>
          </cell>
        </row>
        <row r="104">
          <cell r="W104" t="str">
            <v>REP-0066</v>
          </cell>
          <cell r="X104" t="str">
            <v>09.02.152</v>
          </cell>
          <cell r="Y104" t="str">
            <v>Plc S7-1200 cpu 1214C</v>
          </cell>
          <cell r="Z104" t="str">
            <v>Si</v>
          </cell>
        </row>
        <row r="105">
          <cell r="W105" t="str">
            <v>REP-0067</v>
          </cell>
          <cell r="X105" t="str">
            <v>09.02.174</v>
          </cell>
          <cell r="Y105" t="str">
            <v>Transformador Twister M2</v>
          </cell>
          <cell r="Z105" t="str">
            <v>Si</v>
          </cell>
        </row>
        <row r="106">
          <cell r="W106" t="str">
            <v>REP-0068</v>
          </cell>
          <cell r="X106" t="str">
            <v>09.02.204</v>
          </cell>
          <cell r="Y106" t="str">
            <v>Codo 45° 3/8</v>
          </cell>
          <cell r="Z106" t="str">
            <v>Si</v>
          </cell>
        </row>
        <row r="107">
          <cell r="W107" t="str">
            <v>REP-0069</v>
          </cell>
          <cell r="X107" t="str">
            <v>09.02.537</v>
          </cell>
          <cell r="Y107" t="str">
            <v>Codo 90° 1/4 inoxidable</v>
          </cell>
          <cell r="Z107" t="str">
            <v>Si</v>
          </cell>
        </row>
        <row r="108">
          <cell r="W108" t="str">
            <v>REP-0070</v>
          </cell>
          <cell r="X108" t="str">
            <v>09.02.544</v>
          </cell>
          <cell r="Y108" t="str">
            <v>Motor soplado twister tambor metálico</v>
          </cell>
          <cell r="Z108" t="str">
            <v>Si</v>
          </cell>
        </row>
        <row r="109">
          <cell r="W109" t="str">
            <v>REP-0071</v>
          </cell>
          <cell r="X109" t="str">
            <v>09.02.777</v>
          </cell>
          <cell r="Y109" t="str">
            <v>Manguito tambor aspirado D38</v>
          </cell>
          <cell r="Z109" t="str">
            <v>Si</v>
          </cell>
        </row>
        <row r="110">
          <cell r="W110" t="str">
            <v>REP-0072</v>
          </cell>
          <cell r="X110" t="str">
            <v>09.02.993</v>
          </cell>
          <cell r="Y110" t="str">
            <v>Guarnición tubo aspirado y soplado TW S2</v>
          </cell>
          <cell r="Z110" t="str">
            <v>Si</v>
          </cell>
        </row>
        <row r="111">
          <cell r="W111" t="str">
            <v>REP-0073</v>
          </cell>
          <cell r="X111" t="str">
            <v>10.10.457-CHI</v>
          </cell>
          <cell r="Y111" t="str">
            <v>Manguera negra 9m 1/4</v>
          </cell>
          <cell r="Z111" t="str">
            <v>Si</v>
          </cell>
        </row>
        <row r="112">
          <cell r="W112" t="str">
            <v>REP-0074</v>
          </cell>
          <cell r="X112" t="str">
            <v>23.00.012</v>
          </cell>
          <cell r="Y112" t="str">
            <v>Fusible rápido 5x20 2A</v>
          </cell>
          <cell r="Z112" t="str">
            <v>Si</v>
          </cell>
        </row>
        <row r="113">
          <cell r="W113" t="str">
            <v>REP-0075</v>
          </cell>
          <cell r="X113" t="str">
            <v>23.00.035</v>
          </cell>
          <cell r="Y113" t="str">
            <v>Horometro 24V 55x55mm</v>
          </cell>
          <cell r="Z113" t="str">
            <v>Si</v>
          </cell>
        </row>
        <row r="114">
          <cell r="W114" t="str">
            <v>REP-0076</v>
          </cell>
          <cell r="X114" t="str">
            <v>23.00.461</v>
          </cell>
          <cell r="Y114" t="str">
            <v>Presóstato osmosis KP1</v>
          </cell>
          <cell r="Z114" t="str">
            <v>Si</v>
          </cell>
        </row>
        <row r="115">
          <cell r="W115" t="str">
            <v>REP-0077</v>
          </cell>
          <cell r="X115" t="str">
            <v>24.00.182</v>
          </cell>
          <cell r="Y115" t="str">
            <v>Válvula pulsar</v>
          </cell>
          <cell r="Z115" t="str">
            <v>Si</v>
          </cell>
        </row>
        <row r="116">
          <cell r="W116" t="str">
            <v>REP-0078</v>
          </cell>
          <cell r="X116" t="str">
            <v>26.00.018</v>
          </cell>
          <cell r="Y116" t="str">
            <v>DESCATALOGADO Flexible aspiración D.38</v>
          </cell>
          <cell r="Z116" t="str">
            <v>No</v>
          </cell>
        </row>
        <row r="117">
          <cell r="W117" t="str">
            <v>REP-0079</v>
          </cell>
          <cell r="X117" t="str">
            <v>26.00.019</v>
          </cell>
          <cell r="Y117" t="str">
            <v>DESCATALOGADO Flexible aspiración D.50</v>
          </cell>
          <cell r="Z117" t="str">
            <v>No</v>
          </cell>
        </row>
        <row r="118">
          <cell r="W118" t="str">
            <v>REP-0080</v>
          </cell>
          <cell r="X118" t="str">
            <v>26.00.111</v>
          </cell>
          <cell r="Y118" t="str">
            <v>DESCATALOGADO Manguera de conexión cat con terminal 1</v>
          </cell>
          <cell r="Z118" t="str">
            <v>No</v>
          </cell>
        </row>
        <row r="119">
          <cell r="W119" t="str">
            <v>REP-0081</v>
          </cell>
          <cell r="X119" t="str">
            <v>26.00.112</v>
          </cell>
          <cell r="Y119" t="str">
            <v>Manguera conexión CAT</v>
          </cell>
          <cell r="Z119" t="str">
            <v>Si</v>
          </cell>
        </row>
        <row r="120">
          <cell r="W120" t="str">
            <v>REP-0082</v>
          </cell>
          <cell r="X120" t="str">
            <v>26.00.113</v>
          </cell>
          <cell r="Y120" t="str">
            <v>Manguera de conexión cat con terminal 2</v>
          </cell>
          <cell r="Z120" t="str">
            <v>No</v>
          </cell>
        </row>
        <row r="121">
          <cell r="W121" t="str">
            <v>REP-0083</v>
          </cell>
          <cell r="X121" t="str">
            <v>26.00.114</v>
          </cell>
          <cell r="Y121" t="str">
            <v>Manguera conexión cat con terminal 3</v>
          </cell>
          <cell r="Z121" t="str">
            <v>No</v>
          </cell>
        </row>
        <row r="122">
          <cell r="W122" t="str">
            <v>REP-0084</v>
          </cell>
          <cell r="X122" t="str">
            <v>26.00.115</v>
          </cell>
          <cell r="Y122" t="str">
            <v>Perno distribución racco 1/2</v>
          </cell>
          <cell r="Z122" t="str">
            <v>Si</v>
          </cell>
        </row>
        <row r="123">
          <cell r="W123" t="str">
            <v>REP-0085</v>
          </cell>
          <cell r="X123" t="str">
            <v>27.00.021</v>
          </cell>
          <cell r="Y123" t="str">
            <v>Junta giratoria centro 3/8</v>
          </cell>
          <cell r="Z123" t="str">
            <v>Si</v>
          </cell>
        </row>
        <row r="124">
          <cell r="W124" t="str">
            <v>REP-0086</v>
          </cell>
          <cell r="X124" t="str">
            <v>27.00.022</v>
          </cell>
          <cell r="Y124" t="str">
            <v>Junta giratoria extremo 3/8</v>
          </cell>
          <cell r="Z124" t="str">
            <v>Si</v>
          </cell>
        </row>
        <row r="125">
          <cell r="W125" t="str">
            <v>REP-0087</v>
          </cell>
          <cell r="X125" t="str">
            <v>27.00.024</v>
          </cell>
          <cell r="Y125" t="str">
            <v>Boquilla plana aspiradora</v>
          </cell>
          <cell r="Z125" t="str">
            <v>Si</v>
          </cell>
        </row>
        <row r="126">
          <cell r="W126" t="str">
            <v>REP-0088</v>
          </cell>
          <cell r="X126" t="str">
            <v>29.00.072</v>
          </cell>
          <cell r="Y126" t="str">
            <v>Valvula viton 1/4 inoxidable</v>
          </cell>
          <cell r="Z126" t="str">
            <v>Si</v>
          </cell>
        </row>
        <row r="127">
          <cell r="W127" t="str">
            <v>REP-0089</v>
          </cell>
          <cell r="X127" t="str">
            <v>29.00.114</v>
          </cell>
          <cell r="Y127" t="str">
            <v>Válvula europa bronce 1/2</v>
          </cell>
          <cell r="Z127" t="str">
            <v>Si</v>
          </cell>
        </row>
        <row r="128">
          <cell r="W128" t="str">
            <v>REP-0090</v>
          </cell>
          <cell r="X128" t="str">
            <v>29.00.243</v>
          </cell>
          <cell r="Y128" t="str">
            <v>Reduccion 1/2 he x 1/4 hi inoxidable</v>
          </cell>
          <cell r="Z128" t="str">
            <v>Si</v>
          </cell>
        </row>
        <row r="129">
          <cell r="W129" t="str">
            <v>REP-0091</v>
          </cell>
          <cell r="X129" t="str">
            <v>30.00.008</v>
          </cell>
          <cell r="Y129" t="str">
            <v>Perno distribución 3/8</v>
          </cell>
          <cell r="Z129" t="str">
            <v>Si</v>
          </cell>
        </row>
        <row r="130">
          <cell r="W130" t="str">
            <v>REP-0092</v>
          </cell>
          <cell r="X130" t="str">
            <v>30.00.010</v>
          </cell>
          <cell r="Y130" t="str">
            <v>Perno conector 3/8 CAT</v>
          </cell>
          <cell r="Z130" t="str">
            <v>Si</v>
          </cell>
        </row>
        <row r="131">
          <cell r="W131" t="str">
            <v>REP-0093</v>
          </cell>
          <cell r="X131" t="str">
            <v>30.00.093</v>
          </cell>
          <cell r="Y131" t="str">
            <v>Manguito giratorio D38</v>
          </cell>
          <cell r="Z131" t="str">
            <v>Si</v>
          </cell>
        </row>
        <row r="132">
          <cell r="W132" t="str">
            <v>REP-0094</v>
          </cell>
          <cell r="X132" t="str">
            <v>30.00.115</v>
          </cell>
          <cell r="Y132" t="str">
            <v>Niple hehe 1/2 inoxidable</v>
          </cell>
          <cell r="Z132" t="str">
            <v>Si</v>
          </cell>
        </row>
        <row r="133">
          <cell r="W133" t="str">
            <v>REP-0095</v>
          </cell>
          <cell r="X133" t="str">
            <v>30.00.214</v>
          </cell>
          <cell r="Y133" t="str">
            <v>Tee hihehi 1/2 inoxidable</v>
          </cell>
          <cell r="Z133" t="str">
            <v>Si</v>
          </cell>
        </row>
        <row r="134">
          <cell r="W134" t="str">
            <v>REP-0096</v>
          </cell>
          <cell r="X134" t="str">
            <v>30.00.216</v>
          </cell>
          <cell r="Y134" t="str">
            <v>Codo 1/4 x 6 mm inoxidable</v>
          </cell>
          <cell r="Z134" t="str">
            <v>Si</v>
          </cell>
        </row>
        <row r="135">
          <cell r="W135" t="str">
            <v>REP-0097</v>
          </cell>
          <cell r="X135" t="str">
            <v>31.00.073</v>
          </cell>
          <cell r="Y135" t="str">
            <v>Protector boquilla lanza</v>
          </cell>
          <cell r="Z135" t="str">
            <v>Si</v>
          </cell>
        </row>
        <row r="136">
          <cell r="W136" t="str">
            <v>REP-0098</v>
          </cell>
          <cell r="X136" t="str">
            <v>31.00.075</v>
          </cell>
          <cell r="Y136" t="str">
            <v>Boquilla lanza 1/8</v>
          </cell>
          <cell r="Z136" t="str">
            <v>Si</v>
          </cell>
        </row>
        <row r="137">
          <cell r="W137" t="str">
            <v>REP-0099</v>
          </cell>
          <cell r="X137" t="str">
            <v>34.00.012</v>
          </cell>
          <cell r="Y137" t="str">
            <v>Manometro 0-12 bar</v>
          </cell>
          <cell r="Z137" t="str">
            <v>Si</v>
          </cell>
        </row>
        <row r="138">
          <cell r="W138" t="str">
            <v>REP-0100</v>
          </cell>
          <cell r="X138" t="str">
            <v>09.02.428</v>
          </cell>
          <cell r="Y138" t="str">
            <v xml:space="preserve">Cúpula Azul Mself DESCATALOGADO </v>
          </cell>
          <cell r="Z138" t="str">
            <v>No</v>
          </cell>
        </row>
        <row r="139">
          <cell r="W139" t="str">
            <v>REP-0101</v>
          </cell>
          <cell r="X139" t="str">
            <v>09.02.680</v>
          </cell>
          <cell r="Y139" t="str">
            <v>Caja electrica aspirado Twister&amp;Dry</v>
          </cell>
          <cell r="Z139" t="str">
            <v>Si</v>
          </cell>
        </row>
        <row r="140">
          <cell r="W140" t="str">
            <v>REP-0102</v>
          </cell>
          <cell r="X140" t="str">
            <v>09.02.800</v>
          </cell>
          <cell r="Y140" t="str">
            <v>Lanza mousse ST-75</v>
          </cell>
          <cell r="Z140" t="str">
            <v>Si</v>
          </cell>
        </row>
        <row r="141">
          <cell r="W141" t="str">
            <v>REP-0103</v>
          </cell>
          <cell r="X141" t="str">
            <v>HT-04</v>
          </cell>
          <cell r="Y141" t="str">
            <v>Manómetro seco 0-6 bar</v>
          </cell>
          <cell r="Z141" t="str">
            <v>Si</v>
          </cell>
        </row>
        <row r="142">
          <cell r="W142" t="str">
            <v>REP-0104</v>
          </cell>
          <cell r="X142" t="str">
            <v>09.02.582</v>
          </cell>
          <cell r="Y142" t="str">
            <v>Display 4 cifras</v>
          </cell>
          <cell r="Z142" t="str">
            <v>Si</v>
          </cell>
        </row>
        <row r="143">
          <cell r="W143" t="str">
            <v>REP-0105</v>
          </cell>
          <cell r="X143" t="str">
            <v>09.03.019</v>
          </cell>
          <cell r="Y143" t="str">
            <v>Cable interfaz serial 9/25 para programación ficheros</v>
          </cell>
          <cell r="Z143" t="str">
            <v>Si</v>
          </cell>
        </row>
        <row r="144">
          <cell r="W144" t="str">
            <v>REP-0108</v>
          </cell>
          <cell r="X144" t="str">
            <v>09.01.386</v>
          </cell>
          <cell r="Y144" t="str">
            <v>Fichero RM5 Mself-Taifun</v>
          </cell>
          <cell r="Z144" t="str">
            <v>No</v>
          </cell>
        </row>
        <row r="145">
          <cell r="W145" t="str">
            <v>REP-0109</v>
          </cell>
          <cell r="X145" t="str">
            <v>09.01.605</v>
          </cell>
          <cell r="Y145" t="str">
            <v>Lexan para cubrefichero</v>
          </cell>
          <cell r="Z145" t="str">
            <v>Si</v>
          </cell>
        </row>
        <row r="146">
          <cell r="W146" t="str">
            <v>REP-0110</v>
          </cell>
          <cell r="X146" t="str">
            <v>09.02.184</v>
          </cell>
          <cell r="Y146" t="str">
            <v>Grifo Osmosis 1/2</v>
          </cell>
          <cell r="Z146" t="str">
            <v>Si</v>
          </cell>
        </row>
        <row r="147">
          <cell r="W147" t="str">
            <v>REP-0111</v>
          </cell>
          <cell r="X147" t="str">
            <v>30.00.070</v>
          </cell>
          <cell r="Y147" t="str">
            <v>Niple girante hihe 1/2 galvanizado</v>
          </cell>
          <cell r="Z147" t="str">
            <v>Si</v>
          </cell>
        </row>
        <row r="148">
          <cell r="W148" t="str">
            <v>REP-0112</v>
          </cell>
          <cell r="X148" t="str">
            <v>09.00.033</v>
          </cell>
          <cell r="Y148" t="str">
            <v>Manguera rilsan dura</v>
          </cell>
          <cell r="Z148" t="str">
            <v>Si</v>
          </cell>
        </row>
        <row r="149">
          <cell r="W149" t="str">
            <v>REP-0113</v>
          </cell>
          <cell r="X149" t="str">
            <v>09.01.331</v>
          </cell>
          <cell r="Y149" t="str">
            <v>Pulsador de tacto programas</v>
          </cell>
          <cell r="Z149" t="str">
            <v>Si</v>
          </cell>
        </row>
        <row r="150">
          <cell r="W150" t="str">
            <v>REP-0114</v>
          </cell>
          <cell r="X150" t="str">
            <v>09.01.724</v>
          </cell>
          <cell r="Y150" t="str">
            <v>Sello poliuretano filtro aspirado</v>
          </cell>
          <cell r="Z150" t="str">
            <v>Si</v>
          </cell>
        </row>
        <row r="151">
          <cell r="W151" t="str">
            <v>REP-0115</v>
          </cell>
          <cell r="X151" t="str">
            <v>V-13</v>
          </cell>
          <cell r="Y151" t="str">
            <v>Cable fichero (40 cm)</v>
          </cell>
          <cell r="Z151" t="str">
            <v>Si</v>
          </cell>
        </row>
        <row r="152">
          <cell r="W152" t="str">
            <v>REP-0116</v>
          </cell>
          <cell r="X152" t="str">
            <v>23.00.159</v>
          </cell>
          <cell r="Y152" t="str">
            <v>EV 1/2 L180 Salida filtros</v>
          </cell>
          <cell r="Z152" t="str">
            <v>Si</v>
          </cell>
        </row>
        <row r="153">
          <cell r="W153" t="str">
            <v>REP-0117</v>
          </cell>
          <cell r="X153" t="str">
            <v>09.01.729</v>
          </cell>
          <cell r="Y153" t="str">
            <v>Numeral aspirado cable rojo negro</v>
          </cell>
          <cell r="Z153" t="str">
            <v>Si</v>
          </cell>
        </row>
        <row r="154">
          <cell r="W154" t="str">
            <v>REP-0118</v>
          </cell>
          <cell r="X154" t="str">
            <v>34.00.003</v>
          </cell>
          <cell r="Y154" t="str">
            <v>Manómetro ABS 0-250 bar</v>
          </cell>
          <cell r="Z154" t="str">
            <v>Si</v>
          </cell>
        </row>
        <row r="155">
          <cell r="W155" t="str">
            <v>REP-0119</v>
          </cell>
          <cell r="X155" t="str">
            <v>09.00.451</v>
          </cell>
          <cell r="Y155" t="str">
            <v>Junta (bomba 3cp) CAT</v>
          </cell>
          <cell r="Z155" t="str">
            <v>Si</v>
          </cell>
        </row>
        <row r="156">
          <cell r="W156" t="str">
            <v>REP-0120</v>
          </cell>
          <cell r="X156" t="str">
            <v>09.01.440</v>
          </cell>
          <cell r="Y156" t="str">
            <v>Placa fichero pequeña</v>
          </cell>
          <cell r="Z156" t="str">
            <v>Si</v>
          </cell>
        </row>
        <row r="157">
          <cell r="W157" t="str">
            <v>REP-0121</v>
          </cell>
          <cell r="X157" t="str">
            <v>23.00.087</v>
          </cell>
          <cell r="Y157" t="str">
            <v>Presóstato G1/4</v>
          </cell>
          <cell r="Z157" t="str">
            <v>Si</v>
          </cell>
        </row>
        <row r="158">
          <cell r="W158" t="str">
            <v>REP-0122</v>
          </cell>
          <cell r="X158" t="str">
            <v>09.00.521</v>
          </cell>
          <cell r="Y158" t="str">
            <v xml:space="preserve">Tee 6mm conexión rápida  gris con verde </v>
          </cell>
          <cell r="Z158" t="str">
            <v>Si</v>
          </cell>
        </row>
        <row r="159">
          <cell r="W159" t="str">
            <v>REP-0123</v>
          </cell>
          <cell r="X159" t="str">
            <v>29.00.044</v>
          </cell>
          <cell r="Y159" t="str">
            <v>Manguera Rilsan 8 mm (lavallantas)</v>
          </cell>
          <cell r="Z159" t="str">
            <v>Si</v>
          </cell>
        </row>
        <row r="160">
          <cell r="W160" t="str">
            <v>REP-0124</v>
          </cell>
          <cell r="X160" t="str">
            <v>09.00.450</v>
          </cell>
          <cell r="Y160" t="str">
            <v>Campana (bomba 3p) CAT</v>
          </cell>
          <cell r="Z160" t="str">
            <v>Si</v>
          </cell>
        </row>
        <row r="161">
          <cell r="W161" t="str">
            <v>REP-0125</v>
          </cell>
          <cell r="X161" t="str">
            <v>29.00.171</v>
          </cell>
          <cell r="Y161" t="str">
            <v>Válvula no retorno Inoxidable 1/4</v>
          </cell>
          <cell r="Z161" t="str">
            <v>Si</v>
          </cell>
        </row>
        <row r="162">
          <cell r="W162" t="str">
            <v>REP-0126</v>
          </cell>
          <cell r="X162" t="str">
            <v>09.00.411</v>
          </cell>
          <cell r="Y162" t="str">
            <v>Válvula de fondo para bidón shampoo</v>
          </cell>
          <cell r="Z162" t="str">
            <v>Si</v>
          </cell>
        </row>
        <row r="163">
          <cell r="W163" t="str">
            <v>REP-0127</v>
          </cell>
          <cell r="X163" t="str">
            <v>09.02.453</v>
          </cell>
          <cell r="Y163" t="str">
            <v>Golillas aislantes pulsadores</v>
          </cell>
          <cell r="Z163" t="str">
            <v>Si</v>
          </cell>
        </row>
        <row r="164">
          <cell r="W164" t="str">
            <v>REP-0128</v>
          </cell>
          <cell r="X164" t="str">
            <v>09.01.227</v>
          </cell>
          <cell r="Y164" t="str">
            <v>Membrana EV sirai 3/4</v>
          </cell>
          <cell r="Z164" t="str">
            <v>Si</v>
          </cell>
        </row>
        <row r="165">
          <cell r="W165" t="str">
            <v>REP-0129</v>
          </cell>
          <cell r="X165" t="str">
            <v>60.00.013</v>
          </cell>
          <cell r="Y165" t="str">
            <v>Kit filtro twister M2 (tambor plástico 2013)</v>
          </cell>
          <cell r="Z165" t="str">
            <v>Si</v>
          </cell>
        </row>
        <row r="166">
          <cell r="W166" t="str">
            <v>REP-0130</v>
          </cell>
          <cell r="X166" t="str">
            <v>28.00.145</v>
          </cell>
          <cell r="Y166" t="str">
            <v>Filtro poliester aspiradora</v>
          </cell>
          <cell r="Z166" t="str">
            <v>No</v>
          </cell>
        </row>
        <row r="167">
          <cell r="W167" t="str">
            <v>REP-0131</v>
          </cell>
          <cell r="X167" t="str">
            <v>28.00.143</v>
          </cell>
          <cell r="Y167" t="str">
            <v>Canastillo cónico aspiradora</v>
          </cell>
          <cell r="Z167" t="str">
            <v>No</v>
          </cell>
        </row>
        <row r="168">
          <cell r="W168" t="str">
            <v>REP-0132</v>
          </cell>
          <cell r="X168" t="str">
            <v>09.00.152</v>
          </cell>
          <cell r="Y168" t="str">
            <v>Pistola renovador de neumático punta inoxidable</v>
          </cell>
          <cell r="Z168" t="str">
            <v>Si</v>
          </cell>
        </row>
        <row r="169">
          <cell r="W169" t="str">
            <v>REP-0133</v>
          </cell>
          <cell r="X169" t="str">
            <v>28.00.144</v>
          </cell>
          <cell r="Y169" t="str">
            <v>Anillo portafiltro aspirdora</v>
          </cell>
          <cell r="Z169" t="str">
            <v>No</v>
          </cell>
        </row>
        <row r="170">
          <cell r="W170" t="str">
            <v>REP-0134</v>
          </cell>
          <cell r="X170" t="str">
            <v>29.00.094</v>
          </cell>
          <cell r="Y170" t="str">
            <v>Válvula retención europa 3/4</v>
          </cell>
          <cell r="Z170" t="str">
            <v>Si</v>
          </cell>
        </row>
        <row r="171">
          <cell r="W171" t="str">
            <v>REP-0135</v>
          </cell>
          <cell r="X171" t="str">
            <v>ASP-01</v>
          </cell>
          <cell r="Y171" t="str">
            <v>Resorte conico de sistema vibración aspirado</v>
          </cell>
          <cell r="Z171" t="str">
            <v>Si</v>
          </cell>
        </row>
        <row r="172">
          <cell r="W172" t="str">
            <v>REP-0136</v>
          </cell>
          <cell r="X172" t="str">
            <v>30.00.020</v>
          </cell>
          <cell r="Y172" t="str">
            <v>Manómetro glic. 25 bar</v>
          </cell>
          <cell r="Z172" t="str">
            <v>Si</v>
          </cell>
        </row>
        <row r="173">
          <cell r="W173" t="str">
            <v>REP-0137</v>
          </cell>
          <cell r="X173" t="str">
            <v>60.00.015</v>
          </cell>
          <cell r="Y173" t="str">
            <v>Kit bidone Twister M2 (tambor aspiradora Plástico)</v>
          </cell>
          <cell r="Z173" t="str">
            <v>Si</v>
          </cell>
        </row>
        <row r="174">
          <cell r="W174" t="str">
            <v>REP-0138</v>
          </cell>
          <cell r="X174" t="str">
            <v>09.00.339</v>
          </cell>
          <cell r="Y174" t="str">
            <v>Contactor Siemens 24V</v>
          </cell>
          <cell r="Z174" t="str">
            <v>Si</v>
          </cell>
        </row>
        <row r="175">
          <cell r="W175" t="str">
            <v>REP-0143</v>
          </cell>
          <cell r="X175" t="str">
            <v>34.00.024</v>
          </cell>
          <cell r="Y175" t="str">
            <v>Rubinetto (grifo 1/4\) DESCATALOGADO</v>
          </cell>
          <cell r="Z175" t="str">
            <v>No</v>
          </cell>
        </row>
        <row r="176">
          <cell r="W176" t="str">
            <v>REP-0144</v>
          </cell>
          <cell r="X176" t="str">
            <v>23.00.144</v>
          </cell>
          <cell r="Y176" t="str">
            <v>EV burket 1/4</v>
          </cell>
          <cell r="Z176" t="str">
            <v>Si</v>
          </cell>
        </row>
        <row r="177">
          <cell r="W177" t="str">
            <v>REP-0145</v>
          </cell>
          <cell r="X177" t="str">
            <v>29.00.300</v>
          </cell>
          <cell r="Y177" t="str">
            <v>Manguera transparente 8mm</v>
          </cell>
          <cell r="Z177" t="str">
            <v>Si</v>
          </cell>
        </row>
        <row r="178">
          <cell r="W178" t="str">
            <v>REP-0146</v>
          </cell>
          <cell r="X178" t="str">
            <v>26.00.063</v>
          </cell>
          <cell r="Y178" t="str">
            <v>Manguera negra AP 1/4\ (tiras 8m)</v>
          </cell>
          <cell r="Z178" t="str">
            <v>No</v>
          </cell>
        </row>
        <row r="179">
          <cell r="W179" t="str">
            <v>REP-0147</v>
          </cell>
          <cell r="X179" t="str">
            <v>36.00.051</v>
          </cell>
          <cell r="Y179" t="str">
            <v>Pistón cerámico Interpump</v>
          </cell>
          <cell r="Z179" t="str">
            <v>Si</v>
          </cell>
        </row>
        <row r="180">
          <cell r="W180" t="str">
            <v>REP-0148</v>
          </cell>
          <cell r="X180" t="str">
            <v>09.00.011</v>
          </cell>
          <cell r="Y180" t="str">
            <v>Manguera azul 5/16´´* 4.8 mt</v>
          </cell>
          <cell r="Z180" t="str">
            <v>No</v>
          </cell>
        </row>
        <row r="181">
          <cell r="W181" t="str">
            <v>REP-0149</v>
          </cell>
          <cell r="X181" t="str">
            <v>09.01.396</v>
          </cell>
          <cell r="Y181" t="str">
            <v>Kit de sellos de agua interpump</v>
          </cell>
          <cell r="Z181" t="str">
            <v>Si</v>
          </cell>
        </row>
        <row r="182">
          <cell r="W182" t="str">
            <v>REP-0150</v>
          </cell>
          <cell r="X182" t="str">
            <v>09.00.829</v>
          </cell>
          <cell r="Y182" t="str">
            <v>Manguera poliuretano azul</v>
          </cell>
          <cell r="Z182" t="str">
            <v>No</v>
          </cell>
        </row>
        <row r="183">
          <cell r="W183" t="str">
            <v>REP-0151</v>
          </cell>
          <cell r="X183" t="str">
            <v>09.01.117</v>
          </cell>
          <cell r="Y183" t="str">
            <v>Motor trifásico de osmosis</v>
          </cell>
          <cell r="Z183" t="str">
            <v>Si</v>
          </cell>
        </row>
        <row r="184">
          <cell r="W184" t="str">
            <v>REP-0152</v>
          </cell>
          <cell r="X184" t="str">
            <v>23.00.052</v>
          </cell>
          <cell r="Y184" t="str">
            <v>EV sirai 3/4 bajada osmosis</v>
          </cell>
          <cell r="Z184" t="str">
            <v>Si</v>
          </cell>
        </row>
        <row r="185">
          <cell r="W185" t="str">
            <v>REP-0153</v>
          </cell>
          <cell r="X185" t="str">
            <v>37.00.017</v>
          </cell>
          <cell r="Y185" t="str">
            <v>Motor cat trifásico inverter</v>
          </cell>
          <cell r="Z185" t="str">
            <v>Si</v>
          </cell>
        </row>
        <row r="186">
          <cell r="W186" t="str">
            <v>REP-0154</v>
          </cell>
          <cell r="X186" t="str">
            <v>23.00.488</v>
          </cell>
          <cell r="Y186" t="str">
            <v>Conductivímetro c901</v>
          </cell>
          <cell r="Z186" t="str">
            <v>Si</v>
          </cell>
        </row>
        <row r="187">
          <cell r="W187" t="str">
            <v>REP-0155</v>
          </cell>
          <cell r="X187" t="str">
            <v>24.00.155</v>
          </cell>
          <cell r="Y187" t="str">
            <v>Campana lateral (bomba 3cp) CAT</v>
          </cell>
          <cell r="Z187" t="str">
            <v>Si</v>
          </cell>
        </row>
        <row r="188">
          <cell r="W188" t="str">
            <v>REP-0156</v>
          </cell>
          <cell r="X188" t="str">
            <v>09.01.616</v>
          </cell>
          <cell r="Y188" t="str">
            <v>Inyector colector pvc (blanco o negro)</v>
          </cell>
          <cell r="Z188" t="str">
            <v>Si</v>
          </cell>
        </row>
        <row r="189">
          <cell r="W189" t="str">
            <v>REP-0157</v>
          </cell>
          <cell r="X189" t="str">
            <v>09.00.491</v>
          </cell>
          <cell r="Y189" t="str">
            <v>O-ring separacion E/V</v>
          </cell>
          <cell r="Z189" t="str">
            <v>Si</v>
          </cell>
        </row>
        <row r="190">
          <cell r="W190" t="str">
            <v>REP-0158</v>
          </cell>
          <cell r="X190" t="str">
            <v>09.01.010</v>
          </cell>
          <cell r="Y190" t="str">
            <v>Conector recto 1/4 HI X 6mm</v>
          </cell>
          <cell r="Z190" t="str">
            <v>Si</v>
          </cell>
        </row>
        <row r="191">
          <cell r="W191" t="str">
            <v>REP-0159</v>
          </cell>
          <cell r="X191" t="str">
            <v>09.01.158</v>
          </cell>
          <cell r="Y191" t="str">
            <v>Flujometro 250 lt</v>
          </cell>
          <cell r="Z191" t="str">
            <v>Si</v>
          </cell>
        </row>
        <row r="192">
          <cell r="W192" t="str">
            <v>REP-0160</v>
          </cell>
          <cell r="X192" t="str">
            <v>09.01.231</v>
          </cell>
          <cell r="Y192" t="str">
            <v>Kit EV L180 Salida filtros</v>
          </cell>
          <cell r="Z192" t="str">
            <v>Si</v>
          </cell>
        </row>
        <row r="193">
          <cell r="W193" t="str">
            <v>REP-0161</v>
          </cell>
          <cell r="X193" t="str">
            <v>23.00.603</v>
          </cell>
          <cell r="Y193" t="str">
            <v>Relé mini 24VCC finder</v>
          </cell>
          <cell r="Z193" t="str">
            <v>No</v>
          </cell>
        </row>
        <row r="194">
          <cell r="W194" t="str">
            <v>REP-0162</v>
          </cell>
          <cell r="X194" t="str">
            <v>23.00.361</v>
          </cell>
          <cell r="Y194" t="str">
            <v>Numeral cable gris</v>
          </cell>
          <cell r="Z194" t="str">
            <v>Si</v>
          </cell>
        </row>
        <row r="195">
          <cell r="W195" t="str">
            <v>REP-0163</v>
          </cell>
          <cell r="X195" t="str">
            <v>29.00.221</v>
          </cell>
          <cell r="Y195" t="str">
            <v>Colector bronce</v>
          </cell>
          <cell r="Z195" t="str">
            <v>No</v>
          </cell>
        </row>
        <row r="196">
          <cell r="W196" t="str">
            <v>REP-0164</v>
          </cell>
          <cell r="X196" t="str">
            <v>23.00.153</v>
          </cell>
          <cell r="Y196" t="str">
            <v>EV L180 Burket 3/4</v>
          </cell>
          <cell r="Z196" t="str">
            <v>Si</v>
          </cell>
        </row>
        <row r="197">
          <cell r="W197" t="str">
            <v>REP-0165</v>
          </cell>
          <cell r="X197" t="str">
            <v>09.00.452</v>
          </cell>
          <cell r="Y197" t="str">
            <v>Ingreso lateral Burket</v>
          </cell>
          <cell r="Z197" t="str">
            <v>Si</v>
          </cell>
        </row>
        <row r="198">
          <cell r="W198" t="str">
            <v>REP-0166</v>
          </cell>
          <cell r="X198" t="str">
            <v>09.02.175</v>
          </cell>
          <cell r="Y198" t="str">
            <v>Cuentaimpulso Twsiter M2</v>
          </cell>
          <cell r="Z198" t="str">
            <v>No</v>
          </cell>
        </row>
        <row r="199">
          <cell r="W199" t="str">
            <v>REP-0167</v>
          </cell>
          <cell r="X199" t="str">
            <v>28.00.054</v>
          </cell>
          <cell r="Y199" t="str">
            <v>Manguito p/flexible D.38 DESCATALOGADO</v>
          </cell>
          <cell r="Z199" t="str">
            <v>No</v>
          </cell>
        </row>
        <row r="200">
          <cell r="W200" t="str">
            <v>REP-0168</v>
          </cell>
          <cell r="X200" t="str">
            <v>09.00.058</v>
          </cell>
          <cell r="Y200" t="str">
            <v>Niple Conexion rapida 1/4 x 10 mm</v>
          </cell>
          <cell r="Z200" t="str">
            <v>Si</v>
          </cell>
        </row>
        <row r="201">
          <cell r="W201" t="str">
            <v>REP-0169</v>
          </cell>
          <cell r="X201" t="str">
            <v>30.00.072</v>
          </cell>
          <cell r="Y201" t="str">
            <v>Niple galvanizado hehe 1/2</v>
          </cell>
          <cell r="Z201" t="str">
            <v>Si</v>
          </cell>
        </row>
        <row r="202">
          <cell r="W202" t="str">
            <v>REP-0171</v>
          </cell>
          <cell r="X202" t="str">
            <v>09.00.067</v>
          </cell>
          <cell r="Y202" t="str">
            <v>Cuerpo bba R0-400 OT</v>
          </cell>
          <cell r="Z202" t="str">
            <v>No</v>
          </cell>
        </row>
        <row r="203">
          <cell r="W203" t="str">
            <v>REP-0172</v>
          </cell>
          <cell r="X203" t="str">
            <v>09.00.050</v>
          </cell>
          <cell r="Y203" t="str">
            <v>Codo Conexion rapida 1/4 x 10 mm</v>
          </cell>
          <cell r="Z203" t="str">
            <v>Si</v>
          </cell>
        </row>
        <row r="204">
          <cell r="W204" t="str">
            <v>REP-0173</v>
          </cell>
          <cell r="X204" t="str">
            <v>60.00.022</v>
          </cell>
          <cell r="Y204" t="str">
            <v>Motor aspiradora M2 (tambor plastico)</v>
          </cell>
          <cell r="Z204" t="str">
            <v>No</v>
          </cell>
        </row>
        <row r="205">
          <cell r="W205" t="str">
            <v>REP-0174</v>
          </cell>
          <cell r="X205" t="str">
            <v>09.01.305</v>
          </cell>
          <cell r="Y205" t="str">
            <v>Pompa pos 15 - bomba perfume</v>
          </cell>
          <cell r="Z205" t="str">
            <v>No</v>
          </cell>
        </row>
        <row r="206">
          <cell r="W206" t="str">
            <v>REP-0175</v>
          </cell>
          <cell r="X206" t="str">
            <v>23.00.356</v>
          </cell>
          <cell r="Y206" t="str">
            <v>Rele mini 24V DC 8A 250V azul</v>
          </cell>
          <cell r="Z206" t="str">
            <v>Si</v>
          </cell>
        </row>
        <row r="207">
          <cell r="W207" t="str">
            <v>REP-0176</v>
          </cell>
          <cell r="X207" t="str">
            <v>09.01.502</v>
          </cell>
          <cell r="Y207" t="str">
            <v>Motor secado 220v 7a</v>
          </cell>
          <cell r="Z207" t="str">
            <v>Si</v>
          </cell>
        </row>
        <row r="208">
          <cell r="W208" t="str">
            <v>REP-0177</v>
          </cell>
          <cell r="X208" t="str">
            <v>23.00.240</v>
          </cell>
          <cell r="Y208" t="str">
            <v>Led verde</v>
          </cell>
          <cell r="Z208" t="str">
            <v>No</v>
          </cell>
        </row>
        <row r="209">
          <cell r="W209" t="str">
            <v>REP-0178</v>
          </cell>
          <cell r="X209" t="str">
            <v>09.00.448</v>
          </cell>
          <cell r="Y209" t="str">
            <v>Pieza cierre lateral Burket</v>
          </cell>
          <cell r="Z209" t="str">
            <v>Si</v>
          </cell>
        </row>
        <row r="210">
          <cell r="W210" t="str">
            <v>REP-0179</v>
          </cell>
          <cell r="X210" t="str">
            <v>09.01.754</v>
          </cell>
          <cell r="Y210" t="str">
            <v>Transformador 400/220 a 24v ac</v>
          </cell>
          <cell r="Z210" t="str">
            <v>Si</v>
          </cell>
        </row>
        <row r="211">
          <cell r="W211" t="str">
            <v>REP-0180</v>
          </cell>
          <cell r="X211" t="str">
            <v>09.01.524</v>
          </cell>
          <cell r="Y211" t="str">
            <v>Lanza para MIX dry completa</v>
          </cell>
          <cell r="Z211" t="str">
            <v>Si</v>
          </cell>
        </row>
        <row r="212">
          <cell r="W212" t="str">
            <v>REP-0181</v>
          </cell>
          <cell r="X212" t="str">
            <v>23.00.354</v>
          </cell>
          <cell r="Y212" t="str">
            <v>Contactor siemens 24V ac/dc</v>
          </cell>
          <cell r="Z212" t="str">
            <v>Si</v>
          </cell>
        </row>
        <row r="213">
          <cell r="W213" t="str">
            <v>REP-0182</v>
          </cell>
          <cell r="X213" t="str">
            <v>09.00.382</v>
          </cell>
          <cell r="Y213" t="str">
            <v>Relé mini 24VCA finder</v>
          </cell>
          <cell r="Z213" t="str">
            <v>Si</v>
          </cell>
        </row>
        <row r="214">
          <cell r="W214" t="str">
            <v>REP-0183</v>
          </cell>
          <cell r="X214" t="str">
            <v>60.00.031</v>
          </cell>
          <cell r="Y214" t="str">
            <v>Pistola perfume boquilla verde mango gris</v>
          </cell>
          <cell r="Z214" t="str">
            <v>Si</v>
          </cell>
        </row>
        <row r="215">
          <cell r="W215" t="str">
            <v>REP-0184</v>
          </cell>
          <cell r="X215" t="str">
            <v>09.00.816</v>
          </cell>
          <cell r="Y215" t="str">
            <v>Relé auxiliar 10A</v>
          </cell>
          <cell r="Z215" t="str">
            <v>Si</v>
          </cell>
        </row>
        <row r="216">
          <cell r="W216" t="str">
            <v>REP-0185</v>
          </cell>
          <cell r="X216" t="str">
            <v>09.01.400</v>
          </cell>
          <cell r="Y216" t="str">
            <v>Rodillo lavatapete LTS400</v>
          </cell>
          <cell r="Z216" t="str">
            <v>Si</v>
          </cell>
        </row>
        <row r="217">
          <cell r="W217" t="str">
            <v>REP-0186</v>
          </cell>
          <cell r="X217" t="str">
            <v>29.00.219</v>
          </cell>
          <cell r="Y217" t="str">
            <v>Tapa manifold</v>
          </cell>
          <cell r="Z217" t="str">
            <v>No</v>
          </cell>
        </row>
        <row r="218">
          <cell r="W218" t="str">
            <v>REP-0187</v>
          </cell>
          <cell r="X218" t="str">
            <v>23.00.489</v>
          </cell>
          <cell r="Y218" t="str">
            <v>Sensor conductivímetro</v>
          </cell>
          <cell r="Z218" t="str">
            <v>Si</v>
          </cell>
        </row>
        <row r="219">
          <cell r="W219" t="str">
            <v>REP-0188</v>
          </cell>
          <cell r="X219" t="str">
            <v>24.00.190</v>
          </cell>
          <cell r="Y219" t="str">
            <v>Junta bomba B14-M71</v>
          </cell>
          <cell r="Z219" t="str">
            <v>No</v>
          </cell>
        </row>
        <row r="220">
          <cell r="W220" t="str">
            <v>REP-0189</v>
          </cell>
          <cell r="X220" t="str">
            <v>09.00.472</v>
          </cell>
          <cell r="Y220" t="str">
            <v>Zocalo 4S  F194</v>
          </cell>
          <cell r="Z220" t="str">
            <v>No</v>
          </cell>
        </row>
        <row r="221">
          <cell r="W221" t="str">
            <v>REP-0190</v>
          </cell>
          <cell r="X221" t="str">
            <v>09.01.560</v>
          </cell>
          <cell r="Y221" t="str">
            <v>Kit de sellos brazo giratorio</v>
          </cell>
          <cell r="Z221" t="str">
            <v>No</v>
          </cell>
        </row>
        <row r="222">
          <cell r="W222" t="str">
            <v>REP-0191</v>
          </cell>
          <cell r="X222" t="str">
            <v>09.02.153</v>
          </cell>
          <cell r="Y222" t="str">
            <v>Extensión PLC 8+8 Siemens</v>
          </cell>
          <cell r="Z222" t="str">
            <v>Si</v>
          </cell>
        </row>
        <row r="223">
          <cell r="W223" t="str">
            <v>REP-0192</v>
          </cell>
          <cell r="X223" t="str">
            <v>09.01.770</v>
          </cell>
          <cell r="Y223" t="str">
            <v>Microinterruptor contactor motor trifásico</v>
          </cell>
          <cell r="Z223" t="str">
            <v>Si</v>
          </cell>
        </row>
        <row r="224">
          <cell r="W224" t="str">
            <v>REP-0193</v>
          </cell>
          <cell r="X224" t="str">
            <v>09.01.146</v>
          </cell>
          <cell r="Y224" t="str">
            <v>Piezas reparac fichero</v>
          </cell>
          <cell r="Z224" t="str">
            <v>No</v>
          </cell>
        </row>
        <row r="225">
          <cell r="W225" t="str">
            <v>REP-0194</v>
          </cell>
          <cell r="X225" t="str">
            <v>43.00.009</v>
          </cell>
          <cell r="Y225" t="str">
            <v>Portafichas</v>
          </cell>
          <cell r="Z225" t="str">
            <v>No</v>
          </cell>
        </row>
        <row r="226">
          <cell r="W226" t="str">
            <v>REP-0195</v>
          </cell>
          <cell r="X226" t="str">
            <v>23.00.613</v>
          </cell>
          <cell r="Y226" t="str">
            <v>Rele termico 4.5-6.3 Amp</v>
          </cell>
          <cell r="Z226" t="str">
            <v>No</v>
          </cell>
        </row>
        <row r="227">
          <cell r="W227" t="str">
            <v>REP-0196</v>
          </cell>
          <cell r="X227" t="str">
            <v>09.00.161</v>
          </cell>
          <cell r="Y227" t="str">
            <v>Tapas manifold bronce con perforación</v>
          </cell>
          <cell r="Z227" t="str">
            <v>No</v>
          </cell>
        </row>
        <row r="228">
          <cell r="W228" t="str">
            <v>REP-0197</v>
          </cell>
          <cell r="X228" t="str">
            <v>34.00.015</v>
          </cell>
          <cell r="Y228" t="str">
            <v>Sensor de nivel inferior estanque</v>
          </cell>
          <cell r="Z228" t="str">
            <v>No</v>
          </cell>
        </row>
        <row r="229">
          <cell r="W229" t="str">
            <v>REP-0198</v>
          </cell>
          <cell r="X229" t="str">
            <v>09.00.628</v>
          </cell>
          <cell r="Y229" t="str">
            <v>Valvula robex 3/4</v>
          </cell>
          <cell r="Z229" t="str">
            <v>Si</v>
          </cell>
        </row>
        <row r="230">
          <cell r="W230" t="str">
            <v>REP-0199</v>
          </cell>
          <cell r="X230" t="str">
            <v>09.01.772</v>
          </cell>
          <cell r="Y230" t="str">
            <v>Int.protettore 2,5A PKZMO</v>
          </cell>
          <cell r="Z230" t="str">
            <v>No</v>
          </cell>
        </row>
        <row r="231">
          <cell r="W231" t="str">
            <v>REP-0202</v>
          </cell>
          <cell r="X231" t="str">
            <v>23.00.259</v>
          </cell>
          <cell r="Y231" t="str">
            <v>Transformador 380/220 a 18/24V ac</v>
          </cell>
          <cell r="Z231" t="str">
            <v>Si</v>
          </cell>
        </row>
        <row r="232">
          <cell r="W232" t="str">
            <v>REP-0203</v>
          </cell>
          <cell r="X232" t="str">
            <v>09.00.456</v>
          </cell>
          <cell r="Y232" t="str">
            <v>Sujecion EV Burket</v>
          </cell>
          <cell r="Z232" t="str">
            <v>Si</v>
          </cell>
        </row>
        <row r="233">
          <cell r="W233" t="str">
            <v>REP-0204</v>
          </cell>
          <cell r="X233" t="str">
            <v>09.00.004</v>
          </cell>
          <cell r="Y233" t="str">
            <v>Bomba cat 5 cp</v>
          </cell>
          <cell r="Z233" t="str">
            <v>Si</v>
          </cell>
        </row>
        <row r="234">
          <cell r="W234" t="str">
            <v>REP-0205</v>
          </cell>
          <cell r="X234" t="str">
            <v>60.00.019</v>
          </cell>
          <cell r="Y234" t="str">
            <v>Chapa aspirado tambor plástico (TW2013)</v>
          </cell>
          <cell r="Z234" t="str">
            <v>Si</v>
          </cell>
        </row>
        <row r="235">
          <cell r="W235" t="str">
            <v>REP-0206</v>
          </cell>
          <cell r="X235" t="str">
            <v>23.00.257</v>
          </cell>
          <cell r="Y235" t="str">
            <v>Temporizador 24V,aspirado</v>
          </cell>
          <cell r="Z235" t="str">
            <v>No</v>
          </cell>
        </row>
        <row r="236">
          <cell r="W236" t="str">
            <v>REP-0207</v>
          </cell>
          <cell r="X236" t="str">
            <v>M-29023</v>
          </cell>
          <cell r="Y236" t="str">
            <v>Filtro interior lanza AP</v>
          </cell>
          <cell r="Z236" t="str">
            <v>No</v>
          </cell>
        </row>
        <row r="237">
          <cell r="W237" t="str">
            <v>REP-0208</v>
          </cell>
          <cell r="X237" t="str">
            <v>09.01.571</v>
          </cell>
          <cell r="Y237" t="str">
            <v>Válvula fondo de bidones dispens de producto</v>
          </cell>
          <cell r="Z237" t="str">
            <v>Si</v>
          </cell>
        </row>
        <row r="238">
          <cell r="W238" t="str">
            <v>REP-0209</v>
          </cell>
          <cell r="X238" t="str">
            <v>09.01.972</v>
          </cell>
          <cell r="Y238" t="str">
            <v>Motor 4Kw/2,8 Kw (Camiones)</v>
          </cell>
          <cell r="Z238" t="str">
            <v>Si</v>
          </cell>
        </row>
        <row r="239">
          <cell r="W239" t="str">
            <v>REP-0210</v>
          </cell>
          <cell r="X239" t="str">
            <v>09.00.198</v>
          </cell>
          <cell r="Y239" t="str">
            <v>Lexan para cubre fichero</v>
          </cell>
          <cell r="Z239" t="str">
            <v>No</v>
          </cell>
        </row>
        <row r="240">
          <cell r="W240" t="str">
            <v>REP-0212</v>
          </cell>
          <cell r="X240" t="str">
            <v>23.00.430</v>
          </cell>
          <cell r="Y240" t="str">
            <v>Microinterruptor puerta</v>
          </cell>
          <cell r="Z240" t="str">
            <v>No</v>
          </cell>
        </row>
        <row r="241">
          <cell r="W241" t="str">
            <v>REP-0213</v>
          </cell>
          <cell r="X241" t="str">
            <v>23.00.507</v>
          </cell>
          <cell r="Y241" t="str">
            <v>Boton blanco katix</v>
          </cell>
          <cell r="Z241" t="str">
            <v>No</v>
          </cell>
        </row>
        <row r="242">
          <cell r="W242" t="str">
            <v>REP-0215</v>
          </cell>
          <cell r="X242" t="str">
            <v>09.00.212</v>
          </cell>
          <cell r="Y242" t="str">
            <v>Llave plastica fichero</v>
          </cell>
          <cell r="Z242" t="str">
            <v>No</v>
          </cell>
        </row>
        <row r="243">
          <cell r="W243" t="str">
            <v>REP-0216</v>
          </cell>
          <cell r="X243" t="str">
            <v>23.00.355</v>
          </cell>
          <cell r="Y243" t="str">
            <v>Siemens 3RT2017-1AB01 (CONTACTOR 24V)</v>
          </cell>
          <cell r="Z243" t="str">
            <v>No</v>
          </cell>
        </row>
        <row r="244">
          <cell r="W244" t="str">
            <v>REP-0217</v>
          </cell>
          <cell r="X244" t="str">
            <v>23.00.531</v>
          </cell>
          <cell r="Y244" t="str">
            <v>Contacto auxiliar NC</v>
          </cell>
          <cell r="Z244" t="str">
            <v>No</v>
          </cell>
        </row>
        <row r="245">
          <cell r="W245" t="str">
            <v>REP-0218</v>
          </cell>
          <cell r="X245" t="str">
            <v>23.00.210</v>
          </cell>
          <cell r="Y245" t="str">
            <v>Toma 10A con pantalla</v>
          </cell>
          <cell r="Z245" t="str">
            <v>No</v>
          </cell>
        </row>
        <row r="246">
          <cell r="W246" t="str">
            <v>REP-0219</v>
          </cell>
          <cell r="X246" t="str">
            <v>09.00.426</v>
          </cell>
          <cell r="Y246" t="str">
            <v>Zocalo finder 2S</v>
          </cell>
          <cell r="Z246" t="str">
            <v>Si</v>
          </cell>
        </row>
        <row r="247">
          <cell r="W247" t="str">
            <v>REP-0220</v>
          </cell>
          <cell r="X247" t="str">
            <v>09.01.503</v>
          </cell>
          <cell r="Y247" t="str">
            <v>Boquilla mix dry (sólo terminal)</v>
          </cell>
          <cell r="Z247" t="str">
            <v>No</v>
          </cell>
        </row>
        <row r="248">
          <cell r="W248" t="str">
            <v>REP-0221</v>
          </cell>
          <cell r="X248" t="str">
            <v>09.02.097</v>
          </cell>
          <cell r="Y248" t="str">
            <v>Kit protector de Boquilla lanza AP</v>
          </cell>
          <cell r="Z248" t="str">
            <v>No</v>
          </cell>
        </row>
        <row r="249">
          <cell r="W249" t="str">
            <v>REP-0222</v>
          </cell>
          <cell r="X249" t="str">
            <v>09.01.916</v>
          </cell>
          <cell r="Y249" t="str">
            <v>Chapa inferior aspiradora 2008</v>
          </cell>
          <cell r="Z249" t="str">
            <v>No</v>
          </cell>
        </row>
        <row r="250">
          <cell r="W250" t="str">
            <v>REP-0223</v>
          </cell>
          <cell r="X250" t="str">
            <v>09.01.008</v>
          </cell>
          <cell r="Y250" t="str">
            <v>Tee conexion rapida x3 1/4</v>
          </cell>
          <cell r="Z250" t="str">
            <v>Si</v>
          </cell>
        </row>
        <row r="251">
          <cell r="W251" t="str">
            <v>REP-0224</v>
          </cell>
          <cell r="X251" t="str">
            <v>09.00.666</v>
          </cell>
          <cell r="Y251" t="str">
            <v>Rilsan PA11 8X6 azul espiral</v>
          </cell>
          <cell r="Z251" t="str">
            <v>No</v>
          </cell>
        </row>
        <row r="252">
          <cell r="W252" t="str">
            <v>REP-0225</v>
          </cell>
          <cell r="X252" t="str">
            <v>09.01.723</v>
          </cell>
          <cell r="Y252" t="str">
            <v>Pomolo leva inversione tabla 21- pos.21</v>
          </cell>
          <cell r="Z252" t="str">
            <v>No</v>
          </cell>
        </row>
        <row r="253">
          <cell r="W253" t="str">
            <v>REP-0226</v>
          </cell>
          <cell r="X253" t="str">
            <v>23.00.219</v>
          </cell>
          <cell r="Y253" t="str">
            <v>Zocalo Morsetto</v>
          </cell>
          <cell r="Z253" t="str">
            <v>No</v>
          </cell>
        </row>
        <row r="254">
          <cell r="W254" t="str">
            <v>REP-0227</v>
          </cell>
          <cell r="X254" t="str">
            <v>23.00.067</v>
          </cell>
          <cell r="Y254" t="str">
            <v>Módulo eléctrico 6 posiciones Horizontal</v>
          </cell>
          <cell r="Z254" t="str">
            <v>No</v>
          </cell>
        </row>
        <row r="255">
          <cell r="W255" t="str">
            <v>REP-0228</v>
          </cell>
          <cell r="X255" t="str">
            <v>09.01.381</v>
          </cell>
          <cell r="Y255" t="str">
            <v>Placa electronica aspirado (Display contador)</v>
          </cell>
          <cell r="Z255" t="str">
            <v>No</v>
          </cell>
        </row>
        <row r="256">
          <cell r="W256" t="str">
            <v>REP-0229</v>
          </cell>
          <cell r="X256" t="str">
            <v>09.01.722</v>
          </cell>
          <cell r="Y256" t="str">
            <v>Manometro de presión de fuerza de aspirado</v>
          </cell>
          <cell r="Z256" t="str">
            <v>No</v>
          </cell>
        </row>
        <row r="257">
          <cell r="W257" t="str">
            <v>REP-0230</v>
          </cell>
          <cell r="X257" t="str">
            <v>34.00.018</v>
          </cell>
          <cell r="Y257" t="str">
            <v>Flujometro 100Lt/hr</v>
          </cell>
          <cell r="Z257" t="str">
            <v>No</v>
          </cell>
        </row>
        <row r="258">
          <cell r="W258" t="str">
            <v>REP-0231</v>
          </cell>
          <cell r="X258" t="str">
            <v>36.00.041</v>
          </cell>
          <cell r="Y258" t="str">
            <v>Kit de válvulas de agua interpump</v>
          </cell>
          <cell r="Z258" t="str">
            <v>No</v>
          </cell>
        </row>
        <row r="259">
          <cell r="W259" t="str">
            <v>REP-0232</v>
          </cell>
          <cell r="X259" t="str">
            <v>23.00.630</v>
          </cell>
          <cell r="Y259" t="str">
            <v>Display botonera Mself</v>
          </cell>
          <cell r="Z259" t="str">
            <v>No</v>
          </cell>
        </row>
        <row r="260">
          <cell r="W260" t="str">
            <v>REP-0233</v>
          </cell>
          <cell r="X260" t="str">
            <v>09.01.955</v>
          </cell>
          <cell r="Y260" t="str">
            <v>Kit Leva Inversore Twister&amp;Dry</v>
          </cell>
          <cell r="Z260" t="str">
            <v>No</v>
          </cell>
        </row>
        <row r="261">
          <cell r="W261" t="str">
            <v>REP-0234</v>
          </cell>
          <cell r="X261" t="str">
            <v>30.00.092</v>
          </cell>
          <cell r="Y261" t="str">
            <v>sujetador manguera aspiradora</v>
          </cell>
          <cell r="Z261" t="str">
            <v>Si</v>
          </cell>
        </row>
        <row r="262">
          <cell r="W262" t="str">
            <v>REP-0235</v>
          </cell>
          <cell r="X262" t="str">
            <v>V-35</v>
          </cell>
          <cell r="Y262" t="str">
            <v>Termostato Termo Rheem</v>
          </cell>
          <cell r="Z262" t="str">
            <v>No</v>
          </cell>
        </row>
        <row r="263">
          <cell r="W263" t="str">
            <v>REP-0236</v>
          </cell>
          <cell r="X263" t="str">
            <v>39.00.008</v>
          </cell>
          <cell r="Y263" t="str">
            <v>Tuerca inoxidable protector fichero</v>
          </cell>
          <cell r="Z263" t="str">
            <v>Si</v>
          </cell>
        </row>
        <row r="264">
          <cell r="W264" t="str">
            <v>REP-0237</v>
          </cell>
          <cell r="X264" t="str">
            <v>46541</v>
          </cell>
          <cell r="Y264" t="str">
            <v>Separador pvc (bomba 3cp) CAT</v>
          </cell>
          <cell r="Z264" t="str">
            <v>Si</v>
          </cell>
        </row>
        <row r="265">
          <cell r="W265" t="str">
            <v>REP-0238</v>
          </cell>
          <cell r="X265" t="str">
            <v>46839</v>
          </cell>
          <cell r="Y265" t="str">
            <v>Sello de aceite (bomba 3cp) CAT</v>
          </cell>
          <cell r="Z265" t="str">
            <v>Si</v>
          </cell>
        </row>
        <row r="266">
          <cell r="W266" t="str">
            <v>REP-0239</v>
          </cell>
          <cell r="X266" t="str">
            <v>46976</v>
          </cell>
          <cell r="Y266" t="str">
            <v>Pistón cerámicos (bomba 3cp) CAT</v>
          </cell>
          <cell r="Z266" t="str">
            <v>Si</v>
          </cell>
        </row>
        <row r="267">
          <cell r="W267" t="str">
            <v>REP-0240</v>
          </cell>
          <cell r="X267" t="str">
            <v>126512</v>
          </cell>
          <cell r="Y267" t="str">
            <v>Perno culatín m8x65 (bomba 3cp) CAT</v>
          </cell>
          <cell r="Z267" t="str">
            <v>Si</v>
          </cell>
        </row>
        <row r="268">
          <cell r="W268" t="str">
            <v>REP-0241</v>
          </cell>
          <cell r="X268" t="str">
            <v>09.00.787</v>
          </cell>
          <cell r="Y268" t="str">
            <v>Kit de válvulas 33062 (bomba 3cp) CAT</v>
          </cell>
          <cell r="Z268" t="str">
            <v>Si</v>
          </cell>
        </row>
        <row r="269">
          <cell r="W269" t="str">
            <v>REP-0242</v>
          </cell>
          <cell r="X269" t="str">
            <v>09.00.788</v>
          </cell>
          <cell r="Y269" t="str">
            <v>Kit sellos de agua 33983 (bomba 3cp) CAT</v>
          </cell>
          <cell r="Z269" t="str">
            <v>Si</v>
          </cell>
        </row>
        <row r="270">
          <cell r="W270" t="str">
            <v>REP-0243</v>
          </cell>
          <cell r="X270" t="str">
            <v>43900</v>
          </cell>
          <cell r="Y270" t="str">
            <v>Golilla cóncava pistón (bomba 3cp) CAT</v>
          </cell>
          <cell r="Z270" t="str">
            <v>Si</v>
          </cell>
        </row>
        <row r="271">
          <cell r="W271" t="str">
            <v>REP-0244</v>
          </cell>
          <cell r="X271" t="str">
            <v>43222</v>
          </cell>
          <cell r="Y271" t="str">
            <v>Cat seal oil, 3/5cp</v>
          </cell>
          <cell r="Z271" t="str">
            <v>No</v>
          </cell>
        </row>
        <row r="272">
          <cell r="W272" t="str">
            <v>REP-0245</v>
          </cell>
          <cell r="X272" t="str">
            <v>14041</v>
          </cell>
          <cell r="Y272" t="str">
            <v>O-ring tapa (bomba 3cp) CAT</v>
          </cell>
          <cell r="Z272" t="str">
            <v>Si</v>
          </cell>
        </row>
        <row r="273">
          <cell r="W273" t="str">
            <v>REP-0246</v>
          </cell>
          <cell r="X273" t="str">
            <v>45697</v>
          </cell>
          <cell r="Y273" t="str">
            <v>Golilla pistón ranurada (bomba 3cp) CAT</v>
          </cell>
          <cell r="Z273" t="str">
            <v>Si</v>
          </cell>
        </row>
        <row r="274">
          <cell r="W274" t="str">
            <v>REP-0247</v>
          </cell>
          <cell r="X274" t="str">
            <v>14028</v>
          </cell>
          <cell r="Y274" t="str">
            <v>O-ring tapa rodamiento (bomba 3cp) CAT</v>
          </cell>
          <cell r="Z274" t="str">
            <v>Si</v>
          </cell>
        </row>
        <row r="275">
          <cell r="W275" t="str">
            <v>REP-0248</v>
          </cell>
          <cell r="X275" t="str">
            <v>48201</v>
          </cell>
          <cell r="Y275" t="str">
            <v>Retainer, plunger w/stud3/5cp</v>
          </cell>
          <cell r="Z275" t="str">
            <v>Si</v>
          </cell>
        </row>
        <row r="276">
          <cell r="W276" t="str">
            <v>REP-0249</v>
          </cell>
          <cell r="X276" t="str">
            <v>23170</v>
          </cell>
          <cell r="Y276" t="str">
            <v>O-ring tapón inferior aceite (bomba 3cp) CAT</v>
          </cell>
          <cell r="Z276" t="str">
            <v>Si</v>
          </cell>
        </row>
        <row r="277">
          <cell r="W277" t="str">
            <v>REP-0250</v>
          </cell>
          <cell r="X277" t="str">
            <v>44428</v>
          </cell>
          <cell r="Y277" t="str">
            <v>Cat gasket oil gauge 3/5cp</v>
          </cell>
          <cell r="Z277" t="str">
            <v>No</v>
          </cell>
        </row>
        <row r="278">
          <cell r="W278" t="str">
            <v>REP-0251</v>
          </cell>
          <cell r="X278" t="str">
            <v>14179</v>
          </cell>
          <cell r="Y278" t="str">
            <v>Cap filler cap gasket 3/5cp</v>
          </cell>
          <cell r="Z278" t="str">
            <v>No</v>
          </cell>
        </row>
        <row r="279">
          <cell r="W279" t="str">
            <v>REP-0252</v>
          </cell>
          <cell r="X279" t="str">
            <v>46625</v>
          </cell>
          <cell r="Y279" t="str">
            <v>Portasello (bomba 3cp) CAT</v>
          </cell>
          <cell r="Z279" t="str">
            <v>Si</v>
          </cell>
        </row>
        <row r="280">
          <cell r="W280" t="str">
            <v>REP-0253</v>
          </cell>
          <cell r="X280" t="str">
            <v>14480</v>
          </cell>
          <cell r="Y280" t="str">
            <v>Rodamiento (bomba 3cp) CAT</v>
          </cell>
          <cell r="Z280" t="str">
            <v>Si</v>
          </cell>
        </row>
        <row r="281">
          <cell r="W281" t="str">
            <v>REP-0254</v>
          </cell>
          <cell r="X281" t="str">
            <v>25625</v>
          </cell>
          <cell r="Y281" t="str">
            <v>Tapón inferior aceite (bomba 3cp) CAT</v>
          </cell>
          <cell r="Z281" t="str">
            <v>Si</v>
          </cell>
        </row>
        <row r="282">
          <cell r="W282" t="str">
            <v>REP-0255</v>
          </cell>
          <cell r="X282" t="str">
            <v>46756</v>
          </cell>
          <cell r="Y282" t="str">
            <v>Tapa válvula (bomba 3cp) CAT</v>
          </cell>
          <cell r="Z282" t="str">
            <v>Si</v>
          </cell>
        </row>
        <row r="283">
          <cell r="W283" t="str">
            <v>REP-0256</v>
          </cell>
          <cell r="X283" t="str">
            <v>92241</v>
          </cell>
          <cell r="Y283" t="str">
            <v>Visor nivel de aceite (bomba 3cp) CAT</v>
          </cell>
          <cell r="Z283" t="str">
            <v>Si</v>
          </cell>
        </row>
        <row r="284">
          <cell r="W284" t="str">
            <v>REP-0257</v>
          </cell>
          <cell r="X284" t="str">
            <v>09.01.114</v>
          </cell>
          <cell r="Y284" t="str">
            <v>Tapón divisorio EV con O'ring</v>
          </cell>
          <cell r="Z284" t="str">
            <v>No</v>
          </cell>
        </row>
        <row r="285">
          <cell r="W285" t="str">
            <v>REP-0258</v>
          </cell>
          <cell r="X285" t="str">
            <v>45690</v>
          </cell>
          <cell r="Y285" t="str">
            <v>cat oil filter cap 3cp</v>
          </cell>
          <cell r="Z285" t="str">
            <v>No</v>
          </cell>
        </row>
        <row r="286">
          <cell r="W286" t="str">
            <v>REP-0259</v>
          </cell>
          <cell r="X286" t="str">
            <v>V-31</v>
          </cell>
          <cell r="Y286" t="str">
            <v xml:space="preserve">Resina cationica purolite C100 (25lt) DESCATALOGADO </v>
          </cell>
          <cell r="Z286" t="str">
            <v>No</v>
          </cell>
        </row>
        <row r="287">
          <cell r="W287" t="str">
            <v>REP-0260</v>
          </cell>
          <cell r="X287" t="str">
            <v>AG-03</v>
          </cell>
          <cell r="Y287" t="str">
            <v>Ablandador en fibra, modelo HAF 1800 DA, operación automática.</v>
          </cell>
          <cell r="Z287" t="str">
            <v>No</v>
          </cell>
        </row>
        <row r="288">
          <cell r="W288" t="str">
            <v>REP-0261</v>
          </cell>
          <cell r="X288" t="str">
            <v>AG-01</v>
          </cell>
          <cell r="Y288" t="str">
            <v>Ablandador en fibra, modelo HAF 1200, operación automática. DESCATALOGADO</v>
          </cell>
          <cell r="Z288" t="str">
            <v>No</v>
          </cell>
        </row>
        <row r="289">
          <cell r="W289" t="str">
            <v>REP-0262</v>
          </cell>
          <cell r="X289" t="str">
            <v>09.01.374</v>
          </cell>
          <cell r="Y289" t="str">
            <v>Membrana de osmosis</v>
          </cell>
          <cell r="Z289" t="str">
            <v>Si</v>
          </cell>
        </row>
        <row r="290">
          <cell r="W290" t="str">
            <v>REP-0263</v>
          </cell>
          <cell r="X290" t="str">
            <v>28.00.081</v>
          </cell>
          <cell r="Y290" t="str">
            <v>Filtro sedimentos</v>
          </cell>
          <cell r="Z290" t="str">
            <v>Si</v>
          </cell>
        </row>
        <row r="291">
          <cell r="W291" t="str">
            <v>REP-0264</v>
          </cell>
          <cell r="X291" t="str">
            <v>28.00.130</v>
          </cell>
          <cell r="Y291" t="str">
            <v>Filtro carbón activo</v>
          </cell>
          <cell r="Z291" t="str">
            <v>Si</v>
          </cell>
        </row>
        <row r="292">
          <cell r="W292" t="str">
            <v>REP-0265</v>
          </cell>
          <cell r="X292" t="str">
            <v>29.00.211</v>
          </cell>
          <cell r="Y292" t="str">
            <v>DESCATALOGADO M embrana o smosis HF4</v>
          </cell>
          <cell r="Z292" t="str">
            <v>No</v>
          </cell>
        </row>
        <row r="293">
          <cell r="W293" t="str">
            <v>REP-0266</v>
          </cell>
          <cell r="X293" t="str">
            <v>V-06</v>
          </cell>
          <cell r="Y293" t="str">
            <v>Limpiador spray acero inoxidable 3M</v>
          </cell>
          <cell r="Z293" t="str">
            <v>Si</v>
          </cell>
        </row>
        <row r="294">
          <cell r="W294" t="str">
            <v>REP-0267</v>
          </cell>
          <cell r="X294" t="str">
            <v>V-09</v>
          </cell>
          <cell r="Y294" t="str">
            <v>Paños pulidores extra finos (10 unidades)</v>
          </cell>
          <cell r="Z294" t="str">
            <v>Si</v>
          </cell>
        </row>
        <row r="295">
          <cell r="W295" t="str">
            <v>REP-0268</v>
          </cell>
          <cell r="X295" t="str">
            <v>V-04</v>
          </cell>
          <cell r="Y295" t="str">
            <v>Paños pulidores</v>
          </cell>
          <cell r="Z295" t="str">
            <v>Si</v>
          </cell>
        </row>
        <row r="296">
          <cell r="W296" t="str">
            <v>REP-0269</v>
          </cell>
          <cell r="X296" t="str">
            <v>D-01</v>
          </cell>
          <cell r="Y296" t="str">
            <v>Pulsador armado doble 1NA+1NC- LAY5- EL8325</v>
          </cell>
          <cell r="Z296" t="str">
            <v>Si</v>
          </cell>
        </row>
        <row r="297">
          <cell r="W297" t="str">
            <v>REP-0270</v>
          </cell>
          <cell r="X297" t="str">
            <v>D-02</v>
          </cell>
          <cell r="Y297" t="str">
            <v>Pulsador armadoverde 1NA+1NC- LAY5- EA31</v>
          </cell>
          <cell r="Z297" t="str">
            <v>Si</v>
          </cell>
        </row>
        <row r="298">
          <cell r="W298" t="str">
            <v>REP-0271</v>
          </cell>
          <cell r="X298" t="str">
            <v>D-03</v>
          </cell>
          <cell r="Y298" t="str">
            <v>Pulsador armado rojo 1NA+1NC - LAY5- EA42</v>
          </cell>
          <cell r="Z298" t="str">
            <v>Si</v>
          </cell>
        </row>
        <row r="299">
          <cell r="W299" t="str">
            <v>REP-0272</v>
          </cell>
          <cell r="X299" t="str">
            <v>V-02</v>
          </cell>
          <cell r="Y299" t="str">
            <v>Visera para display</v>
          </cell>
          <cell r="Z299" t="str">
            <v>No</v>
          </cell>
        </row>
        <row r="300">
          <cell r="W300" t="str">
            <v>REP-0273</v>
          </cell>
          <cell r="X300" t="str">
            <v>27.00.017-B</v>
          </cell>
          <cell r="Y300" t="str">
            <v>Cepillo largo (USA)</v>
          </cell>
          <cell r="Z300" t="str">
            <v>Si</v>
          </cell>
        </row>
        <row r="301">
          <cell r="W301" t="str">
            <v>REP-0274</v>
          </cell>
          <cell r="X301" t="str">
            <v>09.00.794N</v>
          </cell>
          <cell r="Y301" t="str">
            <v>Manguera brazo giratorio 1,55 mt</v>
          </cell>
          <cell r="Z301" t="str">
            <v>Si</v>
          </cell>
        </row>
        <row r="302">
          <cell r="W302" t="str">
            <v>REP-0275</v>
          </cell>
          <cell r="X302" t="str">
            <v>09.00.795N</v>
          </cell>
          <cell r="Y302" t="str">
            <v>Manguera brazo giratorio 1,67 mt NAC</v>
          </cell>
          <cell r="Z302" t="str">
            <v>No</v>
          </cell>
        </row>
        <row r="303">
          <cell r="W303" t="str">
            <v>REP-0276</v>
          </cell>
          <cell r="X303" t="str">
            <v>HT-02</v>
          </cell>
          <cell r="Y303" t="str">
            <v>Electrobomba Espa 15,5M</v>
          </cell>
          <cell r="Z303" t="str">
            <v>Si</v>
          </cell>
        </row>
        <row r="304">
          <cell r="W304" t="str">
            <v>REP-0277</v>
          </cell>
          <cell r="X304" t="str">
            <v>HT-03</v>
          </cell>
          <cell r="Y304" t="str">
            <v>Presostato hidropack</v>
          </cell>
          <cell r="Z304" t="str">
            <v>Si</v>
          </cell>
        </row>
        <row r="305">
          <cell r="W305" t="str">
            <v>REP-0278</v>
          </cell>
          <cell r="X305" t="str">
            <v>HT-05</v>
          </cell>
          <cell r="Y305" t="str">
            <v>Valvula retencion 1 fondo estanque 500 lts</v>
          </cell>
          <cell r="Z305" t="str">
            <v>Si</v>
          </cell>
        </row>
        <row r="306">
          <cell r="W306" t="str">
            <v>REP-0279</v>
          </cell>
          <cell r="X306" t="str">
            <v>HT-07</v>
          </cell>
          <cell r="Y306" t="str">
            <v>kit hidroneumático Varen</v>
          </cell>
          <cell r="Z306" t="str">
            <v>No</v>
          </cell>
        </row>
        <row r="307">
          <cell r="W307" t="str">
            <v>REP-0280</v>
          </cell>
          <cell r="X307" t="str">
            <v>HT-08</v>
          </cell>
          <cell r="Y307" t="str">
            <v>Esfera hidropack</v>
          </cell>
          <cell r="Z307" t="str">
            <v>Si</v>
          </cell>
        </row>
        <row r="308">
          <cell r="W308" t="str">
            <v>REP-0281</v>
          </cell>
          <cell r="X308" t="str">
            <v>HT-09</v>
          </cell>
          <cell r="Y308" t="str">
            <v>Filtro valvula retencion 1</v>
          </cell>
          <cell r="Z308" t="str">
            <v>Si</v>
          </cell>
        </row>
        <row r="309">
          <cell r="W309" t="str">
            <v>REP-0282</v>
          </cell>
          <cell r="X309" t="str">
            <v>HT-10</v>
          </cell>
          <cell r="Y309" t="str">
            <v>Válvula 5 vías bronce</v>
          </cell>
          <cell r="Z309" t="str">
            <v>Si</v>
          </cell>
        </row>
        <row r="310">
          <cell r="W310" t="str">
            <v>REP-0283</v>
          </cell>
          <cell r="X310" t="str">
            <v>HT-06</v>
          </cell>
          <cell r="Y310" t="str">
            <v>Guardamotor electrobba</v>
          </cell>
          <cell r="Z310" t="str">
            <v>Si</v>
          </cell>
        </row>
        <row r="311">
          <cell r="W311" t="str">
            <v>REP-0284</v>
          </cell>
          <cell r="X311" t="str">
            <v>V-30</v>
          </cell>
          <cell r="Y311" t="str">
            <v>Manguera protección 1m Amarilla Procaucho</v>
          </cell>
          <cell r="Z311" t="str">
            <v>No</v>
          </cell>
        </row>
        <row r="312">
          <cell r="W312" t="str">
            <v>REP-0286</v>
          </cell>
          <cell r="X312" t="str">
            <v>V-39</v>
          </cell>
          <cell r="Y312" t="str">
            <v>Flexible airflex 10m DESCATALOGADO</v>
          </cell>
          <cell r="Z312" t="str">
            <v>No</v>
          </cell>
        </row>
        <row r="313">
          <cell r="W313" t="str">
            <v>REP-0287</v>
          </cell>
          <cell r="X313" t="str">
            <v>V-37</v>
          </cell>
          <cell r="Y313" t="str">
            <v>Gravilla Inquinat 25kg</v>
          </cell>
          <cell r="Z313" t="str">
            <v>No</v>
          </cell>
        </row>
        <row r="314">
          <cell r="W314" t="str">
            <v>REP-0289</v>
          </cell>
          <cell r="X314" t="str">
            <v>ASP-04</v>
          </cell>
          <cell r="Y314" t="str">
            <v>Resorte filtro de aspirado</v>
          </cell>
          <cell r="Z314" t="str">
            <v>Si</v>
          </cell>
        </row>
        <row r="315">
          <cell r="W315" t="str">
            <v>REP-0290</v>
          </cell>
          <cell r="X315" t="str">
            <v>ASP-05</v>
          </cell>
          <cell r="Y315" t="str">
            <v>Golilla filtro aspirado</v>
          </cell>
          <cell r="Z315" t="str">
            <v>Si</v>
          </cell>
        </row>
        <row r="316">
          <cell r="W316" t="str">
            <v>REP-0292</v>
          </cell>
          <cell r="X316" t="str">
            <v>V-29</v>
          </cell>
          <cell r="Y316" t="str">
            <v>Termo Rheem 125 lts</v>
          </cell>
          <cell r="Z316" t="str">
            <v>No</v>
          </cell>
        </row>
        <row r="317">
          <cell r="W317" t="str">
            <v>REP-0293</v>
          </cell>
          <cell r="X317" t="str">
            <v>V-33</v>
          </cell>
          <cell r="Y317" t="str">
            <v>Resistencia 2000w Rheem</v>
          </cell>
          <cell r="Z317" t="str">
            <v>No</v>
          </cell>
        </row>
        <row r="318">
          <cell r="W318" t="str">
            <v>REP-0294</v>
          </cell>
          <cell r="X318" t="str">
            <v>V-10</v>
          </cell>
          <cell r="Y318" t="str">
            <v>Ánodo magnesio frontal</v>
          </cell>
          <cell r="Z318" t="str">
            <v>Si</v>
          </cell>
        </row>
        <row r="319">
          <cell r="W319" t="str">
            <v>REP-0295</v>
          </cell>
          <cell r="X319" t="str">
            <v>V-11</v>
          </cell>
          <cell r="Y319" t="str">
            <v>Arosello para ánodo</v>
          </cell>
          <cell r="Z319" t="str">
            <v>Si</v>
          </cell>
        </row>
        <row r="320">
          <cell r="W320" t="str">
            <v>REP-0296</v>
          </cell>
          <cell r="X320" t="str">
            <v>V-12</v>
          </cell>
          <cell r="Y320" t="str">
            <v>Calefactor 3 Kw (Resistencia monofasica)</v>
          </cell>
          <cell r="Z320" t="str">
            <v>Si</v>
          </cell>
        </row>
        <row r="321">
          <cell r="W321" t="str">
            <v>REP-0297</v>
          </cell>
          <cell r="X321" t="str">
            <v>V-15</v>
          </cell>
          <cell r="Y321" t="str">
            <v>Termo Trotter 100 Lt cincado 220V 3kw</v>
          </cell>
          <cell r="Z321" t="str">
            <v>No</v>
          </cell>
        </row>
        <row r="322">
          <cell r="W322" t="str">
            <v>REP-0298</v>
          </cell>
          <cell r="X322" t="str">
            <v>V-18</v>
          </cell>
          <cell r="Y322" t="str">
            <v>Termo 100 Lt Trotter cincado 6 Kw</v>
          </cell>
          <cell r="Z322" t="str">
            <v>Si</v>
          </cell>
        </row>
        <row r="323">
          <cell r="W323" t="str">
            <v>REP-0299</v>
          </cell>
          <cell r="X323" t="str">
            <v>V-38</v>
          </cell>
          <cell r="Y323" t="str">
            <v>Bornera de conexión ceramica 3 polos Trotter</v>
          </cell>
          <cell r="Z323" t="str">
            <v>Si</v>
          </cell>
        </row>
        <row r="324">
          <cell r="W324" t="str">
            <v>REP-0300</v>
          </cell>
          <cell r="X324" t="str">
            <v>V-40</v>
          </cell>
          <cell r="Y324" t="str">
            <v>Calefactor 6KW (resistencia trifasica)</v>
          </cell>
          <cell r="Z324" t="str">
            <v>Si</v>
          </cell>
        </row>
        <row r="325">
          <cell r="W325" t="str">
            <v>REP-0301</v>
          </cell>
          <cell r="X325" t="str">
            <v>V-20</v>
          </cell>
          <cell r="Y325" t="str">
            <v>Termostato termo Trotter</v>
          </cell>
          <cell r="Z325" t="str">
            <v>Si</v>
          </cell>
        </row>
        <row r="326">
          <cell r="W326" t="str">
            <v>REP-0304</v>
          </cell>
          <cell r="X326" t="str">
            <v>T900-047-047</v>
          </cell>
          <cell r="Y326" t="str">
            <v>Ficha aspirado vacuum token/vacuum token dorada (Abast, Socobar, Recabarren, Biec)</v>
          </cell>
          <cell r="Z326" t="str">
            <v>Si</v>
          </cell>
        </row>
        <row r="327">
          <cell r="W327" t="str">
            <v>REP-0305</v>
          </cell>
          <cell r="X327" t="str">
            <v>X260-655-001</v>
          </cell>
          <cell r="Y327" t="str">
            <v>Ficha lavado ESMAX save water save the world/car wash dorada</v>
          </cell>
          <cell r="Z327" t="str">
            <v>Si</v>
          </cell>
        </row>
        <row r="328">
          <cell r="W328" t="str">
            <v>REP-0306</v>
          </cell>
          <cell r="X328" t="str">
            <v>09.01.801</v>
          </cell>
          <cell r="Y328" t="str">
            <v>Ficha Aspirado ESMAX MOD \E\ Plateada</v>
          </cell>
          <cell r="Z328" t="str">
            <v>No</v>
          </cell>
        </row>
        <row r="329">
          <cell r="W329" t="str">
            <v>REP-0307</v>
          </cell>
          <cell r="X329" t="str">
            <v>09.01.126</v>
          </cell>
          <cell r="Y329" t="str">
            <v>Ficha aspirado COPEC mod \C\ personalizadas Lavamax</v>
          </cell>
          <cell r="Z329" t="str">
            <v>Si</v>
          </cell>
        </row>
        <row r="330">
          <cell r="W330" t="str">
            <v>REP-0308</v>
          </cell>
          <cell r="X330" t="str">
            <v>TRB984-316-317</v>
          </cell>
          <cell r="Y330" t="str">
            <v>Ficha lavado autos/crown dorada (Recabarren-Bascuñan)</v>
          </cell>
          <cell r="Z330" t="str">
            <v>Si</v>
          </cell>
        </row>
        <row r="331">
          <cell r="W331" t="str">
            <v>REP-0309</v>
          </cell>
          <cell r="X331" t="str">
            <v>09.00.296</v>
          </cell>
          <cell r="Y331" t="str">
            <v>Ficha lavado COPEC mod \A\ personalizadas Lavamax</v>
          </cell>
          <cell r="Z331" t="str">
            <v>Si</v>
          </cell>
        </row>
        <row r="332">
          <cell r="W332" t="str">
            <v>REP-0310</v>
          </cell>
          <cell r="X332" t="str">
            <v>V-23</v>
          </cell>
          <cell r="Y332" t="str">
            <v>Ficha Acanalada aspirado MIX (PANATT y EING)</v>
          </cell>
          <cell r="Z332" t="str">
            <v>No</v>
          </cell>
        </row>
        <row r="333">
          <cell r="W333" t="str">
            <v>REP-0311</v>
          </cell>
          <cell r="X333" t="str">
            <v>TRB984-490-446</v>
          </cell>
          <cell r="Y333" t="str">
            <v xml:space="preserve">Ficha lavado part auto chico/no cash value red brass (Zambra, Socobar) </v>
          </cell>
          <cell r="Z333" t="str">
            <v>Si</v>
          </cell>
        </row>
        <row r="334">
          <cell r="W334" t="str">
            <v>REP-0312</v>
          </cell>
          <cell r="X334" t="str">
            <v>X260-660-201</v>
          </cell>
          <cell r="Y334" t="str">
            <v>Ficha aspirado ESMAX vacuum token/aguila estrellas plateada</v>
          </cell>
          <cell r="Z334" t="str">
            <v>Si</v>
          </cell>
        </row>
        <row r="335">
          <cell r="W335" t="str">
            <v>REP-0313</v>
          </cell>
          <cell r="X335" t="str">
            <v>T1073-836-1521</v>
          </cell>
          <cell r="Y335" t="str">
            <v>Ficha lavado corona/escudo Dorada PANATT/EING</v>
          </cell>
          <cell r="Z335" t="str">
            <v>Si</v>
          </cell>
        </row>
        <row r="336">
          <cell r="W336" t="str">
            <v>REP-0314</v>
          </cell>
          <cell r="X336" t="str">
            <v>09.02.477</v>
          </cell>
          <cell r="Y336" t="str">
            <v>Inverter 2,2 KW 3AC380-480V</v>
          </cell>
          <cell r="Z336" t="str">
            <v>Si</v>
          </cell>
        </row>
        <row r="337">
          <cell r="W337" t="str">
            <v>REP-0315</v>
          </cell>
          <cell r="X337" t="str">
            <v>09.03.015</v>
          </cell>
          <cell r="Y337" t="str">
            <v>Ventilador 80x80 24V AC</v>
          </cell>
          <cell r="Z337" t="str">
            <v>Si</v>
          </cell>
        </row>
        <row r="338">
          <cell r="W338" t="str">
            <v>REP-0316</v>
          </cell>
          <cell r="X338" t="str">
            <v>23.00.274</v>
          </cell>
          <cell r="Y338" t="str">
            <v>automatico 3P 16A</v>
          </cell>
          <cell r="Z338" t="str">
            <v>Si</v>
          </cell>
        </row>
        <row r="339">
          <cell r="W339" t="str">
            <v>REP-0317</v>
          </cell>
          <cell r="X339" t="str">
            <v>09.02.983</v>
          </cell>
          <cell r="Y339" t="str">
            <v>Int. MT 6KA 1N 1MOD 2A C</v>
          </cell>
          <cell r="Z339" t="str">
            <v>Si</v>
          </cell>
        </row>
        <row r="340">
          <cell r="W340" t="str">
            <v>REP-0318</v>
          </cell>
          <cell r="X340" t="str">
            <v>09.02.974</v>
          </cell>
          <cell r="Y340" t="str">
            <v>Int. MT 10 KA 1P+1N D 2A</v>
          </cell>
          <cell r="Z340" t="str">
            <v>Si</v>
          </cell>
        </row>
        <row r="341">
          <cell r="W341" t="str">
            <v>REP-0319</v>
          </cell>
          <cell r="X341" t="str">
            <v>09.02.985</v>
          </cell>
          <cell r="Y341" t="str">
            <v>Int. mt 6KA 1N 1MOD 6A C</v>
          </cell>
          <cell r="Z341" t="str">
            <v>Si</v>
          </cell>
        </row>
        <row r="342">
          <cell r="W342" t="str">
            <v>REP-0320</v>
          </cell>
          <cell r="X342" t="str">
            <v>60.00.131</v>
          </cell>
          <cell r="Y342" t="str">
            <v>kit completo para sanitizado</v>
          </cell>
          <cell r="Z342" t="str">
            <v>Si</v>
          </cell>
        </row>
        <row r="343">
          <cell r="W343" t="str">
            <v>REP-0321</v>
          </cell>
          <cell r="X343" t="str">
            <v>09.03.163</v>
          </cell>
          <cell r="Y343" t="str">
            <v>Filtro pistola mousse</v>
          </cell>
          <cell r="Z343" t="str">
            <v>Si</v>
          </cell>
        </row>
        <row r="344">
          <cell r="W344" t="str">
            <v>REP-0322</v>
          </cell>
          <cell r="X344" t="str">
            <v>ab-03</v>
          </cell>
          <cell r="Y344" t="str">
            <v>Saco de gravilla 25 Kg (Aguasin) DESCATAOGADO</v>
          </cell>
          <cell r="Z344" t="str">
            <v>No</v>
          </cell>
        </row>
        <row r="345">
          <cell r="W345" t="str">
            <v>REP-0323</v>
          </cell>
          <cell r="X345" t="str">
            <v>09.03.092BLU NAC</v>
          </cell>
          <cell r="Y345" t="str">
            <v xml:space="preserve">Manguera 4,0m BLU baja presión nacional DESCATALOGADO </v>
          </cell>
          <cell r="Z345" t="str">
            <v>No</v>
          </cell>
        </row>
        <row r="346">
          <cell r="W346" t="str">
            <v>REP-0324</v>
          </cell>
          <cell r="X346" t="str">
            <v>X230-409-001</v>
          </cell>
          <cell r="Y346" t="str">
            <v>Ficha lavado part autos/rueda (La Serena Florida, Llolleo part)</v>
          </cell>
          <cell r="Z346" t="str">
            <v>Si</v>
          </cell>
        </row>
        <row r="347">
          <cell r="W347" t="str">
            <v>REP-0325</v>
          </cell>
          <cell r="X347" t="str">
            <v>X260-630-201</v>
          </cell>
          <cell r="Y347" t="str">
            <v xml:space="preserve">Ficha asp part estrella-winner </v>
          </cell>
          <cell r="Z347" t="str">
            <v>Si</v>
          </cell>
        </row>
        <row r="348">
          <cell r="W348" t="str">
            <v>REP-0326</v>
          </cell>
          <cell r="X348" t="str">
            <v>09.03.114</v>
          </cell>
          <cell r="Y348" t="str">
            <v>Válvula de inyección verde</v>
          </cell>
          <cell r="Z348" t="str">
            <v>Si</v>
          </cell>
        </row>
        <row r="349">
          <cell r="W349" t="str">
            <v>REP-0327</v>
          </cell>
          <cell r="X349" t="str">
            <v>09.03.113</v>
          </cell>
          <cell r="Y349" t="str">
            <v>Válvula de inyección blanca</v>
          </cell>
          <cell r="Z349" t="str">
            <v>Si</v>
          </cell>
        </row>
        <row r="350">
          <cell r="W350" t="str">
            <v>REP-0328</v>
          </cell>
          <cell r="X350" t="str">
            <v/>
          </cell>
          <cell r="Y350" t="str">
            <v>Resina sunresin SC 130</v>
          </cell>
          <cell r="Z350" t="str">
            <v>No</v>
          </cell>
        </row>
        <row r="351">
          <cell r="W351" t="str">
            <v>REP-0329</v>
          </cell>
          <cell r="X351" t="str">
            <v>60.00.030</v>
          </cell>
          <cell r="Y351" t="str">
            <v>Manguera espiral + terminales para sanitizado</v>
          </cell>
          <cell r="Z351" t="str">
            <v>Si</v>
          </cell>
        </row>
        <row r="352">
          <cell r="W352" t="str">
            <v>REP-0330</v>
          </cell>
          <cell r="X352" t="str">
            <v/>
          </cell>
          <cell r="Y352" t="str">
            <v>Fichas antiguas lavado ESMAX MIX MOD D</v>
          </cell>
          <cell r="Z352" t="str">
            <v>No</v>
          </cell>
        </row>
        <row r="353">
          <cell r="W353" t="str">
            <v>REP-0331</v>
          </cell>
          <cell r="X353" t="str">
            <v/>
          </cell>
          <cell r="Y353" t="str">
            <v>Fichas MIX MOD C no personalizadas</v>
          </cell>
          <cell r="Z353" t="str">
            <v>No</v>
          </cell>
        </row>
        <row r="354">
          <cell r="W354" t="str">
            <v>REP-0332</v>
          </cell>
          <cell r="X354" t="str">
            <v/>
          </cell>
          <cell r="Y354" t="str">
            <v>Fichas antiguas MIX Morano</v>
          </cell>
          <cell r="Z354" t="str">
            <v>No</v>
          </cell>
        </row>
        <row r="355">
          <cell r="W355" t="str">
            <v>REP-0333</v>
          </cell>
          <cell r="X355" t="str">
            <v>28.00.082</v>
          </cell>
          <cell r="Y355" t="str">
            <v>Filtro de sedimento texpro</v>
          </cell>
          <cell r="Z355" t="str">
            <v>No</v>
          </cell>
        </row>
        <row r="356">
          <cell r="W356" t="str">
            <v>REP-0334</v>
          </cell>
          <cell r="X356" t="str">
            <v>28.00.081</v>
          </cell>
          <cell r="Y356" t="str">
            <v>Filtro de sedimento vigaflow DESCATALOGADO</v>
          </cell>
          <cell r="Z356" t="str">
            <v>No</v>
          </cell>
        </row>
        <row r="357">
          <cell r="W357" t="str">
            <v>REP-0335</v>
          </cell>
          <cell r="X357" t="str">
            <v/>
          </cell>
          <cell r="Y357" t="str">
            <v>Filtro de carbón block Vigaflow DESCATALOGADO</v>
          </cell>
          <cell r="Z357" t="str">
            <v>No</v>
          </cell>
        </row>
        <row r="358">
          <cell r="W358" t="str">
            <v>REP-0336</v>
          </cell>
          <cell r="X358" t="str">
            <v/>
          </cell>
          <cell r="Y358" t="str">
            <v>Visera para display de 4 cifras</v>
          </cell>
          <cell r="Z358" t="str">
            <v>Si</v>
          </cell>
        </row>
        <row r="359">
          <cell r="W359" t="str">
            <v>REP-0337</v>
          </cell>
          <cell r="X359" t="str">
            <v/>
          </cell>
          <cell r="Y359" t="str">
            <v>Valvula bola 1/2</v>
          </cell>
          <cell r="Z359" t="str">
            <v>Si</v>
          </cell>
        </row>
        <row r="360">
          <cell r="W360" t="str">
            <v>REP-0338</v>
          </cell>
          <cell r="X360" t="str">
            <v/>
          </cell>
          <cell r="Y360" t="str">
            <v>Copla bronce hihi 1/2 nacional</v>
          </cell>
          <cell r="Z360" t="str">
            <v>Si</v>
          </cell>
        </row>
        <row r="361">
          <cell r="W361" t="str">
            <v>REP-0339</v>
          </cell>
          <cell r="X361" t="str">
            <v/>
          </cell>
          <cell r="Y361" t="str">
            <v>Kit analizador de durezas de alto rango 100 determinaciones</v>
          </cell>
          <cell r="Z361" t="str">
            <v>Si</v>
          </cell>
        </row>
        <row r="362">
          <cell r="W362" t="str">
            <v>REP-0340</v>
          </cell>
          <cell r="X362" t="str">
            <v/>
          </cell>
          <cell r="Y362" t="str">
            <v>Pulsador armado azul contacto NO</v>
          </cell>
          <cell r="Z362" t="str">
            <v>Si</v>
          </cell>
        </row>
        <row r="363">
          <cell r="W363" t="str">
            <v>REP-0341</v>
          </cell>
          <cell r="X363" t="str">
            <v/>
          </cell>
          <cell r="Y363" t="str">
            <v>Kit analizador de durezas bajo rango 100 determinaciones</v>
          </cell>
          <cell r="Z363" t="str">
            <v>Si</v>
          </cell>
        </row>
        <row r="364">
          <cell r="W364" t="str">
            <v>REP-0342</v>
          </cell>
          <cell r="X364" t="str">
            <v/>
          </cell>
          <cell r="Y364" t="str">
            <v>Protector negro pistola lanza perdente DESCATALOGADO</v>
          </cell>
          <cell r="Z364" t="str">
            <v>No</v>
          </cell>
        </row>
        <row r="365">
          <cell r="W365" t="str">
            <v>REP-0343</v>
          </cell>
          <cell r="X365" t="str">
            <v/>
          </cell>
          <cell r="Y365" t="str">
            <v xml:space="preserve"> Puerta mself para display 4 cifras DESCATALOGADO</v>
          </cell>
          <cell r="Z365" t="str">
            <v>No</v>
          </cell>
        </row>
        <row r="366">
          <cell r="W366" t="str">
            <v>REP-0344</v>
          </cell>
          <cell r="X366" t="str">
            <v>09.02.088</v>
          </cell>
          <cell r="Y366" t="str">
            <v xml:space="preserve">EV 1/2 100 bar mousse </v>
          </cell>
          <cell r="Z366" t="str">
            <v>Si</v>
          </cell>
        </row>
        <row r="367">
          <cell r="W367" t="str">
            <v>REP-0345</v>
          </cell>
          <cell r="X367" t="str">
            <v>V-17</v>
          </cell>
          <cell r="Y367" t="str">
            <v>Termo 100lt Trotter inoxidable 6 kw</v>
          </cell>
          <cell r="Z367" t="str">
            <v>Si</v>
          </cell>
        </row>
        <row r="368">
          <cell r="W368" t="str">
            <v>REP-0346</v>
          </cell>
          <cell r="X368" t="str">
            <v/>
          </cell>
          <cell r="Y368" t="str">
            <v xml:space="preserve"> Soporte de plástico para manguera de soplado</v>
          </cell>
          <cell r="Z368" t="str">
            <v>Si</v>
          </cell>
        </row>
        <row r="369">
          <cell r="W369" t="str">
            <v>REP-0347</v>
          </cell>
          <cell r="X369" t="str">
            <v>09.01.786</v>
          </cell>
          <cell r="Y369" t="str">
            <v>Contactor eaton 24V</v>
          </cell>
          <cell r="Z369" t="str">
            <v>Si</v>
          </cell>
        </row>
        <row r="370">
          <cell r="W370" t="str">
            <v>REP-0348</v>
          </cell>
          <cell r="X370" t="str">
            <v>09.03.172</v>
          </cell>
          <cell r="Y370" t="str">
            <v>Diferencial tipo B SIEMENE 5SV3342-4</v>
          </cell>
          <cell r="Z370" t="str">
            <v>Si</v>
          </cell>
        </row>
        <row r="371">
          <cell r="W371" t="str">
            <v>REP-0349</v>
          </cell>
          <cell r="X371" t="str">
            <v>REP- 0349</v>
          </cell>
          <cell r="Y371" t="str">
            <v>Ablandador residencial 13x54" vigaflow DESCATALOGADO</v>
          </cell>
          <cell r="Z371" t="str">
            <v>No</v>
          </cell>
        </row>
        <row r="372">
          <cell r="W372" t="str">
            <v>REP-0350</v>
          </cell>
          <cell r="X372" t="str">
            <v>09.03.059ROSSO</v>
          </cell>
          <cell r="Y372" t="str">
            <v xml:space="preserve">Manguera 3,5 mts color rojo </v>
          </cell>
          <cell r="Z372" t="str">
            <v>Si</v>
          </cell>
        </row>
        <row r="373">
          <cell r="W373" t="str">
            <v>REP-0351</v>
          </cell>
          <cell r="X373" t="str">
            <v>09.03.060GRIGIO</v>
          </cell>
          <cell r="Y373" t="str">
            <v>Manguera 4,7 mts color gris</v>
          </cell>
          <cell r="Z373" t="str">
            <v>Si</v>
          </cell>
        </row>
        <row r="374">
          <cell r="W374" t="str">
            <v>REP-0352</v>
          </cell>
          <cell r="X374" t="str">
            <v>09.03.092GRIGIO</v>
          </cell>
          <cell r="Y374" t="str">
            <v>Manguera 4,0 mts color gris</v>
          </cell>
          <cell r="Z374" t="str">
            <v>Si</v>
          </cell>
        </row>
        <row r="375">
          <cell r="W375" t="str">
            <v>REP-0353</v>
          </cell>
          <cell r="X375" t="str">
            <v>09.01.386S</v>
          </cell>
          <cell r="Y375" t="str">
            <v>Fichero RM5</v>
          </cell>
          <cell r="Z375" t="str">
            <v>Si</v>
          </cell>
        </row>
        <row r="376">
          <cell r="W376" t="str">
            <v>REP-0354</v>
          </cell>
          <cell r="X376" t="str">
            <v/>
          </cell>
          <cell r="Y376" t="str">
            <v>Reducción 1/2 he x 1/4 hi bronce</v>
          </cell>
          <cell r="Z376" t="str">
            <v>Si</v>
          </cell>
        </row>
        <row r="377">
          <cell r="W377" t="str">
            <v>REP-0355</v>
          </cell>
          <cell r="X377" t="str">
            <v/>
          </cell>
          <cell r="Y377" t="str">
            <v xml:space="preserve"> Oring para boquilla pistola mousse </v>
          </cell>
          <cell r="Z377" t="str">
            <v>Si</v>
          </cell>
        </row>
        <row r="378">
          <cell r="W378" t="str">
            <v>REP-0356</v>
          </cell>
          <cell r="X378" t="str">
            <v>X752-915-001</v>
          </cell>
          <cell r="Y378" t="str">
            <v>Ficha lavado Abastible self service car wash/tu lavas tu brillas</v>
          </cell>
          <cell r="Z378" t="str">
            <v>Si</v>
          </cell>
        </row>
        <row r="379">
          <cell r="W379" t="str">
            <v>REP-0357</v>
          </cell>
          <cell r="X379" t="str">
            <v>09.03.092ROSSO</v>
          </cell>
          <cell r="Y379" t="str">
            <v>Manguera 4,0 mts color rojo</v>
          </cell>
          <cell r="Z379" t="str">
            <v>Si</v>
          </cell>
        </row>
        <row r="380">
          <cell r="W380" t="str">
            <v>REP-0358</v>
          </cell>
          <cell r="X380" t="str">
            <v/>
          </cell>
          <cell r="Y380" t="str">
            <v xml:space="preserve"> 28.00.130 Filtro de carbón granular vigaflow HDF-10 DESCATALOGADO</v>
          </cell>
          <cell r="Z380" t="str">
            <v>No</v>
          </cell>
        </row>
        <row r="381">
          <cell r="W381" t="str">
            <v>REP-0359</v>
          </cell>
          <cell r="X381" t="str">
            <v>XTST-107-001</v>
          </cell>
          <cell r="Y381" t="str">
            <v>FICHA ASPIRADO PBR COBRE  Time Saver Token</v>
          </cell>
          <cell r="Z381" t="str">
            <v>No</v>
          </cell>
        </row>
        <row r="382">
          <cell r="W382" t="str">
            <v>REP-0360</v>
          </cell>
          <cell r="X382" t="str">
            <v>X230-440-001 </v>
          </cell>
          <cell r="Y382" t="str">
            <v>Ficha dorada lava interni Lavamax multifunción</v>
          </cell>
          <cell r="Z382" t="str">
            <v>Si</v>
          </cell>
        </row>
        <row r="383">
          <cell r="W383" t="str">
            <v>REP-0361</v>
          </cell>
          <cell r="X383" t="str">
            <v>09.01.373</v>
          </cell>
          <cell r="Y383" t="str">
            <v>Carcasa de membrana de osmosis</v>
          </cell>
          <cell r="Z383" t="str">
            <v>Si</v>
          </cell>
        </row>
        <row r="384">
          <cell r="W384" t="str">
            <v>REP-0362</v>
          </cell>
          <cell r="X384" t="str">
            <v>09.03.164</v>
          </cell>
          <cell r="Y384" t="str">
            <v>Mango pistola mousse</v>
          </cell>
          <cell r="Z384" t="str">
            <v>Si</v>
          </cell>
        </row>
        <row r="385">
          <cell r="W385" t="str">
            <v>REP-0363</v>
          </cell>
          <cell r="X385" t="str">
            <v>09.03.162</v>
          </cell>
          <cell r="Y385" t="str">
            <v>Boquilla y cuerpo lanza mousse</v>
          </cell>
          <cell r="Z385" t="str">
            <v>Si</v>
          </cell>
        </row>
        <row r="386">
          <cell r="W386" t="str">
            <v>REP-0364</v>
          </cell>
          <cell r="X386" t="str">
            <v>09.03.165</v>
          </cell>
          <cell r="Y386" t="str">
            <v>Bomba dosificadora de mousse</v>
          </cell>
          <cell r="Z386" t="str">
            <v>Si</v>
          </cell>
        </row>
        <row r="387">
          <cell r="W387" t="str">
            <v>REP-0365</v>
          </cell>
          <cell r="X387" t="str">
            <v/>
          </cell>
          <cell r="Y387" t="str">
            <v>Extension Manguera color rojo 1 mt</v>
          </cell>
          <cell r="Z387" t="str">
            <v>Si</v>
          </cell>
        </row>
        <row r="388">
          <cell r="W388" t="str">
            <v>REP-0366</v>
          </cell>
          <cell r="X388" t="str">
            <v/>
          </cell>
          <cell r="Y388" t="str">
            <v>Codo bronce 1/4 hehi</v>
          </cell>
          <cell r="Z388" t="str">
            <v>Si</v>
          </cell>
        </row>
        <row r="389">
          <cell r="W389" t="str">
            <v>REP-0367</v>
          </cell>
          <cell r="X389" t="str">
            <v>REP-0367</v>
          </cell>
          <cell r="Y389" t="str">
            <v>Resina catiónica G8 CG8 saco de 28,32L</v>
          </cell>
          <cell r="Z389" t="str">
            <v>Si</v>
          </cell>
        </row>
        <row r="390">
          <cell r="W390" t="str">
            <v>REP-0368</v>
          </cell>
          <cell r="X390" t="str">
            <v>REP-0368</v>
          </cell>
          <cell r="Y390" t="str">
            <v>Gravilla silica malla 4"-8" saco</v>
          </cell>
          <cell r="Z390" t="str">
            <v>Si</v>
          </cell>
        </row>
        <row r="391">
          <cell r="W391" t="str">
            <v>REP-0369</v>
          </cell>
          <cell r="X391" t="str">
            <v/>
          </cell>
          <cell r="Y391" t="str">
            <v>Membrana de osmosis HF1</v>
          </cell>
          <cell r="Z391" t="str">
            <v>Si</v>
          </cell>
        </row>
        <row r="392">
          <cell r="W392" t="str">
            <v>REP-0370</v>
          </cell>
          <cell r="X392" t="str">
            <v/>
          </cell>
          <cell r="Y392" t="str">
            <v>Membrana de osmosis HR3</v>
          </cell>
          <cell r="Z392" t="str">
            <v>Si</v>
          </cell>
        </row>
        <row r="393">
          <cell r="W393" t="str">
            <v>REP-0371</v>
          </cell>
          <cell r="X393" t="str">
            <v/>
          </cell>
          <cell r="Y393" t="str">
            <v>Ficha mod "B" no personalizadas (ex Abastible)</v>
          </cell>
          <cell r="Z393" t="str">
            <v>Si</v>
          </cell>
        </row>
        <row r="394">
          <cell r="W394" t="str">
            <v>REP-0372</v>
          </cell>
          <cell r="X394" t="str">
            <v/>
          </cell>
          <cell r="Y394" t="str">
            <v>Ficha vacuum plateada (aspiradora)</v>
          </cell>
          <cell r="Z394" t="str">
            <v>Si</v>
          </cell>
        </row>
        <row r="395">
          <cell r="W395" t="str">
            <v>REP-0373</v>
          </cell>
          <cell r="X395" t="str">
            <v/>
          </cell>
          <cell r="Y395" t="str">
            <v>Ficha carwash dorada (auto covertible)</v>
          </cell>
          <cell r="Z395" t="str">
            <v>Si</v>
          </cell>
        </row>
        <row r="396">
          <cell r="W396" t="str">
            <v>REP-0374</v>
          </cell>
          <cell r="X396" t="str">
            <v>09.03.207</v>
          </cell>
          <cell r="Y396" t="str">
            <v>Cubre fichero (lava interior)</v>
          </cell>
          <cell r="Z396" t="str">
            <v>Si</v>
          </cell>
        </row>
        <row r="397">
          <cell r="W397" t="str">
            <v>REP-0375</v>
          </cell>
          <cell r="X397" t="str">
            <v>09.03.209</v>
          </cell>
          <cell r="Y397" t="str">
            <v>Tarjeta electrónica lavainterior (lava interior)</v>
          </cell>
          <cell r="Z397" t="str">
            <v>Si</v>
          </cell>
        </row>
        <row r="398">
          <cell r="W398" t="str">
            <v>REP-0376</v>
          </cell>
          <cell r="X398" t="str">
            <v>09.03.210</v>
          </cell>
          <cell r="Y398" t="str">
            <v>Alimentador para tarjeta electrónica (lava interior)</v>
          </cell>
          <cell r="Z398" t="str">
            <v>Si</v>
          </cell>
        </row>
        <row r="399">
          <cell r="W399" t="str">
            <v>REP-0377</v>
          </cell>
          <cell r="X399" t="str">
            <v>09.03.211</v>
          </cell>
          <cell r="Y399" t="str">
            <v xml:space="preserve">Pulsador azul luminoso (lava interior) </v>
          </cell>
          <cell r="Z399" t="str">
            <v>Si</v>
          </cell>
        </row>
        <row r="400">
          <cell r="W400" t="str">
            <v>REP-0378</v>
          </cell>
          <cell r="X400" t="str">
            <v>09.03.212</v>
          </cell>
          <cell r="Y400" t="str">
            <v>Pulsador rojo luminoso (lava interior)</v>
          </cell>
          <cell r="Z400" t="str">
            <v>Si</v>
          </cell>
        </row>
        <row r="401">
          <cell r="W401" t="str">
            <v>REP-0379</v>
          </cell>
          <cell r="X401" t="str">
            <v>09.03.213</v>
          </cell>
          <cell r="Y401" t="str">
            <v>Bomba producto electromagnética (lava interior)</v>
          </cell>
          <cell r="Z401" t="str">
            <v>Si</v>
          </cell>
        </row>
        <row r="402">
          <cell r="W402" t="str">
            <v>REP-0380</v>
          </cell>
          <cell r="X402" t="str">
            <v>09.03.214</v>
          </cell>
          <cell r="Y402" t="str">
            <v xml:space="preserve">Espiral + pistola perfume (lava interior) </v>
          </cell>
          <cell r="Z402" t="str">
            <v>Si</v>
          </cell>
        </row>
        <row r="403">
          <cell r="W403" t="str">
            <v>REP-0381</v>
          </cell>
          <cell r="X403" t="str">
            <v>09.03.215</v>
          </cell>
          <cell r="Y403" t="str">
            <v>Espiral + pistola renovador (lava interior)</v>
          </cell>
          <cell r="Z403" t="str">
            <v>Si</v>
          </cell>
        </row>
        <row r="404">
          <cell r="W404" t="str">
            <v>REP-0382</v>
          </cell>
          <cell r="X404" t="str">
            <v>09.03.217</v>
          </cell>
          <cell r="Y404" t="str">
            <v>Filtro metálico aspirado (lava interior)</v>
          </cell>
          <cell r="Z404" t="str">
            <v>Si</v>
          </cell>
        </row>
        <row r="405">
          <cell r="W405" t="str">
            <v>REP-0383</v>
          </cell>
          <cell r="X405" t="str">
            <v>09.03.218</v>
          </cell>
          <cell r="Y405" t="str">
            <v>Kit aspiradora, boquilla, manguito y sujetador (lava interior)</v>
          </cell>
          <cell r="Z405" t="str">
            <v>Si</v>
          </cell>
        </row>
        <row r="406">
          <cell r="W406" t="str">
            <v>REP-0384</v>
          </cell>
          <cell r="X406" t="str">
            <v>09.03.219</v>
          </cell>
          <cell r="Y406" t="str">
            <v xml:space="preserve">Manguera flexible aspirador (lava interior) </v>
          </cell>
          <cell r="Z406" t="str">
            <v>No</v>
          </cell>
        </row>
        <row r="407">
          <cell r="W407" t="str">
            <v>REP-0385</v>
          </cell>
          <cell r="X407" t="str">
            <v>09.03.220</v>
          </cell>
          <cell r="Y407" t="str">
            <v>Boquilla lavainteriores dry (lava interior)</v>
          </cell>
          <cell r="Z407" t="str">
            <v>Si</v>
          </cell>
        </row>
        <row r="408">
          <cell r="W408" t="str">
            <v>REP-0386</v>
          </cell>
          <cell r="X408" t="str">
            <v>09.03.221</v>
          </cell>
          <cell r="Y408" t="str">
            <v>Cepillo completo lavainteriores (lava interior)</v>
          </cell>
          <cell r="Z408" t="str">
            <v>Si</v>
          </cell>
        </row>
        <row r="409">
          <cell r="W409" t="str">
            <v>REP-0387</v>
          </cell>
          <cell r="X409" t="str">
            <v>09.03.222</v>
          </cell>
          <cell r="Y409" t="str">
            <v>Espiral lavainteriores dry (lava interior)</v>
          </cell>
          <cell r="Z409" t="str">
            <v>Si</v>
          </cell>
        </row>
        <row r="410">
          <cell r="W410" t="str">
            <v>REP-0388</v>
          </cell>
          <cell r="X410" t="str">
            <v>09.03.223</v>
          </cell>
          <cell r="Y410" t="str">
            <v>Manguera aspiración agua delgada (lava interior)</v>
          </cell>
          <cell r="Z410" t="str">
            <v>Si</v>
          </cell>
        </row>
        <row r="411">
          <cell r="W411" t="str">
            <v>REP-0389</v>
          </cell>
          <cell r="X411" t="str">
            <v>09.03.224</v>
          </cell>
          <cell r="Y411" t="str">
            <v>Motor modulo aspiración agua (lava interior)</v>
          </cell>
          <cell r="Z411" t="str">
            <v>Si</v>
          </cell>
        </row>
        <row r="412">
          <cell r="W412" t="str">
            <v>REP-0390</v>
          </cell>
          <cell r="X412" t="str">
            <v>09.03.225</v>
          </cell>
          <cell r="Y412" t="str">
            <v>Bomba modulo lavainteriores dry (lava interior)</v>
          </cell>
          <cell r="Z412" t="str">
            <v>Si</v>
          </cell>
        </row>
        <row r="413">
          <cell r="W413" t="str">
            <v>REP-0391</v>
          </cell>
          <cell r="X413" t="str">
            <v>09.03.226</v>
          </cell>
          <cell r="Y413" t="str">
            <v>Bisagra (lava interior)</v>
          </cell>
          <cell r="Z413" t="str">
            <v>Si</v>
          </cell>
        </row>
        <row r="414">
          <cell r="W414" t="str">
            <v>REP-0392</v>
          </cell>
          <cell r="X414" t="str">
            <v>09.03.227</v>
          </cell>
          <cell r="Y414" t="str">
            <v>Cerradura (lava interior)</v>
          </cell>
          <cell r="Z414" t="str">
            <v>Si</v>
          </cell>
        </row>
        <row r="415">
          <cell r="W415" t="str">
            <v>REP-0393</v>
          </cell>
          <cell r="X415" t="str">
            <v>09.03.228</v>
          </cell>
          <cell r="Y415" t="str">
            <v>Palanca interior cerradura (lava interior)</v>
          </cell>
          <cell r="Z415" t="str">
            <v>Si</v>
          </cell>
        </row>
        <row r="416">
          <cell r="W416" t="str">
            <v>REP-0394</v>
          </cell>
          <cell r="X416" t="str">
            <v>09.03.229</v>
          </cell>
          <cell r="Y416" t="str">
            <v>Interruptor ON/OFF (lava interior)</v>
          </cell>
          <cell r="Z416" t="str">
            <v>Si</v>
          </cell>
        </row>
        <row r="417">
          <cell r="W417" t="str">
            <v>REP-0395</v>
          </cell>
          <cell r="X417" t="str">
            <v>09.03.230</v>
          </cell>
          <cell r="Y417" t="str">
            <v>Cable (lava interior)</v>
          </cell>
          <cell r="Z417" t="str">
            <v>Si</v>
          </cell>
        </row>
        <row r="418">
          <cell r="W418" t="str">
            <v>REP-0396</v>
          </cell>
          <cell r="X418" t="str">
            <v>09.03.231</v>
          </cell>
          <cell r="Y418" t="str">
            <v>Perilla timer de programas (lava interior)</v>
          </cell>
          <cell r="Z418" t="str">
            <v>Si</v>
          </cell>
        </row>
        <row r="419">
          <cell r="W419" t="str">
            <v>REP-0397</v>
          </cell>
          <cell r="X419" t="str">
            <v>09.03.232</v>
          </cell>
          <cell r="Y419" t="str">
            <v>Contactor 24V NO (lava interior)</v>
          </cell>
          <cell r="Z419" t="str">
            <v>Si</v>
          </cell>
        </row>
        <row r="420">
          <cell r="W420" t="str">
            <v>REP-0398</v>
          </cell>
          <cell r="X420" t="str">
            <v>09.03.233</v>
          </cell>
          <cell r="Y420" t="str">
            <v>Interruptor térmico 4.2-5.7A (lava interior)</v>
          </cell>
          <cell r="Z420" t="str">
            <v>Si</v>
          </cell>
        </row>
        <row r="421">
          <cell r="W421" t="str">
            <v>REP-0399</v>
          </cell>
          <cell r="X421" t="str">
            <v>09.03.234</v>
          </cell>
          <cell r="Y421" t="str">
            <v>Mango sujetador aspirado interior(lava interior)</v>
          </cell>
          <cell r="Z421" t="str">
            <v>Si</v>
          </cell>
        </row>
        <row r="422">
          <cell r="W422" t="str">
            <v>REP-0400</v>
          </cell>
          <cell r="X422" t="str">
            <v>09.03.235</v>
          </cell>
          <cell r="Y422" t="str">
            <v>Electroválvula 230V 50HZ 1/4 (lava interior)</v>
          </cell>
          <cell r="Z422" t="str">
            <v>Si</v>
          </cell>
        </row>
        <row r="423">
          <cell r="W423" t="str">
            <v>REP-0401</v>
          </cell>
          <cell r="X423" t="str">
            <v>09.03.236</v>
          </cell>
          <cell r="Y423" t="str">
            <v>Gancho (lava interior)</v>
          </cell>
          <cell r="Z423" t="str">
            <v>Si</v>
          </cell>
        </row>
        <row r="424">
          <cell r="W424" t="str">
            <v>REP-0402</v>
          </cell>
          <cell r="X424" t="str">
            <v>09.03.237</v>
          </cell>
          <cell r="Y424" t="str">
            <v>Boquilla plana (lava interior)</v>
          </cell>
          <cell r="Z424" t="str">
            <v>No</v>
          </cell>
        </row>
        <row r="425">
          <cell r="W425" t="str">
            <v>REP-0403</v>
          </cell>
          <cell r="X425" t="str">
            <v>09.03.238</v>
          </cell>
          <cell r="Y425" t="str">
            <v>Módulo regulador y mezcla producto (lava interior)</v>
          </cell>
          <cell r="Z425" t="str">
            <v>Si</v>
          </cell>
        </row>
        <row r="426">
          <cell r="W426" t="str">
            <v>REP-0404</v>
          </cell>
          <cell r="X426" t="str">
            <v>09.03.239</v>
          </cell>
          <cell r="Y426" t="str">
            <v>Contactor 230V NO (lava interior)</v>
          </cell>
          <cell r="Z426" t="str">
            <v>Si</v>
          </cell>
        </row>
        <row r="427">
          <cell r="W427" t="str">
            <v>REP-0405</v>
          </cell>
          <cell r="X427" t="str">
            <v>09.03.240</v>
          </cell>
          <cell r="Y427" t="str">
            <v>Motor aspirado con turbina (lava interior)</v>
          </cell>
          <cell r="Z427" t="str">
            <v>Si</v>
          </cell>
        </row>
        <row r="428">
          <cell r="W428" t="str">
            <v>REP-0406</v>
          </cell>
          <cell r="X428" t="str">
            <v>09.03.241</v>
          </cell>
          <cell r="Y428" t="str">
            <v>Codo 45° entrada tambor aspirado (lava interior)</v>
          </cell>
          <cell r="Z428" t="str">
            <v>Si</v>
          </cell>
        </row>
        <row r="429">
          <cell r="W429" t="str">
            <v>REP-0407</v>
          </cell>
          <cell r="X429" t="str">
            <v>09.03.242</v>
          </cell>
          <cell r="Y429" t="str">
            <v>Acople rápido de bombas (lava interior)</v>
          </cell>
          <cell r="Z429" t="str">
            <v>Si</v>
          </cell>
        </row>
        <row r="430">
          <cell r="W430" t="str">
            <v>REP-0408</v>
          </cell>
          <cell r="X430" t="str">
            <v>09.03.243</v>
          </cell>
          <cell r="Y430" t="str">
            <v>Tubo a espiral para perfume (lava interior)</v>
          </cell>
          <cell r="Z430" t="str">
            <v>Si</v>
          </cell>
        </row>
        <row r="431">
          <cell r="W431" t="str">
            <v>REP-0409</v>
          </cell>
          <cell r="X431" t="str">
            <v>09.03.245</v>
          </cell>
          <cell r="Y431" t="str">
            <v>Telaio SD/TI (lava interior)</v>
          </cell>
          <cell r="Z431" t="str">
            <v>Si</v>
          </cell>
        </row>
        <row r="432">
          <cell r="W432" t="str">
            <v>REP-0410</v>
          </cell>
          <cell r="X432" t="str">
            <v>09.03.246</v>
          </cell>
          <cell r="Y432" t="str">
            <v>Boquilla bronce para pistola (lava interior)</v>
          </cell>
          <cell r="Z432" t="str">
            <v>Si</v>
          </cell>
        </row>
        <row r="433">
          <cell r="W433" t="str">
            <v>REP-0411</v>
          </cell>
          <cell r="X433" t="str">
            <v/>
          </cell>
          <cell r="Y433" t="str">
            <v>Tubo (lava interior)</v>
          </cell>
          <cell r="Z433" t="str">
            <v>No</v>
          </cell>
        </row>
        <row r="434">
          <cell r="W434" t="str">
            <v>REP-0412</v>
          </cell>
          <cell r="X434" t="str">
            <v>09.03.248</v>
          </cell>
          <cell r="Y434" t="str">
            <v>Boquilla verde para pistola (lava interior)</v>
          </cell>
          <cell r="Z434" t="str">
            <v>Si</v>
          </cell>
        </row>
        <row r="435">
          <cell r="W435" t="str">
            <v>REP-0413</v>
          </cell>
          <cell r="X435" t="str">
            <v>09.03.249</v>
          </cell>
          <cell r="Y435" t="str">
            <v>Tambor cilíndrico filtro aspirado</v>
          </cell>
          <cell r="Z435" t="str">
            <v>Si</v>
          </cell>
        </row>
        <row r="436">
          <cell r="W436" t="str">
            <v>REP-0414</v>
          </cell>
          <cell r="X436" t="str">
            <v>09.03.250</v>
          </cell>
          <cell r="Y436" t="str">
            <v xml:space="preserve"> Manguito boquilla aspirado lava tapiz (lava interior)</v>
          </cell>
          <cell r="Z436" t="str">
            <v>Si</v>
          </cell>
        </row>
        <row r="437">
          <cell r="W437" t="str">
            <v>REP-0415</v>
          </cell>
          <cell r="X437" t="str">
            <v>09.03.251</v>
          </cell>
          <cell r="Y437" t="str">
            <v>Display (lava interior)</v>
          </cell>
          <cell r="Z437" t="str">
            <v>Si</v>
          </cell>
        </row>
        <row r="438">
          <cell r="W438" t="str">
            <v>REP-0416</v>
          </cell>
          <cell r="X438" t="str">
            <v>09.03.186</v>
          </cell>
          <cell r="Y438" t="str">
            <v>Cubrefichero inox plus 2022</v>
          </cell>
          <cell r="Z438" t="str">
            <v>Si</v>
          </cell>
        </row>
        <row r="439">
          <cell r="W439" t="str">
            <v>REP-0417</v>
          </cell>
          <cell r="X439" t="str">
            <v>09.03.187</v>
          </cell>
          <cell r="Y439" t="str">
            <v>Lexan para cubrefichero plus 2022</v>
          </cell>
          <cell r="Z439" t="str">
            <v>Si</v>
          </cell>
        </row>
        <row r="440">
          <cell r="W440" t="str">
            <v>REP-0418</v>
          </cell>
          <cell r="X440" t="str">
            <v/>
          </cell>
          <cell r="Y440" t="str">
            <v>Unión americana inox 1/2</v>
          </cell>
          <cell r="Z440" t="str">
            <v>Si</v>
          </cell>
        </row>
        <row r="441">
          <cell r="W441" t="str">
            <v>REP-0419</v>
          </cell>
          <cell r="X441" t="str">
            <v>09.03.247</v>
          </cell>
          <cell r="Y441" t="str">
            <v>Manguera silicona D8/D5 150cm (lava interior)</v>
          </cell>
          <cell r="Z441" t="str">
            <v>Si</v>
          </cell>
        </row>
        <row r="442">
          <cell r="W442" t="str">
            <v>REP-0420</v>
          </cell>
          <cell r="X442" t="str">
            <v>09.03.248</v>
          </cell>
          <cell r="Y442" t="str">
            <v>DESCATALOGADO BOQUILLA ATOMIZADORA DE PERFUME 1/4 (EQUIPOLAVAINTERIORES)</v>
          </cell>
          <cell r="Z442" t="str">
            <v>No</v>
          </cell>
        </row>
        <row r="443">
          <cell r="W443" t="str">
            <v>REP-0421</v>
          </cell>
          <cell r="X443" t="str">
            <v>09.03.249</v>
          </cell>
          <cell r="Y443" t="str">
            <v>Cilindro D365 inox 55L</v>
          </cell>
          <cell r="Z443" t="str">
            <v>No</v>
          </cell>
        </row>
        <row r="444">
          <cell r="W444" t="str">
            <v>REP-0422</v>
          </cell>
          <cell r="X444" t="str">
            <v>09.03.250</v>
          </cell>
          <cell r="Y444" t="str">
            <v>DESCATALOGADO MANGUITO GIRATORIO MACHO D36 (EQUIPOLAVAINTERIOR)</v>
          </cell>
          <cell r="Z444" t="str">
            <v>No</v>
          </cell>
        </row>
        <row r="445">
          <cell r="W445" t="str">
            <v>REP-0423</v>
          </cell>
          <cell r="X445" t="str">
            <v>09.03.251</v>
          </cell>
          <cell r="Y445" t="str">
            <v>DISPLAY CGD (LAVAINTERIORES)</v>
          </cell>
          <cell r="Z445" t="str">
            <v>No</v>
          </cell>
        </row>
        <row r="446">
          <cell r="W446" t="str">
            <v>REP-0424</v>
          </cell>
          <cell r="X446" t="str">
            <v/>
          </cell>
          <cell r="Y446" t="str">
            <v>Niple bronce 3/8 he x 1/4 he</v>
          </cell>
          <cell r="Z446" t="str">
            <v>Si</v>
          </cell>
        </row>
        <row r="447">
          <cell r="W447" t="str">
            <v>REP-0425</v>
          </cell>
          <cell r="X447" t="str">
            <v/>
          </cell>
          <cell r="Y447" t="str">
            <v>Niple bronce 1/4 hehe</v>
          </cell>
          <cell r="Z447" t="str">
            <v>Si</v>
          </cell>
        </row>
        <row r="448">
          <cell r="W448" t="str">
            <v>REP-0426</v>
          </cell>
          <cell r="X448" t="str">
            <v/>
          </cell>
          <cell r="Y448" t="str">
            <v>Niple bronce 3/4 he x 1/2 hi</v>
          </cell>
          <cell r="Z448" t="str">
            <v>Si</v>
          </cell>
        </row>
        <row r="449">
          <cell r="W449" t="str">
            <v>REP-0427</v>
          </cell>
          <cell r="X449" t="str">
            <v/>
          </cell>
          <cell r="Y449" t="str">
            <v>Niple bronce 3/4 hi x 1/2 he</v>
          </cell>
          <cell r="Z449" t="str">
            <v>Si</v>
          </cell>
        </row>
        <row r="450">
          <cell r="W450" t="str">
            <v>REP-0428</v>
          </cell>
          <cell r="X450" t="str">
            <v/>
          </cell>
          <cell r="Y450" t="str">
            <v>Terminal cachimba 1/2 HI</v>
          </cell>
          <cell r="Z450" t="str">
            <v>Si</v>
          </cell>
        </row>
        <row r="451">
          <cell r="W451" t="str">
            <v>REP-0429</v>
          </cell>
          <cell r="X451" t="str">
            <v/>
          </cell>
          <cell r="Y451" t="str">
            <v>Terminal cachimba 1/2 HE</v>
          </cell>
          <cell r="Z451" t="str">
            <v>Si</v>
          </cell>
        </row>
        <row r="452">
          <cell r="W452" t="str">
            <v>REP-0430</v>
          </cell>
          <cell r="X452" t="str">
            <v/>
          </cell>
          <cell r="Y452" t="str">
            <v>membranas de osmosis de CSM RE4021-BLN-K</v>
          </cell>
          <cell r="Z452" t="str">
            <v>No</v>
          </cell>
        </row>
        <row r="453">
          <cell r="W453" t="str">
            <v>REP-0431</v>
          </cell>
          <cell r="X453" t="str">
            <v>V1CIDMF</v>
          </cell>
          <cell r="Y453" t="str">
            <v xml:space="preserve">Cabezal ablandador down flow válvula cleck </v>
          </cell>
          <cell r="Z453" t="str">
            <v>Si</v>
          </cell>
        </row>
        <row r="454">
          <cell r="W454" t="str">
            <v>REP-0432</v>
          </cell>
          <cell r="X454" t="str">
            <v>30.00.073</v>
          </cell>
          <cell r="Y454" t="str">
            <v>Codo inox 1/2 hehi</v>
          </cell>
          <cell r="Z454" t="str">
            <v>No</v>
          </cell>
        </row>
        <row r="455">
          <cell r="W455" t="str">
            <v>REP-0433</v>
          </cell>
          <cell r="X455" t="str">
            <v>KIT 269</v>
          </cell>
          <cell r="Y455" t="str">
            <v xml:space="preserve">Kit 269 Interpump </v>
          </cell>
          <cell r="Z455" t="str">
            <v>Si</v>
          </cell>
        </row>
        <row r="456">
          <cell r="W456" t="str">
            <v>REP-0434</v>
          </cell>
          <cell r="X456" t="str">
            <v>KIT 271</v>
          </cell>
          <cell r="Y456" t="str">
            <v>Kit 271 Interpump</v>
          </cell>
          <cell r="Z456" t="str">
            <v>No</v>
          </cell>
        </row>
        <row r="457">
          <cell r="W457" t="str">
            <v>REP-0435</v>
          </cell>
          <cell r="X457" t="str">
            <v>09.03.183</v>
          </cell>
          <cell r="Y457" t="str">
            <v>Tapa carcasa osmosis</v>
          </cell>
          <cell r="Z457" t="str">
            <v>Si</v>
          </cell>
        </row>
        <row r="458">
          <cell r="W458" t="str">
            <v>REP-0436</v>
          </cell>
          <cell r="X458" t="str">
            <v/>
          </cell>
          <cell r="Y458" t="str">
            <v>O´rings tapa carcasa de osmosis</v>
          </cell>
          <cell r="Z458" t="str">
            <v>Si</v>
          </cell>
        </row>
        <row r="459">
          <cell r="W459" t="str">
            <v>REP-0437</v>
          </cell>
          <cell r="X459" t="str">
            <v>343</v>
          </cell>
          <cell r="Y459" t="str">
            <v>Kit 343 bomba CAT</v>
          </cell>
          <cell r="Z459" t="str">
            <v>Si</v>
          </cell>
        </row>
        <row r="460">
          <cell r="W460" t="str">
            <v>REP-0438</v>
          </cell>
          <cell r="X460" t="str">
            <v>342</v>
          </cell>
          <cell r="Y460" t="str">
            <v>Kit 342 bomba CAT DESCATALOGADO</v>
          </cell>
          <cell r="Z460" t="str">
            <v>No</v>
          </cell>
        </row>
        <row r="461">
          <cell r="W461" t="str">
            <v>REP-0439</v>
          </cell>
          <cell r="X461" t="str">
            <v/>
          </cell>
          <cell r="Y461" t="str">
            <v>Bomba espa prisma 25 5M.</v>
          </cell>
          <cell r="Z461" t="str">
            <v>Si</v>
          </cell>
        </row>
        <row r="462">
          <cell r="W462" t="str">
            <v>REP-0440</v>
          </cell>
          <cell r="X462" t="str">
            <v>46798</v>
          </cell>
          <cell r="Y462" t="str">
            <v>Tapón rojo (bomba 3cp) CAT</v>
          </cell>
          <cell r="Z462" t="str">
            <v>Si</v>
          </cell>
        </row>
        <row r="463">
          <cell r="W463" t="str">
            <v>REP-0441</v>
          </cell>
          <cell r="X463" t="str">
            <v>46616</v>
          </cell>
          <cell r="Y463" t="str">
            <v>Culatín (bomba 3cp) CAT</v>
          </cell>
          <cell r="Z463" t="str">
            <v>Si</v>
          </cell>
        </row>
        <row r="464">
          <cell r="W464" t="str">
            <v>REP-0442</v>
          </cell>
          <cell r="X464" t="str">
            <v>504586951</v>
          </cell>
          <cell r="Y464" t="str">
            <v>Válvula rompe vacío</v>
          </cell>
          <cell r="Z464" t="str">
            <v>Si</v>
          </cell>
        </row>
        <row r="465">
          <cell r="W465" t="str">
            <v>REP-0443</v>
          </cell>
          <cell r="X465" t="str">
            <v/>
          </cell>
          <cell r="Y465" t="str">
            <v>Manguera espiral 8MM sin terminales color rojo</v>
          </cell>
          <cell r="Z465" t="str">
            <v>Si</v>
          </cell>
        </row>
        <row r="466">
          <cell r="W466" t="str">
            <v>REP-0444</v>
          </cell>
          <cell r="X466" t="str">
            <v/>
          </cell>
          <cell r="Y466" t="str">
            <v>Manguera 1mts 1/4 color negro</v>
          </cell>
          <cell r="Z466" t="str">
            <v>No</v>
          </cell>
        </row>
        <row r="467">
          <cell r="W467" t="str">
            <v>REP-0445</v>
          </cell>
          <cell r="X467" t="str">
            <v/>
          </cell>
          <cell r="Y467" t="str">
            <v>Kit mousse mix</v>
          </cell>
          <cell r="Z467" t="str">
            <v>Si</v>
          </cell>
        </row>
        <row r="468">
          <cell r="W468" t="str">
            <v>REP-0446</v>
          </cell>
          <cell r="X468" t="str">
            <v/>
          </cell>
          <cell r="Y468" t="str">
            <v>Resistencia termo Rheem 3200W</v>
          </cell>
          <cell r="Z468" t="str">
            <v>Si</v>
          </cell>
        </row>
        <row r="469">
          <cell r="W469" t="str">
            <v>REP-0447</v>
          </cell>
          <cell r="X469" t="str">
            <v/>
          </cell>
          <cell r="Y469" t="str">
            <v>Cabezal ablandador Aguasin HAF-1200</v>
          </cell>
          <cell r="Z469" t="str">
            <v>No</v>
          </cell>
        </row>
        <row r="470">
          <cell r="W470" t="str">
            <v>REP-0448</v>
          </cell>
          <cell r="X470" t="str">
            <v>60.00.012</v>
          </cell>
          <cell r="Y470" t="str">
            <v xml:space="preserve">Sello para separador tambor aspirado </v>
          </cell>
          <cell r="Z470" t="str">
            <v>No</v>
          </cell>
        </row>
        <row r="471">
          <cell r="W471" t="str">
            <v>REP-0449</v>
          </cell>
          <cell r="X471" t="str">
            <v>09.01.709</v>
          </cell>
          <cell r="Y471" t="str">
            <v>ACCESORIO CHAPA DE LAVADO</v>
          </cell>
          <cell r="Z471" t="str">
            <v>No</v>
          </cell>
        </row>
        <row r="472">
          <cell r="W472" t="str">
            <v>REP-0450</v>
          </cell>
          <cell r="X472" t="str">
            <v/>
          </cell>
          <cell r="Y472" t="str">
            <v>Ánodo magnesio delgado</v>
          </cell>
          <cell r="Z472" t="str">
            <v>Si</v>
          </cell>
        </row>
        <row r="473">
          <cell r="W473" t="str">
            <v>REP-0451</v>
          </cell>
          <cell r="X473" t="str">
            <v/>
          </cell>
          <cell r="Y473" t="str">
            <v>Tee acople rápido</v>
          </cell>
          <cell r="Z473" t="str">
            <v>Si</v>
          </cell>
        </row>
        <row r="474">
          <cell r="W474" t="str">
            <v>REP-0452</v>
          </cell>
          <cell r="X474" t="str">
            <v>37.00.048</v>
          </cell>
          <cell r="Y474" t="str">
            <v xml:space="preserve">Motor trifásico </v>
          </cell>
          <cell r="Z474" t="str">
            <v>Si</v>
          </cell>
        </row>
        <row r="475">
          <cell r="W475" t="str">
            <v>REP-0453</v>
          </cell>
          <cell r="X475" t="str">
            <v/>
          </cell>
          <cell r="Y475" t="str">
            <v xml:space="preserve">Compresor lavainteriores </v>
          </cell>
          <cell r="Z475" t="str">
            <v>Si</v>
          </cell>
        </row>
        <row r="476">
          <cell r="W476" t="str">
            <v>REP-0454</v>
          </cell>
          <cell r="X476" t="str">
            <v>09.01.975</v>
          </cell>
          <cell r="Y476" t="str">
            <v xml:space="preserve">Bomba dosificadora de producto </v>
          </cell>
          <cell r="Z476" t="str">
            <v>Si</v>
          </cell>
        </row>
        <row r="477">
          <cell r="W477" t="str">
            <v>REP-0455</v>
          </cell>
          <cell r="X477" t="str">
            <v/>
          </cell>
          <cell r="Y477" t="str">
            <v>Cabezal multifunción ROHS</v>
          </cell>
          <cell r="Z477" t="str">
            <v>Si</v>
          </cell>
        </row>
        <row r="478">
          <cell r="W478" t="str">
            <v>REP-0456</v>
          </cell>
          <cell r="X478" t="str">
            <v>23.00.173</v>
          </cell>
          <cell r="Y478" t="str">
            <v xml:space="preserve">Punto de control </v>
          </cell>
          <cell r="Z478" t="str">
            <v>Si</v>
          </cell>
        </row>
        <row r="479">
          <cell r="W479" t="str">
            <v>REP-0457</v>
          </cell>
          <cell r="X479" t="str">
            <v>23.00.270</v>
          </cell>
          <cell r="Y479" t="str">
            <v>Cuerpo de válvula 2000PF2</v>
          </cell>
          <cell r="Z479" t="str">
            <v>Si</v>
          </cell>
        </row>
        <row r="480">
          <cell r="W480" t="str">
            <v>REP-0458</v>
          </cell>
          <cell r="X480" t="str">
            <v>23.00.391</v>
          </cell>
          <cell r="Y480" t="str">
            <v>Disyuntor automático 4 polos</v>
          </cell>
          <cell r="Z480" t="str">
            <v>Si</v>
          </cell>
        </row>
        <row r="481">
          <cell r="W481" t="str">
            <v>REP-0459</v>
          </cell>
          <cell r="X481" t="str">
            <v/>
          </cell>
          <cell r="Y481" t="str">
            <v>Bomba Interpump W-130</v>
          </cell>
          <cell r="Z481" t="str">
            <v>Si</v>
          </cell>
        </row>
        <row r="482">
          <cell r="W482" t="str">
            <v>REP-0460</v>
          </cell>
          <cell r="X482" t="str">
            <v/>
          </cell>
          <cell r="Y482" t="str">
            <v xml:space="preserve">Mariposa para aspirado </v>
          </cell>
          <cell r="Z482" t="str">
            <v>Si</v>
          </cell>
        </row>
        <row r="483">
          <cell r="W483" t="str">
            <v>REP-0461</v>
          </cell>
          <cell r="X483" t="str">
            <v>09.02.682</v>
          </cell>
          <cell r="Y483" t="str">
            <v xml:space="preserve">Bomba Interpump C2W2012 DX 10LT/H DESCATALOGADO </v>
          </cell>
          <cell r="Z483" t="str">
            <v>No</v>
          </cell>
        </row>
        <row r="484">
          <cell r="W484" t="str">
            <v>REP-0462</v>
          </cell>
          <cell r="X484" t="str">
            <v>09.00.477</v>
          </cell>
          <cell r="Y484" t="str">
            <v>Motor Hp3 M100 200/380B3</v>
          </cell>
          <cell r="Z484" t="str">
            <v>No</v>
          </cell>
        </row>
        <row r="485">
          <cell r="W485" t="str">
            <v>REP-0463</v>
          </cell>
          <cell r="X485" t="str">
            <v>29.00.213</v>
          </cell>
          <cell r="Y485" t="str">
            <v>Membrana 4040</v>
          </cell>
          <cell r="Z485" t="str">
            <v>Si</v>
          </cell>
        </row>
        <row r="486">
          <cell r="W486" t="str">
            <v>REP-0464</v>
          </cell>
          <cell r="X486" t="str">
            <v>09.03.181</v>
          </cell>
          <cell r="Y486" t="str">
            <v>Kit anello tenutadi 18 bomba C2W2012</v>
          </cell>
          <cell r="Z486" t="str">
            <v>Si</v>
          </cell>
        </row>
        <row r="487">
          <cell r="W487" t="str">
            <v>REP-0465</v>
          </cell>
          <cell r="X487" t="str">
            <v>09.03.182</v>
          </cell>
          <cell r="Y487" t="str">
            <v>Kit anello radialed 15 bomba C2W2012</v>
          </cell>
          <cell r="Z487" t="str">
            <v>Si</v>
          </cell>
        </row>
        <row r="488">
          <cell r="W488" t="str">
            <v>REP-0466</v>
          </cell>
          <cell r="X488" t="str">
            <v>09.03.180</v>
          </cell>
          <cell r="Y488" t="str">
            <v>Kit válvula a/m bomba C2W2012</v>
          </cell>
          <cell r="Z488" t="str">
            <v>Si</v>
          </cell>
        </row>
        <row r="489">
          <cell r="W489" t="str">
            <v>REP-0467</v>
          </cell>
          <cell r="X489" t="str">
            <v>09.00.672</v>
          </cell>
          <cell r="Y489" t="str">
            <v>Válvula sobre presión 8 BAR</v>
          </cell>
          <cell r="Z489" t="str">
            <v>Si</v>
          </cell>
        </row>
        <row r="490">
          <cell r="W490" t="str">
            <v>REP-0468</v>
          </cell>
          <cell r="X490" t="str">
            <v/>
          </cell>
          <cell r="Y490" t="str">
            <v xml:space="preserve">Interruptor luminoso termo Trotter </v>
          </cell>
          <cell r="Z490" t="str">
            <v>Si</v>
          </cell>
        </row>
        <row r="491">
          <cell r="W491" t="str">
            <v>REP-0469</v>
          </cell>
          <cell r="X491" t="str">
            <v/>
          </cell>
          <cell r="Y491" t="str">
            <v xml:space="preserve">Válvula Seg 1/2 10 BAR termo Trotter </v>
          </cell>
          <cell r="Z491" t="str">
            <v>Si</v>
          </cell>
        </row>
        <row r="492">
          <cell r="W492" t="str">
            <v>REP-0470</v>
          </cell>
          <cell r="X492" t="str">
            <v/>
          </cell>
          <cell r="Y492" t="str">
            <v xml:space="preserve">Porta filtro con elemento para compresor lavainterior </v>
          </cell>
          <cell r="Z492" t="str">
            <v>Si</v>
          </cell>
        </row>
        <row r="493">
          <cell r="W493" t="str">
            <v>REP-0472</v>
          </cell>
          <cell r="X493" t="str">
            <v/>
          </cell>
          <cell r="Y493" t="str">
            <v>Ánodo grueso frontal 4 pernos</v>
          </cell>
          <cell r="Z493" t="str">
            <v>Si</v>
          </cell>
        </row>
        <row r="494">
          <cell r="W494" t="str">
            <v>REP-0473</v>
          </cell>
          <cell r="X494" t="str">
            <v/>
          </cell>
          <cell r="Y494" t="str">
            <v xml:space="preserve">Orin´g ánodo grueso </v>
          </cell>
          <cell r="Z494" t="str">
            <v>Si</v>
          </cell>
        </row>
        <row r="495">
          <cell r="W495" t="str">
            <v>REP-0475</v>
          </cell>
          <cell r="X495" t="str">
            <v>09.01.566</v>
          </cell>
          <cell r="Y495" t="str">
            <v xml:space="preserve">Bomba dosificadora de cera Smart pro </v>
          </cell>
          <cell r="Z495" t="str">
            <v>Si</v>
          </cell>
        </row>
        <row r="496">
          <cell r="W496" t="str">
            <v>REP-0476</v>
          </cell>
          <cell r="X496" t="str">
            <v>09.01.567</v>
          </cell>
          <cell r="Y496" t="str">
            <v xml:space="preserve">Bomba dosificadora de shampoo/lava llantas Smart pro </v>
          </cell>
          <cell r="Z496" t="str">
            <v>Si</v>
          </cell>
        </row>
        <row r="497">
          <cell r="W497" t="str">
            <v>REP-0477</v>
          </cell>
          <cell r="X497" t="str">
            <v>09.01.569</v>
          </cell>
          <cell r="Y497" t="str">
            <v xml:space="preserve">Cuerpo reparación bomba Smart pro </v>
          </cell>
          <cell r="Z497" t="str">
            <v>Si</v>
          </cell>
        </row>
        <row r="498">
          <cell r="W498" t="str">
            <v>REP-0478</v>
          </cell>
          <cell r="X498" t="str">
            <v>09.01.568</v>
          </cell>
          <cell r="Y498" t="str">
            <v>Cuerpo reparación de bomba cera Smart pro</v>
          </cell>
          <cell r="Z498" t="str">
            <v>Si</v>
          </cell>
        </row>
        <row r="499">
          <cell r="W499" t="str">
            <v>REP-0479</v>
          </cell>
          <cell r="X499" t="str">
            <v>09.01.571</v>
          </cell>
          <cell r="Y499" t="str">
            <v xml:space="preserve">Válvula de fondo shampoo/lava llantas Smart pro </v>
          </cell>
          <cell r="Z499" t="str">
            <v>Si</v>
          </cell>
        </row>
        <row r="500">
          <cell r="W500" t="str">
            <v>REP-0480</v>
          </cell>
          <cell r="X500" t="str">
            <v>09.01.570</v>
          </cell>
          <cell r="Y500" t="str">
            <v xml:space="preserve">Válvula de fondo bidón cera Smart pro </v>
          </cell>
          <cell r="Z500" t="str">
            <v>Si</v>
          </cell>
        </row>
        <row r="501">
          <cell r="W501" t="str">
            <v>REP-0481</v>
          </cell>
          <cell r="X501" t="str">
            <v>28.00.186</v>
          </cell>
          <cell r="Y501" t="str">
            <v>Contenedor membrana osmosis Smart pro</v>
          </cell>
          <cell r="Z501" t="str">
            <v>Si</v>
          </cell>
        </row>
        <row r="502">
          <cell r="W502" t="str">
            <v>REP-0482</v>
          </cell>
          <cell r="X502" t="str">
            <v>09.01.045</v>
          </cell>
          <cell r="Y502" t="str">
            <v xml:space="preserve">Adaptador grifo Smart pro </v>
          </cell>
          <cell r="Z502" t="str">
            <v>Si</v>
          </cell>
        </row>
        <row r="503">
          <cell r="W503" t="str">
            <v>REP-0483</v>
          </cell>
          <cell r="X503" t="str">
            <v>09.01.043</v>
          </cell>
          <cell r="Y503" t="str">
            <v>Grifo 1/4 Smart pro</v>
          </cell>
          <cell r="Z503" t="str">
            <v>Si</v>
          </cell>
        </row>
        <row r="504">
          <cell r="W504" t="str">
            <v>REP-0484</v>
          </cell>
          <cell r="X504" t="str">
            <v>24.00.156</v>
          </cell>
          <cell r="Y504" t="str">
            <v>Válvula retención inox 1/2</v>
          </cell>
          <cell r="Z504" t="str">
            <v>Si</v>
          </cell>
        </row>
        <row r="505">
          <cell r="W505" t="str">
            <v>REP-0485</v>
          </cell>
          <cell r="X505" t="str">
            <v>09.02.469</v>
          </cell>
          <cell r="Y505" t="str">
            <v xml:space="preserve">Tee 1/2 HI,HI,HI, Inox Smart pro </v>
          </cell>
          <cell r="Z505" t="str">
            <v>Si</v>
          </cell>
        </row>
        <row r="506">
          <cell r="W506" t="str">
            <v>REP-0486</v>
          </cell>
          <cell r="X506" t="str">
            <v>09.01.232</v>
          </cell>
          <cell r="Y506" t="str">
            <v>Salida estanque agua desmineralizada</v>
          </cell>
          <cell r="Z506" t="str">
            <v>Si</v>
          </cell>
        </row>
        <row r="507">
          <cell r="W507" t="str">
            <v>REP-0487</v>
          </cell>
          <cell r="X507" t="str">
            <v>09.02.745</v>
          </cell>
          <cell r="Y507" t="str">
            <v xml:space="preserve">Foco esquina exterior Smart pro </v>
          </cell>
          <cell r="Z507" t="str">
            <v>Si</v>
          </cell>
        </row>
        <row r="508">
          <cell r="W508" t="str">
            <v>REP-0488</v>
          </cell>
          <cell r="X508" t="str">
            <v>09.02.681</v>
          </cell>
          <cell r="Y508" t="str">
            <v xml:space="preserve">Ampolleta led foco exterior Smart pro </v>
          </cell>
          <cell r="Z508" t="str">
            <v>Si</v>
          </cell>
        </row>
        <row r="509">
          <cell r="W509" t="str">
            <v>REP-0489</v>
          </cell>
          <cell r="X509" t="str">
            <v>09.01.437</v>
          </cell>
          <cell r="Y509" t="str">
            <v xml:space="preserve">Bisagra puerta frontal </v>
          </cell>
          <cell r="Z509" t="str">
            <v>Si</v>
          </cell>
        </row>
        <row r="510">
          <cell r="W510" t="str">
            <v>REP-0490</v>
          </cell>
          <cell r="X510" t="str">
            <v>09.02.255</v>
          </cell>
          <cell r="Y510" t="str">
            <v xml:space="preserve">Placa mini protección entrada fichero Smart pro  </v>
          </cell>
          <cell r="Z510" t="str">
            <v>Si</v>
          </cell>
        </row>
        <row r="511">
          <cell r="W511" t="str">
            <v>REP-0491</v>
          </cell>
          <cell r="X511" t="str">
            <v/>
          </cell>
          <cell r="Y511" t="str">
            <v>Perno largo Allen electroválvula de 1/2 (442)</v>
          </cell>
          <cell r="Z511" t="str">
            <v>Si</v>
          </cell>
        </row>
        <row r="512">
          <cell r="W512" t="str">
            <v>REP-0492</v>
          </cell>
          <cell r="X512" t="str">
            <v/>
          </cell>
          <cell r="Y512" t="str">
            <v>Perno corto Allen electroválvula (442)</v>
          </cell>
          <cell r="Z512" t="str">
            <v>Si</v>
          </cell>
        </row>
        <row r="513">
          <cell r="W513" t="str">
            <v>REP-0493</v>
          </cell>
          <cell r="X513" t="str">
            <v>29.00.020</v>
          </cell>
          <cell r="Y513" t="str">
            <v>Filtro tipo Y</v>
          </cell>
          <cell r="Z513" t="str">
            <v>Si</v>
          </cell>
        </row>
        <row r="514">
          <cell r="W514" t="str">
            <v>REP-0494</v>
          </cell>
          <cell r="X514" t="str">
            <v/>
          </cell>
          <cell r="Y514" t="str">
            <v xml:space="preserve">Contactor ABB para termo trifásico </v>
          </cell>
          <cell r="Z514" t="str">
            <v>Si</v>
          </cell>
        </row>
        <row r="515">
          <cell r="W515" t="str">
            <v>REP-0495</v>
          </cell>
          <cell r="X515" t="str">
            <v>V-30</v>
          </cell>
          <cell r="Y515" t="str">
            <v>Espiral de protección 10m</v>
          </cell>
          <cell r="Z515" t="str">
            <v>Si</v>
          </cell>
        </row>
        <row r="516">
          <cell r="W516" t="str">
            <v>REP-0496</v>
          </cell>
          <cell r="X516" t="str">
            <v>09.00.829</v>
          </cell>
          <cell r="Y516" t="str">
            <v>Manguera baja presión poliuretano 10M</v>
          </cell>
          <cell r="Z516" t="str">
            <v>Si</v>
          </cell>
        </row>
        <row r="517">
          <cell r="W517" t="str">
            <v>REP-0497</v>
          </cell>
          <cell r="X517" t="str">
            <v>26.00.018</v>
          </cell>
          <cell r="Y517" t="str">
            <v>Flexible aspiradora D.38</v>
          </cell>
          <cell r="Z517" t="str">
            <v>Si</v>
          </cell>
        </row>
        <row r="518">
          <cell r="W518" t="str">
            <v>REP-0498</v>
          </cell>
          <cell r="X518" t="str">
            <v>09.03.311</v>
          </cell>
          <cell r="Y518" t="str">
            <v>Válvula fondo bidón (lava interior)</v>
          </cell>
          <cell r="Z518" t="str">
            <v>Si</v>
          </cell>
        </row>
        <row r="519">
          <cell r="W519" t="str">
            <v>REP-0499</v>
          </cell>
          <cell r="X519" t="str">
            <v/>
          </cell>
          <cell r="Y519" t="str">
            <v>Mango lanza AP</v>
          </cell>
          <cell r="Z519" t="str">
            <v>Si</v>
          </cell>
        </row>
        <row r="520">
          <cell r="W520" t="str">
            <v>REP-0500</v>
          </cell>
          <cell r="X520" t="str">
            <v/>
          </cell>
          <cell r="Y520" t="str">
            <v>Boquilla metálica pistola mousse</v>
          </cell>
          <cell r="Z520" t="str">
            <v>Si</v>
          </cell>
        </row>
        <row r="521">
          <cell r="W521" t="str">
            <v>REP-0501</v>
          </cell>
          <cell r="X521" t="str">
            <v/>
          </cell>
          <cell r="Y521" t="str">
            <v>Punta pistola de mousse</v>
          </cell>
          <cell r="Z521" t="str">
            <v>Si</v>
          </cell>
        </row>
        <row r="522">
          <cell r="W522" t="str">
            <v>REP-0502</v>
          </cell>
          <cell r="X522" t="str">
            <v/>
          </cell>
          <cell r="Y522" t="str">
            <v xml:space="preserve">Termo eléctrico 200L 6kw.380v. ac. inox </v>
          </cell>
          <cell r="Z522" t="str">
            <v>Si</v>
          </cell>
        </row>
        <row r="523">
          <cell r="W523" t="str">
            <v>REP-0503</v>
          </cell>
          <cell r="X523" t="str">
            <v/>
          </cell>
          <cell r="Y523" t="str">
            <v xml:space="preserve">Manguera entrada EV alta presión </v>
          </cell>
          <cell r="Z523" t="str">
            <v>Si</v>
          </cell>
        </row>
        <row r="524">
          <cell r="W524" t="str">
            <v>REP-0504</v>
          </cell>
          <cell r="X524" t="str">
            <v/>
          </cell>
          <cell r="Y524" t="str">
            <v>Fusible placa de aspirado</v>
          </cell>
          <cell r="Z524" t="str">
            <v>Si</v>
          </cell>
        </row>
        <row r="525">
          <cell r="W525" t="str">
            <v>REP-0505</v>
          </cell>
          <cell r="X525" t="str">
            <v/>
          </cell>
          <cell r="Y525" t="str">
            <v xml:space="preserve">Oring pequeño EV alta presión </v>
          </cell>
          <cell r="Z525" t="str">
            <v>Si</v>
          </cell>
        </row>
        <row r="526">
          <cell r="W526" t="str">
            <v>REP-0506</v>
          </cell>
          <cell r="X526" t="str">
            <v>09.03.335</v>
          </cell>
          <cell r="Y526" t="str">
            <v>Cuerpo cepillo (lava interior)</v>
          </cell>
          <cell r="Z526" t="str">
            <v>Si</v>
          </cell>
        </row>
        <row r="527">
          <cell r="W527" t="str">
            <v>REP-0507</v>
          </cell>
          <cell r="X527" t="str">
            <v>09.03.336</v>
          </cell>
          <cell r="Y527" t="str">
            <v>Lanza+pistola corta+acople 3/8 proyecto DESCATALOGADO</v>
          </cell>
          <cell r="Z527" t="str">
            <v>No</v>
          </cell>
        </row>
        <row r="528">
          <cell r="W528" t="str">
            <v>REP-0508</v>
          </cell>
          <cell r="X528" t="str">
            <v>09.03.336</v>
          </cell>
          <cell r="Y528" t="str">
            <v>Lanza pistola perdente corta</v>
          </cell>
          <cell r="Z528" t="str">
            <v>Si</v>
          </cell>
        </row>
        <row r="529">
          <cell r="W529" t="str">
            <v>REP-0509</v>
          </cell>
          <cell r="X529" t="str">
            <v/>
          </cell>
          <cell r="Y529" t="str">
            <v>Boquilla dry lavainterior alternativa</v>
          </cell>
          <cell r="Z529" t="str">
            <v>Si</v>
          </cell>
        </row>
        <row r="530">
          <cell r="W530" t="str">
            <v>REP-0510</v>
          </cell>
          <cell r="X530" t="str">
            <v/>
          </cell>
          <cell r="Y530" t="str">
            <v xml:space="preserve">Ablandador twin 1600 kit completo </v>
          </cell>
          <cell r="Z530" t="str">
            <v>Si</v>
          </cell>
        </row>
        <row r="531">
          <cell r="W531" t="str">
            <v>REP-0511</v>
          </cell>
          <cell r="X531" t="str">
            <v/>
          </cell>
          <cell r="Y531" t="str">
            <v>BIPASS CABEZAL 1"</v>
          </cell>
          <cell r="Z531" t="str">
            <v>Si</v>
          </cell>
        </row>
        <row r="532">
          <cell r="W532" t="str">
            <v>REP-0512</v>
          </cell>
          <cell r="X532" t="str">
            <v/>
          </cell>
          <cell r="Y532" t="str">
            <v>CANASTILLO CABEZAL CON ORING.</v>
          </cell>
          <cell r="Z532" t="str">
            <v>Si</v>
          </cell>
        </row>
        <row r="533">
          <cell r="W533" t="str">
            <v>REP-0513</v>
          </cell>
          <cell r="X533" t="str">
            <v>09.00.517</v>
          </cell>
          <cell r="Y533" t="str">
            <v>RELE FINDER ZOCALO (KIT MOUSSE ECO)</v>
          </cell>
          <cell r="Z533" t="str">
            <v>Si</v>
          </cell>
        </row>
        <row r="534">
          <cell r="W534" t="str">
            <v>REP-0514</v>
          </cell>
          <cell r="X534" t="str">
            <v>09.03.339</v>
          </cell>
          <cell r="Y534" t="str">
            <v>BOUILLA PISTOLA MOUSSE ST-75 05 (KIT MOUSSE ECO )</v>
          </cell>
          <cell r="Z534" t="str">
            <v>Si</v>
          </cell>
        </row>
        <row r="535">
          <cell r="W535" t="str">
            <v>REP-0515</v>
          </cell>
          <cell r="X535" t="str">
            <v/>
          </cell>
          <cell r="Y535" t="str">
            <v>PASADOR PUNTA PISTOLA DE MOUSSE</v>
          </cell>
          <cell r="Z535" t="str">
            <v>Si</v>
          </cell>
        </row>
        <row r="536">
          <cell r="W536" t="str">
            <v>REP-0516</v>
          </cell>
          <cell r="X536" t="str">
            <v>P-179</v>
          </cell>
          <cell r="Y536" t="str">
            <v>Sensor flotante de nivel ON / OFF</v>
          </cell>
          <cell r="Z536" t="str">
            <v>Si</v>
          </cell>
        </row>
        <row r="537">
          <cell r="W537" t="str">
            <v>REP-0517</v>
          </cell>
          <cell r="X537" t="str">
            <v/>
          </cell>
          <cell r="Y537" t="str">
            <v>RELE ULTRADELGADO 24V</v>
          </cell>
          <cell r="Z537" t="str">
            <v>Si</v>
          </cell>
        </row>
        <row r="538">
          <cell r="W538" t="str">
            <v>REP-0518</v>
          </cell>
          <cell r="X538" t="str">
            <v/>
          </cell>
          <cell r="Y538" t="str">
            <v>TUBO INOXIDABLE MANGO DE LANZA AP</v>
          </cell>
          <cell r="Z538" t="str">
            <v>Si</v>
          </cell>
        </row>
        <row r="539">
          <cell r="W539" t="str">
            <v>REP-0519</v>
          </cell>
          <cell r="X539" t="str">
            <v/>
          </cell>
          <cell r="Y539" t="str">
            <v>TAPA INTERIOR LAVAINTERIOR</v>
          </cell>
          <cell r="Z539" t="str">
            <v>Si</v>
          </cell>
        </row>
        <row r="540">
          <cell r="W540" t="str">
            <v>REP-0520</v>
          </cell>
          <cell r="X540" t="str">
            <v/>
          </cell>
          <cell r="Y540" t="str">
            <v>GATILLO PISTOLA NO PERDENTE AZUL</v>
          </cell>
          <cell r="Z540" t="str">
            <v>Si</v>
          </cell>
        </row>
        <row r="541">
          <cell r="W541" t="str">
            <v>REP-0521</v>
          </cell>
          <cell r="X541" t="str">
            <v/>
          </cell>
          <cell r="Y541" t="str">
            <v>GATILLO PISTOLA PERDENTE CELESTE</v>
          </cell>
          <cell r="Z541" t="str">
            <v>Si</v>
          </cell>
        </row>
        <row r="542">
          <cell r="W542" t="str">
            <v>REP-0522</v>
          </cell>
          <cell r="X542" t="str">
            <v/>
          </cell>
          <cell r="Y542" t="str">
            <v>CODO 3/8 HIHI</v>
          </cell>
          <cell r="Z542" t="str">
            <v>Si</v>
          </cell>
        </row>
        <row r="543">
          <cell r="W543" t="str">
            <v>REP-0523</v>
          </cell>
          <cell r="X543" t="str">
            <v>GALF</v>
          </cell>
          <cell r="Y543" t="str">
            <v>CERRADURA TUBULAR</v>
          </cell>
          <cell r="Z543" t="str">
            <v>Si</v>
          </cell>
        </row>
        <row r="544">
          <cell r="W544" t="str">
            <v>REP-0524</v>
          </cell>
          <cell r="X544" t="str">
            <v/>
          </cell>
          <cell r="Y544" t="str">
            <v>CODO 3/8 HE 1/4HI BROCE</v>
          </cell>
          <cell r="Z544" t="str">
            <v>Si</v>
          </cell>
        </row>
        <row r="545">
          <cell r="W545" t="str">
            <v>REP-0525</v>
          </cell>
          <cell r="X545" t="str">
            <v/>
          </cell>
          <cell r="Y545" t="str">
            <v>BOMBA INTER W154</v>
          </cell>
          <cell r="Z545" t="str">
            <v>Si</v>
          </cell>
        </row>
        <row r="546">
          <cell r="W546" t="str">
            <v>REP-0526</v>
          </cell>
          <cell r="X546" t="str">
            <v/>
          </cell>
          <cell r="Y546" t="str">
            <v>KIT 127 ANILLOS AGUA BOMBA INTER SHELL</v>
          </cell>
          <cell r="Z546" t="str">
            <v>Si</v>
          </cell>
        </row>
        <row r="547">
          <cell r="W547" t="str">
            <v>REP-0527</v>
          </cell>
          <cell r="X547" t="str">
            <v/>
          </cell>
          <cell r="Y547" t="str">
            <v>KIT 129 ANILLO EXPANSOR BOMBA INTER SHELL</v>
          </cell>
          <cell r="Z547" t="str">
            <v>Si</v>
          </cell>
        </row>
        <row r="548">
          <cell r="W548" t="str">
            <v>REP-0528</v>
          </cell>
          <cell r="X548" t="str">
            <v/>
          </cell>
          <cell r="Y548" t="str">
            <v>KIT 123 VALVULAS ASPIRACION BOMBA INTER SHELL</v>
          </cell>
          <cell r="Z548" t="str">
            <v>Si</v>
          </cell>
        </row>
        <row r="549">
          <cell r="W549" t="str">
            <v>REP-0529</v>
          </cell>
          <cell r="X549" t="str">
            <v/>
          </cell>
          <cell r="Y549" t="str">
            <v>KIT 23 SELLOS BOMBA INTER SHELL</v>
          </cell>
          <cell r="Z549" t="str">
            <v>Si</v>
          </cell>
        </row>
        <row r="550">
          <cell r="W550" t="str">
            <v>REP-0530</v>
          </cell>
          <cell r="X550" t="str">
            <v/>
          </cell>
          <cell r="Y550" t="str">
            <v>LANZA CURVA 600MM</v>
          </cell>
          <cell r="Z550" t="str">
            <v>Si</v>
          </cell>
        </row>
        <row r="551">
          <cell r="W551" t="str">
            <v>REP-0531</v>
          </cell>
          <cell r="X551" t="str">
            <v>09.01.689</v>
          </cell>
          <cell r="Y551" t="str">
            <v>GUIA ASTA MSELF</v>
          </cell>
          <cell r="Z551" t="str">
            <v>Si</v>
          </cell>
        </row>
        <row r="552">
          <cell r="W552" t="str">
            <v>REP-0532</v>
          </cell>
          <cell r="X552" t="str">
            <v>09.01.688</v>
          </cell>
          <cell r="Y552" t="str">
            <v>ASTA MSELF</v>
          </cell>
          <cell r="Z552" t="str">
            <v>Si</v>
          </cell>
        </row>
        <row r="553">
          <cell r="W553" t="str">
            <v>REP-0533</v>
          </cell>
          <cell r="X553" t="str">
            <v>09.01.687</v>
          </cell>
          <cell r="Y553" t="str">
            <v>UNION CENTRAL MSELF</v>
          </cell>
          <cell r="Z553" t="str">
            <v>Si</v>
          </cell>
        </row>
        <row r="554">
          <cell r="W554" t="str">
            <v>REP-0534</v>
          </cell>
          <cell r="X554" t="str">
            <v>09.01.187</v>
          </cell>
          <cell r="Y554" t="str">
            <v>BOQUILLA RECTA DE LATON 1/2</v>
          </cell>
          <cell r="Z554" t="str">
            <v>Si</v>
          </cell>
        </row>
        <row r="555">
          <cell r="W555" t="str">
            <v>REP-0535</v>
          </cell>
          <cell r="X555" t="str">
            <v>29.00.098</v>
          </cell>
          <cell r="Y555" t="str">
            <v>Valvula mariposa bola 3/4</v>
          </cell>
          <cell r="Z555" t="str">
            <v>Si</v>
          </cell>
        </row>
        <row r="556">
          <cell r="W556" t="str">
            <v>REP-0536</v>
          </cell>
          <cell r="X556" t="str">
            <v>09.00.128</v>
          </cell>
          <cell r="Y556" t="str">
            <v>Union americana 3/4 hihe</v>
          </cell>
          <cell r="Z556" t="str">
            <v>Si</v>
          </cell>
        </row>
        <row r="557">
          <cell r="W557" t="str">
            <v>REP-0537</v>
          </cell>
          <cell r="X557" t="str">
            <v>09.03.060ROSSO</v>
          </cell>
          <cell r="Y557" t="str">
            <v>Manguera 4,7 mts color rojo</v>
          </cell>
          <cell r="Z557" t="str">
            <v>Si</v>
          </cell>
        </row>
        <row r="558">
          <cell r="W558" t="str">
            <v>REP-0538</v>
          </cell>
          <cell r="X558" t="str">
            <v>09.02.846</v>
          </cell>
          <cell r="Y558" t="str">
            <v>BISAGRA DE ASPIRADO</v>
          </cell>
          <cell r="Z558" t="str">
            <v>Si</v>
          </cell>
        </row>
        <row r="559">
          <cell r="W559" t="str">
            <v>REP-0539</v>
          </cell>
          <cell r="X559" t="str">
            <v>09.02.847</v>
          </cell>
          <cell r="Y559" t="str">
            <v>MARCO NEGRO DE PUERTA DE ASPIRADO</v>
          </cell>
          <cell r="Z559" t="str">
            <v>Si</v>
          </cell>
        </row>
        <row r="560">
          <cell r="W560" t="str">
            <v>REP-0540</v>
          </cell>
          <cell r="X560" t="str">
            <v>09.01.727</v>
          </cell>
          <cell r="Y560" t="str">
            <v>ASTA SUPERIOR E INFERIOR ASPIRADO</v>
          </cell>
          <cell r="Z560" t="str">
            <v>Si</v>
          </cell>
        </row>
        <row r="561">
          <cell r="W561" t="str">
            <v>REP-0541</v>
          </cell>
          <cell r="X561" t="str">
            <v>42.00.023</v>
          </cell>
          <cell r="Y561" t="str">
            <v>STIKER PARADA EMERGENCIA ASPIRADO</v>
          </cell>
          <cell r="Z561" t="str">
            <v>Si</v>
          </cell>
        </row>
        <row r="562">
          <cell r="W562" t="str">
            <v>REP-0542</v>
          </cell>
          <cell r="X562" t="str">
            <v/>
          </cell>
          <cell r="Y562" t="str">
            <v>FICHERO ELECTRONICO SHELL</v>
          </cell>
          <cell r="Z562" t="str">
            <v>Si</v>
          </cell>
        </row>
        <row r="563">
          <cell r="W563" t="str">
            <v>REP-0543</v>
          </cell>
          <cell r="X563" t="str">
            <v/>
          </cell>
          <cell r="Y563" t="str">
            <v>CAPUCHA SILICONA PULSADOR 22MM</v>
          </cell>
          <cell r="Z563" t="str">
            <v>Si</v>
          </cell>
        </row>
        <row r="564">
          <cell r="W564" t="str">
            <v>REP-0544</v>
          </cell>
          <cell r="X564" t="str">
            <v/>
          </cell>
          <cell r="Y564" t="str">
            <v>TAPA PULSADORES 22 MM</v>
          </cell>
          <cell r="Z564" t="str">
            <v>Si</v>
          </cell>
        </row>
        <row r="565">
          <cell r="W565" t="str">
            <v>REP-0545</v>
          </cell>
          <cell r="X565" t="str">
            <v/>
          </cell>
          <cell r="Y565" t="str">
            <v>VALVULA PULSAR BYPASS INCLUIDO</v>
          </cell>
          <cell r="Z565" t="str">
            <v>Si</v>
          </cell>
        </row>
        <row r="566">
          <cell r="W566" t="str">
            <v>REP-0546</v>
          </cell>
          <cell r="X566" t="str">
            <v/>
          </cell>
          <cell r="Y566" t="str">
            <v>NIPLE RECTO 3/8 3/8 BRONCE</v>
          </cell>
          <cell r="Z566" t="str">
            <v>Si</v>
          </cell>
        </row>
        <row r="567">
          <cell r="W567" t="str">
            <v>REP-0547</v>
          </cell>
          <cell r="X567" t="str">
            <v>X260-665-001</v>
          </cell>
          <cell r="Y567" t="str">
            <v>FICHA DORADA LAVADO SHELL</v>
          </cell>
          <cell r="Z567" t="str">
            <v>Si</v>
          </cell>
        </row>
        <row r="568">
          <cell r="W568" t="str">
            <v>REP-0548</v>
          </cell>
          <cell r="X568" t="str">
            <v>X260-655-201</v>
          </cell>
          <cell r="Y568" t="str">
            <v>FICHA DE ASPIRADO SHELL</v>
          </cell>
          <cell r="Z568" t="str">
            <v>Si</v>
          </cell>
        </row>
        <row r="569">
          <cell r="W569" t="str">
            <v>REP-0549</v>
          </cell>
          <cell r="X569" t="str">
            <v/>
          </cell>
          <cell r="Y569" t="str">
            <v>FICHERO COMPARACION PUNTO ROJO</v>
          </cell>
          <cell r="Z569" t="str">
            <v>Si</v>
          </cell>
        </row>
        <row r="570">
          <cell r="W570" t="str">
            <v>REP-0550</v>
          </cell>
          <cell r="X570" t="str">
            <v/>
          </cell>
          <cell r="Y570" t="str">
            <v>FILTRO ASPIRADORA SHELL</v>
          </cell>
          <cell r="Z570" t="str">
            <v>Si</v>
          </cell>
        </row>
        <row r="571">
          <cell r="W571" t="str">
            <v>REP-0551</v>
          </cell>
          <cell r="X571" t="str">
            <v/>
          </cell>
          <cell r="Y571" t="str">
            <v>Ablandador completo 13x54" (cabezal clack estanques e insumos)</v>
          </cell>
          <cell r="Z571" t="str">
            <v>Si</v>
          </cell>
        </row>
        <row r="572">
          <cell r="W572" t="str">
            <v>REP-0552</v>
          </cell>
          <cell r="X572" t="str">
            <v/>
          </cell>
          <cell r="Y572" t="str">
            <v>Numeral nacional</v>
          </cell>
          <cell r="Z572" t="str">
            <v>Si</v>
          </cell>
        </row>
        <row r="573">
          <cell r="W573" t="str">
            <v>REP-0553</v>
          </cell>
          <cell r="X573" t="str">
            <v/>
          </cell>
          <cell r="Y573" t="str">
            <v>Tee 3/8 HE X 3/8 HE X 3/8 HI</v>
          </cell>
          <cell r="Z573" t="str">
            <v>Si</v>
          </cell>
        </row>
        <row r="574">
          <cell r="W574" t="str">
            <v>REP-0554</v>
          </cell>
          <cell r="X574" t="str">
            <v/>
          </cell>
          <cell r="Y574" t="str">
            <v>Junta nacional inter</v>
          </cell>
          <cell r="Z574" t="str">
            <v>Si</v>
          </cell>
        </row>
        <row r="575">
          <cell r="W575" t="str">
            <v>REP-0555</v>
          </cell>
          <cell r="X575" t="str">
            <v/>
          </cell>
          <cell r="Y575" t="str">
            <v>Union tipo Y 14 MM</v>
          </cell>
          <cell r="Z575" t="str">
            <v>Si</v>
          </cell>
        </row>
        <row r="576">
          <cell r="W576" t="str">
            <v>REP-0556</v>
          </cell>
          <cell r="X576" t="str">
            <v/>
          </cell>
          <cell r="Y576" t="str">
            <v xml:space="preserve">Reduccion 1/2x3/8 </v>
          </cell>
          <cell r="Z576" t="str">
            <v>Si</v>
          </cell>
        </row>
        <row r="577">
          <cell r="W577" t="str">
            <v>REP-0557</v>
          </cell>
          <cell r="X577" t="str">
            <v/>
          </cell>
          <cell r="Y577" t="str">
            <v>Niple conexion rapida 14MM</v>
          </cell>
          <cell r="Z577" t="str">
            <v>Si</v>
          </cell>
        </row>
        <row r="578">
          <cell r="W578" t="str">
            <v>REP-0558</v>
          </cell>
          <cell r="X578" t="str">
            <v/>
          </cell>
          <cell r="Y578" t="str">
            <v>Kit porta fichero N</v>
          </cell>
          <cell r="Z578" t="str">
            <v>Si</v>
          </cell>
        </row>
        <row r="579">
          <cell r="W579" t="str">
            <v>REP-0559</v>
          </cell>
          <cell r="X579" t="str">
            <v/>
          </cell>
          <cell r="Y579" t="str">
            <v>Pulsador 22 mm luz azul</v>
          </cell>
          <cell r="Z579" t="str">
            <v>Si</v>
          </cell>
        </row>
        <row r="580">
          <cell r="W580" t="str">
            <v>REP-0560</v>
          </cell>
          <cell r="X580" t="str">
            <v/>
          </cell>
          <cell r="Y580" t="str">
            <v>Zocalo 5 pines pulsador 22</v>
          </cell>
          <cell r="Z580" t="str">
            <v>Si</v>
          </cell>
        </row>
        <row r="581">
          <cell r="W581" t="str">
            <v>REP-0561</v>
          </cell>
          <cell r="X581" t="str">
            <v/>
          </cell>
          <cell r="Y581" t="str">
            <v>Brazo doble MTM</v>
          </cell>
          <cell r="Z581" t="str">
            <v>Si</v>
          </cell>
        </row>
        <row r="582">
          <cell r="W582" t="str">
            <v>REP-0562</v>
          </cell>
          <cell r="X582" t="str">
            <v>09.00.250</v>
          </cell>
          <cell r="Y582" t="str">
            <v>Brazo giratorio tipo Z</v>
          </cell>
          <cell r="Z582" t="str">
            <v>Si</v>
          </cell>
        </row>
        <row r="583">
          <cell r="W583" t="str">
            <v>REP-0563</v>
          </cell>
          <cell r="X583" t="str">
            <v/>
          </cell>
          <cell r="Y583" t="str">
            <v>Controlador de agua</v>
          </cell>
          <cell r="Z583" t="str">
            <v>Si</v>
          </cell>
        </row>
        <row r="584">
          <cell r="W584" t="str">
            <v>REP-0564</v>
          </cell>
          <cell r="X584" t="str">
            <v/>
          </cell>
          <cell r="Y584" t="str">
            <v>Sistema kit invierno</v>
          </cell>
          <cell r="Z584" t="str">
            <v>Si</v>
          </cell>
        </row>
        <row r="585">
          <cell r="W585" t="str">
            <v>REP-0565</v>
          </cell>
          <cell r="X585" t="str">
            <v/>
          </cell>
          <cell r="Y585" t="str">
            <v>Boquilla lanza shell 1/4</v>
          </cell>
          <cell r="Z585" t="str">
            <v>Si</v>
          </cell>
        </row>
        <row r="586">
          <cell r="W586" t="str">
            <v>REP-0566</v>
          </cell>
          <cell r="X586" t="str">
            <v/>
          </cell>
          <cell r="Y586" t="str">
            <v>Manguera 1.63 hehe 1/4 recta y codo 90° brazo doble</v>
          </cell>
          <cell r="Z586" t="str">
            <v>Si</v>
          </cell>
        </row>
        <row r="587">
          <cell r="W587" t="str">
            <v>REP-0567</v>
          </cell>
          <cell r="X587" t="str">
            <v/>
          </cell>
          <cell r="Y587" t="str">
            <v>Manguera 1.77 hehe 1/4 recta y codo 90° brazo doble</v>
          </cell>
          <cell r="Z587" t="str">
            <v>Si</v>
          </cell>
        </row>
        <row r="588">
          <cell r="W588" t="str">
            <v>REP-0568</v>
          </cell>
          <cell r="X588" t="str">
            <v/>
          </cell>
          <cell r="Y588" t="str">
            <v>Aspiradora Luster</v>
          </cell>
          <cell r="Z588" t="str">
            <v>Si</v>
          </cell>
        </row>
        <row r="589">
          <cell r="W589" t="str">
            <v>REP-0569</v>
          </cell>
          <cell r="X589" t="str">
            <v/>
          </cell>
          <cell r="Y589" t="str">
            <v>Motor 5.5 hp 1450rpm</v>
          </cell>
          <cell r="Z589" t="str">
            <v>Si</v>
          </cell>
        </row>
        <row r="590">
          <cell r="W590" t="str">
            <v>REP-0570</v>
          </cell>
          <cell r="X590" t="str">
            <v/>
          </cell>
          <cell r="Y590" t="str">
            <v>Motor aspiración agua y polvo</v>
          </cell>
          <cell r="Z590" t="str">
            <v>Si</v>
          </cell>
        </row>
        <row r="591">
          <cell r="W591" t="str">
            <v>REP-0571</v>
          </cell>
          <cell r="X591" t="str">
            <v>09.06.736</v>
          </cell>
          <cell r="Y591" t="str">
            <v>Fuente de alimentacion 220 ac/24dc puente lavado</v>
          </cell>
          <cell r="Z591" t="str">
            <v>Si</v>
          </cell>
        </row>
        <row r="592">
          <cell r="W592" t="str">
            <v>REP-0572</v>
          </cell>
          <cell r="X592" t="str">
            <v>09.06.132</v>
          </cell>
          <cell r="Y592" t="str">
            <v>Reductor de traslacion cepillo vertical puente lavado</v>
          </cell>
          <cell r="Z592" t="str">
            <v>Si</v>
          </cell>
        </row>
        <row r="593">
          <cell r="W593" t="str">
            <v>REP-0573</v>
          </cell>
          <cell r="X593" t="str">
            <v>0906.1318</v>
          </cell>
          <cell r="Y593" t="str">
            <v>Inversor 1, 1KW-230V 1ph schneider puente lavado</v>
          </cell>
          <cell r="Z593" t="str">
            <v>Si</v>
          </cell>
        </row>
        <row r="594">
          <cell r="W594" t="str">
            <v>REP-0574</v>
          </cell>
          <cell r="X594" t="str">
            <v>09.06.142</v>
          </cell>
          <cell r="Y594" t="str">
            <v>Motor de cepillo horizontal KW0.5 puente lavado</v>
          </cell>
          <cell r="Z594" t="str">
            <v>Si</v>
          </cell>
        </row>
        <row r="595">
          <cell r="W595" t="str">
            <v>REP-0575</v>
          </cell>
          <cell r="X595" t="str">
            <v>09.06.1426</v>
          </cell>
          <cell r="Y595" t="str">
            <v>Motor de giro lavallantas puente lavado</v>
          </cell>
          <cell r="Z595" t="str">
            <v>Si</v>
          </cell>
        </row>
        <row r="596">
          <cell r="W596" t="str">
            <v>REP-0576</v>
          </cell>
          <cell r="X596" t="str">
            <v>09.06.148</v>
          </cell>
          <cell r="Y596" t="str">
            <v>Motor de traslacion cepillo vertical puente lavado</v>
          </cell>
          <cell r="Z596" t="str">
            <v>Si</v>
          </cell>
        </row>
        <row r="597">
          <cell r="W597" t="str">
            <v>REP-0577</v>
          </cell>
          <cell r="X597" t="str">
            <v>24.00.098</v>
          </cell>
          <cell r="Y597" t="str">
            <v>Eletrobomba de acero inoxidable je 120T 0.9KW puente lavado</v>
          </cell>
          <cell r="Z597" t="str">
            <v>Si</v>
          </cell>
        </row>
        <row r="598">
          <cell r="W598" t="str">
            <v>REP-0578</v>
          </cell>
          <cell r="X598" t="str">
            <v>0906.1786</v>
          </cell>
          <cell r="Y598" t="str">
            <v>Correa cinta pes azul 25mm puente lavado</v>
          </cell>
          <cell r="Z598" t="str">
            <v>Si</v>
          </cell>
        </row>
        <row r="599">
          <cell r="W599" t="str">
            <v>REP-0579</v>
          </cell>
          <cell r="X599" t="str">
            <v>09.06.134</v>
          </cell>
          <cell r="Y599" t="str">
            <v>Reductor de traslacion puente derecho puente lavado</v>
          </cell>
          <cell r="Z599" t="str">
            <v>Si</v>
          </cell>
        </row>
        <row r="600">
          <cell r="W600" t="str">
            <v>REP-0580</v>
          </cell>
          <cell r="X600" t="str">
            <v>80.00069</v>
          </cell>
          <cell r="Y600" t="str">
            <v>Indicador luminoso led diamante izquierda L puente lavado</v>
          </cell>
          <cell r="Z600" t="str">
            <v>Si</v>
          </cell>
        </row>
        <row r="601">
          <cell r="W601" t="str">
            <v>REP-0581</v>
          </cell>
          <cell r="X601" t="str">
            <v>09.06.236</v>
          </cell>
          <cell r="Y601" t="str">
            <v>Bomba dosificadora champu/llantas puente lavado</v>
          </cell>
          <cell r="Z601" t="str">
            <v>Si</v>
          </cell>
        </row>
        <row r="602">
          <cell r="W602" t="str">
            <v>REP-0582</v>
          </cell>
          <cell r="X602" t="str">
            <v>06.06.237</v>
          </cell>
          <cell r="Y602" t="str">
            <v>Bomba dosificadora WAX 3L/H cera puente lavado</v>
          </cell>
          <cell r="Z602" t="str">
            <v>Si</v>
          </cell>
        </row>
        <row r="603">
          <cell r="W603" t="str">
            <v>REP-0583</v>
          </cell>
          <cell r="X603" t="str">
            <v>09.06.1165</v>
          </cell>
          <cell r="Y603" t="str">
            <v>Boquilla de espuma 1.2 1/4F puente lavado</v>
          </cell>
          <cell r="Z603" t="str">
            <v>Si</v>
          </cell>
        </row>
        <row r="604">
          <cell r="W604" t="str">
            <v>REP-0584</v>
          </cell>
          <cell r="X604" t="str">
            <v>09.06.239</v>
          </cell>
          <cell r="Y604" t="str">
            <v>Bomba dosificadora EPDM 12L/H puente lavado</v>
          </cell>
          <cell r="Z604" t="str">
            <v>Si</v>
          </cell>
        </row>
        <row r="605">
          <cell r="W605" t="str">
            <v>REP-0585</v>
          </cell>
          <cell r="X605" t="str">
            <v>09.06.669</v>
          </cell>
          <cell r="Y605" t="str">
            <v>Electrovalvula 90 de agua puente lavado</v>
          </cell>
          <cell r="Z605" t="str">
            <v>Si</v>
          </cell>
        </row>
        <row r="606">
          <cell r="W606" t="str">
            <v>REP-0586</v>
          </cell>
          <cell r="X606" t="str">
            <v>09.06.416</v>
          </cell>
          <cell r="Y606" t="str">
            <v>Base modular plana para EV de aire puente lavado</v>
          </cell>
          <cell r="Z606" t="str">
            <v>Si</v>
          </cell>
        </row>
        <row r="607">
          <cell r="W607" t="str">
            <v>REP-0587</v>
          </cell>
          <cell r="X607" t="str">
            <v>09.06.1595</v>
          </cell>
          <cell r="Y607" t="str">
            <v>Modulo de absorcion de cepillos puente lavado</v>
          </cell>
          <cell r="Z607" t="str">
            <v>Si</v>
          </cell>
        </row>
        <row r="608">
          <cell r="W608" t="str">
            <v>REP-0588</v>
          </cell>
          <cell r="X608" t="str">
            <v>09.06.1320</v>
          </cell>
          <cell r="Y608" t="str">
            <v>Inversor schneider de 0.75KW-230V 1PH puente lavado</v>
          </cell>
          <cell r="Z608" t="str">
            <v>Si</v>
          </cell>
        </row>
        <row r="609">
          <cell r="W609" t="str">
            <v>REP-0589</v>
          </cell>
          <cell r="X609" t="str">
            <v>09.06.797</v>
          </cell>
          <cell r="Y609" t="str">
            <v>Cilindro de inclinacion cepillo vertical puente lavado</v>
          </cell>
          <cell r="Z609" t="str">
            <v>Si</v>
          </cell>
        </row>
        <row r="610">
          <cell r="W610" t="str">
            <v>REP-0590</v>
          </cell>
          <cell r="X610" t="str">
            <v>09.06.1316</v>
          </cell>
          <cell r="Y610" t="str">
            <v>Expansion PL schneider 16 puente lavado</v>
          </cell>
          <cell r="Z610" t="str">
            <v>Si</v>
          </cell>
        </row>
        <row r="611">
          <cell r="W611" t="str">
            <v>REP-0591</v>
          </cell>
          <cell r="X611" t="str">
            <v>09.06.1330</v>
          </cell>
          <cell r="Y611" t="str">
            <v>Motor del reductor de traslacion 0.75KW puente lavado</v>
          </cell>
          <cell r="Z611" t="str">
            <v>Si</v>
          </cell>
        </row>
        <row r="612">
          <cell r="W612" t="str">
            <v>REP-0592</v>
          </cell>
          <cell r="X612" t="str">
            <v>09.06.133</v>
          </cell>
          <cell r="Y612" t="str">
            <v>Reductor de traslacion puente de lavado izquierdo puente lavado</v>
          </cell>
          <cell r="Z612" t="str">
            <v>Si</v>
          </cell>
        </row>
        <row r="613">
          <cell r="W613" t="str">
            <v>REP-0593</v>
          </cell>
          <cell r="X613" t="str">
            <v>09.06.1425</v>
          </cell>
          <cell r="Y613" t="str">
            <v>Reductor para lavallantas puente lavado</v>
          </cell>
          <cell r="Z613" t="str">
            <v>Si</v>
          </cell>
        </row>
        <row r="614">
          <cell r="W614" t="str">
            <v>REP-0594</v>
          </cell>
          <cell r="X614" t="str">
            <v>09.02.070</v>
          </cell>
          <cell r="Y614" t="str">
            <v>Bomba de alta presion puente lavado</v>
          </cell>
          <cell r="Z614" t="str">
            <v>Si</v>
          </cell>
        </row>
        <row r="615">
          <cell r="W615" t="str">
            <v>REP-0595</v>
          </cell>
          <cell r="X615" t="str">
            <v>09.06.143</v>
          </cell>
          <cell r="Y615" t="str">
            <v>Motor KW0. 37 puente lavado</v>
          </cell>
          <cell r="Z615" t="str">
            <v>Si</v>
          </cell>
        </row>
        <row r="616">
          <cell r="W616" t="str">
            <v>REP-0596</v>
          </cell>
          <cell r="X616" t="str">
            <v>09.06.146</v>
          </cell>
          <cell r="Y616" t="str">
            <v>Motor de secado con ventilacion trasera puente lavado</v>
          </cell>
          <cell r="Z616" t="str">
            <v>Si</v>
          </cell>
        </row>
        <row r="617">
          <cell r="W617" t="str">
            <v>REP-0597</v>
          </cell>
          <cell r="X617" t="str">
            <v>09.02.069</v>
          </cell>
          <cell r="Y617" t="str">
            <v>Motor trifasico bomba de AP 8.5HP 4P 400/230 eje hueco puente lavado</v>
          </cell>
          <cell r="Z617" t="str">
            <v>Si</v>
          </cell>
        </row>
        <row r="618">
          <cell r="W618" t="str">
            <v>REP-0598</v>
          </cell>
          <cell r="X618" t="str">
            <v>09.06.145</v>
          </cell>
          <cell r="Y618" t="str">
            <v>Motor secado horizontal puente lavado</v>
          </cell>
          <cell r="Z618" t="str">
            <v>Si</v>
          </cell>
        </row>
        <row r="619">
          <cell r="W619" t="str">
            <v>REP-0599</v>
          </cell>
          <cell r="X619" t="str">
            <v>09.03.350</v>
          </cell>
          <cell r="Y619" t="str">
            <v>Caudalimetro pulsador de 1" 53IMP/L puente lavado</v>
          </cell>
          <cell r="Z619" t="str">
            <v>Si</v>
          </cell>
        </row>
        <row r="620">
          <cell r="W620" t="str">
            <v>REP-0600</v>
          </cell>
          <cell r="X620" t="str">
            <v>09.06.202</v>
          </cell>
          <cell r="Y620" t="str">
            <v>Correa dentada de kevlar para cepillo horizontal puente lavado 1 mt</v>
          </cell>
          <cell r="Z620" t="str">
            <v>Si</v>
          </cell>
        </row>
        <row r="621">
          <cell r="W621" t="str">
            <v>REP-0601</v>
          </cell>
          <cell r="X621" t="str">
            <v>09.06.486</v>
          </cell>
          <cell r="Y621" t="str">
            <v>Colector EV de agua puente lavado</v>
          </cell>
          <cell r="Z621" t="str">
            <v>Si</v>
          </cell>
        </row>
        <row r="622">
          <cell r="W622" t="str">
            <v>REP-0602</v>
          </cell>
          <cell r="X622" t="str">
            <v>90.06.1324</v>
          </cell>
          <cell r="Y622" t="str">
            <v>Conexion RJ45 CAN-OPEN puente lavado</v>
          </cell>
          <cell r="Z622" t="str">
            <v>Si</v>
          </cell>
        </row>
        <row r="623">
          <cell r="W623" t="str">
            <v>REP-0603</v>
          </cell>
          <cell r="X623" t="str">
            <v>09.06.378</v>
          </cell>
          <cell r="Y623" t="str">
            <v>Regulador de presion 1/4 tuerca anular con monom puente lavado</v>
          </cell>
          <cell r="Z623" t="str">
            <v>Si</v>
          </cell>
        </row>
        <row r="624">
          <cell r="W624" t="str">
            <v>REP-0604</v>
          </cell>
          <cell r="X624" t="str">
            <v>09.06.411</v>
          </cell>
          <cell r="Y624" t="str">
            <v>Admision de aire 1/4 puente lavado</v>
          </cell>
          <cell r="Z624" t="str">
            <v>Si</v>
          </cell>
        </row>
        <row r="625">
          <cell r="W625" t="str">
            <v>REP-0605</v>
          </cell>
          <cell r="X625" t="str">
            <v>09.06.377</v>
          </cell>
          <cell r="Y625" t="str">
            <v>Unidad de filtro de aire manometro1/4 fil. librar puente lavado</v>
          </cell>
          <cell r="Z625" t="str">
            <v>Si</v>
          </cell>
        </row>
        <row r="626">
          <cell r="W626" t="str">
            <v>REP-0606</v>
          </cell>
          <cell r="X626" t="str">
            <v>09.06.1619</v>
          </cell>
          <cell r="Y626" t="str">
            <v>Modulo de seguridad 8DI puente lavado</v>
          </cell>
          <cell r="Z626" t="str">
            <v>Si</v>
          </cell>
        </row>
        <row r="627">
          <cell r="W627" t="str">
            <v>REP-0607</v>
          </cell>
          <cell r="X627" t="str">
            <v>09.06.604</v>
          </cell>
          <cell r="Y627" t="str">
            <v>Valvula pulsar para interpmps VBX puente lavado</v>
          </cell>
          <cell r="Z627" t="str">
            <v>Si</v>
          </cell>
        </row>
        <row r="628">
          <cell r="W628" t="str">
            <v>REP-0608</v>
          </cell>
          <cell r="X628" t="str">
            <v>09.06.413</v>
          </cell>
          <cell r="Y628" t="str">
            <v>Electrovalvula plano 5/2 puente lavado</v>
          </cell>
          <cell r="Z628" t="str">
            <v>Si</v>
          </cell>
        </row>
        <row r="629">
          <cell r="W629" t="str">
            <v>REP-0609</v>
          </cell>
          <cell r="X629" t="str">
            <v>09.06.414</v>
          </cell>
          <cell r="Y629" t="str">
            <v>Electrovalvula flat 5/3 1/4 casol puente lavado</v>
          </cell>
          <cell r="Z629" t="str">
            <v>Si</v>
          </cell>
        </row>
        <row r="630">
          <cell r="W630" t="str">
            <v>REP-0610</v>
          </cell>
          <cell r="X630" t="str">
            <v>09.06.1315</v>
          </cell>
          <cell r="Y630" t="str">
            <v>PLC schneirder TMC241CECT 24R puente lavado</v>
          </cell>
          <cell r="Z630" t="str">
            <v>Si</v>
          </cell>
        </row>
        <row r="631">
          <cell r="W631" t="str">
            <v>REP-0611</v>
          </cell>
          <cell r="X631" t="str">
            <v/>
          </cell>
          <cell r="Y631" t="str">
            <v>Soporte de boquilla giratoria fil. 3/8 sin tuerca anular puente lavado</v>
          </cell>
          <cell r="Z631" t="str">
            <v>Si</v>
          </cell>
        </row>
        <row r="632">
          <cell r="W632" t="str">
            <v>REP-0612</v>
          </cell>
          <cell r="X632" t="str">
            <v>09.06.1317</v>
          </cell>
          <cell r="Y632" t="str">
            <v>Expansion de PLC sche 16DO puente lavado</v>
          </cell>
          <cell r="Z632" t="str">
            <v>Si</v>
          </cell>
        </row>
        <row r="633">
          <cell r="W633" t="str">
            <v>REP-0613</v>
          </cell>
          <cell r="X633" t="str">
            <v>09.0.240</v>
          </cell>
          <cell r="Y633" t="str">
            <v>Boquilla metalica para tuercas rojas puente lavado</v>
          </cell>
          <cell r="Z633" t="str">
            <v>Si</v>
          </cell>
        </row>
        <row r="634">
          <cell r="W634" t="str">
            <v>REP-0614</v>
          </cell>
          <cell r="X634" t="str">
            <v>09.06.373</v>
          </cell>
          <cell r="Y634" t="str">
            <v>Porta boquillas de emoliente puente lavado</v>
          </cell>
          <cell r="Z634" t="str">
            <v>Si</v>
          </cell>
        </row>
        <row r="635">
          <cell r="W635" t="str">
            <v>REP-0615</v>
          </cell>
          <cell r="X635" t="str">
            <v>09.0.1337</v>
          </cell>
          <cell r="Y635" t="str">
            <v>Adaptador de tarjeta rj45 de apertura de lata puente lavado</v>
          </cell>
          <cell r="Z635" t="str">
            <v>Si</v>
          </cell>
        </row>
        <row r="636">
          <cell r="W636" t="str">
            <v>REP-0616</v>
          </cell>
          <cell r="X636" t="str">
            <v>09.01.511</v>
          </cell>
          <cell r="Y636" t="str">
            <v>Mnguera de conexon estanque cumulador de bombas de alta presion puente lavado</v>
          </cell>
          <cell r="Z636" t="str">
            <v>Si</v>
          </cell>
        </row>
        <row r="637">
          <cell r="W637" t="str">
            <v>REP-0617</v>
          </cell>
          <cell r="X637" t="str">
            <v>09.06.448</v>
          </cell>
          <cell r="Y637" t="str">
            <v>Electrovalvula de aire 2 vias 1/8 NC 24VDC puente lavado</v>
          </cell>
          <cell r="Z637" t="str">
            <v>Si</v>
          </cell>
        </row>
        <row r="638">
          <cell r="W638" t="str">
            <v>REP-0618</v>
          </cell>
          <cell r="X638" t="str">
            <v>09.06.361</v>
          </cell>
          <cell r="Y638" t="str">
            <v>Horquilla cilindro nuematico puente lavado</v>
          </cell>
          <cell r="Z638" t="str">
            <v>Si</v>
          </cell>
        </row>
        <row r="639">
          <cell r="W639" t="str">
            <v>REP-0619</v>
          </cell>
          <cell r="X639" t="str">
            <v>09.06.115</v>
          </cell>
          <cell r="Y639" t="str">
            <v>Rueda de percha 80x25 puente lavado</v>
          </cell>
          <cell r="Z639" t="str">
            <v>Si</v>
          </cell>
        </row>
        <row r="640">
          <cell r="W640" t="str">
            <v>REP-0620</v>
          </cell>
          <cell r="X640" t="str">
            <v>09.06.243</v>
          </cell>
          <cell r="Y640" t="str">
            <v>Boquilla fbl 686 1/4 4003 acero inox  puente lavado</v>
          </cell>
          <cell r="Z640" t="str">
            <v>Si</v>
          </cell>
        </row>
        <row r="641">
          <cell r="W641" t="str">
            <v>REP-0621</v>
          </cell>
          <cell r="X641" t="str">
            <v>09.06.380</v>
          </cell>
          <cell r="Y641" t="str">
            <v>Clindro neumatico para inclinacion de lavaruedas y deflector puente lavado</v>
          </cell>
          <cell r="Z641" t="str">
            <v>Si</v>
          </cell>
        </row>
        <row r="642">
          <cell r="W642" t="str">
            <v>REP-0622</v>
          </cell>
          <cell r="X642" t="str">
            <v>09.06.1775</v>
          </cell>
          <cell r="Y642" t="str">
            <v>Interrptor remoto proximidad D18-5M-NO puente lavado</v>
          </cell>
          <cell r="Z642" t="str">
            <v>Si</v>
          </cell>
        </row>
        <row r="643">
          <cell r="W643" t="str">
            <v>REP-0623</v>
          </cell>
          <cell r="X643" t="str">
            <v>09.06.230</v>
          </cell>
          <cell r="Y643" t="str">
            <v>Interruptor remoto proximidad omron 5mt-no puente lavado</v>
          </cell>
          <cell r="Z643" t="str">
            <v>Si</v>
          </cell>
        </row>
        <row r="644">
          <cell r="W644" t="str">
            <v>REP-0624</v>
          </cell>
          <cell r="X644" t="str">
            <v>09.06.1722</v>
          </cell>
          <cell r="Y644" t="str">
            <v>Boquilla giratoria 1/4-030-26° puente lavado</v>
          </cell>
          <cell r="Z644" t="str">
            <v>Si</v>
          </cell>
        </row>
        <row r="645">
          <cell r="W645" t="str">
            <v>REP-0625</v>
          </cell>
          <cell r="X645" t="str">
            <v/>
          </cell>
          <cell r="Y645" t="str">
            <v>Receptor de fotocelula md mt 30 puente lavado</v>
          </cell>
          <cell r="Z645" t="str">
            <v>Si</v>
          </cell>
        </row>
        <row r="646">
          <cell r="W646" t="str">
            <v>REP-0626</v>
          </cell>
          <cell r="X646" t="str">
            <v/>
          </cell>
          <cell r="Y646" t="str">
            <v>Kit instalacion manómetros</v>
          </cell>
          <cell r="Z646" t="str">
            <v>Si</v>
          </cell>
        </row>
        <row r="647">
          <cell r="W647" t="str">
            <v>REP-0627</v>
          </cell>
          <cell r="X647" t="str">
            <v>09.06.379</v>
          </cell>
          <cell r="Y647" t="str">
            <v>Presostato 1/4 puente lavado</v>
          </cell>
          <cell r="Z647" t="str">
            <v>Si</v>
          </cell>
        </row>
        <row r="648">
          <cell r="W648" t="str">
            <v>REP-0628</v>
          </cell>
          <cell r="X648" t="str">
            <v>09.01.105</v>
          </cell>
          <cell r="Y648" t="str">
            <v>Presostato 1/8 puente lavado</v>
          </cell>
          <cell r="Z648" t="str">
            <v>Si</v>
          </cell>
        </row>
        <row r="649">
          <cell r="W649" t="str">
            <v>REP-0631</v>
          </cell>
          <cell r="X649" t="str">
            <v>09.06.797</v>
          </cell>
          <cell r="Y649" t="str">
            <v>Cilindro neumatico de inclinacion de cepillos puente lavado</v>
          </cell>
          <cell r="Z649" t="str">
            <v>Si</v>
          </cell>
        </row>
        <row r="650">
          <cell r="W650" t="str">
            <v>REP-0632</v>
          </cell>
          <cell r="X650" t="str">
            <v>09.06.119</v>
          </cell>
          <cell r="Y650" t="str">
            <v>Perno exentrico para rueda de soporte puente lavado</v>
          </cell>
          <cell r="Z650" t="str">
            <v>Si</v>
          </cell>
        </row>
        <row r="651">
          <cell r="W651" t="str">
            <v>REP-0633</v>
          </cell>
          <cell r="X651" t="str">
            <v>09.06.121</v>
          </cell>
          <cell r="Y651" t="str">
            <v>Espaciador para rueda de soporte para cepillos verticales PUENTE LAVADO</v>
          </cell>
          <cell r="Z651" t="str">
            <v>Si</v>
          </cell>
        </row>
        <row r="652">
          <cell r="W652" t="str">
            <v>REP-0634</v>
          </cell>
          <cell r="X652" t="str">
            <v>09.06.118</v>
          </cell>
          <cell r="Y652" t="str">
            <v>Rueda de soporte para cepillos verticales puente lavado</v>
          </cell>
          <cell r="Z652" t="str">
            <v>Si</v>
          </cell>
        </row>
        <row r="653">
          <cell r="W653" t="str">
            <v>REP-0635</v>
          </cell>
          <cell r="X653" t="str">
            <v>09.06.153</v>
          </cell>
          <cell r="Y653" t="str">
            <v>Rótula externa rueda de soporte para cepillos verticales puente lavado</v>
          </cell>
          <cell r="Z653" t="str">
            <v>Si</v>
          </cell>
        </row>
        <row r="654">
          <cell r="W654" t="str">
            <v>REP-0636</v>
          </cell>
          <cell r="X654" t="str">
            <v>09.06.120</v>
          </cell>
          <cell r="Y654" t="str">
            <v>Perno superior para Rueda de Soporte excéntrica para cepillos verticales PUENTE AVADO</v>
          </cell>
          <cell r="Z654" t="str">
            <v>Si</v>
          </cell>
        </row>
        <row r="655">
          <cell r="W655" t="str">
            <v>REP-0637</v>
          </cell>
          <cell r="X655" t="str">
            <v>09.06.121</v>
          </cell>
          <cell r="Y655" t="str">
            <v>Espaciador para rueda de soporte excentrica para cepillos verticales</v>
          </cell>
          <cell r="Z655" t="str">
            <v>Si</v>
          </cell>
        </row>
        <row r="656">
          <cell r="W656" t="str">
            <v>REP-0638</v>
          </cell>
          <cell r="X656" t="str">
            <v>09.06118</v>
          </cell>
          <cell r="Y656" t="str">
            <v>Rueda de soporte excéntrica para cepillos verticales</v>
          </cell>
          <cell r="Z656" t="str">
            <v>Si</v>
          </cell>
        </row>
        <row r="657">
          <cell r="W657" t="str">
            <v>REP-0639</v>
          </cell>
          <cell r="X657" t="str">
            <v>09.06.153</v>
          </cell>
          <cell r="Y657" t="str">
            <v>Rótula externa rueda de soporte excéntrica para cepillos verticales</v>
          </cell>
          <cell r="Z657" t="str">
            <v>Si</v>
          </cell>
        </row>
        <row r="658">
          <cell r="W658" t="str">
            <v>REP-0640</v>
          </cell>
          <cell r="X658" t="str">
            <v>09.06.752</v>
          </cell>
          <cell r="Y658" t="str">
            <v>Guía plástica de anillos de seguridad</v>
          </cell>
          <cell r="Z658" t="str">
            <v>Si</v>
          </cell>
        </row>
        <row r="659">
          <cell r="W659" t="str">
            <v>REP-0641</v>
          </cell>
          <cell r="X659" t="str">
            <v>09.06.382</v>
          </cell>
          <cell r="Y659" t="str">
            <v>Electroválvula de alimentación de estanque de bombas de alta presión</v>
          </cell>
          <cell r="Z659" t="str">
            <v>Si</v>
          </cell>
        </row>
        <row r="660">
          <cell r="W660" t="str">
            <v>REP-0642</v>
          </cell>
          <cell r="X660" t="str">
            <v>09.02.382</v>
          </cell>
          <cell r="Y660" t="str">
            <v>Micro Switch de pie de seguridad</v>
          </cell>
          <cell r="Z660" t="str">
            <v>Si</v>
          </cell>
        </row>
        <row r="661">
          <cell r="W661" t="str">
            <v>REP-0643</v>
          </cell>
          <cell r="X661" t="str">
            <v>09.06.1618</v>
          </cell>
          <cell r="Y661" t="str">
            <v>Borde amarillo de seguridad</v>
          </cell>
          <cell r="Z661" t="str">
            <v>Si</v>
          </cell>
        </row>
        <row r="662">
          <cell r="W662" t="str">
            <v>REP-0644</v>
          </cell>
          <cell r="X662" t="str">
            <v/>
          </cell>
          <cell r="Y662" t="str">
            <v>Estanque de resina para ablandador</v>
          </cell>
          <cell r="Z662" t="str">
            <v>Si</v>
          </cell>
        </row>
        <row r="663">
          <cell r="W663" t="str">
            <v>REP-0645</v>
          </cell>
          <cell r="X663" t="str">
            <v>09.03.376</v>
          </cell>
          <cell r="Y663" t="str">
            <v>Display Touch EX 205 MSELF</v>
          </cell>
          <cell r="Z663" t="str">
            <v>Si</v>
          </cell>
        </row>
        <row r="664">
          <cell r="W664" t="str">
            <v>REP-0646</v>
          </cell>
          <cell r="X664" t="str">
            <v/>
          </cell>
          <cell r="Y664" t="str">
            <v xml:space="preserve">Ficha lavado personalizada Espinoza </v>
          </cell>
          <cell r="Z664" t="str">
            <v>Si</v>
          </cell>
        </row>
        <row r="665">
          <cell r="W665" t="str">
            <v>REP-0647</v>
          </cell>
          <cell r="X665" t="str">
            <v/>
          </cell>
          <cell r="Y665" t="str">
            <v>Ficha aspirado personalizada Espinoza</v>
          </cell>
          <cell r="Z665" t="str">
            <v>Si</v>
          </cell>
        </row>
        <row r="666">
          <cell r="W666" t="str">
            <v>REP-0648</v>
          </cell>
          <cell r="X666" t="str">
            <v>09.3.378</v>
          </cell>
          <cell r="Y666" t="str">
            <v>Tapa visor cámara de producto multifunción</v>
          </cell>
          <cell r="Z666" t="str">
            <v>Si</v>
          </cell>
        </row>
        <row r="667">
          <cell r="W667" t="str">
            <v>REP-0649</v>
          </cell>
          <cell r="X667" t="str">
            <v>09.03.379</v>
          </cell>
          <cell r="Y667" t="str">
            <v>Sello para aspirado multifunción</v>
          </cell>
          <cell r="Z667" t="str">
            <v>Si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UESTOS"/>
      <sheetName val="SERVICIOS"/>
    </sheetNames>
    <sheetDataSet>
      <sheetData sheetId="0">
        <row r="1">
          <cell r="A1" t="str">
            <v>Código</v>
          </cell>
          <cell r="B1" t="str">
            <v>Descripción</v>
          </cell>
          <cell r="C1" t="str">
            <v>Precio 1S 2026</v>
          </cell>
          <cell r="D1" t="str">
            <v>Precio 2S 2026</v>
          </cell>
        </row>
        <row r="2">
          <cell r="A2" t="str">
            <v>INS-0001</v>
          </cell>
          <cell r="B2" t="str">
            <v>{ INS-0001 }  Shampoo ev14 (22 kg)</v>
          </cell>
          <cell r="C2">
            <v>72630</v>
          </cell>
          <cell r="D2">
            <v>73832.717708942146</v>
          </cell>
        </row>
        <row r="3">
          <cell r="A3" t="str">
            <v>INS-0006</v>
          </cell>
          <cell r="B3" t="str">
            <v>{ INS-0006 }  Abrillantador de gomas</v>
          </cell>
          <cell r="C3">
            <v>31785</v>
          </cell>
          <cell r="D3">
            <v>32311.344243132669</v>
          </cell>
        </row>
        <row r="4">
          <cell r="A4" t="str">
            <v>INS-0009</v>
          </cell>
          <cell r="B4" t="str">
            <v>{ INS-0009 }  Rollo de 500 paños politex (5kg)</v>
          </cell>
          <cell r="C4">
            <v>121413</v>
          </cell>
          <cell r="D4">
            <v>123423.54061952075</v>
          </cell>
        </row>
        <row r="5">
          <cell r="A5" t="str">
            <v>INS-0015</v>
          </cell>
          <cell r="B5" t="str">
            <v>{ INS-0015 }  Lavallantas r7 (22KG)</v>
          </cell>
          <cell r="C5">
            <v>92850</v>
          </cell>
          <cell r="D5">
            <v>94387.551139684394</v>
          </cell>
        </row>
        <row r="6">
          <cell r="A6" t="str">
            <v>INS-0017</v>
          </cell>
          <cell r="B6" t="str">
            <v>{ INS-0017 }  Espuma activa super ev17 (22KG)</v>
          </cell>
          <cell r="C6">
            <v>80630</v>
          </cell>
          <cell r="D6">
            <v>81965.193843756089</v>
          </cell>
        </row>
        <row r="7">
          <cell r="A7" t="str">
            <v>INS-0024</v>
          </cell>
          <cell r="B7" t="str">
            <v>{ INS-0024 }  Cera E48 (20lt) mix</v>
          </cell>
          <cell r="C7">
            <v>76139</v>
          </cell>
          <cell r="D7">
            <v>76139</v>
          </cell>
        </row>
        <row r="8">
          <cell r="A8" t="str">
            <v>INS-0026</v>
          </cell>
          <cell r="B8" t="str">
            <v>{ INS-0026 }   ( Shampoo tapiz) textil cleaner I1-5</v>
          </cell>
          <cell r="C8">
            <v>22879</v>
          </cell>
          <cell r="D8">
            <v>22879.078325848619</v>
          </cell>
        </row>
        <row r="9">
          <cell r="A9" t="str">
            <v>INS-0027</v>
          </cell>
          <cell r="B9" t="str">
            <v>{ INS-0027 }   ( Renovador de tableros) cockpit cleaner c4-5</v>
          </cell>
          <cell r="C9">
            <v>27541</v>
          </cell>
          <cell r="D9">
            <v>27541.105934034676</v>
          </cell>
        </row>
        <row r="10">
          <cell r="A10" t="str">
            <v>INS-0029</v>
          </cell>
          <cell r="B10" t="str">
            <v>{ INS-0029 }  Renovador de tableros alt.</v>
          </cell>
          <cell r="C10">
            <v>20000</v>
          </cell>
          <cell r="D10">
            <v>20331.190337034874</v>
          </cell>
        </row>
        <row r="11">
          <cell r="A11" t="str">
            <v>INS-0030</v>
          </cell>
          <cell r="B11" t="str">
            <v>{ INS-0030 }  Perfume citrico alt.</v>
          </cell>
          <cell r="C11">
            <v>18001</v>
          </cell>
          <cell r="D11">
            <v>18299.087862848239</v>
          </cell>
        </row>
        <row r="12">
          <cell r="A12" t="str">
            <v>INS-0031</v>
          </cell>
          <cell r="B12" t="str">
            <v>{ INS-0031 }  Lavatapiz A.</v>
          </cell>
          <cell r="C12">
            <v>15000</v>
          </cell>
          <cell r="D12">
            <v>15000</v>
          </cell>
        </row>
        <row r="13">
          <cell r="A13" t="str">
            <v>INS-0032</v>
          </cell>
          <cell r="B13" t="str">
            <v>{ INS-0032 }  R8 Lavallantas  5 litros</v>
          </cell>
          <cell r="C13">
            <v>50838</v>
          </cell>
          <cell r="D13">
            <v>50838.141437755701</v>
          </cell>
        </row>
        <row r="14">
          <cell r="A14" t="str">
            <v>INS-0033</v>
          </cell>
          <cell r="B14" t="str">
            <v>{ INS-0033 }  X5 Process traffic hp 25 litros</v>
          </cell>
          <cell r="C14">
            <v>135719</v>
          </cell>
          <cell r="D14">
            <v>135719</v>
          </cell>
        </row>
        <row r="15">
          <cell r="A15" t="str">
            <v>INS-0034</v>
          </cell>
          <cell r="B15" t="str">
            <v>{ INS-0034 }  X8 Process pre wash 25 litros</v>
          </cell>
          <cell r="C15">
            <v>216464</v>
          </cell>
          <cell r="D15">
            <v>216464</v>
          </cell>
        </row>
        <row r="16">
          <cell r="A16" t="str">
            <v>INS-0035</v>
          </cell>
          <cell r="B16" t="str">
            <v>{ INS-0035 }  X46 Coatinium 25 litros</v>
          </cell>
          <cell r="C16">
            <v>355131</v>
          </cell>
          <cell r="D16">
            <v>355131</v>
          </cell>
        </row>
        <row r="17">
          <cell r="A17" t="str">
            <v>INS-0036</v>
          </cell>
          <cell r="B17" t="str">
            <v>{ INS-0036 }  Ev11-25 brillant wax</v>
          </cell>
          <cell r="C17">
            <v>101215</v>
          </cell>
          <cell r="D17">
            <v>101214.76485486071</v>
          </cell>
        </row>
        <row r="18">
          <cell r="A18" t="str">
            <v>INS-0037</v>
          </cell>
          <cell r="B18" t="str">
            <v>{ INS-0037 }  Espuma EV32 bidón 25 litros</v>
          </cell>
          <cell r="C18">
            <v>99000</v>
          </cell>
          <cell r="D18">
            <v>99000</v>
          </cell>
        </row>
        <row r="19">
          <cell r="A19" t="str">
            <v>INS-0038</v>
          </cell>
          <cell r="B19" t="str">
            <v>{ INS-0038 }  Shampoo ev14 (27 kg)</v>
          </cell>
          <cell r="C19">
            <v>90613</v>
          </cell>
          <cell r="D19">
            <v>90613</v>
          </cell>
        </row>
        <row r="20">
          <cell r="A20" t="str">
            <v>INS-0039</v>
          </cell>
          <cell r="B20" t="str">
            <v>{ INS-0039 }  Lavallantas r7 (27 KG)</v>
          </cell>
          <cell r="C20">
            <v>115839</v>
          </cell>
          <cell r="D20">
            <v>115839</v>
          </cell>
        </row>
        <row r="21">
          <cell r="A21" t="str">
            <v>REP-0001</v>
          </cell>
          <cell r="B21" t="str">
            <v>{ REP-0001 }  Lanza con pistola perdente larga</v>
          </cell>
          <cell r="C21">
            <v>141259</v>
          </cell>
          <cell r="D21">
            <v>132330.70806556128</v>
          </cell>
        </row>
        <row r="22">
          <cell r="A22" t="str">
            <v>REP-0007</v>
          </cell>
          <cell r="B22" t="str">
            <v>{ REP-0007 }  Manguera 4,0 mts color azul</v>
          </cell>
          <cell r="C22">
            <v>76275</v>
          </cell>
          <cell r="D22">
            <v>71454.225936232979</v>
          </cell>
        </row>
        <row r="23">
          <cell r="A23" t="str">
            <v>REP-0008</v>
          </cell>
          <cell r="B23" t="str">
            <v>{ REP-0008 }  Manguera 3,5 mts color azul</v>
          </cell>
          <cell r="C23">
            <v>70630</v>
          </cell>
          <cell r="D23">
            <v>66165.851340905094</v>
          </cell>
        </row>
        <row r="24">
          <cell r="A24" t="str">
            <v>REP-0009</v>
          </cell>
          <cell r="B24" t="str">
            <v>{ REP-0009 }  Manguera 4,7 mts color azul</v>
          </cell>
          <cell r="C24">
            <v>81933</v>
          </cell>
          <cell r="D24">
            <v>76754.535926547484</v>
          </cell>
        </row>
        <row r="25">
          <cell r="A25" t="str">
            <v>REP-0010</v>
          </cell>
          <cell r="B25" t="str">
            <v>{ REP-0010 }  Niple recto bronce con PVC</v>
          </cell>
          <cell r="C25">
            <v>10496</v>
          </cell>
          <cell r="D25">
            <v>9832.7762364889022</v>
          </cell>
        </row>
        <row r="26">
          <cell r="A26" t="str">
            <v>REP-0011</v>
          </cell>
          <cell r="B26" t="str">
            <v>{ REP-0011 }  Tee he 1/4 salida Cat</v>
          </cell>
          <cell r="C26">
            <v>9265</v>
          </cell>
          <cell r="D26">
            <v>8679.0213877809183</v>
          </cell>
        </row>
        <row r="27">
          <cell r="A27" t="str">
            <v>REP-0012</v>
          </cell>
          <cell r="B27" t="str">
            <v>{ REP-0012 }  Codo PVC bronce 1/2</v>
          </cell>
          <cell r="C27">
            <v>15368</v>
          </cell>
          <cell r="D27">
            <v>14397.070202627641</v>
          </cell>
        </row>
        <row r="28">
          <cell r="A28" t="str">
            <v>REP-0013</v>
          </cell>
          <cell r="B28" t="str">
            <v>{ REP-0013 }  Tubo PVC diam 15 accoron</v>
          </cell>
          <cell r="C28">
            <v>9167</v>
          </cell>
          <cell r="D28">
            <v>8587.5166928833878</v>
          </cell>
        </row>
        <row r="29">
          <cell r="A29" t="str">
            <v>REP-0014</v>
          </cell>
          <cell r="B29" t="str">
            <v>{ REP-0014 }  Lanza 1200mm por cepillo</v>
          </cell>
          <cell r="C29">
            <v>23140</v>
          </cell>
          <cell r="D29">
            <v>21677.661144474572</v>
          </cell>
        </row>
        <row r="30">
          <cell r="A30" t="str">
            <v>REP-0015</v>
          </cell>
          <cell r="B30" t="str">
            <v>{ REP-0015 }  Bomba de osmosis</v>
          </cell>
          <cell r="C30">
            <v>328428</v>
          </cell>
          <cell r="D30">
            <v>307669.61734921043</v>
          </cell>
        </row>
        <row r="31">
          <cell r="A31" t="str">
            <v>REP-0016</v>
          </cell>
          <cell r="B31" t="str">
            <v>{ REP-0016 }  Golilla 1/2</v>
          </cell>
          <cell r="C31">
            <v>1156</v>
          </cell>
          <cell r="D31">
            <v>1083.137095037064</v>
          </cell>
        </row>
        <row r="32">
          <cell r="A32" t="str">
            <v>REP-0017</v>
          </cell>
          <cell r="B32" t="str">
            <v>{ REP-0017 }  Junta bomba de osmosis</v>
          </cell>
          <cell r="C32">
            <v>59327</v>
          </cell>
          <cell r="D32">
            <v>55577.166755262675</v>
          </cell>
        </row>
        <row r="33">
          <cell r="A33" t="str">
            <v>REP-0018</v>
          </cell>
          <cell r="B33" t="str">
            <v>{ REP-0018 }  Manguera blanda aspirado shampoo mt RILSAN</v>
          </cell>
          <cell r="C33">
            <v>1572</v>
          </cell>
          <cell r="D33">
            <v>1548.1109975508841</v>
          </cell>
        </row>
        <row r="34">
          <cell r="A34" t="str">
            <v>REP-0019</v>
          </cell>
          <cell r="B34" t="str">
            <v>{ REP-0019 }  Golilla 3/8</v>
          </cell>
          <cell r="C34">
            <v>1308</v>
          </cell>
          <cell r="D34">
            <v>1225.3672186277895</v>
          </cell>
        </row>
        <row r="35">
          <cell r="A35" t="str">
            <v>REP-0020</v>
          </cell>
          <cell r="B35" t="str">
            <v>{ REP-0020 }  Bomba 3CP 1140 CAT</v>
          </cell>
          <cell r="C35">
            <v>1029069</v>
          </cell>
          <cell r="D35">
            <v>964025.83153544902</v>
          </cell>
        </row>
        <row r="36">
          <cell r="A36" t="str">
            <v>REP-0021</v>
          </cell>
          <cell r="B36" t="str">
            <v>{ REP-0021 }  EV Burkert 287 1/2</v>
          </cell>
          <cell r="C36">
            <v>226734</v>
          </cell>
          <cell r="D36">
            <v>212403.28379839312</v>
          </cell>
        </row>
        <row r="37">
          <cell r="A37" t="str">
            <v>REP-0022</v>
          </cell>
          <cell r="B37" t="str">
            <v>{ REP-0022 }  Inyector Burket</v>
          </cell>
          <cell r="C37">
            <v>83742</v>
          </cell>
          <cell r="D37">
            <v>78449.362014649567</v>
          </cell>
        </row>
        <row r="38">
          <cell r="A38" t="str">
            <v>REP-0023</v>
          </cell>
          <cell r="B38" t="str">
            <v>{ REP-0023 }  Bomba dosificadora de shampoo</v>
          </cell>
          <cell r="C38">
            <v>323131</v>
          </cell>
          <cell r="D38">
            <v>302707.47688351723</v>
          </cell>
        </row>
        <row r="39">
          <cell r="A39" t="str">
            <v>REP-0024</v>
          </cell>
          <cell r="B39" t="str">
            <v>{ REP-0024 }  Bomba dosificadora de  cera</v>
          </cell>
          <cell r="C39">
            <v>323131</v>
          </cell>
          <cell r="D39">
            <v>302707.47688351723</v>
          </cell>
        </row>
        <row r="40">
          <cell r="A40" t="str">
            <v>REP-0025</v>
          </cell>
          <cell r="B40" t="str">
            <v>{ REP-0025 }  Tuerca inox para cubre fichero</v>
          </cell>
          <cell r="C40">
            <v>16426</v>
          </cell>
          <cell r="D40">
            <v>15387.707986518288</v>
          </cell>
        </row>
        <row r="41">
          <cell r="A41" t="str">
            <v>REP-0026</v>
          </cell>
          <cell r="B41" t="str">
            <v>{ REP-0026 }  Tornillo cubrefichero</v>
          </cell>
          <cell r="C41">
            <v>164</v>
          </cell>
          <cell r="D41">
            <v>153.17090232847369</v>
          </cell>
        </row>
        <row r="42">
          <cell r="A42" t="str">
            <v>REP-0027</v>
          </cell>
          <cell r="B42" t="str">
            <v>{ REP-0027 }  Niple recto 1/2 HEX20</v>
          </cell>
          <cell r="C42">
            <v>6104</v>
          </cell>
          <cell r="D42">
            <v>5718.048814846723</v>
          </cell>
        </row>
        <row r="43">
          <cell r="A43" t="str">
            <v>REP-0028</v>
          </cell>
          <cell r="B43" t="str">
            <v>{ REP-0028 }  Unión americana 90° 1/2</v>
          </cell>
          <cell r="C43">
            <v>13505</v>
          </cell>
          <cell r="D43">
            <v>12651.518685832372</v>
          </cell>
        </row>
        <row r="44">
          <cell r="A44" t="str">
            <v>REP-0029</v>
          </cell>
          <cell r="B44" t="str">
            <v>{ REP-0029 }  Display de 3 cifras</v>
          </cell>
          <cell r="C44">
            <v>331088</v>
          </cell>
          <cell r="D44">
            <v>310161.13105267036</v>
          </cell>
        </row>
        <row r="45">
          <cell r="A45" t="str">
            <v>REP-0030</v>
          </cell>
          <cell r="B45" t="str">
            <v>{ REP-0030 }  Lanza alta presión</v>
          </cell>
          <cell r="C45">
            <v>138839</v>
          </cell>
          <cell r="D45">
            <v>130063.97763434965</v>
          </cell>
        </row>
        <row r="46">
          <cell r="A46" t="str">
            <v>REP-0031</v>
          </cell>
          <cell r="B46" t="str">
            <v>{ REP-0031 }  Tee inox 1/2 HEHEHI central</v>
          </cell>
          <cell r="C46">
            <v>11554</v>
          </cell>
          <cell r="D46">
            <v>10823.41402037955</v>
          </cell>
        </row>
        <row r="47">
          <cell r="A47" t="str">
            <v>REP-0032</v>
          </cell>
          <cell r="B47" t="str">
            <v>{ REP-0032 }  Portafichero</v>
          </cell>
          <cell r="C47">
            <v>24480</v>
          </cell>
          <cell r="D47">
            <v>22932.866850568949</v>
          </cell>
        </row>
        <row r="48">
          <cell r="A48" t="str">
            <v>REP-0033</v>
          </cell>
          <cell r="B48" t="str">
            <v>{ REP-0033 }  Extension EM 223</v>
          </cell>
          <cell r="C48">
            <v>1177163</v>
          </cell>
          <cell r="D48">
            <v>1102758.8843950906</v>
          </cell>
        </row>
        <row r="49">
          <cell r="A49" t="str">
            <v>REP-0034</v>
          </cell>
          <cell r="B49" t="str">
            <v>{ REP-0034 }  PLC simatic S7-200</v>
          </cell>
          <cell r="C49">
            <v>3531488</v>
          </cell>
          <cell r="D49">
            <v>3308276.6531852721</v>
          </cell>
        </row>
        <row r="50">
          <cell r="A50" t="str">
            <v>REP-0035</v>
          </cell>
          <cell r="B50" t="str">
            <v>{ REP-0035 }  Codo 90° 1/2 HEX20</v>
          </cell>
          <cell r="C50">
            <v>12208</v>
          </cell>
          <cell r="D50">
            <v>13024.598155301192</v>
          </cell>
        </row>
        <row r="51">
          <cell r="A51" t="str">
            <v>REP-0036</v>
          </cell>
          <cell r="B51" t="str">
            <v>{ REP-0036 }  Motor cat trifásico doble bobinado</v>
          </cell>
          <cell r="C51">
            <v>1455663</v>
          </cell>
          <cell r="D51">
            <v>1363656.6726404279</v>
          </cell>
        </row>
        <row r="52">
          <cell r="A52" t="str">
            <v>REP-0037</v>
          </cell>
          <cell r="B52" t="str">
            <v>{ REP-0037 }  Válvula Robex 1/2 entrada mself</v>
          </cell>
          <cell r="C52">
            <v>59153</v>
          </cell>
          <cell r="D52">
            <v>55414.049690445347</v>
          </cell>
        </row>
        <row r="53">
          <cell r="A53" t="str">
            <v>REP-0038</v>
          </cell>
          <cell r="B53" t="str">
            <v>{ REP-0038 }  Inyector 1/4\ espuma cepillo</v>
          </cell>
          <cell r="C53">
            <v>19772</v>
          </cell>
          <cell r="D53">
            <v>18522.73840300757</v>
          </cell>
        </row>
        <row r="54">
          <cell r="A54" t="str">
            <v>REP-0039</v>
          </cell>
          <cell r="B54" t="str">
            <v>{ REP-0039 }  Tee 1/4'' 6 mm inoxidable</v>
          </cell>
          <cell r="C54">
            <v>7739</v>
          </cell>
          <cell r="D54">
            <v>7249.7578381314588</v>
          </cell>
        </row>
        <row r="55">
          <cell r="A55" t="str">
            <v>REP-0040</v>
          </cell>
          <cell r="B55" t="str">
            <v>{ REP-0040 }  Membrana electroválvula Burkert</v>
          </cell>
          <cell r="C55">
            <v>41156</v>
          </cell>
          <cell r="D55">
            <v>38554.309655575489</v>
          </cell>
        </row>
        <row r="56">
          <cell r="A56" t="str">
            <v>REP-0041</v>
          </cell>
          <cell r="B56" t="str">
            <v>{ REP-0041 }  Junta giratoria centro MTM 1/4</v>
          </cell>
          <cell r="C56">
            <v>87056</v>
          </cell>
          <cell r="D56">
            <v>81553.559327423383</v>
          </cell>
        </row>
        <row r="57">
          <cell r="A57" t="str">
            <v>REP-0042</v>
          </cell>
          <cell r="B57" t="str">
            <v>{ REP-0042 }  Junta giratoria extremo MTM 1/4</v>
          </cell>
          <cell r="C57">
            <v>97602</v>
          </cell>
          <cell r="D57">
            <v>91433.08252760992</v>
          </cell>
        </row>
        <row r="58">
          <cell r="A58" t="str">
            <v>REP-0043</v>
          </cell>
          <cell r="B58" t="str">
            <v>{ REP-0043 }  soporte superior fichero G20</v>
          </cell>
          <cell r="C58">
            <v>8785</v>
          </cell>
          <cell r="D58">
            <v>8229.4548432843603</v>
          </cell>
        </row>
        <row r="59">
          <cell r="A59" t="str">
            <v>REP-0044</v>
          </cell>
          <cell r="B59" t="str">
            <v>{ REP-0044 }  Niple mango cepillo 3/8" he * 1/4" hi bronce</v>
          </cell>
          <cell r="C59">
            <v>4502</v>
          </cell>
          <cell r="D59">
            <v>4217.1728952774574</v>
          </cell>
        </row>
        <row r="60">
          <cell r="A60" t="str">
            <v>REP-0045</v>
          </cell>
          <cell r="B60" t="str">
            <v>{ REP-0045 }  Pistón (Kit  reparación EV Burket 1/4\)</v>
          </cell>
          <cell r="C60">
            <v>28928</v>
          </cell>
          <cell r="D60">
            <v>27099.314317153207</v>
          </cell>
        </row>
        <row r="61">
          <cell r="A61" t="str">
            <v>REP-0046</v>
          </cell>
          <cell r="B61" t="str">
            <v>{ REP-0046 }  Kit válvulas esf aspir/entrega</v>
          </cell>
          <cell r="C61">
            <v>50586</v>
          </cell>
          <cell r="D61">
            <v>47388.491178182652</v>
          </cell>
        </row>
        <row r="62">
          <cell r="A62" t="str">
            <v>REP-0047</v>
          </cell>
          <cell r="B62" t="str">
            <v>{ REP-0047 }  Cable fichero 1,50 cm</v>
          </cell>
          <cell r="C62">
            <v>13253</v>
          </cell>
          <cell r="D62">
            <v>12415.794634846345</v>
          </cell>
        </row>
        <row r="63">
          <cell r="A63" t="str">
            <v>REP-0048</v>
          </cell>
          <cell r="B63" t="str">
            <v>{ REP-0048 }  Cerradura nueva Mself</v>
          </cell>
          <cell r="C63">
            <v>77388</v>
          </cell>
          <cell r="D63">
            <v>72496.583765065705</v>
          </cell>
        </row>
        <row r="64">
          <cell r="A64" t="str">
            <v>REP-0049</v>
          </cell>
          <cell r="B64" t="str">
            <v>{ REP-0049 }  Niple pvc conexión rápida 8 mm terminal polip.  1/4x8 mm</v>
          </cell>
          <cell r="C64">
            <v>3717</v>
          </cell>
          <cell r="D64">
            <v>3482.1514873505612</v>
          </cell>
        </row>
        <row r="65">
          <cell r="A65" t="str">
            <v>REP-0050</v>
          </cell>
          <cell r="B65" t="str">
            <v>{ REP-0050 }  Tee 1/4x6mm PVC</v>
          </cell>
          <cell r="C65">
            <v>5025</v>
          </cell>
          <cell r="D65">
            <v>4707.5187059783502</v>
          </cell>
        </row>
        <row r="66">
          <cell r="A66" t="str">
            <v>REP-0051</v>
          </cell>
          <cell r="B66" t="str">
            <v>{ REP-0051 }  Vaso portafiltro Mself</v>
          </cell>
          <cell r="C66">
            <v>40678</v>
          </cell>
          <cell r="D66">
            <v>38106.732343576703</v>
          </cell>
        </row>
        <row r="67">
          <cell r="A67" t="str">
            <v>REP-0052</v>
          </cell>
          <cell r="B67" t="str">
            <v>{ REP-0052 }  Bisagras centro puerta Mself</v>
          </cell>
          <cell r="C67">
            <v>26486</v>
          </cell>
          <cell r="D67">
            <v>24811.696944714968</v>
          </cell>
        </row>
        <row r="68">
          <cell r="A68" t="str">
            <v>REP-0053</v>
          </cell>
          <cell r="B68" t="str">
            <v>{ REP-0053 }  Boquilla manguera soplado Twister&amp;Dry</v>
          </cell>
          <cell r="C68">
            <v>72385</v>
          </cell>
          <cell r="D68">
            <v>41758.265955435512</v>
          </cell>
        </row>
        <row r="69">
          <cell r="A69" t="str">
            <v>REP-0054</v>
          </cell>
          <cell r="B69" t="str">
            <v>{ REP-0054 }  Manguera soplado Twister&amp;Dry</v>
          </cell>
          <cell r="C69">
            <v>116649</v>
          </cell>
          <cell r="D69">
            <v>98234.135339047833</v>
          </cell>
        </row>
        <row r="70">
          <cell r="A70" t="str">
            <v>REP-0055</v>
          </cell>
          <cell r="B70" t="str">
            <v>{ REP-0055 }  Filtro aspiradora tambor metálico</v>
          </cell>
          <cell r="C70">
            <v>238702</v>
          </cell>
          <cell r="D70">
            <v>223614.59815583829</v>
          </cell>
        </row>
        <row r="71">
          <cell r="A71" t="str">
            <v>REP-0056</v>
          </cell>
          <cell r="B71" t="str">
            <v>{ REP-0056 }  Cerradura aspiradora Twister &amp; Dry</v>
          </cell>
          <cell r="C71">
            <v>73170</v>
          </cell>
          <cell r="D71">
            <v>68544.973408240869</v>
          </cell>
        </row>
        <row r="72">
          <cell r="A72" t="str">
            <v>REP-0057</v>
          </cell>
          <cell r="B72" t="str">
            <v>{ REP-0057 }  Bisagras extremos puerta Mself</v>
          </cell>
          <cell r="C72">
            <v>26486</v>
          </cell>
          <cell r="D72">
            <v>24811.696944714968</v>
          </cell>
        </row>
        <row r="73">
          <cell r="A73" t="str">
            <v>REP-0058</v>
          </cell>
          <cell r="B73" t="str">
            <v>{ REP-0058 }  Adaptador parada de emergencia 09.01.915</v>
          </cell>
          <cell r="C73">
            <v>3183</v>
          </cell>
          <cell r="D73">
            <v>2981.8595141608062</v>
          </cell>
        </row>
        <row r="74">
          <cell r="A74" t="str">
            <v>REP-0059</v>
          </cell>
          <cell r="B74" t="str">
            <v>{ REP-0059 }  Contacto auxiliar NC para parada de emergencia</v>
          </cell>
          <cell r="C74">
            <v>6507</v>
          </cell>
          <cell r="D74">
            <v>6096.0029894234758</v>
          </cell>
        </row>
        <row r="75">
          <cell r="A75" t="str">
            <v>REP-0060</v>
          </cell>
          <cell r="B75" t="str">
            <v>{ REP-0060 }  Parada de emergencia rasante</v>
          </cell>
          <cell r="C75">
            <v>9962</v>
          </cell>
          <cell r="D75">
            <v>9332.4842632991458</v>
          </cell>
        </row>
        <row r="76">
          <cell r="A76" t="str">
            <v>REP-0061</v>
          </cell>
          <cell r="B76" t="str">
            <v>{ REP-0061 }  Indicador luminoso BLU tabla 21- pos 9</v>
          </cell>
          <cell r="C76">
            <v>19609</v>
          </cell>
          <cell r="D76">
            <v>18369.567500679095</v>
          </cell>
        </row>
        <row r="77">
          <cell r="A77" t="str">
            <v>REP-0062</v>
          </cell>
          <cell r="B77" t="str">
            <v>{ REP-0062 }  Sensor de nivel de 2 contactos</v>
          </cell>
          <cell r="C77">
            <v>280754</v>
          </cell>
          <cell r="D77">
            <v>263008.36392547371</v>
          </cell>
        </row>
        <row r="78">
          <cell r="A78" t="str">
            <v>REP-0063</v>
          </cell>
          <cell r="B78" t="str">
            <v>{ REP-0063 }  Placa electróncia  twister reforzada  (tambor metálico 2010-11-12-14)</v>
          </cell>
          <cell r="C78">
            <v>303000</v>
          </cell>
          <cell r="D78">
            <v>283848.55818838615</v>
          </cell>
        </row>
        <row r="79">
          <cell r="A79" t="str">
            <v>REP-0064</v>
          </cell>
          <cell r="B79" t="str">
            <v>{ REP-0064 }  Cepillo completo italiano</v>
          </cell>
          <cell r="C79">
            <v>73104</v>
          </cell>
          <cell r="D79">
            <v>68483.307200809912</v>
          </cell>
        </row>
        <row r="80">
          <cell r="A80" t="str">
            <v>REP-0065</v>
          </cell>
          <cell r="B80" t="str">
            <v>{ REP-0065 }  Placa de aspirado Twister&amp;Dry M2 (tambor plástico-2013)</v>
          </cell>
          <cell r="C80">
            <v>312536</v>
          </cell>
          <cell r="D80">
            <v>292782.20133588195</v>
          </cell>
        </row>
        <row r="81">
          <cell r="A81" t="str">
            <v>REP-0066</v>
          </cell>
          <cell r="B81" t="str">
            <v>{ REP-0066 }  Plc S7-1200 cpu 1214C</v>
          </cell>
          <cell r="C81">
            <v>1228958</v>
          </cell>
          <cell r="D81">
            <v>1151280.2434807548</v>
          </cell>
        </row>
        <row r="82">
          <cell r="A82" t="str">
            <v>REP-0067</v>
          </cell>
          <cell r="B82" t="str">
            <v>{ REP-0067 }  Transformador Twister M2</v>
          </cell>
          <cell r="C82">
            <v>103830</v>
          </cell>
          <cell r="D82">
            <v>97267.50144357633</v>
          </cell>
        </row>
        <row r="83">
          <cell r="A83" t="str">
            <v>REP-0068</v>
          </cell>
          <cell r="B83" t="str">
            <v>{ REP-0068 }  Codo 45° para manguera de cepillo</v>
          </cell>
          <cell r="C83">
            <v>40711</v>
          </cell>
          <cell r="D83">
            <v>38137.565447292174</v>
          </cell>
        </row>
        <row r="84">
          <cell r="A84" t="str">
            <v>REP-0069</v>
          </cell>
          <cell r="B84" t="str">
            <v>{ REP-0069 }  Codo cepillo 90° inoxidable</v>
          </cell>
          <cell r="C84">
            <v>33113</v>
          </cell>
          <cell r="D84">
            <v>31020.091570262579</v>
          </cell>
        </row>
        <row r="85">
          <cell r="A85" t="str">
            <v>REP-0070</v>
          </cell>
          <cell r="B85" t="str">
            <v>{ REP-0070 }  Motor soplado twister tambor metálico</v>
          </cell>
          <cell r="C85">
            <v>249744</v>
          </cell>
          <cell r="D85">
            <v>233958.6071442547</v>
          </cell>
        </row>
        <row r="86">
          <cell r="A86" t="str">
            <v>REP-0071</v>
          </cell>
          <cell r="B86" t="str">
            <v>{ REP-0071 }  Mango goma asp S2 diam 38/60</v>
          </cell>
          <cell r="C86">
            <v>28841</v>
          </cell>
          <cell r="D86">
            <v>27017.755784744539</v>
          </cell>
        </row>
        <row r="87">
          <cell r="A87" t="str">
            <v>REP-0072</v>
          </cell>
          <cell r="B87" t="str">
            <v>{ REP-0072 }  Guarnición tubo aspirado y soplado TW S2</v>
          </cell>
          <cell r="C87">
            <v>12088</v>
          </cell>
          <cell r="D87">
            <v>11323.705993569303</v>
          </cell>
        </row>
        <row r="88">
          <cell r="A88" t="str">
            <v>REP-0073</v>
          </cell>
          <cell r="B88" t="str">
            <v>{ REP-0073 }  Manguera negra 9m 1/4</v>
          </cell>
          <cell r="C88">
            <v>108059</v>
          </cell>
          <cell r="D88">
            <v>101229.05796289005</v>
          </cell>
        </row>
        <row r="89">
          <cell r="A89" t="str">
            <v>REP-0074</v>
          </cell>
          <cell r="B89" t="str">
            <v>{ REP-0074 }  Fusible rápido 5x20 2A</v>
          </cell>
          <cell r="C89">
            <v>381</v>
          </cell>
          <cell r="D89">
            <v>357.06723335014323</v>
          </cell>
        </row>
        <row r="90">
          <cell r="A90" t="str">
            <v>REP-0075</v>
          </cell>
          <cell r="B90" t="str">
            <v>{ REP-0075 }  Contador 24V 55x55mm (horometro)</v>
          </cell>
          <cell r="C90">
            <v>42443</v>
          </cell>
          <cell r="D90">
            <v>39760.779165474443</v>
          </cell>
        </row>
        <row r="91">
          <cell r="A91" t="str">
            <v>REP-0076</v>
          </cell>
          <cell r="B91" t="str">
            <v>{ REP-0076 }  Presóstato osmosis KP1</v>
          </cell>
          <cell r="C91">
            <v>161304</v>
          </cell>
          <cell r="D91">
            <v>151109.0628445326</v>
          </cell>
        </row>
        <row r="92">
          <cell r="A92" t="str">
            <v>REP-0077</v>
          </cell>
          <cell r="B92" t="str">
            <v>{ REP-0077 }  Válvula pulsar</v>
          </cell>
          <cell r="C92">
            <v>120507</v>
          </cell>
          <cell r="D92">
            <v>112889.93886483177</v>
          </cell>
        </row>
        <row r="93">
          <cell r="A93" t="str">
            <v>REP-0081</v>
          </cell>
          <cell r="B93" t="str">
            <v>{ REP-0081 }  Manguera conexión CAT</v>
          </cell>
          <cell r="C93">
            <v>34083</v>
          </cell>
          <cell r="D93">
            <v>31929.170821744556</v>
          </cell>
        </row>
        <row r="94">
          <cell r="A94" t="str">
            <v>REP-0084</v>
          </cell>
          <cell r="B94" t="str">
            <v>{ REP-0084 }  Perno distribución racco 1/2</v>
          </cell>
          <cell r="C94">
            <v>4502</v>
          </cell>
          <cell r="D94">
            <v>4217.1728952774574</v>
          </cell>
        </row>
        <row r="95">
          <cell r="A95" t="str">
            <v>REP-0085</v>
          </cell>
          <cell r="B95" t="str">
            <v>{ REP-0085 }  Junta giratoria centro 3/8</v>
          </cell>
          <cell r="C95">
            <v>154470</v>
          </cell>
          <cell r="D95">
            <v>144706.71805045218</v>
          </cell>
        </row>
        <row r="96">
          <cell r="A96" t="str">
            <v>REP-0086</v>
          </cell>
          <cell r="B96" t="str">
            <v>{ REP-0086 }  Junta giratoria extremo 3/8</v>
          </cell>
          <cell r="C96">
            <v>164422</v>
          </cell>
          <cell r="D96">
            <v>154029.25615126247</v>
          </cell>
        </row>
        <row r="97">
          <cell r="A97" t="str">
            <v>REP-0087</v>
          </cell>
          <cell r="B97" t="str">
            <v>{ REP-0087 }  Boquilla plana aspiradora</v>
          </cell>
          <cell r="C97">
            <v>3183</v>
          </cell>
          <cell r="D97">
            <v>4123</v>
          </cell>
        </row>
        <row r="98">
          <cell r="A98" t="str">
            <v>REP-0088</v>
          </cell>
          <cell r="B98" t="str">
            <v>{ REP-0088 }  Válv retencion 1/4 inoxidable conexión viton</v>
          </cell>
          <cell r="C98">
            <v>44307</v>
          </cell>
          <cell r="D98">
            <v>41506.330682269712</v>
          </cell>
        </row>
        <row r="99">
          <cell r="A99" t="str">
            <v>REP-0089</v>
          </cell>
          <cell r="B99" t="str">
            <v>{ REP-0089 }  Válvula europa bronce 1/2</v>
          </cell>
          <cell r="C99">
            <v>18802</v>
          </cell>
          <cell r="D99">
            <v>17613.659151525586</v>
          </cell>
        </row>
        <row r="100">
          <cell r="A100" t="str">
            <v>REP-0090</v>
          </cell>
          <cell r="B100" t="str">
            <v>{ REP-0090 }  reducción 1/2\-1/4\, inox uso cepillo USA</v>
          </cell>
          <cell r="C100">
            <v>3335</v>
          </cell>
          <cell r="D100">
            <v>3124.0896377515319</v>
          </cell>
        </row>
        <row r="101">
          <cell r="A101" t="str">
            <v>REP-0091</v>
          </cell>
          <cell r="B101" t="str">
            <v>{ REP-0091 }  Perno distribución racco 3/8</v>
          </cell>
          <cell r="C101">
            <v>9145</v>
          </cell>
          <cell r="D101">
            <v>8566.6297516567774</v>
          </cell>
        </row>
        <row r="102">
          <cell r="A102" t="str">
            <v>REP-0092</v>
          </cell>
          <cell r="B102" t="str">
            <v>{ REP-0092 }  Perno conector 3/8 CAT</v>
          </cell>
          <cell r="C102">
            <v>4806</v>
          </cell>
          <cell r="D102">
            <v>4502.6277587077948</v>
          </cell>
        </row>
        <row r="103">
          <cell r="A103" t="str">
            <v>REP-0093</v>
          </cell>
          <cell r="B103" t="str">
            <v>{ REP-0093 }  Manguito giratorio FL 38M Asp</v>
          </cell>
          <cell r="C103">
            <v>7886</v>
          </cell>
          <cell r="D103">
            <v>7388.0094967266396</v>
          </cell>
        </row>
        <row r="104">
          <cell r="A104" t="str">
            <v>REP-0094</v>
          </cell>
          <cell r="B104" t="str">
            <v>{ REP-0094 }  Niple inox HEHE 1/2</v>
          </cell>
          <cell r="C104">
            <v>6050</v>
          </cell>
          <cell r="D104">
            <v>5667.3233861535264</v>
          </cell>
        </row>
        <row r="105">
          <cell r="A105" t="str">
            <v>REP-0095</v>
          </cell>
          <cell r="B105" t="str">
            <v>{ REP-0095 }  Tee inox 1/2 HIHEHI central</v>
          </cell>
          <cell r="C105">
            <v>11597</v>
          </cell>
          <cell r="D105">
            <v>10864.193286583884</v>
          </cell>
        </row>
        <row r="106">
          <cell r="A106" t="str">
            <v>REP-0096</v>
          </cell>
          <cell r="B106" t="str">
            <v>{ REP-0096 }  Codo 1/4 * 6mm  inoxidable</v>
          </cell>
          <cell r="C106">
            <v>4142</v>
          </cell>
          <cell r="D106">
            <v>3879.9979869050376</v>
          </cell>
        </row>
        <row r="107">
          <cell r="A107" t="str">
            <v>REP-0097</v>
          </cell>
          <cell r="B107" t="str">
            <v>{ REP-0097 }  Protector boquilla lanza</v>
          </cell>
          <cell r="C107">
            <v>17281</v>
          </cell>
          <cell r="D107">
            <v>16188.374066871675</v>
          </cell>
        </row>
        <row r="108">
          <cell r="A108" t="str">
            <v>REP-0098</v>
          </cell>
          <cell r="B108" t="str">
            <v>{ REP-0098 }  Boquilla lanza 1/8</v>
          </cell>
          <cell r="C108">
            <v>8207</v>
          </cell>
          <cell r="D108">
            <v>7688.3836038902718</v>
          </cell>
        </row>
        <row r="109">
          <cell r="A109" t="str">
            <v>REP-0099</v>
          </cell>
          <cell r="B109" t="str">
            <v>{ REP-0099 }  Manómetro glic. 0-12 bar</v>
          </cell>
          <cell r="C109">
            <v>24313</v>
          </cell>
          <cell r="D109">
            <v>22776.712099493812</v>
          </cell>
        </row>
        <row r="110">
          <cell r="A110" t="str">
            <v>REP-0101</v>
          </cell>
          <cell r="B110" t="str">
            <v>{ REP-0101 }  Caja electrica aspirado Twister&amp;Dry</v>
          </cell>
          <cell r="C110">
            <v>51948</v>
          </cell>
          <cell r="D110">
            <v>48664.583825503636</v>
          </cell>
        </row>
        <row r="111">
          <cell r="A111" t="str">
            <v>REP-0102</v>
          </cell>
          <cell r="B111" t="str">
            <v>{ REP-0102 }  Lanza mousse ST-75</v>
          </cell>
          <cell r="C111">
            <v>455387</v>
          </cell>
          <cell r="D111">
            <v>426603.83915852365</v>
          </cell>
        </row>
        <row r="112">
          <cell r="A112" t="str">
            <v>REP-0103</v>
          </cell>
          <cell r="B112" t="str">
            <v>{ REP-0103 }  Manómetro seco 0-6 bar</v>
          </cell>
          <cell r="C112">
            <v>12469</v>
          </cell>
          <cell r="D112">
            <v>11680.773226919449</v>
          </cell>
        </row>
        <row r="113">
          <cell r="A113" t="str">
            <v>REP-0104</v>
          </cell>
          <cell r="B113" t="str">
            <v>{ REP-0104 }  Display 4 cifras</v>
          </cell>
          <cell r="C113">
            <v>402590</v>
          </cell>
          <cell r="D113">
            <v>377143.56233391102</v>
          </cell>
        </row>
        <row r="114">
          <cell r="A114" t="str">
            <v>REP-0105</v>
          </cell>
          <cell r="B114" t="str">
            <v>{ REP-0105 }  Cable interfaz serial 9/25 para programación ficheros</v>
          </cell>
          <cell r="C114">
            <v>105618</v>
          </cell>
          <cell r="D114">
            <v>98942.435206700684</v>
          </cell>
        </row>
        <row r="115">
          <cell r="A115" t="str">
            <v>REP-0109</v>
          </cell>
          <cell r="B115" t="str">
            <v>{ REP-0109 }  Lexan para cubrefichero</v>
          </cell>
          <cell r="C115">
            <v>11771</v>
          </cell>
          <cell r="D115">
            <v>11027.31035140122</v>
          </cell>
        </row>
        <row r="116">
          <cell r="A116" t="str">
            <v>REP-0110</v>
          </cell>
          <cell r="B116" t="str">
            <v>{ REP-0110 }  Grifos Osmosis 1/2 AP</v>
          </cell>
          <cell r="C116">
            <v>116539</v>
          </cell>
          <cell r="D116">
            <v>109173.05794274405</v>
          </cell>
        </row>
        <row r="117">
          <cell r="A117" t="str">
            <v>REP-0111</v>
          </cell>
          <cell r="B117" t="str">
            <v>{ REP-0111 }  Niples girantes 1/2\F-1/2\M</v>
          </cell>
          <cell r="C117">
            <v>7248</v>
          </cell>
          <cell r="D117">
            <v>6790.2451311460372</v>
          </cell>
        </row>
        <row r="118">
          <cell r="A118" t="str">
            <v>REP-0112</v>
          </cell>
          <cell r="B118" t="str">
            <v>{ REP-0112 }  Manguera rilsan 6x4 dura</v>
          </cell>
          <cell r="C118">
            <v>2485</v>
          </cell>
          <cell r="D118">
            <v>2328.3966386425773</v>
          </cell>
        </row>
        <row r="119">
          <cell r="A119" t="str">
            <v>REP-0113</v>
          </cell>
          <cell r="B119" t="str">
            <v>{ REP-0113 }  Pulsador de tacto programas</v>
          </cell>
          <cell r="C119">
            <v>60929</v>
          </cell>
          <cell r="D119">
            <v>57078.042674831944</v>
          </cell>
        </row>
        <row r="120">
          <cell r="A120" t="str">
            <v>REP-0114</v>
          </cell>
          <cell r="B120" t="str">
            <v>{ REP-0114 }  Guarnizione filtro tabla 23 - pos.1 (sello poliuretano)</v>
          </cell>
          <cell r="C120">
            <v>17658</v>
          </cell>
          <cell r="D120">
            <v>16541.462835226273</v>
          </cell>
        </row>
        <row r="121">
          <cell r="A121" t="str">
            <v>REP-0115</v>
          </cell>
          <cell r="B121" t="str">
            <v>{ REP-0115 }  Cable fichero (40 cm)</v>
          </cell>
          <cell r="C121">
            <v>13723</v>
          </cell>
          <cell r="D121">
            <v>12855.415016854042</v>
          </cell>
        </row>
        <row r="122">
          <cell r="A122" t="str">
            <v>REP-0116</v>
          </cell>
          <cell r="B122" t="str">
            <v>{ REP-0116 }  EV 1/2 salida filtros L180</v>
          </cell>
          <cell r="C122">
            <v>100266</v>
          </cell>
          <cell r="D122">
            <v>93928.574696065392</v>
          </cell>
        </row>
        <row r="123">
          <cell r="A123" t="str">
            <v>REP-0117</v>
          </cell>
          <cell r="B123" t="str">
            <v>{ REP-0117 }  Numeral de aspirado tabla 21- pos.3</v>
          </cell>
          <cell r="C123">
            <v>105945</v>
          </cell>
          <cell r="D123">
            <v>99248.777011357626</v>
          </cell>
        </row>
        <row r="124">
          <cell r="A124" t="str">
            <v>REP-0118</v>
          </cell>
          <cell r="B124" t="str">
            <v>{ REP-0118 }  Manómetro ABS 0-250 bar</v>
          </cell>
          <cell r="C124">
            <v>18856</v>
          </cell>
          <cell r="D124">
            <v>17664.384580218786</v>
          </cell>
        </row>
        <row r="125">
          <cell r="A125" t="str">
            <v>REP-0119</v>
          </cell>
          <cell r="B125" t="str">
            <v>{ REP-0119 }  Junta (bomba 3cp) CAT</v>
          </cell>
          <cell r="C125">
            <v>171571</v>
          </cell>
          <cell r="D125">
            <v>160727.0019712621</v>
          </cell>
        </row>
        <row r="126">
          <cell r="A126" t="str">
            <v>REP-0120</v>
          </cell>
          <cell r="B126" t="str">
            <v>{ REP-0120 }  Schedino RM 927 (placa fichero pequeña)</v>
          </cell>
          <cell r="C126">
            <v>15892</v>
          </cell>
          <cell r="D126">
            <v>14887.416013328533</v>
          </cell>
        </row>
        <row r="127">
          <cell r="A127" t="str">
            <v>REP-0121</v>
          </cell>
          <cell r="B127" t="str">
            <v>{ REP-0121 }  Presóstato G1/4</v>
          </cell>
          <cell r="C127">
            <v>34116</v>
          </cell>
          <cell r="D127">
            <v>31960.003925460031</v>
          </cell>
        </row>
        <row r="128">
          <cell r="A128" t="str">
            <v>REP-0122</v>
          </cell>
          <cell r="B128" t="str">
            <v>{ REP-0122 }  Tee inox 1/4\x6mm</v>
          </cell>
          <cell r="C128">
            <v>8828</v>
          </cell>
          <cell r="D128">
            <v>8270.2341094886924</v>
          </cell>
        </row>
        <row r="129">
          <cell r="A129" t="str">
            <v>REP-0123</v>
          </cell>
          <cell r="B129" t="str">
            <v>{ REP-0123 }  Manguera shampoo Rilsan 6x4 (lavallantas)</v>
          </cell>
          <cell r="C129">
            <v>4665</v>
          </cell>
          <cell r="D129">
            <v>4370.3437976059304</v>
          </cell>
        </row>
        <row r="130">
          <cell r="A130" t="str">
            <v>REP-0124</v>
          </cell>
          <cell r="B130" t="str">
            <v>{ REP-0124 }  Campana (bomba 3p) CAT</v>
          </cell>
          <cell r="C130">
            <v>99318</v>
          </cell>
          <cell r="D130">
            <v>93040.382385810022</v>
          </cell>
        </row>
        <row r="131">
          <cell r="A131" t="str">
            <v>REP-0125</v>
          </cell>
          <cell r="B131" t="str">
            <v>{ REP-0125 }  Válvula no retorno Inoxidable 1/4''</v>
          </cell>
          <cell r="C131">
            <v>42291</v>
          </cell>
          <cell r="D131">
            <v>39617.554425634829</v>
          </cell>
        </row>
        <row r="132">
          <cell r="A132" t="str">
            <v>REP-0126</v>
          </cell>
          <cell r="B132" t="str">
            <v>{ REP-0126 }  Válvula de fondo para bidón shampoo</v>
          </cell>
          <cell r="C132">
            <v>46618</v>
          </cell>
          <cell r="D132">
            <v>43671.610256094951</v>
          </cell>
        </row>
        <row r="133">
          <cell r="A133" t="str">
            <v>REP-0127</v>
          </cell>
          <cell r="B133" t="str">
            <v>{ REP-0127 }  Golillas aislantes pulsadores</v>
          </cell>
          <cell r="C133">
            <v>9537</v>
          </cell>
          <cell r="D133">
            <v>8934.6377637446694</v>
          </cell>
        </row>
        <row r="134">
          <cell r="A134" t="str">
            <v>REP-0128</v>
          </cell>
          <cell r="B134" t="str">
            <v>{ REP-0128 }  Kit EV sirai 3/4\ L131 (membrana electroválvula verde)</v>
          </cell>
          <cell r="C134">
            <v>50988</v>
          </cell>
          <cell r="D134">
            <v>47765.450736510516</v>
          </cell>
        </row>
        <row r="135">
          <cell r="A135" t="str">
            <v>REP-0129</v>
          </cell>
          <cell r="B135" t="str">
            <v>{ REP-0129 }  Kit filtro twister M2 (tambor plástico 2013)</v>
          </cell>
          <cell r="C135">
            <v>299304</v>
          </cell>
          <cell r="D135">
            <v>280386.29902601329</v>
          </cell>
        </row>
        <row r="136">
          <cell r="A136" t="str">
            <v>REP-0132</v>
          </cell>
          <cell r="B136" t="str">
            <v>{ REP-0132 }  Pistola renovador de neumático punta inoxidable</v>
          </cell>
          <cell r="C136">
            <v>105422</v>
          </cell>
          <cell r="D136">
            <v>98758.431200656734</v>
          </cell>
        </row>
        <row r="137">
          <cell r="A137" t="str">
            <v>REP-0134</v>
          </cell>
          <cell r="B137" t="str">
            <v>{ REP-0134 }  Válvula retención europa 3/4</v>
          </cell>
          <cell r="C137">
            <v>20665</v>
          </cell>
          <cell r="D137">
            <v>19359.210668320859</v>
          </cell>
        </row>
        <row r="138">
          <cell r="A138" t="str">
            <v>REP-0135</v>
          </cell>
          <cell r="B138" t="str">
            <v>{ REP-0135 }  Resorte de sistema vibración (conico)</v>
          </cell>
          <cell r="C138">
            <v>11337</v>
          </cell>
          <cell r="D138">
            <v>11336.671731930644</v>
          </cell>
        </row>
        <row r="139">
          <cell r="A139" t="str">
            <v>REP-0136</v>
          </cell>
          <cell r="B139" t="str">
            <v>{ REP-0136 }  Manómetro glic. 25 bar</v>
          </cell>
          <cell r="C139">
            <v>23297</v>
          </cell>
          <cell r="D139">
            <v>23297</v>
          </cell>
        </row>
        <row r="140">
          <cell r="A140" t="str">
            <v>REP-0137</v>
          </cell>
          <cell r="B140" t="str">
            <v>{ REP-0137 }  Kit bidone Twister M2 (tambor aspiradora Plástico)</v>
          </cell>
          <cell r="C140">
            <v>589608</v>
          </cell>
          <cell r="D140">
            <v>589608</v>
          </cell>
        </row>
        <row r="141">
          <cell r="A141" t="str">
            <v>REP-0138</v>
          </cell>
          <cell r="B141" t="str">
            <v>{ REP-0138 }  Contactor 24V</v>
          </cell>
          <cell r="C141">
            <v>54084</v>
          </cell>
          <cell r="D141">
            <v>50665.751718262669</v>
          </cell>
        </row>
        <row r="142">
          <cell r="A142" t="str">
            <v>REP-0144</v>
          </cell>
          <cell r="B142" t="str">
            <v>{ REP-0144 }  EV 1/4\ burket cod 125302w</v>
          </cell>
          <cell r="C142">
            <v>113978</v>
          </cell>
          <cell r="D142">
            <v>106774.04355043056</v>
          </cell>
        </row>
        <row r="143">
          <cell r="A143" t="str">
            <v>REP-0145</v>
          </cell>
          <cell r="B143" t="str">
            <v>{ REP-0145 }  Manguera lavallantas 8mm</v>
          </cell>
          <cell r="C143">
            <v>3484</v>
          </cell>
          <cell r="D143">
            <v>3484</v>
          </cell>
        </row>
        <row r="144">
          <cell r="A144" t="str">
            <v>REP-0147</v>
          </cell>
          <cell r="B144" t="str">
            <v>{ REP-0147 }  Pistón cerámico Interpump</v>
          </cell>
          <cell r="C144">
            <v>37796</v>
          </cell>
          <cell r="D144">
            <v>37796</v>
          </cell>
        </row>
        <row r="145">
          <cell r="A145" t="str">
            <v>REP-0149</v>
          </cell>
          <cell r="B145" t="str">
            <v>{ REP-0149 }  Kit de sellos de agua interpump</v>
          </cell>
          <cell r="C145">
            <v>132932</v>
          </cell>
          <cell r="D145">
            <v>124529.93282554687</v>
          </cell>
        </row>
        <row r="146">
          <cell r="A146" t="str">
            <v>REP-0151</v>
          </cell>
          <cell r="B146" t="str">
            <v>{ REP-0151 }  Motor trifásico de osmosis</v>
          </cell>
          <cell r="C146">
            <v>340080</v>
          </cell>
          <cell r="D146">
            <v>318584.53606448753</v>
          </cell>
        </row>
        <row r="147">
          <cell r="A147" t="str">
            <v>REP-0152</v>
          </cell>
          <cell r="B147" t="str">
            <v>{ REP-0152 }  EV sirai 3/4 bajada osmosis</v>
          </cell>
          <cell r="C147">
            <v>195093</v>
          </cell>
          <cell r="D147">
            <v>182761.73034908681</v>
          </cell>
        </row>
        <row r="148">
          <cell r="A148" t="str">
            <v>REP-0153</v>
          </cell>
          <cell r="B148" t="str">
            <v>{ REP-0153 }  Motor cat trifásico inverter</v>
          </cell>
          <cell r="C148">
            <v>561753</v>
          </cell>
          <cell r="D148">
            <v>526246.48420444014</v>
          </cell>
        </row>
        <row r="149">
          <cell r="A149" t="str">
            <v>REP-0154</v>
          </cell>
          <cell r="B149" t="str">
            <v>{ REP-0154 }  Conductivímetro c901</v>
          </cell>
          <cell r="C149">
            <v>524426</v>
          </cell>
          <cell r="D149">
            <v>491278.76074234833</v>
          </cell>
        </row>
        <row r="150">
          <cell r="A150" t="str">
            <v>REP-0155</v>
          </cell>
          <cell r="B150" t="str">
            <v>{ REP-0155 }  Campana lateral (bomba 3cp) CAT</v>
          </cell>
          <cell r="C150">
            <v>20284</v>
          </cell>
          <cell r="D150">
            <v>19002.143434970712</v>
          </cell>
        </row>
        <row r="151">
          <cell r="A151" t="str">
            <v>REP-0156</v>
          </cell>
          <cell r="B151" t="str">
            <v>{ REP-0156 }  Inyector colector pvc (blanco o negro)</v>
          </cell>
          <cell r="C151">
            <v>63359</v>
          </cell>
          <cell r="D151">
            <v>59354.719268532441</v>
          </cell>
        </row>
        <row r="152">
          <cell r="A152" t="str">
            <v>REP-0157</v>
          </cell>
          <cell r="B152" t="str">
            <v>{ REP-0157 }  O-ring separacion E/V</v>
          </cell>
          <cell r="C152">
            <v>5243</v>
          </cell>
          <cell r="D152">
            <v>4911.4150370000198</v>
          </cell>
        </row>
        <row r="153">
          <cell r="A153" t="str">
            <v>REP-0158</v>
          </cell>
          <cell r="B153" t="str">
            <v>{ REP-0158 }  Conector recto 1/4 HI X 6mm</v>
          </cell>
          <cell r="C153">
            <v>2813</v>
          </cell>
          <cell r="D153">
            <v>2634.7384432995241</v>
          </cell>
        </row>
        <row r="154">
          <cell r="A154" t="str">
            <v>REP-0159</v>
          </cell>
          <cell r="B154" t="str">
            <v>{ REP-0159 }  Flujometro 250 lt</v>
          </cell>
          <cell r="C154">
            <v>301386</v>
          </cell>
          <cell r="D154">
            <v>282336.74149007909</v>
          </cell>
        </row>
        <row r="155">
          <cell r="A155" t="str">
            <v>REP-0160</v>
          </cell>
          <cell r="B155" t="str">
            <v>{ REP-0160 }  Kit EV Burkert</v>
          </cell>
          <cell r="C155">
            <v>60602</v>
          </cell>
          <cell r="D155">
            <v>56771.700870175002</v>
          </cell>
        </row>
        <row r="156">
          <cell r="A156" t="str">
            <v>REP-0161</v>
          </cell>
          <cell r="B156" t="str">
            <v>{ REP-0161 }  Relé mini 24VCC finder</v>
          </cell>
          <cell r="C156">
            <v>35129</v>
          </cell>
          <cell r="D156">
            <v>32908.867826897462</v>
          </cell>
        </row>
        <row r="157">
          <cell r="A157" t="str">
            <v>REP-0162</v>
          </cell>
          <cell r="B157" t="str">
            <v>{ REP-0162 }  Contaimpulsos (numeral Mself)</v>
          </cell>
          <cell r="C157">
            <v>37669</v>
          </cell>
          <cell r="D157">
            <v>35287.989894233229</v>
          </cell>
        </row>
        <row r="158">
          <cell r="A158" t="str">
            <v>REP-0164</v>
          </cell>
          <cell r="B158" t="str">
            <v>{ REP-0164 }  Electroválvula L 180 Burket 3/4´´</v>
          </cell>
          <cell r="C158">
            <v>112354</v>
          </cell>
          <cell r="D158">
            <v>105252.2806896347</v>
          </cell>
        </row>
        <row r="159">
          <cell r="A159" t="str">
            <v>REP-0165</v>
          </cell>
          <cell r="B159" t="str">
            <v>{ REP-0165 }  Ingreso lateral Burket</v>
          </cell>
          <cell r="C159">
            <v>57845</v>
          </cell>
          <cell r="D159">
            <v>54188.682471817556</v>
          </cell>
        </row>
        <row r="160">
          <cell r="A160" t="str">
            <v>REP-0168</v>
          </cell>
          <cell r="B160" t="str">
            <v>{ REP-0168 }  Conexión rápida 1/4\ niple</v>
          </cell>
          <cell r="C160">
            <v>3837</v>
          </cell>
          <cell r="D160">
            <v>3594.5431234747007</v>
          </cell>
        </row>
        <row r="161">
          <cell r="A161" t="str">
            <v>REP-0169</v>
          </cell>
          <cell r="B161" t="str">
            <v>{ REP-0169 }  Niple galvanizado1/2”</v>
          </cell>
          <cell r="C161">
            <v>4982</v>
          </cell>
          <cell r="D161">
            <v>4666.7394397740163</v>
          </cell>
        </row>
        <row r="162">
          <cell r="A162" t="str">
            <v>REP-0172</v>
          </cell>
          <cell r="B162" t="str">
            <v>{ REP-0172 }  Conexión  rápida codo 1/4"</v>
          </cell>
          <cell r="C162">
            <v>7313</v>
          </cell>
          <cell r="D162">
            <v>6850.9167223280956</v>
          </cell>
        </row>
        <row r="163">
          <cell r="A163" t="str">
            <v>REP-0173</v>
          </cell>
          <cell r="B163" t="str">
            <v>{ REP-0173 }  kit turbina twister m2 (motor aspiradora t. plástico)</v>
          </cell>
          <cell r="C163">
            <v>2101671</v>
          </cell>
          <cell r="D163">
            <v>1968832.9185077297</v>
          </cell>
        </row>
        <row r="164">
          <cell r="A164" t="str">
            <v>REP-0175</v>
          </cell>
          <cell r="B164" t="str">
            <v>{ REP-0175 }  Rele mini 24V DC 8A 250V azul</v>
          </cell>
          <cell r="C164">
            <v>14551</v>
          </cell>
          <cell r="D164">
            <v>13631.215690985273</v>
          </cell>
        </row>
        <row r="165">
          <cell r="A165" t="str">
            <v>REP-0176</v>
          </cell>
          <cell r="B165" t="str">
            <v>{ REP-0176 }  Motor mix dry 220v 7A (motor secado)</v>
          </cell>
          <cell r="C165">
            <v>996021</v>
          </cell>
          <cell r="D165">
            <v>933066.41155636846</v>
          </cell>
        </row>
        <row r="166">
          <cell r="A166" t="str">
            <v>REP-0178</v>
          </cell>
          <cell r="B166" t="str">
            <v>{ REP-0178 }  Pieza cierre lateral Burket</v>
          </cell>
          <cell r="C166">
            <v>20601</v>
          </cell>
          <cell r="D166">
            <v>19298.539077138797</v>
          </cell>
        </row>
        <row r="167">
          <cell r="A167" t="str">
            <v>REP-0179</v>
          </cell>
          <cell r="B167" t="str">
            <v>{ REP-0179 }  Transformador 400/220 twister</v>
          </cell>
          <cell r="C167">
            <v>77878</v>
          </cell>
          <cell r="D167">
            <v>72956.096472051111</v>
          </cell>
        </row>
        <row r="168">
          <cell r="A168" t="str">
            <v>REP-0180</v>
          </cell>
          <cell r="B168" t="str">
            <v>{ REP-0180 }  Lanza para MIX dry completa</v>
          </cell>
          <cell r="C168">
            <v>1087699</v>
          </cell>
          <cell r="D168">
            <v>1018949.5354151935</v>
          </cell>
        </row>
        <row r="169">
          <cell r="A169" t="str">
            <v>REP-0181</v>
          </cell>
          <cell r="B169" t="str">
            <v>{ REP-0181 }  Contactor 10 24V</v>
          </cell>
          <cell r="C169">
            <v>61169</v>
          </cell>
          <cell r="D169">
            <v>57302.82594708023</v>
          </cell>
        </row>
        <row r="170">
          <cell r="A170" t="str">
            <v>REP-0182</v>
          </cell>
          <cell r="B170" t="str">
            <v>{ REP-0182 }  Relé mini 24VCA finder</v>
          </cell>
          <cell r="C170">
            <v>11074</v>
          </cell>
          <cell r="D170">
            <v>10373.847475882991</v>
          </cell>
        </row>
        <row r="171">
          <cell r="A171" t="str">
            <v>REP-0183</v>
          </cell>
          <cell r="B171" t="str">
            <v>{ REP-0183 }  Ugello pos 23 - boquilla y pistola perfume</v>
          </cell>
          <cell r="C171">
            <v>145684</v>
          </cell>
          <cell r="D171">
            <v>136476.26859091895</v>
          </cell>
        </row>
        <row r="172">
          <cell r="A172" t="str">
            <v>REP-0184</v>
          </cell>
          <cell r="B172" t="str">
            <v>{ REP-0184 }  Relé auxiliar 10A</v>
          </cell>
          <cell r="C172">
            <v>33996</v>
          </cell>
          <cell r="D172">
            <v>31847.612289335892</v>
          </cell>
        </row>
        <row r="173">
          <cell r="A173" t="str">
            <v>REP-0185</v>
          </cell>
          <cell r="B173" t="str">
            <v>{ REP-0185 }  Rodillo lavatapete LTS400</v>
          </cell>
          <cell r="C173">
            <v>447627</v>
          </cell>
          <cell r="D173">
            <v>419334.18899541441</v>
          </cell>
        </row>
        <row r="174">
          <cell r="A174" t="str">
            <v>REP-0187</v>
          </cell>
          <cell r="B174" t="str">
            <v>{ REP-0187 }  Sensor conductivímetro</v>
          </cell>
          <cell r="C174">
            <v>217186</v>
          </cell>
          <cell r="D174">
            <v>203458.6998721596</v>
          </cell>
        </row>
        <row r="175">
          <cell r="A175" t="str">
            <v>REP-0191</v>
          </cell>
          <cell r="B175" t="str">
            <v>{ REP-0191 }  Extensión 8+8 Siemens</v>
          </cell>
          <cell r="C175">
            <v>565038</v>
          </cell>
          <cell r="D175">
            <v>529323.82687849412</v>
          </cell>
        </row>
        <row r="176">
          <cell r="A176" t="str">
            <v>REP-0192</v>
          </cell>
          <cell r="B176" t="str">
            <v>{ REP-0192 }  Microinterruptor contactor motor trifásico</v>
          </cell>
          <cell r="C176">
            <v>12131</v>
          </cell>
          <cell r="D176">
            <v>11364.485259773639</v>
          </cell>
        </row>
        <row r="177">
          <cell r="A177" t="str">
            <v>REP-0198</v>
          </cell>
          <cell r="B177" t="str">
            <v>{ REP-0198 }  Válvula robex con válvula retención 3/4\</v>
          </cell>
          <cell r="C177">
            <v>77496</v>
          </cell>
          <cell r="D177">
            <v>72598.034622452091</v>
          </cell>
        </row>
        <row r="178">
          <cell r="A178" t="str">
            <v>REP-0202</v>
          </cell>
          <cell r="B178" t="str">
            <v>{ REP-0202 }  Transformador 380 / 18 - 24 V</v>
          </cell>
          <cell r="C178">
            <v>82532</v>
          </cell>
          <cell r="D178">
            <v>77315.499490919305</v>
          </cell>
        </row>
        <row r="179">
          <cell r="A179" t="str">
            <v>REP-0203</v>
          </cell>
          <cell r="B179" t="str">
            <v>{ REP-0203 }  Recuadro Burket</v>
          </cell>
          <cell r="C179">
            <v>19684</v>
          </cell>
          <cell r="D179">
            <v>18440.185254350014</v>
          </cell>
        </row>
        <row r="180">
          <cell r="A180" t="str">
            <v>REP-0204</v>
          </cell>
          <cell r="B180" t="str">
            <v>{ REP-0204 }  Bomba cat 5 cp</v>
          </cell>
          <cell r="C180">
            <v>1167963</v>
          </cell>
          <cell r="D180">
            <v>1094140.5345984921</v>
          </cell>
        </row>
        <row r="181">
          <cell r="A181" t="str">
            <v>REP-0205</v>
          </cell>
          <cell r="B181" t="str">
            <v>{ REP-0205 }  Chapa aspirado tambor plástico (TW2013)</v>
          </cell>
          <cell r="C181">
            <v>109476</v>
          </cell>
          <cell r="D181">
            <v>102556.87065515312</v>
          </cell>
        </row>
        <row r="182">
          <cell r="A182" t="str">
            <v>REP-0208</v>
          </cell>
          <cell r="B182" t="str">
            <v>{ REP-0208 }  Válvula fondo de bidones dispens de producto</v>
          </cell>
          <cell r="C182">
            <v>18525</v>
          </cell>
          <cell r="D182">
            <v>17354.064310566289</v>
          </cell>
        </row>
        <row r="183">
          <cell r="A183" t="str">
            <v>REP-0209</v>
          </cell>
          <cell r="B183" t="str">
            <v>{ REP-0209 }  Motor 4Kw/2,8 Kw (Camiones)</v>
          </cell>
          <cell r="C183">
            <v>740468</v>
          </cell>
          <cell r="D183">
            <v>740468</v>
          </cell>
        </row>
        <row r="184">
          <cell r="A184" t="str">
            <v>REP-0219</v>
          </cell>
          <cell r="B184" t="str">
            <v>{ REP-0219 }  Zocalo finder 2S</v>
          </cell>
          <cell r="C184">
            <v>8828</v>
          </cell>
          <cell r="D184">
            <v>8270.2341094886924</v>
          </cell>
        </row>
        <row r="185">
          <cell r="A185" t="str">
            <v>REP-0223</v>
          </cell>
          <cell r="B185" t="str">
            <v>{ REP-0223 }  Tee de acople rapido x3 1/4</v>
          </cell>
          <cell r="C185">
            <v>18649</v>
          </cell>
          <cell r="D185">
            <v>17470.434411685979</v>
          </cell>
        </row>
        <row r="186">
          <cell r="A186" t="str">
            <v>REP-0234</v>
          </cell>
          <cell r="B186" t="str">
            <v>{ REP-0234 }  sujetador manguera aspiradora</v>
          </cell>
          <cell r="C186">
            <v>8229</v>
          </cell>
          <cell r="D186">
            <v>7709.2705451168804</v>
          </cell>
        </row>
        <row r="187">
          <cell r="A187" t="str">
            <v>REP-0236</v>
          </cell>
          <cell r="B187" t="str">
            <v>{ REP-0236 }  Tuerca inoxidable protector fichero</v>
          </cell>
          <cell r="C187">
            <v>33</v>
          </cell>
          <cell r="D187">
            <v>30.833103715471974</v>
          </cell>
        </row>
        <row r="188">
          <cell r="A188" t="str">
            <v>REP-0237</v>
          </cell>
          <cell r="B188" t="str">
            <v>{ REP-0237 }  Separador pvc (bomba 3cp) CAT</v>
          </cell>
          <cell r="C188">
            <v>4175</v>
          </cell>
          <cell r="D188">
            <v>4111.7977016213508</v>
          </cell>
        </row>
        <row r="189">
          <cell r="A189" t="str">
            <v>REP-0238</v>
          </cell>
          <cell r="B189" t="str">
            <v>{ REP-0238 }  Sello de aceite (bomba 3cp) CAT</v>
          </cell>
          <cell r="C189">
            <v>13873</v>
          </cell>
          <cell r="D189">
            <v>13663.171098975865</v>
          </cell>
        </row>
        <row r="190">
          <cell r="A190" t="str">
            <v>REP-0239</v>
          </cell>
          <cell r="B190" t="str">
            <v>{ REP-0239 }  Pistón cerámicos (bomba 3cp) CAT</v>
          </cell>
          <cell r="C190">
            <v>83777</v>
          </cell>
          <cell r="D190">
            <v>82511.096475972197</v>
          </cell>
        </row>
        <row r="191">
          <cell r="A191" t="str">
            <v>REP-0240</v>
          </cell>
          <cell r="B191" t="str">
            <v>{ REP-0240 }  Perno culatín m8x65 (bomba 3cp) CAT</v>
          </cell>
          <cell r="C191">
            <v>4550</v>
          </cell>
          <cell r="D191">
            <v>4480.8912234502659</v>
          </cell>
        </row>
        <row r="192">
          <cell r="A192" t="str">
            <v>REP-0241</v>
          </cell>
          <cell r="B192" t="str">
            <v>{ REP-0241 }  Kit de válvulas 33062 (bomba 3cp) CAT</v>
          </cell>
          <cell r="C192">
            <v>70463</v>
          </cell>
          <cell r="D192">
            <v>69398.210264086723</v>
          </cell>
        </row>
        <row r="193">
          <cell r="A193" t="str">
            <v>REP-0242</v>
          </cell>
          <cell r="B193" t="str">
            <v>{ REP-0242 }  Kit sellos de agua 33983 (bomba 3cp) CAT</v>
          </cell>
          <cell r="C193">
            <v>92707</v>
          </cell>
          <cell r="D193">
            <v>91306.067824695507</v>
          </cell>
        </row>
        <row r="194">
          <cell r="A194" t="str">
            <v>REP-0243</v>
          </cell>
          <cell r="B194" t="str">
            <v>{ REP-0243 }  Golilla cóncava pistón (bomba 3cp) CAT</v>
          </cell>
          <cell r="C194">
            <v>4718</v>
          </cell>
          <cell r="D194">
            <v>4646.7436371552076</v>
          </cell>
        </row>
        <row r="195">
          <cell r="A195" t="str">
            <v>REP-0245</v>
          </cell>
          <cell r="B195" t="str">
            <v>{ REP-0245 }  O-ring tapa (bomba 3cp) CAT</v>
          </cell>
          <cell r="C195">
            <v>6383</v>
          </cell>
          <cell r="D195">
            <v>6287.0527692312471</v>
          </cell>
        </row>
        <row r="196">
          <cell r="A196" t="str">
            <v>REP-0246</v>
          </cell>
          <cell r="B196" t="str">
            <v>{ REP-0246 }  Golilla pistón ranurada (bomba 3cp) CAT</v>
          </cell>
          <cell r="C196">
            <v>3932</v>
          </cell>
          <cell r="D196">
            <v>3872.126583550626</v>
          </cell>
        </row>
        <row r="197">
          <cell r="A197" t="str">
            <v>REP-0247</v>
          </cell>
          <cell r="B197" t="str">
            <v>{ REP-0247 }  O-ring tapa rodamiento (bomba 3cp) CAT</v>
          </cell>
          <cell r="C197">
            <v>3193</v>
          </cell>
          <cell r="D197">
            <v>3193</v>
          </cell>
        </row>
        <row r="198">
          <cell r="A198" t="str">
            <v>REP-0248</v>
          </cell>
          <cell r="B198" t="str">
            <v>{ REP-0248 }  Retainer, plunger w/stud3/5cp</v>
          </cell>
          <cell r="C198">
            <v>4915</v>
          </cell>
          <cell r="D198">
            <v>4840.3979005563533</v>
          </cell>
        </row>
        <row r="199">
          <cell r="A199" t="str">
            <v>REP-0249</v>
          </cell>
          <cell r="B199" t="str">
            <v>{ REP-0249 }  O-ring tapón inferior aceite (bomba 3cp) CAT</v>
          </cell>
          <cell r="C199">
            <v>1020</v>
          </cell>
          <cell r="D199">
            <v>1004.7013269524774</v>
          </cell>
        </row>
        <row r="200">
          <cell r="A200" t="str">
            <v>REP-0252</v>
          </cell>
          <cell r="B200" t="str">
            <v>{ REP-0252 }  Portasello (bomba 3cp) CAT</v>
          </cell>
          <cell r="C200">
            <v>31451</v>
          </cell>
          <cell r="D200">
            <v>30976.053983932725</v>
          </cell>
        </row>
        <row r="201">
          <cell r="A201" t="str">
            <v>REP-0253</v>
          </cell>
          <cell r="B201" t="str">
            <v>{ REP-0253 }  Rodamiento (bomba 3cp) CAT</v>
          </cell>
          <cell r="C201">
            <v>33071</v>
          </cell>
          <cell r="D201">
            <v>32571.304945811466</v>
          </cell>
        </row>
        <row r="202">
          <cell r="A202" t="str">
            <v>REP-0254</v>
          </cell>
          <cell r="B202" t="str">
            <v>{ REP-0254 }  Tapón inferior aceite (bomba 3cp) CAT</v>
          </cell>
          <cell r="C202">
            <v>6823</v>
          </cell>
          <cell r="D202">
            <v>6720.3781507031163</v>
          </cell>
        </row>
        <row r="203">
          <cell r="A203" t="str">
            <v>REP-0255</v>
          </cell>
          <cell r="B203" t="str">
            <v>{ REP-0255 }  Tapa válvula (bomba 3cp) CAT</v>
          </cell>
          <cell r="C203">
            <v>29486</v>
          </cell>
          <cell r="D203">
            <v>29040.470034393555</v>
          </cell>
        </row>
        <row r="204">
          <cell r="A204" t="str">
            <v>REP-0256</v>
          </cell>
          <cell r="B204" t="str">
            <v>{ REP-0256 }  Visor nivel de aceite (bomba 3cp) CAT</v>
          </cell>
          <cell r="C204">
            <v>11963</v>
          </cell>
          <cell r="D204">
            <v>11782.232164356821</v>
          </cell>
        </row>
        <row r="205">
          <cell r="A205" t="str">
            <v>REP-0260</v>
          </cell>
          <cell r="B205" t="str">
            <v>{ REP-0260 }  Ablandador en fibra, modelo HAF 1800 DA, operación automática.</v>
          </cell>
          <cell r="C205">
            <v>0</v>
          </cell>
          <cell r="D205">
            <v>0</v>
          </cell>
        </row>
        <row r="206">
          <cell r="A206" t="str">
            <v>REP-0262</v>
          </cell>
          <cell r="B206" t="str">
            <v>{ REP-0262 }  Membrana de osmosis para nueva Mself</v>
          </cell>
          <cell r="C206">
            <v>285027</v>
          </cell>
          <cell r="D206">
            <v>280721.02848940599</v>
          </cell>
        </row>
        <row r="207">
          <cell r="A207" t="str">
            <v>REP-0263</v>
          </cell>
          <cell r="B207" t="str">
            <v>{ REP-0263 }  Filtro sedimentos</v>
          </cell>
          <cell r="C207">
            <v>3102</v>
          </cell>
          <cell r="D207">
            <v>3102</v>
          </cell>
        </row>
        <row r="208">
          <cell r="A208" t="str">
            <v>REP-0264</v>
          </cell>
          <cell r="B208" t="str">
            <v>{ REP-0264 }  Filtro carbón activo</v>
          </cell>
          <cell r="C208">
            <v>9715</v>
          </cell>
          <cell r="D208">
            <v>9715.3991684767752</v>
          </cell>
        </row>
        <row r="209">
          <cell r="A209" t="str">
            <v>REP-0266</v>
          </cell>
          <cell r="B209" t="str">
            <v>{ REP-0266 }  Limpiador spray acero inoxidable 3M</v>
          </cell>
          <cell r="C209">
            <v>12975</v>
          </cell>
          <cell r="D209">
            <v>12975</v>
          </cell>
        </row>
        <row r="210">
          <cell r="A210" t="str">
            <v>REP-0267</v>
          </cell>
          <cell r="B210" t="str">
            <v>{ REP-0267 }  Paños pulidores extra finos (10 unidades)</v>
          </cell>
          <cell r="C210">
            <v>4310</v>
          </cell>
          <cell r="D210">
            <v>4245.3085492845212</v>
          </cell>
        </row>
        <row r="211">
          <cell r="A211" t="str">
            <v>REP-0268</v>
          </cell>
          <cell r="B211" t="str">
            <v>{ REP-0268 }  Paños pulidores</v>
          </cell>
          <cell r="C211">
            <v>5079</v>
          </cell>
          <cell r="D211">
            <v>5002.4956312064278</v>
          </cell>
        </row>
        <row r="212">
          <cell r="A212" t="str">
            <v>REP-0269</v>
          </cell>
          <cell r="B212" t="str">
            <v>{ REP-0269 }  Pulsador armado doble 1NA+1NC- LAY5- EL8325</v>
          </cell>
          <cell r="C212">
            <v>12741</v>
          </cell>
          <cell r="D212">
            <v>12548.088749639002</v>
          </cell>
        </row>
        <row r="213">
          <cell r="A213" t="str">
            <v>REP-0270</v>
          </cell>
          <cell r="B213" t="str">
            <v>{ REP-0270 }  Pulsador armadoverde 1NA+1NC- LAY5- EA31</v>
          </cell>
          <cell r="C213">
            <v>10243</v>
          </cell>
          <cell r="D213">
            <v>10243</v>
          </cell>
        </row>
        <row r="214">
          <cell r="A214" t="str">
            <v>REP-0271</v>
          </cell>
          <cell r="B214" t="str">
            <v>{ REP-0271 }  Pulsador armado rojo 1NA+1NC - LAY5- EA42</v>
          </cell>
          <cell r="C214">
            <v>10242</v>
          </cell>
          <cell r="D214">
            <v>10242</v>
          </cell>
        </row>
        <row r="215">
          <cell r="A215" t="str">
            <v>REP-0273</v>
          </cell>
          <cell r="B215" t="str">
            <v>{ REP-0273 }  Cepillo largo (USA)</v>
          </cell>
          <cell r="C215">
            <v>89515</v>
          </cell>
          <cell r="D215">
            <v>89515</v>
          </cell>
        </row>
        <row r="216">
          <cell r="A216" t="str">
            <v>REP-0274</v>
          </cell>
          <cell r="B216" t="str">
            <v>{ REP-0274 }  Manguera brazo giratorio 1,55 mt</v>
          </cell>
          <cell r="C216">
            <v>36750</v>
          </cell>
          <cell r="D216">
            <v>36750</v>
          </cell>
        </row>
        <row r="217">
          <cell r="A217" t="str">
            <v>REP-0276</v>
          </cell>
          <cell r="B217" t="str">
            <v>{ REP-0276 }  Electrobomba Espa 15,5M</v>
          </cell>
          <cell r="C217">
            <v>229000</v>
          </cell>
          <cell r="D217">
            <v>229000</v>
          </cell>
        </row>
        <row r="218">
          <cell r="A218" t="str">
            <v>REP-0277</v>
          </cell>
          <cell r="B218" t="str">
            <v>{ REP-0277 }  Presóstato Italtécnica PM/5-1Bar</v>
          </cell>
          <cell r="C218">
            <v>15636</v>
          </cell>
          <cell r="D218">
            <v>15636</v>
          </cell>
        </row>
        <row r="219">
          <cell r="A219" t="str">
            <v>REP-0278</v>
          </cell>
          <cell r="B219" t="str">
            <v>{ REP-0278 }  Válvula de pié estanque</v>
          </cell>
          <cell r="C219">
            <v>18900</v>
          </cell>
          <cell r="D219">
            <v>18900</v>
          </cell>
        </row>
        <row r="220">
          <cell r="A220" t="str">
            <v>REP-0280</v>
          </cell>
          <cell r="B220" t="str">
            <v>{ REP-0280 }  Esfera kit hidropack</v>
          </cell>
          <cell r="C220">
            <v>54084</v>
          </cell>
          <cell r="D220">
            <v>61583.333333333336</v>
          </cell>
        </row>
        <row r="221">
          <cell r="A221" t="str">
            <v>REP-0281</v>
          </cell>
          <cell r="B221" t="str">
            <v>{ REP-0281 }  Filtro para válvula pie de estanque 1\</v>
          </cell>
          <cell r="C221">
            <v>1866</v>
          </cell>
          <cell r="D221">
            <v>1866</v>
          </cell>
        </row>
        <row r="222">
          <cell r="A222" t="str">
            <v>REP-0282</v>
          </cell>
          <cell r="B222" t="str">
            <v>{ REP-0282 }  Válvula 5 vías bronce</v>
          </cell>
          <cell r="C222">
            <v>9274</v>
          </cell>
          <cell r="D222">
            <v>9274</v>
          </cell>
        </row>
        <row r="223">
          <cell r="A223" t="str">
            <v>REP-0283</v>
          </cell>
          <cell r="B223" t="str">
            <v>{ REP-0283 }  Guardamotor electrobba</v>
          </cell>
          <cell r="C223">
            <v>37787</v>
          </cell>
          <cell r="D223">
            <v>37787</v>
          </cell>
        </row>
        <row r="224">
          <cell r="A224" t="str">
            <v>REP-0287</v>
          </cell>
          <cell r="B224" t="str">
            <v>{ REP-0287 }  Gravilla Inquinat 25kg</v>
          </cell>
          <cell r="C224">
            <v>9688</v>
          </cell>
          <cell r="D224">
            <v>9687.5</v>
          </cell>
        </row>
        <row r="225">
          <cell r="A225" t="str">
            <v>REP-0289</v>
          </cell>
          <cell r="B225" t="str">
            <v>{ REP-0289 }  Resorte filtro de aspirado</v>
          </cell>
          <cell r="C225">
            <v>6300</v>
          </cell>
          <cell r="D225">
            <v>6300</v>
          </cell>
        </row>
        <row r="226">
          <cell r="A226" t="str">
            <v>REP-0290</v>
          </cell>
          <cell r="B226" t="str">
            <v>{ REP-0290 }  Golilla filtro aspirado</v>
          </cell>
          <cell r="C226">
            <v>10000</v>
          </cell>
          <cell r="D226">
            <v>10000</v>
          </cell>
        </row>
        <row r="227">
          <cell r="A227" t="str">
            <v>REP-0294</v>
          </cell>
          <cell r="B227" t="str">
            <v>{ REP-0294 }  Ánodo magnesio frontal</v>
          </cell>
          <cell r="C227">
            <v>38864</v>
          </cell>
          <cell r="D227">
            <v>38864</v>
          </cell>
        </row>
        <row r="228">
          <cell r="A228" t="str">
            <v>REP-0295</v>
          </cell>
          <cell r="B228" t="str">
            <v>{ REP-0295 }  Arosello para ánodo</v>
          </cell>
          <cell r="C228">
            <v>2520</v>
          </cell>
          <cell r="D228">
            <v>2520</v>
          </cell>
        </row>
        <row r="229">
          <cell r="A229" t="str">
            <v>REP-0296</v>
          </cell>
          <cell r="B229" t="str">
            <v>{ REP-0296 }  Calefactor 3 Kw -220V (Resistencia)</v>
          </cell>
          <cell r="C229">
            <v>38430</v>
          </cell>
          <cell r="D229">
            <v>38430</v>
          </cell>
        </row>
        <row r="230">
          <cell r="A230" t="str">
            <v>REP-0298</v>
          </cell>
          <cell r="B230" t="str">
            <v>{ REP-0298 }  Termo 100 Lt Trotter cincado 6 Kw</v>
          </cell>
          <cell r="C230">
            <v>803830</v>
          </cell>
          <cell r="D230">
            <v>803830</v>
          </cell>
        </row>
        <row r="231">
          <cell r="A231" t="str">
            <v>REP-0299</v>
          </cell>
          <cell r="B231" t="str">
            <v>{ REP-0299 }  Bornera de conexión ceramica 3 polos Trotter</v>
          </cell>
          <cell r="C231">
            <v>22176</v>
          </cell>
          <cell r="D231">
            <v>22176</v>
          </cell>
        </row>
        <row r="232">
          <cell r="A232" t="str">
            <v>REP-0300</v>
          </cell>
          <cell r="B232" t="str">
            <v>{ REP-0300 }  Calefactor CU 6KW flang (3x2) tipo L ( resistencia termo trifásico)</v>
          </cell>
          <cell r="C232">
            <v>79940</v>
          </cell>
          <cell r="D232">
            <v>79940</v>
          </cell>
        </row>
        <row r="233">
          <cell r="A233" t="str">
            <v>REP-0301</v>
          </cell>
          <cell r="B233" t="str">
            <v>{ REP-0301 }  Termostato termo Trotter</v>
          </cell>
          <cell r="C233">
            <v>57460</v>
          </cell>
          <cell r="D233">
            <v>57460</v>
          </cell>
        </row>
        <row r="234">
          <cell r="A234" t="str">
            <v>REP-0304</v>
          </cell>
          <cell r="B234" t="str">
            <v>{ REP-0304 }  Ficha aspirado vacuum token/vacuum token dorada (Abast, Socobar, Recabarren, Biec)</v>
          </cell>
          <cell r="C234">
            <v>687</v>
          </cell>
          <cell r="D234">
            <v>687</v>
          </cell>
        </row>
        <row r="235">
          <cell r="A235" t="str">
            <v>REP-0305</v>
          </cell>
          <cell r="B235" t="str">
            <v>{ REP-0305 }  Ficha lavado ESMAX save water save the world/car wash dorada</v>
          </cell>
          <cell r="C235">
            <v>470</v>
          </cell>
          <cell r="D235">
            <v>470</v>
          </cell>
        </row>
        <row r="236">
          <cell r="A236" t="str">
            <v>REP-0307</v>
          </cell>
          <cell r="B236" t="str">
            <v>{ REP-0307 }  Ficha aspirado COPEC mod \C\ personalizadas Lavamax</v>
          </cell>
          <cell r="C236">
            <v>664</v>
          </cell>
          <cell r="D236">
            <v>664</v>
          </cell>
        </row>
        <row r="237">
          <cell r="A237" t="str">
            <v>REP-0308</v>
          </cell>
          <cell r="B237" t="str">
            <v>{ REP-0308 }  Ficha lavado autos/crown dorada (Recabarren-Bascuñan)</v>
          </cell>
          <cell r="C237">
            <v>445</v>
          </cell>
          <cell r="D237">
            <v>445</v>
          </cell>
        </row>
        <row r="238">
          <cell r="A238" t="str">
            <v>REP-0309</v>
          </cell>
          <cell r="B238" t="str">
            <v>{ REP-0309 }  Ficha lavado COPEC mod \A\ personalizadas Lavamax</v>
          </cell>
          <cell r="C238">
            <v>656</v>
          </cell>
          <cell r="D238">
            <v>646.48627343556291</v>
          </cell>
        </row>
        <row r="239">
          <cell r="A239" t="str">
            <v>REP-0311</v>
          </cell>
          <cell r="B239" t="str">
            <v>{ REP-0311 }  Ficha lavado part auto chico/no cash value red brass (Zambra, Socobar)</v>
          </cell>
          <cell r="C239">
            <v>445</v>
          </cell>
          <cell r="D239">
            <v>445</v>
          </cell>
        </row>
        <row r="240">
          <cell r="A240" t="str">
            <v>REP-0312</v>
          </cell>
          <cell r="B240" t="str">
            <v>{ REP-0312 }  Ficha aspirado ESMAX vacuum token/aguila estrellas plateada</v>
          </cell>
          <cell r="C240">
            <v>654</v>
          </cell>
          <cell r="D240">
            <v>654</v>
          </cell>
        </row>
        <row r="241">
          <cell r="A241" t="str">
            <v>REP-0313</v>
          </cell>
          <cell r="B241" t="str">
            <v>{ REP-0313 }  Ficha lavado corona/escudo Dorada PANATT/EING</v>
          </cell>
          <cell r="C241">
            <v>483</v>
          </cell>
          <cell r="D241">
            <v>483</v>
          </cell>
        </row>
        <row r="242">
          <cell r="A242" t="str">
            <v>REP-0314</v>
          </cell>
          <cell r="B242" t="str">
            <v>{ REP-0314 }  Inverter 2,2 KW 3AC380-480V</v>
          </cell>
          <cell r="C242">
            <v>893772</v>
          </cell>
          <cell r="D242">
            <v>837279.89370738366</v>
          </cell>
        </row>
        <row r="243">
          <cell r="A243" t="str">
            <v>REP-0315</v>
          </cell>
          <cell r="B243" t="str">
            <v>{ REP-0315 }  Ventilador 80x80 24V AC</v>
          </cell>
          <cell r="C243">
            <v>47675</v>
          </cell>
          <cell r="D243">
            <v>44661.253423736722</v>
          </cell>
        </row>
        <row r="244">
          <cell r="A244" t="str">
            <v>REP-0316</v>
          </cell>
          <cell r="B244" t="str">
            <v>{ REP-0316 }  Int. Aut. C60N 3P 16A</v>
          </cell>
          <cell r="C244">
            <v>96408</v>
          </cell>
          <cell r="D244">
            <v>90314.139247612955</v>
          </cell>
        </row>
        <row r="245">
          <cell r="A245" t="str">
            <v>REP-0317</v>
          </cell>
          <cell r="B245" t="str">
            <v>{ REP-0317 }  Int. MT 6KA 1N 1MOD 2A C</v>
          </cell>
          <cell r="C245">
            <v>51784</v>
          </cell>
          <cell r="D245">
            <v>48511.412923175165</v>
          </cell>
        </row>
        <row r="246">
          <cell r="A246" t="str">
            <v>REP-0318</v>
          </cell>
          <cell r="B246" t="str">
            <v>{ REP-0318 }  Int. MT 10 KA 1P+1N D 2A</v>
          </cell>
          <cell r="C246">
            <v>61267</v>
          </cell>
          <cell r="D246">
            <v>57394.330641977751</v>
          </cell>
        </row>
        <row r="247">
          <cell r="A247" t="str">
            <v>REP-0319</v>
          </cell>
          <cell r="B247" t="str">
            <v>{ REP-0319 }  Int. mt 6KA 1N 1MOD 6A C</v>
          </cell>
          <cell r="C247">
            <v>42727</v>
          </cell>
          <cell r="D247">
            <v>40026.341703927057</v>
          </cell>
        </row>
        <row r="248">
          <cell r="A248" t="str">
            <v>REP-0320</v>
          </cell>
          <cell r="B248" t="str">
            <v>{ REP-0320 }  kit pistola+ manguera+soporte para sanitizado</v>
          </cell>
          <cell r="C248">
            <v>425086</v>
          </cell>
          <cell r="D248">
            <v>398218.48603156052</v>
          </cell>
        </row>
        <row r="249">
          <cell r="A249" t="str">
            <v>REP-0321</v>
          </cell>
          <cell r="B249" t="str">
            <v>{ REP-0321 }  Filtro pistola mousse</v>
          </cell>
          <cell r="C249">
            <v>18421</v>
          </cell>
          <cell r="D249">
            <v>17256.591918175443</v>
          </cell>
        </row>
        <row r="250">
          <cell r="A250" t="str">
            <v>REP-0324</v>
          </cell>
          <cell r="B250" t="str">
            <v>{ REP-0324 }  Ficha lavado part autos/rueda (La Serena Florida, Llolleo part)</v>
          </cell>
          <cell r="C250">
            <v>494</v>
          </cell>
          <cell r="D250">
            <v>494</v>
          </cell>
        </row>
        <row r="251">
          <cell r="A251" t="str">
            <v>REP-0325</v>
          </cell>
          <cell r="B251" t="str">
            <v>{ REP-0325 }  Ficha asp part estrella-winner</v>
          </cell>
          <cell r="C251">
            <v>326</v>
          </cell>
          <cell r="D251">
            <v>326</v>
          </cell>
        </row>
        <row r="252">
          <cell r="A252" t="str">
            <v>REP-0326</v>
          </cell>
          <cell r="B252" t="str">
            <v>{ REP-0326 }  Válvula de inyección verde</v>
          </cell>
          <cell r="C252">
            <v>40024</v>
          </cell>
          <cell r="D252">
            <v>37494.048734262811</v>
          </cell>
        </row>
        <row r="253">
          <cell r="A253" t="str">
            <v>REP-0327</v>
          </cell>
          <cell r="B253" t="str">
            <v>{ REP-0327 }  Válvula de inyección blanca</v>
          </cell>
          <cell r="C253">
            <v>44143</v>
          </cell>
          <cell r="D253">
            <v>41353.159779941241</v>
          </cell>
        </row>
        <row r="254">
          <cell r="A254" t="str">
            <v>REP-0328</v>
          </cell>
          <cell r="B254" t="str">
            <v>{ REP-0328 }  Resina sunresin SC 130</v>
          </cell>
          <cell r="C254">
            <v>67168</v>
          </cell>
          <cell r="D254">
            <v>66153.625105907267</v>
          </cell>
        </row>
        <row r="255">
          <cell r="A255" t="str">
            <v>REP-0329</v>
          </cell>
          <cell r="B255" t="str">
            <v>{ REP-0329 }  Manguera espiral + terminales para sanitizado</v>
          </cell>
          <cell r="C255">
            <v>226015</v>
          </cell>
          <cell r="D255">
            <v>211729.92859789717</v>
          </cell>
        </row>
        <row r="256">
          <cell r="A256" t="str">
            <v>REP-0333</v>
          </cell>
          <cell r="B256" t="str">
            <v>{ REP-0333 }  Filtro de sedimento texpro</v>
          </cell>
          <cell r="C256">
            <v>5772</v>
          </cell>
          <cell r="D256">
            <v>5407.1988951819867</v>
          </cell>
        </row>
        <row r="257">
          <cell r="A257" t="str">
            <v>REP-0336</v>
          </cell>
          <cell r="B257" t="str">
            <v>{ REP-0336 }  Visera para display de 4 cifras</v>
          </cell>
          <cell r="C257">
            <v>37500</v>
          </cell>
          <cell r="D257">
            <v>37500</v>
          </cell>
        </row>
        <row r="258">
          <cell r="A258" t="str">
            <v>REP-0337</v>
          </cell>
          <cell r="B258" t="str">
            <v>{ REP-0337 }  Válvula bola paso total 1/2 ( Bonomi Italiana)</v>
          </cell>
          <cell r="C258">
            <v>3900</v>
          </cell>
          <cell r="D258">
            <v>3900</v>
          </cell>
        </row>
        <row r="259">
          <cell r="A259" t="str">
            <v>REP-0338</v>
          </cell>
          <cell r="B259" t="str">
            <v>{ REP-0338 }  Copla bronce  HI-HI 1/2 x 1/2 nacional</v>
          </cell>
          <cell r="C259">
            <v>1939</v>
          </cell>
          <cell r="D259">
            <v>1939</v>
          </cell>
        </row>
        <row r="260">
          <cell r="A260" t="str">
            <v>REP-0339</v>
          </cell>
          <cell r="B260" t="str">
            <v>{ REP-0339 }  Kit analizador de durezas de alto rango 100 determinaciones</v>
          </cell>
          <cell r="C260">
            <v>65372</v>
          </cell>
          <cell r="D260">
            <v>65372</v>
          </cell>
        </row>
        <row r="261">
          <cell r="A261" t="str">
            <v>REP-0340</v>
          </cell>
          <cell r="B261" t="str">
            <v>{ REP-0340 }  Pulsador armado azul contacto NO</v>
          </cell>
          <cell r="C261">
            <v>10535</v>
          </cell>
          <cell r="D261">
            <v>10535</v>
          </cell>
        </row>
        <row r="262">
          <cell r="A262" t="str">
            <v>REP-0341</v>
          </cell>
          <cell r="B262" t="str">
            <v>{ REP-0341 }  Kit analizador de durezas bajo rango 100 determinaciones</v>
          </cell>
          <cell r="C262">
            <v>55944</v>
          </cell>
          <cell r="D262">
            <v>55944</v>
          </cell>
        </row>
        <row r="263">
          <cell r="A263" t="str">
            <v>REP-0344</v>
          </cell>
          <cell r="B263" t="str">
            <v>{ REP-0344 }  EV 1/2 100 bar mousse</v>
          </cell>
          <cell r="C263">
            <v>494278</v>
          </cell>
          <cell r="D263">
            <v>463036.63235522492</v>
          </cell>
        </row>
        <row r="264">
          <cell r="A264" t="str">
            <v>REP-0345</v>
          </cell>
          <cell r="B264" t="str">
            <v>{ REP-0345 }  Termo 100lt Trotter inoxidable 6 kw</v>
          </cell>
          <cell r="C264">
            <v>1270000</v>
          </cell>
          <cell r="D264">
            <v>1270000</v>
          </cell>
        </row>
        <row r="265">
          <cell r="A265" t="str">
            <v>REP-0346</v>
          </cell>
          <cell r="B265" t="str">
            <v>{ REP-0346 }   Soporte de plástico para manguera de soplado</v>
          </cell>
          <cell r="C265">
            <v>16546</v>
          </cell>
          <cell r="D265">
            <v>16546</v>
          </cell>
        </row>
        <row r="266">
          <cell r="A266" t="str">
            <v>REP-0347</v>
          </cell>
          <cell r="B266" t="str">
            <v>{ REP-0347 }  Contactor 4KW DILEM 10 24V 50/60</v>
          </cell>
          <cell r="C266">
            <v>21155</v>
          </cell>
          <cell r="D266">
            <v>19817.728759057391</v>
          </cell>
        </row>
        <row r="267">
          <cell r="A267" t="str">
            <v>REP-0348</v>
          </cell>
          <cell r="B267" t="str">
            <v>{ REP-0348 }  Diferencial tipo B SIEMENE 5SV3342-4</v>
          </cell>
          <cell r="C267">
            <v>958800</v>
          </cell>
          <cell r="D267">
            <v>898198.14971916529</v>
          </cell>
        </row>
        <row r="268">
          <cell r="A268" t="str">
            <v>REP-0350</v>
          </cell>
          <cell r="B268" t="str">
            <v>{ REP-0350 }  Manguera 3,5 mts color rojo</v>
          </cell>
          <cell r="C268">
            <v>72646</v>
          </cell>
          <cell r="D268">
            <v>68054.627597539977</v>
          </cell>
        </row>
        <row r="269">
          <cell r="A269" t="str">
            <v>REP-0351</v>
          </cell>
          <cell r="B269" t="str">
            <v>{ REP-0351 }  Manguera 4,7 mts color gris</v>
          </cell>
          <cell r="C269">
            <v>113245</v>
          </cell>
          <cell r="D269">
            <v>106087.34295952004</v>
          </cell>
        </row>
        <row r="270">
          <cell r="A270" t="str">
            <v>REP-0352</v>
          </cell>
          <cell r="B270" t="str">
            <v>{ REP-0352 }  Manguera 4,0 mts color gris</v>
          </cell>
          <cell r="C270">
            <v>76275</v>
          </cell>
          <cell r="D270">
            <v>71454.225936232979</v>
          </cell>
        </row>
        <row r="271">
          <cell r="A271" t="str">
            <v>REP-0353</v>
          </cell>
          <cell r="B271" t="str">
            <v>{ REP-0353 }  Fichero nuevo RM5 evo</v>
          </cell>
          <cell r="C271">
            <v>295095</v>
          </cell>
          <cell r="D271">
            <v>295095.10887650267</v>
          </cell>
        </row>
        <row r="272">
          <cell r="A272" t="str">
            <v>REP-0354</v>
          </cell>
          <cell r="B272" t="str">
            <v>{ REP-0354 }  Reducción 1/2 A 1/4" bronce (bushing)</v>
          </cell>
          <cell r="C272">
            <v>5237</v>
          </cell>
          <cell r="D272">
            <v>4906.285436417329</v>
          </cell>
        </row>
        <row r="273">
          <cell r="A273" t="str">
            <v>REP-0355</v>
          </cell>
          <cell r="B273" t="str">
            <v>{ REP-0355 }   Oring para boquilla pistola mousse</v>
          </cell>
          <cell r="C273">
            <v>1632</v>
          </cell>
          <cell r="D273">
            <v>1632</v>
          </cell>
        </row>
        <row r="274">
          <cell r="A274" t="str">
            <v>REP-0356</v>
          </cell>
          <cell r="B274" t="str">
            <v>{ REP-0356 }  Ficha lavado Abastible self service car wash/tu lavas tu brillas</v>
          </cell>
          <cell r="C274">
            <v>578</v>
          </cell>
          <cell r="D274">
            <v>578</v>
          </cell>
        </row>
        <row r="275">
          <cell r="A275" t="str">
            <v>REP-0357</v>
          </cell>
          <cell r="B275" t="str">
            <v>{ REP-0357 }  Manguera 4,0 mts color rojo</v>
          </cell>
          <cell r="C275">
            <v>74630</v>
          </cell>
          <cell r="D275">
            <v>69912.570750459374</v>
          </cell>
        </row>
        <row r="276">
          <cell r="A276" t="str">
            <v>REP-0360</v>
          </cell>
          <cell r="B276" t="str">
            <v>{ REP-0360 }  Ficha dorada lava interni Lavamax multifunción</v>
          </cell>
          <cell r="C276">
            <v>741</v>
          </cell>
          <cell r="D276">
            <v>741</v>
          </cell>
        </row>
        <row r="277">
          <cell r="A277" t="str">
            <v>REP-0361</v>
          </cell>
          <cell r="B277" t="str">
            <v>{ REP-0361 }  Carcasa de membrana de osmosis</v>
          </cell>
          <cell r="C277">
            <v>354827</v>
          </cell>
          <cell r="D277">
            <v>332399.75576151669</v>
          </cell>
        </row>
        <row r="278">
          <cell r="A278" t="str">
            <v>REP-0362</v>
          </cell>
          <cell r="B278" t="str">
            <v>{ REP-0362 }  Mango pistola mousse</v>
          </cell>
          <cell r="C278">
            <v>158862</v>
          </cell>
          <cell r="D278">
            <v>148821.44547209438</v>
          </cell>
        </row>
        <row r="279">
          <cell r="A279" t="str">
            <v>REP-0363</v>
          </cell>
          <cell r="B279" t="str">
            <v>{ REP-0363 }  Boquilla y cuerpo lanza mousse</v>
          </cell>
          <cell r="C279">
            <v>257504</v>
          </cell>
          <cell r="D279">
            <v>241228.25730736388</v>
          </cell>
        </row>
        <row r="280">
          <cell r="A280" t="str">
            <v>REP-0364</v>
          </cell>
          <cell r="B280" t="str">
            <v>{ REP-0364 }  Bomba dosificadora de mousse</v>
          </cell>
          <cell r="C280">
            <v>430536</v>
          </cell>
          <cell r="D280">
            <v>403323.85123709339</v>
          </cell>
        </row>
        <row r="281">
          <cell r="A281" t="str">
            <v>REP-0365</v>
          </cell>
          <cell r="B281" t="str">
            <v>{ REP-0365 }  Manguera 1/4" 1 mt color rojo ext. HE-HI 3/8</v>
          </cell>
          <cell r="C281">
            <v>38857</v>
          </cell>
          <cell r="D281">
            <v>36400.965476736885</v>
          </cell>
        </row>
        <row r="282">
          <cell r="A282" t="str">
            <v>REP-0366</v>
          </cell>
          <cell r="B282" t="str">
            <v>{ REP-0366 }  Codo bronce 1/4 HE- HI</v>
          </cell>
          <cell r="C282">
            <v>3044</v>
          </cell>
          <cell r="D282">
            <v>3044</v>
          </cell>
        </row>
        <row r="283">
          <cell r="A283" t="str">
            <v>REP-0367</v>
          </cell>
          <cell r="B283" t="str">
            <v>{ REP-0367 }  Resina catiónica G8 CG8 saco de 28,32L</v>
          </cell>
          <cell r="C283">
            <v>97704</v>
          </cell>
          <cell r="D283">
            <v>97704</v>
          </cell>
        </row>
        <row r="284">
          <cell r="A284" t="str">
            <v>REP-0368</v>
          </cell>
          <cell r="B284" t="str">
            <v>{ REP-0368 }  Gravilla silica malla 4"-8" saco</v>
          </cell>
          <cell r="C284">
            <v>16560</v>
          </cell>
          <cell r="D284">
            <v>16560</v>
          </cell>
        </row>
        <row r="285">
          <cell r="A285" t="str">
            <v>REP-0369</v>
          </cell>
          <cell r="B285" t="str">
            <v>{ REP-0369 }  HF1 membrana de osmosis para MSELF</v>
          </cell>
          <cell r="C285">
            <v>336734</v>
          </cell>
          <cell r="D285">
            <v>315450.61677888141</v>
          </cell>
        </row>
        <row r="286">
          <cell r="A286" t="str">
            <v>REP-0370</v>
          </cell>
          <cell r="B286" t="str">
            <v>{ REP-0370 }  HR3 membrana de osmosis para MSELF</v>
          </cell>
          <cell r="C286">
            <v>341253</v>
          </cell>
          <cell r="D286">
            <v>336097.51966188301</v>
          </cell>
        </row>
        <row r="287">
          <cell r="A287" t="str">
            <v>REP-0371</v>
          </cell>
          <cell r="B287" t="str">
            <v>{ REP-0371 }  Ficha mod "B" no personalizadas (ex Abastible)</v>
          </cell>
          <cell r="C287">
            <v>0</v>
          </cell>
          <cell r="D287">
            <v>0</v>
          </cell>
        </row>
        <row r="288">
          <cell r="A288" t="str">
            <v>REP-0372</v>
          </cell>
          <cell r="B288" t="str">
            <v>{ REP-0372 }  Ficha vacuum plateada (aspiradora)</v>
          </cell>
          <cell r="C288">
            <v>601</v>
          </cell>
          <cell r="D288">
            <v>601</v>
          </cell>
        </row>
        <row r="289">
          <cell r="A289" t="str">
            <v>REP-0373</v>
          </cell>
          <cell r="B289" t="str">
            <v>{ REP-0373 }  Ficha carwash dorada (auto covertible)</v>
          </cell>
          <cell r="C289">
            <v>450</v>
          </cell>
          <cell r="D289">
            <v>450</v>
          </cell>
        </row>
        <row r="290">
          <cell r="A290" t="str">
            <v>REP-0374</v>
          </cell>
          <cell r="B290" t="str">
            <v>{ REP-0374 }  Cubre fichero (lava interior)</v>
          </cell>
          <cell r="C290">
            <v>47675</v>
          </cell>
          <cell r="D290">
            <v>44661.253423736722</v>
          </cell>
        </row>
        <row r="291">
          <cell r="A291" t="str">
            <v>REP-0375</v>
          </cell>
          <cell r="B291" t="str">
            <v>{ REP-0375 }  Tarjeta electrónica lavainterior (lava interior)</v>
          </cell>
          <cell r="C291">
            <v>338436</v>
          </cell>
          <cell r="D291">
            <v>317044.88865457429</v>
          </cell>
        </row>
        <row r="292">
          <cell r="A292" t="str">
            <v>REP-0376</v>
          </cell>
          <cell r="B292" t="str">
            <v>{ REP-0376 }  Alimentador para tarjeta electrónica (lava interior)</v>
          </cell>
          <cell r="C292">
            <v>105455</v>
          </cell>
          <cell r="D292">
            <v>98789.26430437222</v>
          </cell>
        </row>
        <row r="293">
          <cell r="A293" t="str">
            <v>REP-0377</v>
          </cell>
          <cell r="B293" t="str">
            <v>{ REP-0377 }  Pulsador azul luminoso (lava interior)</v>
          </cell>
          <cell r="C293">
            <v>78477</v>
          </cell>
          <cell r="D293">
            <v>73517.060036422932</v>
          </cell>
        </row>
        <row r="294">
          <cell r="A294" t="str">
            <v>REP-0378</v>
          </cell>
          <cell r="B294" t="str">
            <v>{ REP-0378 }  Pulsador rojo luminoso (lava interior)</v>
          </cell>
          <cell r="C294">
            <v>78477</v>
          </cell>
          <cell r="D294">
            <v>73517.060036422932</v>
          </cell>
        </row>
        <row r="295">
          <cell r="A295" t="str">
            <v>REP-0379</v>
          </cell>
          <cell r="B295" t="str">
            <v>{ REP-0379 }  Bomba producto electromagnética (lava interior)</v>
          </cell>
          <cell r="C295">
            <v>106271</v>
          </cell>
          <cell r="D295">
            <v>99554.124199765705</v>
          </cell>
        </row>
        <row r="296">
          <cell r="A296" t="str">
            <v>REP-0380</v>
          </cell>
          <cell r="B296" t="str">
            <v>{ REP-0380 }  Espiral + pistola perfume (lava interior)</v>
          </cell>
          <cell r="C296">
            <v>269766</v>
          </cell>
          <cell r="D296">
            <v>252715.08036575053</v>
          </cell>
        </row>
        <row r="297">
          <cell r="A297" t="str">
            <v>REP-0381</v>
          </cell>
          <cell r="B297" t="str">
            <v>{ REP-0381 }  Espiral + pistola renovador (lava interior)</v>
          </cell>
          <cell r="C297">
            <v>269766</v>
          </cell>
          <cell r="D297">
            <v>252715.08036575053</v>
          </cell>
        </row>
        <row r="298">
          <cell r="A298" t="str">
            <v>REP-0382</v>
          </cell>
          <cell r="B298" t="str">
            <v>{ REP-0382 }  Filtro metálico aspirado (lava interior)</v>
          </cell>
          <cell r="C298">
            <v>306552</v>
          </cell>
          <cell r="D298">
            <v>287176.54415715928</v>
          </cell>
        </row>
        <row r="299">
          <cell r="A299" t="str">
            <v>REP-0383</v>
          </cell>
          <cell r="B299" t="str">
            <v>{ REP-0383 }  Kit aspiradora, boquilla, manguito y sujetador (lava interior)</v>
          </cell>
          <cell r="C299">
            <v>30660</v>
          </cell>
          <cell r="D299">
            <v>28722.528035335476</v>
          </cell>
        </row>
        <row r="300">
          <cell r="A300" t="str">
            <v>REP-0385</v>
          </cell>
          <cell r="B300" t="str">
            <v>{ REP-0385 }  Boquilla lavainteriores dry (lava interior)</v>
          </cell>
          <cell r="C300">
            <v>58532</v>
          </cell>
          <cell r="D300">
            <v>54832.882209525123</v>
          </cell>
        </row>
        <row r="301">
          <cell r="A301" t="str">
            <v>REP-0386</v>
          </cell>
          <cell r="B301" t="str">
            <v>{ REP-0386 }  Cepillo completo lavainteriores (lava interior)</v>
          </cell>
          <cell r="C301">
            <v>231624</v>
          </cell>
          <cell r="D301">
            <v>195682.06363132803</v>
          </cell>
        </row>
        <row r="302">
          <cell r="A302" t="str">
            <v>REP-0387</v>
          </cell>
          <cell r="B302" t="str">
            <v>{ REP-0387 }  Espiral lavainteriores dry (lava interior)</v>
          </cell>
          <cell r="C302">
            <v>79751</v>
          </cell>
          <cell r="D302">
            <v>74710.385298488414</v>
          </cell>
        </row>
        <row r="303">
          <cell r="A303" t="str">
            <v>REP-0388</v>
          </cell>
          <cell r="B303" t="str">
            <v>{ REP-0388 }  Manguera aspiración agua delgada (lava interior)</v>
          </cell>
          <cell r="C303">
            <v>61310</v>
          </cell>
          <cell r="D303">
            <v>57435.109908182087</v>
          </cell>
        </row>
        <row r="304">
          <cell r="A304" t="str">
            <v>REP-0389</v>
          </cell>
          <cell r="B304" t="str">
            <v>{ REP-0389 }  Motor modulo aspiración agua (lava interior)</v>
          </cell>
          <cell r="C304">
            <v>572232</v>
          </cell>
          <cell r="D304">
            <v>536063.34658094693</v>
          </cell>
        </row>
        <row r="305">
          <cell r="A305" t="str">
            <v>REP-0390</v>
          </cell>
          <cell r="B305" t="str">
            <v>{ REP-0390 }  Bomba modulo lavainteriores dry (lava interior)</v>
          </cell>
          <cell r="C305">
            <v>292144</v>
          </cell>
          <cell r="D305">
            <v>273678.73450015415</v>
          </cell>
        </row>
        <row r="306">
          <cell r="A306" t="str">
            <v>REP-0391</v>
          </cell>
          <cell r="B306" t="str">
            <v>{ REP-0391 }  Bisagra (lava interior)</v>
          </cell>
          <cell r="C306">
            <v>13690</v>
          </cell>
          <cell r="D306">
            <v>12824.581913138571</v>
          </cell>
        </row>
        <row r="307">
          <cell r="A307" t="str">
            <v>REP-0392</v>
          </cell>
          <cell r="B307" t="str">
            <v>{ REP-0392 }  Cerradura (lava interior)</v>
          </cell>
          <cell r="C307">
            <v>29429</v>
          </cell>
          <cell r="D307">
            <v>27568.773186627488</v>
          </cell>
        </row>
        <row r="308">
          <cell r="A308" t="str">
            <v>REP-0393</v>
          </cell>
          <cell r="B308" t="str">
            <v>{ REP-0393 }  Palanca interior cerradura (lava interior)</v>
          </cell>
          <cell r="C308">
            <v>7150</v>
          </cell>
          <cell r="D308">
            <v>6697.7458199996227</v>
          </cell>
        </row>
        <row r="309">
          <cell r="A309" t="str">
            <v>REP-0394</v>
          </cell>
          <cell r="B309" t="str">
            <v>{ REP-0394 }  Interruptor ON/OFF (lava interior)</v>
          </cell>
          <cell r="C309">
            <v>153686</v>
          </cell>
          <cell r="D309">
            <v>143971.69664252529</v>
          </cell>
        </row>
        <row r="310">
          <cell r="A310" t="str">
            <v>REP-0395</v>
          </cell>
          <cell r="B310" t="str">
            <v>{ REP-0395 }  Cable (lava interior)</v>
          </cell>
          <cell r="C310">
            <v>23499</v>
          </cell>
          <cell r="D310">
            <v>22013.841436598108</v>
          </cell>
        </row>
        <row r="311">
          <cell r="A311" t="str">
            <v>REP-0396</v>
          </cell>
          <cell r="B311" t="str">
            <v>{ REP-0396 }  Perilla timer de programas (lava interior)</v>
          </cell>
          <cell r="C311">
            <v>10224</v>
          </cell>
          <cell r="D311">
            <v>9578.1544767740361</v>
          </cell>
        </row>
        <row r="312">
          <cell r="A312" t="str">
            <v>REP-0397</v>
          </cell>
          <cell r="B312" t="str">
            <v>{ REP-0397 }  Contactor 24V NO (lava interior)</v>
          </cell>
          <cell r="C312">
            <v>83382</v>
          </cell>
          <cell r="D312">
            <v>78112.187106277153</v>
          </cell>
        </row>
        <row r="313">
          <cell r="A313" t="str">
            <v>REP-0398</v>
          </cell>
          <cell r="B313" t="str">
            <v>{ REP-0398 }  Interruptor térmico 4.2-5.7A (lava interior)</v>
          </cell>
          <cell r="C313">
            <v>103820</v>
          </cell>
          <cell r="D313">
            <v>97257.55528108748</v>
          </cell>
        </row>
        <row r="314">
          <cell r="A314" t="str">
            <v>REP-0399</v>
          </cell>
          <cell r="B314" t="str">
            <v>{ REP-0399 }  Mango sujetador aspirado interior(lava interior)</v>
          </cell>
          <cell r="C314">
            <v>16349</v>
          </cell>
          <cell r="D314">
            <v>15316.095616598483</v>
          </cell>
        </row>
        <row r="315">
          <cell r="A315" t="str">
            <v>REP-0400</v>
          </cell>
          <cell r="B315" t="str">
            <v>{ REP-0400 }  Electroválvula 230V 50HZ 1/4 (lava interior)</v>
          </cell>
          <cell r="C315">
            <v>129161</v>
          </cell>
          <cell r="D315">
            <v>120997.05590950312</v>
          </cell>
        </row>
        <row r="316">
          <cell r="A316" t="str">
            <v>REP-0401</v>
          </cell>
          <cell r="B316" t="str">
            <v>{ REP-0401 }  Gancho (lava interior)</v>
          </cell>
          <cell r="C316">
            <v>63763</v>
          </cell>
          <cell r="D316">
            <v>59732.67344310919</v>
          </cell>
        </row>
        <row r="317">
          <cell r="A317" t="str">
            <v>REP-0403</v>
          </cell>
          <cell r="B317" t="str">
            <v>{ REP-0403 }  Módulo regulador y mezcla producto (lava interior)</v>
          </cell>
          <cell r="C317">
            <v>3856428</v>
          </cell>
          <cell r="D317">
            <v>3612678.9561568918</v>
          </cell>
        </row>
        <row r="318">
          <cell r="A318" t="str">
            <v>REP-0404</v>
          </cell>
          <cell r="B318" t="str">
            <v>{ REP-0404 }  Contactor 230V NO (lava interior)</v>
          </cell>
          <cell r="C318">
            <v>133662</v>
          </cell>
          <cell r="D318">
            <v>125214.22880478058</v>
          </cell>
        </row>
        <row r="319">
          <cell r="A319" t="str">
            <v>REP-0405</v>
          </cell>
          <cell r="B319" t="str">
            <v>{ REP-0405 }  Motor aspirado con turbina (lava interior)</v>
          </cell>
          <cell r="C319">
            <v>2186743</v>
          </cell>
          <cell r="D319">
            <v>2048527.5400659847</v>
          </cell>
        </row>
        <row r="320">
          <cell r="A320" t="str">
            <v>REP-0406</v>
          </cell>
          <cell r="B320" t="str">
            <v>{ REP-0406 }  Codo 45° entrada tambor aspirado (lava interior)</v>
          </cell>
          <cell r="C320">
            <v>10016</v>
          </cell>
          <cell r="D320">
            <v>9383.2096919923424</v>
          </cell>
        </row>
        <row r="321">
          <cell r="A321" t="str">
            <v>REP-0407</v>
          </cell>
          <cell r="B321" t="str">
            <v>{ REP-0407 }  Acople rápido de bombas (lava interior)</v>
          </cell>
          <cell r="C321">
            <v>11444</v>
          </cell>
          <cell r="D321">
            <v>10720.968546744272</v>
          </cell>
        </row>
        <row r="322">
          <cell r="A322" t="str">
            <v>REP-0408</v>
          </cell>
          <cell r="B322" t="str">
            <v>{ REP-0408 }  Tubo a espiral para perfume (lava interior)</v>
          </cell>
          <cell r="C322">
            <v>101160</v>
          </cell>
          <cell r="D322">
            <v>94766.041577627562</v>
          </cell>
        </row>
        <row r="323">
          <cell r="A323" t="str">
            <v>REP-0409</v>
          </cell>
          <cell r="B323" t="str">
            <v>{ REP-0409 }  Telaio SD/TI (lava interior)</v>
          </cell>
          <cell r="C323">
            <v>1355786</v>
          </cell>
          <cell r="D323">
            <v>1270092.1274914551</v>
          </cell>
        </row>
        <row r="324">
          <cell r="A324" t="str">
            <v>REP-0410</v>
          </cell>
          <cell r="B324" t="str">
            <v>{ REP-0410 }  Boquilla bronce para pistola (lava interior)</v>
          </cell>
          <cell r="C324">
            <v>53136</v>
          </cell>
          <cell r="D324">
            <v>49777.559408007284</v>
          </cell>
        </row>
        <row r="325">
          <cell r="A325" t="str">
            <v>REP-0412</v>
          </cell>
          <cell r="B325" t="str">
            <v>{ REP-0412 }  Boquilla verde para pistola (lava interior)</v>
          </cell>
          <cell r="C325">
            <v>51098</v>
          </cell>
          <cell r="D325">
            <v>47867.896210145802</v>
          </cell>
        </row>
        <row r="326">
          <cell r="A326" t="str">
            <v>REP-0413</v>
          </cell>
          <cell r="B326" t="str">
            <v>{ REP-0413 }  Tambor cilíndrico filtro aspirado</v>
          </cell>
          <cell r="C326">
            <v>293026</v>
          </cell>
          <cell r="D326">
            <v>274505.13314634928</v>
          </cell>
        </row>
        <row r="327">
          <cell r="A327" t="str">
            <v>REP-0414</v>
          </cell>
          <cell r="B327" t="str">
            <v>{ REP-0414 }   Manguito boquilla aspirado lava tapiz (lava interior)</v>
          </cell>
          <cell r="C327">
            <v>11674</v>
          </cell>
          <cell r="D327">
            <v>10935.80565650369</v>
          </cell>
        </row>
        <row r="328">
          <cell r="A328" t="str">
            <v>REP-0415</v>
          </cell>
          <cell r="B328" t="str">
            <v>{ REP-0415 }  Display (lava interior)</v>
          </cell>
          <cell r="C328">
            <v>367863</v>
          </cell>
          <cell r="D328">
            <v>344611.65406534146</v>
          </cell>
        </row>
        <row r="329">
          <cell r="A329" t="str">
            <v>REP-0416</v>
          </cell>
          <cell r="B329" t="str">
            <v>{ REP-0416 } 2022 Cubrefichero inox plus 2022</v>
          </cell>
          <cell r="C329">
            <v>152672</v>
          </cell>
          <cell r="D329">
            <v>143021.83812483898</v>
          </cell>
        </row>
        <row r="330">
          <cell r="A330" t="str">
            <v>REP-0417</v>
          </cell>
          <cell r="B330" t="str">
            <v>{ REP-0417 }  Lexan para cubrefichero plus 2022</v>
          </cell>
          <cell r="C330">
            <v>47468</v>
          </cell>
          <cell r="D330">
            <v>44467.303255203908</v>
          </cell>
        </row>
        <row r="331">
          <cell r="A331" t="str">
            <v>REP-0418</v>
          </cell>
          <cell r="B331" t="str">
            <v>{ REP-0418 }  Unión americana inoxidable de 1/2"</v>
          </cell>
          <cell r="C331">
            <v>2969</v>
          </cell>
          <cell r="D331">
            <v>2969</v>
          </cell>
        </row>
        <row r="332">
          <cell r="A332" t="str">
            <v>REP-0419</v>
          </cell>
          <cell r="B332" t="str">
            <v>{ REP-0419 }  Manguera silicona D8/D5 150cm (lava interior)</v>
          </cell>
          <cell r="C332">
            <v>28208</v>
          </cell>
          <cell r="D332">
            <v>26424.964500408369</v>
          </cell>
        </row>
        <row r="333">
          <cell r="A333" t="str">
            <v>REP-0424</v>
          </cell>
          <cell r="B333" t="str">
            <v>{ REP-0424 }  Niple bronce 1/4 x 3/8 HE-HE</v>
          </cell>
          <cell r="C333">
            <v>4985</v>
          </cell>
          <cell r="D333">
            <v>4985</v>
          </cell>
        </row>
        <row r="334">
          <cell r="A334" t="str">
            <v>REP-0425</v>
          </cell>
          <cell r="B334" t="str">
            <v>{ REP-0425 }  Niple bronce 1/4 HE HE</v>
          </cell>
          <cell r="C334">
            <v>3912</v>
          </cell>
          <cell r="D334">
            <v>3912</v>
          </cell>
        </row>
        <row r="335">
          <cell r="A335" t="str">
            <v>REP-0426</v>
          </cell>
          <cell r="B335" t="str">
            <v>{ REP-0426 }  Niple bronce 3/4 x 1/2 HE HI</v>
          </cell>
          <cell r="C335">
            <v>5662</v>
          </cell>
          <cell r="D335">
            <v>5662</v>
          </cell>
        </row>
        <row r="336">
          <cell r="A336" t="str">
            <v>REP-0427</v>
          </cell>
          <cell r="B336" t="str">
            <v>{ REP-0427 }  Niple bronce 3/4 x 1/2 HI HE</v>
          </cell>
          <cell r="C336">
            <v>5250</v>
          </cell>
          <cell r="D336">
            <v>5250</v>
          </cell>
        </row>
        <row r="337">
          <cell r="A337" t="str">
            <v>REP-0428</v>
          </cell>
          <cell r="B337" t="str">
            <v>{ REP-0428 }  Terminal cachimba 1/2 HI</v>
          </cell>
          <cell r="C337">
            <v>6000</v>
          </cell>
          <cell r="D337">
            <v>6000</v>
          </cell>
        </row>
        <row r="338">
          <cell r="A338" t="str">
            <v>REP-0429</v>
          </cell>
          <cell r="B338" t="str">
            <v>{ REP-0429 }  Terminal cachimba 1/2 HE</v>
          </cell>
          <cell r="C338">
            <v>6000</v>
          </cell>
          <cell r="D338">
            <v>6000</v>
          </cell>
        </row>
        <row r="339">
          <cell r="A339" t="str">
            <v>REP-0430</v>
          </cell>
          <cell r="B339" t="str">
            <v>{ REP-0430 }  membranas de osmosis de CSM RE4021-BLN-K</v>
          </cell>
          <cell r="C339">
            <v>303626</v>
          </cell>
          <cell r="D339">
            <v>303626</v>
          </cell>
        </row>
        <row r="340">
          <cell r="A340" t="str">
            <v>REP-0431</v>
          </cell>
          <cell r="B340" t="str">
            <v>{ REP-0431 }  Cabezal ablandador down flow válvula cleck</v>
          </cell>
          <cell r="C340">
            <v>550000</v>
          </cell>
          <cell r="D340">
            <v>550000</v>
          </cell>
        </row>
        <row r="341">
          <cell r="A341" t="str">
            <v>REP-0432</v>
          </cell>
          <cell r="B341" t="str">
            <v>{ REP-0432 }  Codo inox 1/2 HE HI</v>
          </cell>
          <cell r="C341">
            <v>9104</v>
          </cell>
          <cell r="D341">
            <v>9104</v>
          </cell>
        </row>
        <row r="342">
          <cell r="A342" t="str">
            <v>REP-0433</v>
          </cell>
          <cell r="B342" t="str">
            <v>{ REP-0433 }  Kit 269 Interpump</v>
          </cell>
          <cell r="C342">
            <v>63220</v>
          </cell>
          <cell r="D342">
            <v>63220</v>
          </cell>
        </row>
        <row r="343">
          <cell r="A343" t="str">
            <v>REP-0434</v>
          </cell>
          <cell r="B343" t="str">
            <v>{ REP-0434 }  Kit 271 Interpump</v>
          </cell>
          <cell r="C343">
            <v>22580</v>
          </cell>
          <cell r="D343">
            <v>22580</v>
          </cell>
        </row>
        <row r="344">
          <cell r="A344" t="str">
            <v>REP-0435</v>
          </cell>
          <cell r="B344" t="str">
            <v>{ REP-0435 }  Tapa carcasa osmosis</v>
          </cell>
          <cell r="C344">
            <v>60853</v>
          </cell>
          <cell r="D344">
            <v>57006.430304912137</v>
          </cell>
        </row>
        <row r="345">
          <cell r="A345" t="str">
            <v>REP-0436</v>
          </cell>
          <cell r="B345" t="str">
            <v>{ REP-0436 }  O´rings tapa carcasa de osmosis</v>
          </cell>
          <cell r="C345">
            <v>6189</v>
          </cell>
          <cell r="D345">
            <v>6189</v>
          </cell>
        </row>
        <row r="346">
          <cell r="A346" t="str">
            <v>REP-0437</v>
          </cell>
          <cell r="B346" t="str">
            <v>{ REP-0437 }  Kit 343 bomba CAT</v>
          </cell>
          <cell r="C346">
            <v>234116</v>
          </cell>
          <cell r="D346">
            <v>234116</v>
          </cell>
        </row>
        <row r="347">
          <cell r="A347" t="str">
            <v>REP-0439</v>
          </cell>
          <cell r="B347" t="str">
            <v>{ REP-0439 }  Bomba espa prisma 25 5M.</v>
          </cell>
          <cell r="C347">
            <v>683240</v>
          </cell>
          <cell r="D347">
            <v>683240</v>
          </cell>
        </row>
        <row r="348">
          <cell r="A348" t="str">
            <v>REP-0440</v>
          </cell>
          <cell r="B348" t="str">
            <v>{ REP-0440 }  Tapón rojo (bomba 3cp) CAT</v>
          </cell>
          <cell r="C348">
            <v>17438</v>
          </cell>
          <cell r="D348">
            <v>17174.83232094812</v>
          </cell>
        </row>
        <row r="349">
          <cell r="A349" t="str">
            <v>REP-0441</v>
          </cell>
          <cell r="B349" t="str">
            <v>{ REP-0441 }  Culatín (bomba 3cp) CAT</v>
          </cell>
          <cell r="C349">
            <v>556463</v>
          </cell>
          <cell r="D349">
            <v>548056.90437679808</v>
          </cell>
        </row>
        <row r="350">
          <cell r="A350" t="str">
            <v>REP-0442</v>
          </cell>
          <cell r="B350" t="str">
            <v>{ REP-0442 }  Válvula rompe vacío</v>
          </cell>
          <cell r="C350">
            <v>24000</v>
          </cell>
          <cell r="D350">
            <v>24000</v>
          </cell>
        </row>
        <row r="351">
          <cell r="A351" t="str">
            <v>REP-0443</v>
          </cell>
          <cell r="B351" t="str">
            <v>{ REP-0443 }  Manguera espiral 8MM sin terminales color rojo</v>
          </cell>
          <cell r="C351">
            <v>0</v>
          </cell>
          <cell r="D351">
            <v>0</v>
          </cell>
        </row>
        <row r="352">
          <cell r="A352" t="str">
            <v>REP-0445</v>
          </cell>
          <cell r="B352" t="str">
            <v>{ REP-0445 }  Kit mousse mix</v>
          </cell>
          <cell r="C352">
            <v>4644878</v>
          </cell>
          <cell r="D352">
            <v>4644878</v>
          </cell>
        </row>
        <row r="353">
          <cell r="A353" t="str">
            <v>REP-0446</v>
          </cell>
          <cell r="B353" t="str">
            <v>{ REP-0446 }  Resistencia termo Rheem 3200W</v>
          </cell>
          <cell r="C353">
            <v>69900</v>
          </cell>
          <cell r="D353">
            <v>69900</v>
          </cell>
        </row>
        <row r="354">
          <cell r="A354" t="str">
            <v>REP-0447</v>
          </cell>
          <cell r="B354" t="str">
            <v>{ REP-0447 }  Cabezal ablandador Aguasin HAF-1200</v>
          </cell>
          <cell r="C354">
            <v>399154</v>
          </cell>
          <cell r="D354">
            <v>399154</v>
          </cell>
        </row>
        <row r="355">
          <cell r="A355" t="str">
            <v>REP-0448</v>
          </cell>
          <cell r="B355" t="str">
            <v>{ REP-0448 }  Sello para separador tambor aspirado</v>
          </cell>
          <cell r="C355">
            <v>0</v>
          </cell>
          <cell r="D355">
            <v>0</v>
          </cell>
        </row>
        <row r="356">
          <cell r="A356" t="str">
            <v>REP-0450</v>
          </cell>
          <cell r="B356" t="str">
            <v>{ REP-0450 }  Ánodo magnesio delgado</v>
          </cell>
          <cell r="C356">
            <v>39060</v>
          </cell>
          <cell r="D356">
            <v>39060</v>
          </cell>
        </row>
        <row r="357">
          <cell r="A357" t="str">
            <v>REP-0451</v>
          </cell>
          <cell r="B357" t="str">
            <v>{ REP-0451 }  Tee acople rápido</v>
          </cell>
          <cell r="C357">
            <v>6224</v>
          </cell>
          <cell r="D357">
            <v>5830.440450970862</v>
          </cell>
        </row>
        <row r="358">
          <cell r="A358" t="str">
            <v>REP-0452</v>
          </cell>
          <cell r="B358" t="str">
            <v>{ REP-0452 }  Motor trifásico</v>
          </cell>
          <cell r="C358">
            <v>775551</v>
          </cell>
          <cell r="D358">
            <v>775551</v>
          </cell>
        </row>
        <row r="359">
          <cell r="A359" t="str">
            <v>REP-0453</v>
          </cell>
          <cell r="B359" t="str">
            <v>{ REP-0453 }  Compresor lavainteriores</v>
          </cell>
          <cell r="C359">
            <v>273004</v>
          </cell>
          <cell r="D359">
            <v>273004</v>
          </cell>
        </row>
        <row r="360">
          <cell r="A360" t="str">
            <v>REP-0454</v>
          </cell>
          <cell r="B360" t="str">
            <v>{ REP-0454 }  Bomba dosificadora de producto</v>
          </cell>
          <cell r="C360">
            <v>664629</v>
          </cell>
          <cell r="D360">
            <v>622620.8202565168</v>
          </cell>
        </row>
        <row r="361">
          <cell r="A361" t="str">
            <v>REP-0455</v>
          </cell>
          <cell r="B361" t="str">
            <v>{ REP-0455 }  Cabezal multifunción ROHS</v>
          </cell>
          <cell r="C361">
            <v>418932</v>
          </cell>
          <cell r="D361">
            <v>392453.31495168339</v>
          </cell>
        </row>
        <row r="362">
          <cell r="A362" t="str">
            <v>REP-0456</v>
          </cell>
          <cell r="B362" t="str">
            <v>{ REP-0456 }  Punto de control</v>
          </cell>
          <cell r="C362">
            <v>466808</v>
          </cell>
          <cell r="D362">
            <v>466808</v>
          </cell>
        </row>
        <row r="363">
          <cell r="A363" t="str">
            <v>REP-0457</v>
          </cell>
          <cell r="B363" t="str">
            <v>{ REP-0457 }  Cuerpo de válvula 2000PF2</v>
          </cell>
          <cell r="C363">
            <v>326027</v>
          </cell>
          <cell r="D363">
            <v>326027</v>
          </cell>
        </row>
        <row r="364">
          <cell r="A364" t="str">
            <v>REP-0458</v>
          </cell>
          <cell r="B364" t="str">
            <v>{ REP-0458 }  Disyuntor automático 4 polos</v>
          </cell>
          <cell r="C364">
            <v>69854</v>
          </cell>
          <cell r="D364">
            <v>69854</v>
          </cell>
        </row>
        <row r="365">
          <cell r="A365" t="str">
            <v>REP-0459</v>
          </cell>
          <cell r="B365" t="str">
            <v>{ REP-0459 }  Bomba Interpump W-150</v>
          </cell>
          <cell r="C365">
            <v>1115698</v>
          </cell>
          <cell r="D365">
            <v>1115698</v>
          </cell>
        </row>
        <row r="366">
          <cell r="A366" t="str">
            <v>REP-0460</v>
          </cell>
          <cell r="B366" t="str">
            <v>{ REP-0460 }  Mariposa para aspirado</v>
          </cell>
          <cell r="C366">
            <v>17503</v>
          </cell>
          <cell r="D366">
            <v>17503</v>
          </cell>
        </row>
        <row r="367">
          <cell r="A367" t="str">
            <v>REP-0462</v>
          </cell>
          <cell r="B367" t="str">
            <v>{ REP-0462 }  Motor Hp3 M100 200/380B3</v>
          </cell>
          <cell r="C367">
            <v>894223</v>
          </cell>
          <cell r="D367">
            <v>894223</v>
          </cell>
        </row>
        <row r="368">
          <cell r="A368" t="str">
            <v>REP-0463</v>
          </cell>
          <cell r="B368" t="str">
            <v>{ REP-0463 }  Membrana 4040</v>
          </cell>
          <cell r="C368">
            <v>539336</v>
          </cell>
          <cell r="D368">
            <v>505247.15134170599</v>
          </cell>
        </row>
        <row r="369">
          <cell r="A369" t="str">
            <v>REP-0464</v>
          </cell>
          <cell r="B369" t="str">
            <v>{ REP-0464 }  Kit anello tenutadi 18 bomba C2W2012</v>
          </cell>
          <cell r="C369">
            <v>167811</v>
          </cell>
          <cell r="D369">
            <v>167811</v>
          </cell>
        </row>
        <row r="370">
          <cell r="A370" t="str">
            <v>REP-0465</v>
          </cell>
          <cell r="B370" t="str">
            <v>{ REP-0465 }  Kit anello radialed 15 bomba C2W2012</v>
          </cell>
          <cell r="C370">
            <v>23482</v>
          </cell>
          <cell r="D370">
            <v>23482</v>
          </cell>
        </row>
        <row r="371">
          <cell r="A371" t="str">
            <v>REP-0466</v>
          </cell>
          <cell r="B371" t="str">
            <v>{ REP-0466 }  Kit válvula a/m bomba C2W2012</v>
          </cell>
          <cell r="C371">
            <v>74829</v>
          </cell>
          <cell r="D371">
            <v>74829</v>
          </cell>
        </row>
        <row r="372">
          <cell r="A372" t="str">
            <v>REP-0467</v>
          </cell>
          <cell r="B372" t="str">
            <v>{ REP-0467 }  Válvula sobre presión 8 BAR</v>
          </cell>
          <cell r="C372">
            <v>16900</v>
          </cell>
          <cell r="D372">
            <v>16900</v>
          </cell>
        </row>
        <row r="373">
          <cell r="A373" t="str">
            <v>REP-0468</v>
          </cell>
          <cell r="B373" t="str">
            <v>{ REP-0468 }  Interruptor luminoso termo Trotter</v>
          </cell>
          <cell r="C373">
            <v>6300</v>
          </cell>
          <cell r="D373">
            <v>6300</v>
          </cell>
        </row>
        <row r="374">
          <cell r="A374" t="str">
            <v>REP-0469</v>
          </cell>
          <cell r="B374" t="str">
            <v>{ REP-0469 }  Válvula Seg 1/2 10 BAR termo Trotter</v>
          </cell>
          <cell r="C374">
            <v>19990</v>
          </cell>
          <cell r="D374">
            <v>19990</v>
          </cell>
        </row>
        <row r="375">
          <cell r="A375" t="str">
            <v>REP-0470</v>
          </cell>
          <cell r="B375" t="str">
            <v>{ REP-0470 }  Porta filtro con elemento para compresor lavainterior</v>
          </cell>
          <cell r="C375">
            <v>15061</v>
          </cell>
          <cell r="D375">
            <v>15061</v>
          </cell>
        </row>
        <row r="376">
          <cell r="A376" t="str">
            <v>REP-0472</v>
          </cell>
          <cell r="B376" t="str">
            <v>{ REP-0472 }  Ánodo grueso frontal 4 pernos</v>
          </cell>
          <cell r="C376">
            <v>39060</v>
          </cell>
          <cell r="D376">
            <v>39060</v>
          </cell>
        </row>
        <row r="377">
          <cell r="A377" t="str">
            <v>REP-0473</v>
          </cell>
          <cell r="B377" t="str">
            <v>{ REP-0473 }  Orin´g ánodo grueso</v>
          </cell>
          <cell r="C377">
            <v>2400</v>
          </cell>
          <cell r="D377">
            <v>2400</v>
          </cell>
        </row>
        <row r="378">
          <cell r="A378" t="str">
            <v>REP-0475</v>
          </cell>
          <cell r="B378" t="str">
            <v>{ REP-0475 }  Bomba dosificadora de cera Smart pro</v>
          </cell>
          <cell r="C378">
            <v>329297</v>
          </cell>
          <cell r="D378">
            <v>329297</v>
          </cell>
        </row>
        <row r="379">
          <cell r="A379" t="str">
            <v>REP-0476</v>
          </cell>
          <cell r="B379" t="str">
            <v>{ REP-0476 }  Bomba dosificadora de shampoo/lava llantas Smart pro</v>
          </cell>
          <cell r="C379">
            <v>324076</v>
          </cell>
          <cell r="D379">
            <v>324076</v>
          </cell>
        </row>
        <row r="380">
          <cell r="A380" t="str">
            <v>REP-0477</v>
          </cell>
          <cell r="B380" t="str">
            <v>{ REP-0477 }  Cuerpo reparación bomba Smart pro</v>
          </cell>
          <cell r="C380">
            <v>55722</v>
          </cell>
          <cell r="D380">
            <v>55722</v>
          </cell>
        </row>
        <row r="381">
          <cell r="A381" t="str">
            <v>REP-0478</v>
          </cell>
          <cell r="B381" t="str">
            <v>{ REP-0478 }  Cuerpo reparación de bomba cera Smart pro</v>
          </cell>
          <cell r="C381">
            <v>47767</v>
          </cell>
          <cell r="D381">
            <v>47767</v>
          </cell>
        </row>
        <row r="382">
          <cell r="A382" t="str">
            <v>REP-0479</v>
          </cell>
          <cell r="B382" t="str">
            <v>{ REP-0479 }  Válvula de fondo shampoo/lava llantas Smart pro</v>
          </cell>
          <cell r="C382">
            <v>16727</v>
          </cell>
          <cell r="D382">
            <v>16727</v>
          </cell>
        </row>
        <row r="383">
          <cell r="A383" t="str">
            <v>REP-0480</v>
          </cell>
          <cell r="B383" t="str">
            <v>{ REP-0480 }  Válvula de fondo bidón cera Smart pro</v>
          </cell>
          <cell r="C383">
            <v>16941</v>
          </cell>
          <cell r="D383">
            <v>16941</v>
          </cell>
        </row>
        <row r="384">
          <cell r="A384" t="str">
            <v>REP-0481</v>
          </cell>
          <cell r="B384" t="str">
            <v>{ REP-0481 }  Contenedor membrana osmosis Smart pro</v>
          </cell>
          <cell r="C384">
            <v>317288</v>
          </cell>
          <cell r="D384">
            <v>317288</v>
          </cell>
        </row>
        <row r="385">
          <cell r="A385" t="str">
            <v>REP-0482</v>
          </cell>
          <cell r="B385" t="str">
            <v>{ REP-0482 }  Adaptador grifo Smart pro</v>
          </cell>
          <cell r="C385">
            <v>3401</v>
          </cell>
          <cell r="D385">
            <v>3401</v>
          </cell>
        </row>
        <row r="386">
          <cell r="A386" t="str">
            <v>REP-0483</v>
          </cell>
          <cell r="B386" t="str">
            <v>{ REP-0483 }  Grifo 1/4 Smart pro</v>
          </cell>
          <cell r="C386">
            <v>20168</v>
          </cell>
          <cell r="D386">
            <v>20168</v>
          </cell>
        </row>
        <row r="387">
          <cell r="A387" t="str">
            <v>REP-0484</v>
          </cell>
          <cell r="B387" t="str">
            <v>{ REP-0484 }  Válvula retención inox 1/2</v>
          </cell>
          <cell r="C387">
            <v>61480</v>
          </cell>
          <cell r="D387">
            <v>61480</v>
          </cell>
        </row>
        <row r="388">
          <cell r="A388" t="str">
            <v>REP-0485</v>
          </cell>
          <cell r="B388" t="str">
            <v>{ REP-0485 }  Tee 1/2 HI,HI,HI, Inox Smart pro</v>
          </cell>
          <cell r="C388">
            <v>30955</v>
          </cell>
          <cell r="D388">
            <v>30955</v>
          </cell>
        </row>
        <row r="389">
          <cell r="A389" t="str">
            <v>REP-0486</v>
          </cell>
          <cell r="B389" t="str">
            <v>{ REP-0486 }  Salida estanque agua desmineralizada</v>
          </cell>
          <cell r="C389">
            <v>24682</v>
          </cell>
          <cell r="D389">
            <v>24682</v>
          </cell>
        </row>
        <row r="390">
          <cell r="A390" t="str">
            <v>REP-0487</v>
          </cell>
          <cell r="B390" t="str">
            <v>{ REP-0487 }  Foco esquina exterior Smart pro</v>
          </cell>
          <cell r="C390">
            <v>44228</v>
          </cell>
          <cell r="D390">
            <v>44228</v>
          </cell>
        </row>
        <row r="391">
          <cell r="A391" t="str">
            <v>REP-0488</v>
          </cell>
          <cell r="B391" t="str">
            <v>{ REP-0488 }  Ampolleta led foco exterior Smart pro</v>
          </cell>
          <cell r="C391">
            <v>180453</v>
          </cell>
          <cell r="D391">
            <v>180453</v>
          </cell>
        </row>
        <row r="392">
          <cell r="A392" t="str">
            <v>REP-0489</v>
          </cell>
          <cell r="B392" t="str">
            <v>{ REP-0489 }  Bisagra puerta frontal</v>
          </cell>
          <cell r="C392">
            <v>13049</v>
          </cell>
          <cell r="D392">
            <v>13049</v>
          </cell>
        </row>
        <row r="393">
          <cell r="A393" t="str">
            <v>REP-0490</v>
          </cell>
          <cell r="B393" t="str">
            <v>{ REP-0490 }  Placa mini protección entrada fichero Smart pro</v>
          </cell>
          <cell r="C393">
            <v>10486</v>
          </cell>
          <cell r="D393">
            <v>10486</v>
          </cell>
        </row>
        <row r="394">
          <cell r="A394" t="str">
            <v>REP-0491</v>
          </cell>
          <cell r="B394" t="str">
            <v>{ REP-0491 }  Perno largo Allen electroválvula de 1/2 (442)</v>
          </cell>
          <cell r="C394">
            <v>313</v>
          </cell>
          <cell r="D394">
            <v>312.5</v>
          </cell>
        </row>
        <row r="395">
          <cell r="A395" t="str">
            <v>REP-0492</v>
          </cell>
          <cell r="B395" t="str">
            <v>{ REP-0492 }  Perno corto Allen electroválvula (442)</v>
          </cell>
          <cell r="C395">
            <v>0</v>
          </cell>
          <cell r="D395">
            <v>0</v>
          </cell>
        </row>
        <row r="396">
          <cell r="A396" t="str">
            <v>REP-0493</v>
          </cell>
          <cell r="B396" t="str">
            <v>{ REP-0493 }  Filtro tipo Y</v>
          </cell>
          <cell r="C396">
            <v>6168</v>
          </cell>
          <cell r="D396">
            <v>7823.4722222222217</v>
          </cell>
        </row>
        <row r="397">
          <cell r="A397" t="str">
            <v>REP-0494</v>
          </cell>
          <cell r="B397" t="str">
            <v>{ REP-0494 }  Contactor ABB para termo trifásico</v>
          </cell>
          <cell r="C397">
            <v>60000</v>
          </cell>
          <cell r="D397">
            <v>60000</v>
          </cell>
        </row>
        <row r="398">
          <cell r="A398" t="str">
            <v>REP-0495</v>
          </cell>
          <cell r="B398" t="str">
            <v>{ REP-0495 }  Espiral de protección 10m</v>
          </cell>
          <cell r="C398">
            <v>40000</v>
          </cell>
          <cell r="D398">
            <v>40000</v>
          </cell>
        </row>
        <row r="399">
          <cell r="A399" t="str">
            <v>REP-0496</v>
          </cell>
          <cell r="B399" t="str">
            <v>{ REP-0496 }  Manguera baja presión poliuretano 10M</v>
          </cell>
          <cell r="C399">
            <v>35424</v>
          </cell>
          <cell r="D399">
            <v>33185.371144087825</v>
          </cell>
        </row>
        <row r="400">
          <cell r="A400" t="str">
            <v>REP-0497</v>
          </cell>
          <cell r="B400" t="str">
            <v>{ REP-0497 }  Flexible aspiradora D.38</v>
          </cell>
          <cell r="C400">
            <v>93585</v>
          </cell>
          <cell r="D400">
            <v>40204.251949230456</v>
          </cell>
        </row>
        <row r="401">
          <cell r="A401" t="str">
            <v>REP-0498</v>
          </cell>
          <cell r="B401" t="str">
            <v>{ REP-0498 }  Válvula fondo bidón (lava interior)</v>
          </cell>
          <cell r="C401">
            <v>3460</v>
          </cell>
          <cell r="D401">
            <v>3460</v>
          </cell>
        </row>
        <row r="402">
          <cell r="A402" t="str">
            <v>REP-0499</v>
          </cell>
          <cell r="B402" t="str">
            <v>{ REP-0499 }  Mango lanza AP</v>
          </cell>
          <cell r="C402">
            <v>30000</v>
          </cell>
          <cell r="D402">
            <v>30000</v>
          </cell>
        </row>
        <row r="403">
          <cell r="A403" t="str">
            <v>REP-0500</v>
          </cell>
          <cell r="B403" t="str">
            <v>{ REP-0500 }  Boquilla metálica pistola mousse</v>
          </cell>
          <cell r="C403">
            <v>28279</v>
          </cell>
          <cell r="D403">
            <v>28279</v>
          </cell>
        </row>
        <row r="404">
          <cell r="A404" t="str">
            <v>REP-0501</v>
          </cell>
          <cell r="B404" t="str">
            <v>{ REP-0501 }  Punta pistola de mousse</v>
          </cell>
          <cell r="C404">
            <v>67515</v>
          </cell>
          <cell r="D404">
            <v>67515</v>
          </cell>
        </row>
        <row r="405">
          <cell r="A405" t="str">
            <v>REP-0502</v>
          </cell>
          <cell r="B405" t="str">
            <v>{ REP-0502 }  Termo eléctrico 200L 6kw.380v. ac. inox</v>
          </cell>
          <cell r="C405">
            <v>0</v>
          </cell>
          <cell r="D405">
            <v>0</v>
          </cell>
        </row>
        <row r="406">
          <cell r="A406" t="str">
            <v>REP-0503</v>
          </cell>
          <cell r="B406" t="str">
            <v>{ REP-0503 }  Manguera entrada EV alta presión</v>
          </cell>
          <cell r="C406">
            <v>14990</v>
          </cell>
          <cell r="D406">
            <v>14990</v>
          </cell>
        </row>
        <row r="407">
          <cell r="A407" t="str">
            <v>REP-0504</v>
          </cell>
          <cell r="B407" t="str">
            <v>{ REP-0504 }  Fusible placa de aspirado</v>
          </cell>
          <cell r="C407">
            <v>4200</v>
          </cell>
          <cell r="D407">
            <v>4200</v>
          </cell>
        </row>
        <row r="408">
          <cell r="A408" t="str">
            <v>REP-0505</v>
          </cell>
          <cell r="B408" t="str">
            <v>{ REP-0505 }  Oring pequeño EV alta presión</v>
          </cell>
          <cell r="C408">
            <v>1200</v>
          </cell>
          <cell r="D408">
            <v>1200</v>
          </cell>
        </row>
        <row r="409">
          <cell r="A409" t="str">
            <v>REP-0506</v>
          </cell>
          <cell r="B409" t="str">
            <v>{ REP-0506 }  Cuerpo cepillo (lava interior)</v>
          </cell>
          <cell r="C409">
            <v>72935</v>
          </cell>
          <cell r="D409">
            <v>70651.874773112708</v>
          </cell>
        </row>
        <row r="410">
          <cell r="A410" t="str">
            <v>REP-0508</v>
          </cell>
          <cell r="B410" t="str">
            <v>{ REP-0508 }  Lanza pistola perdente corta</v>
          </cell>
          <cell r="C410">
            <v>132365</v>
          </cell>
          <cell r="D410">
            <v>123998.80774864164</v>
          </cell>
        </row>
        <row r="411">
          <cell r="A411" t="str">
            <v>REP-0509</v>
          </cell>
          <cell r="B411" t="str">
            <v>{ REP-0509 }  Boquilla dry lavainterior alternativa</v>
          </cell>
          <cell r="C411">
            <v>20900</v>
          </cell>
          <cell r="D411">
            <v>20900</v>
          </cell>
        </row>
        <row r="412">
          <cell r="A412" t="str">
            <v>REP-0510</v>
          </cell>
          <cell r="B412" t="str">
            <v>{ REP-0510 }  Ablandador twin 1600 kit completo</v>
          </cell>
          <cell r="C412">
            <v>2687500</v>
          </cell>
          <cell r="D412">
            <v>2687500</v>
          </cell>
        </row>
        <row r="413">
          <cell r="A413" t="str">
            <v>REP-0511</v>
          </cell>
          <cell r="B413" t="str">
            <v>{ REP-0511 }  BIPASS CABEZAL 1"</v>
          </cell>
          <cell r="C413">
            <v>43750</v>
          </cell>
          <cell r="D413">
            <v>43750</v>
          </cell>
        </row>
        <row r="414">
          <cell r="A414" t="str">
            <v>REP-0512</v>
          </cell>
          <cell r="B414" t="str">
            <v>{ REP-0512 }  CANASTILLO CABEZAL CON ORING.</v>
          </cell>
          <cell r="C414">
            <v>43750</v>
          </cell>
          <cell r="D414">
            <v>43750</v>
          </cell>
        </row>
        <row r="415">
          <cell r="A415" t="str">
            <v>REP-0513</v>
          </cell>
          <cell r="B415" t="str">
            <v>{ REP-0513 }  RELE FINDER ZOCALO (KIT MOUSSE ECO)</v>
          </cell>
          <cell r="C415">
            <v>25763</v>
          </cell>
          <cell r="D415">
            <v>24134.31518150706</v>
          </cell>
        </row>
        <row r="416">
          <cell r="A416" t="str">
            <v>REP-0514</v>
          </cell>
          <cell r="B416" t="str">
            <v>{ REP-0514 }  BOUILLA PISTOLA MOUSSE ST-75 05 (KIT MOUSSE ECO )</v>
          </cell>
          <cell r="C416">
            <v>27027</v>
          </cell>
          <cell r="D416">
            <v>25318.985034555037</v>
          </cell>
        </row>
        <row r="417">
          <cell r="A417" t="str">
            <v>REP-0515</v>
          </cell>
          <cell r="B417" t="str">
            <v>{ REP-0515 }  PASADOR PUNTA PISTOLA DE MOUSSE</v>
          </cell>
          <cell r="C417">
            <v>100</v>
          </cell>
          <cell r="D417">
            <v>100</v>
          </cell>
        </row>
        <row r="418">
          <cell r="A418" t="str">
            <v>REP-0516</v>
          </cell>
          <cell r="B418" t="str">
            <v>{ REP-0516 }  Sensor flotante de nivel ON / OFF</v>
          </cell>
          <cell r="C418">
            <v>50000</v>
          </cell>
          <cell r="D418">
            <v>50000</v>
          </cell>
        </row>
        <row r="419">
          <cell r="A419" t="str">
            <v>REP-0517</v>
          </cell>
          <cell r="B419" t="str">
            <v>{ REP-0517 }  RELE ULTRADELGADO 24V</v>
          </cell>
          <cell r="C419">
            <v>7555</v>
          </cell>
          <cell r="D419">
            <v>7555</v>
          </cell>
        </row>
        <row r="420">
          <cell r="A420" t="str">
            <v>REP-0518</v>
          </cell>
          <cell r="B420" t="str">
            <v>{ REP-0518 }  TUBO INOXIDABLE MANGO DE LANZA AP</v>
          </cell>
          <cell r="C420">
            <v>16563</v>
          </cell>
          <cell r="D420">
            <v>16563</v>
          </cell>
        </row>
        <row r="421">
          <cell r="A421" t="str">
            <v>REP-0519</v>
          </cell>
          <cell r="B421" t="str">
            <v>{ REP-0519 }  TAPA INTERIOR LAVAINTERIOR</v>
          </cell>
          <cell r="C421">
            <v>42859</v>
          </cell>
          <cell r="D421">
            <v>42859</v>
          </cell>
        </row>
        <row r="422">
          <cell r="A422" t="str">
            <v>REP-0520</v>
          </cell>
          <cell r="B422" t="str">
            <v>{ REP-0520 }  GATILLO PISTOLA NO PERDENTE AZUL</v>
          </cell>
          <cell r="C422">
            <v>43750</v>
          </cell>
          <cell r="D422">
            <v>52372.493656784754</v>
          </cell>
        </row>
        <row r="423">
          <cell r="A423" t="str">
            <v>REP-0521</v>
          </cell>
          <cell r="B423" t="str">
            <v>{ REP-0521 }  GATILLO PISTOLA PERDENTE CELESTE</v>
          </cell>
          <cell r="C423">
            <v>43750</v>
          </cell>
          <cell r="D423">
            <v>43750</v>
          </cell>
        </row>
        <row r="424">
          <cell r="A424" t="str">
            <v>REP-0522</v>
          </cell>
          <cell r="B424" t="str">
            <v>{ REP-0522 }  CODO 3/8 HIHI</v>
          </cell>
          <cell r="C424">
            <v>9500</v>
          </cell>
          <cell r="D424">
            <v>9500</v>
          </cell>
        </row>
        <row r="425">
          <cell r="A425" t="str">
            <v>REP-0523</v>
          </cell>
          <cell r="B425" t="str">
            <v>{ REP-0523 }  CERRADURA TUBULAR</v>
          </cell>
          <cell r="C425">
            <v>8000</v>
          </cell>
          <cell r="D425">
            <v>8000</v>
          </cell>
        </row>
        <row r="426">
          <cell r="A426" t="str">
            <v>REP-0524</v>
          </cell>
          <cell r="B426" t="str">
            <v>{ REP-0524 }  CODO 3/8 HE 1/4HI BROCE</v>
          </cell>
          <cell r="C426">
            <v>9375</v>
          </cell>
          <cell r="D426">
            <v>9375</v>
          </cell>
        </row>
        <row r="427">
          <cell r="A427" t="str">
            <v>REP-0525</v>
          </cell>
          <cell r="B427" t="str">
            <v>{ REP-0525 }  BOMBA INTER W154</v>
          </cell>
          <cell r="C427">
            <v>846667</v>
          </cell>
          <cell r="D427">
            <v>846667</v>
          </cell>
        </row>
        <row r="428">
          <cell r="A428" t="str">
            <v>REP-0526</v>
          </cell>
          <cell r="B428" t="str">
            <v>{ REP-0526 }  KIT 127 ANILLOS AGUA BOMBA INTER SHELL</v>
          </cell>
          <cell r="C428">
            <v>110737</v>
          </cell>
          <cell r="D428">
            <v>110737</v>
          </cell>
        </row>
        <row r="429">
          <cell r="A429" t="str">
            <v>REP-0527</v>
          </cell>
          <cell r="B429" t="str">
            <v>{ REP-0527 }  KIT 129 ANILLO EXPANSOR BOMBA INTER SHELL</v>
          </cell>
          <cell r="C429">
            <v>11562</v>
          </cell>
          <cell r="D429">
            <v>11562</v>
          </cell>
        </row>
        <row r="430">
          <cell r="A430" t="str">
            <v>REP-0528</v>
          </cell>
          <cell r="B430" t="str">
            <v>{ REP-0528 }  KIT 123 VALVULAS ASPIRACION BOMBA INTER SHELL</v>
          </cell>
          <cell r="C430">
            <v>93778</v>
          </cell>
          <cell r="D430">
            <v>93778</v>
          </cell>
        </row>
        <row r="431">
          <cell r="A431" t="str">
            <v>REP-0529</v>
          </cell>
          <cell r="B431" t="str">
            <v>{ REP-0529 }  KIT 23 SELLOS BOMBA INTER SHELL</v>
          </cell>
          <cell r="C431">
            <v>31310</v>
          </cell>
          <cell r="D431">
            <v>31310</v>
          </cell>
        </row>
        <row r="432">
          <cell r="A432" t="str">
            <v>REP-0530</v>
          </cell>
          <cell r="B432" t="str">
            <v>{ REP-0530 }  LANZA CURVA 600MM</v>
          </cell>
          <cell r="C432">
            <v>36235</v>
          </cell>
          <cell r="D432">
            <v>36235</v>
          </cell>
        </row>
        <row r="433">
          <cell r="A433" t="str">
            <v>REP-0531</v>
          </cell>
          <cell r="B433" t="str">
            <v>{ REP-0531 }  GUIA ASTA MSELF</v>
          </cell>
          <cell r="C433">
            <v>4603</v>
          </cell>
          <cell r="D433">
            <v>4312.0458959816906</v>
          </cell>
        </row>
        <row r="434">
          <cell r="A434" t="str">
            <v>REP-0532</v>
          </cell>
          <cell r="B434" t="str">
            <v>{ REP-0532 }  ASTA MSELF</v>
          </cell>
          <cell r="C434">
            <v>12400</v>
          </cell>
          <cell r="D434">
            <v>11616.240247169757</v>
          </cell>
        </row>
        <row r="435">
          <cell r="A435" t="str">
            <v>REP-0533</v>
          </cell>
          <cell r="B435" t="str">
            <v>{ REP-0533 }  UNION CENTRAL MSELF</v>
          </cell>
          <cell r="C435">
            <v>11249</v>
          </cell>
          <cell r="D435">
            <v>10538.228773174334</v>
          </cell>
        </row>
        <row r="436">
          <cell r="A436" t="str">
            <v>REP-0534</v>
          </cell>
          <cell r="B436" t="str">
            <v>{ REP-0534 }  BOQUILLA RECTA DE LATON 1/2</v>
          </cell>
          <cell r="C436">
            <v>9378</v>
          </cell>
          <cell r="D436">
            <v>8785.0316674980313</v>
          </cell>
        </row>
        <row r="437">
          <cell r="A437" t="str">
            <v>REP-0535</v>
          </cell>
          <cell r="B437" t="str">
            <v>{ REP-0535 }  VALVULA 3/4 RECTA</v>
          </cell>
          <cell r="C437">
            <v>17999</v>
          </cell>
          <cell r="D437">
            <v>16861.546959861265</v>
          </cell>
        </row>
        <row r="438">
          <cell r="A438" t="str">
            <v>REP-0536</v>
          </cell>
          <cell r="B438" t="str">
            <v>{ REP-0536 }  BOQUILLA CROMADA RECTA 3/4</v>
          </cell>
          <cell r="C438">
            <v>12366</v>
          </cell>
          <cell r="D438">
            <v>11584.814117627488</v>
          </cell>
        </row>
        <row r="439">
          <cell r="A439" t="str">
            <v>REP-0537</v>
          </cell>
          <cell r="B439" t="str">
            <v>{ REP-0537 }  MANGUEA ROJA 4.7 METROS</v>
          </cell>
          <cell r="C439">
            <v>69936</v>
          </cell>
          <cell r="D439">
            <v>65515.861639985058</v>
          </cell>
        </row>
        <row r="440">
          <cell r="A440" t="str">
            <v>REP-0538</v>
          </cell>
          <cell r="B440" t="str">
            <v>{ REP-0538 }  BISAGRA DE ASPIRADO</v>
          </cell>
          <cell r="C440">
            <v>43144</v>
          </cell>
          <cell r="D440">
            <v>40416.859512225907</v>
          </cell>
        </row>
        <row r="441">
          <cell r="A441" t="str">
            <v>REP-0539</v>
          </cell>
          <cell r="B441" t="str">
            <v>{ REP-0539 }  MARCO NEGRO DE PUERTA DE ASPIRADO</v>
          </cell>
          <cell r="C441">
            <v>17175</v>
          </cell>
          <cell r="D441">
            <v>16089.226018686099</v>
          </cell>
        </row>
        <row r="442">
          <cell r="A442" t="str">
            <v>REP-0540</v>
          </cell>
          <cell r="B442" t="str">
            <v>{ REP-0540 }  ASTA SUPERIOR E INFERIOR ASPIRADO</v>
          </cell>
          <cell r="C442">
            <v>25539</v>
          </cell>
          <cell r="D442">
            <v>23924.807651225266</v>
          </cell>
        </row>
        <row r="443">
          <cell r="A443" t="str">
            <v>REP-0541</v>
          </cell>
          <cell r="B443" t="str">
            <v>{ REP-0541 }  STIKER PARADA EMERGENCIA ASPIRADO</v>
          </cell>
          <cell r="C443">
            <v>1253</v>
          </cell>
          <cell r="D443">
            <v>1174.1944765338833</v>
          </cell>
        </row>
        <row r="444">
          <cell r="A444" t="str">
            <v>REP-0542</v>
          </cell>
          <cell r="B444" t="str">
            <v>{ REP-0542 }  FICHERO ELECTRONICO SHELL</v>
          </cell>
          <cell r="C444">
            <v>26750</v>
          </cell>
          <cell r="D444">
            <v>26750</v>
          </cell>
        </row>
        <row r="445">
          <cell r="A445" t="str">
            <v>REP-0543</v>
          </cell>
          <cell r="B445" t="str">
            <v>{ REP-0543 }  CAPUCHA SILICONA PULSADOR 22MM</v>
          </cell>
          <cell r="C445">
            <v>961</v>
          </cell>
          <cell r="D445">
            <v>961</v>
          </cell>
        </row>
        <row r="446">
          <cell r="A446" t="str">
            <v>REP-0544</v>
          </cell>
          <cell r="B446" t="str">
            <v>{ REP-0544 }  TAPA PULSADORES 22 MM</v>
          </cell>
          <cell r="C446">
            <v>56</v>
          </cell>
          <cell r="D446">
            <v>56</v>
          </cell>
        </row>
        <row r="447">
          <cell r="A447" t="str">
            <v>REP-0545</v>
          </cell>
          <cell r="B447" t="str">
            <v>{ REP-0545 }  VALVULA PULSAR BYPASS INCLUIDO</v>
          </cell>
          <cell r="C447">
            <v>147000</v>
          </cell>
          <cell r="D447">
            <v>147000</v>
          </cell>
        </row>
        <row r="448">
          <cell r="A448" t="str">
            <v>REP-0546</v>
          </cell>
          <cell r="B448" t="str">
            <v>{ REP-0546 }  NIPLE RECTO 3/8 3/8 BRONCE</v>
          </cell>
          <cell r="C448">
            <v>2626</v>
          </cell>
          <cell r="D448">
            <v>2626</v>
          </cell>
        </row>
        <row r="449">
          <cell r="A449" t="str">
            <v>REP-0547</v>
          </cell>
          <cell r="B449" t="str">
            <v>{ REP-0547 }  FICHA DORADA LAVADO SHELL</v>
          </cell>
          <cell r="C449">
            <v>484</v>
          </cell>
          <cell r="D449">
            <v>551</v>
          </cell>
        </row>
        <row r="450">
          <cell r="A450" t="str">
            <v>REP-0548</v>
          </cell>
          <cell r="B450" t="str">
            <v>{ REP-0548 }  FICHA DE ASPIRADO SHELL</v>
          </cell>
          <cell r="C450">
            <v>563</v>
          </cell>
          <cell r="D450">
            <v>602</v>
          </cell>
        </row>
        <row r="451">
          <cell r="A451" t="str">
            <v>REP-0549</v>
          </cell>
          <cell r="B451" t="str">
            <v>{ REP-0549 }  FICHERO COMPARACION PUNTO ROJO</v>
          </cell>
          <cell r="C451">
            <v>56583</v>
          </cell>
          <cell r="D451">
            <v>56583</v>
          </cell>
        </row>
        <row r="452">
          <cell r="A452" t="str">
            <v>REP-0550</v>
          </cell>
          <cell r="B452" t="str">
            <v>{ REP-0550 }  FILTRO ASPIRADORA SHELL</v>
          </cell>
          <cell r="C452">
            <v>32000</v>
          </cell>
          <cell r="D452">
            <v>32000</v>
          </cell>
        </row>
        <row r="453">
          <cell r="A453" t="str">
            <v>REP-0551</v>
          </cell>
          <cell r="B453" t="str">
            <v>{ REP-0551 }  Ablandador completo 13x54" (cabezal clack estanques e insumos)</v>
          </cell>
          <cell r="C453">
            <v>820000</v>
          </cell>
          <cell r="D453">
            <v>820000</v>
          </cell>
        </row>
        <row r="454">
          <cell r="A454" t="str">
            <v>REP-0552</v>
          </cell>
          <cell r="B454" t="str">
            <v>{ REP-0552 }  Numeral (nacional)</v>
          </cell>
          <cell r="C454">
            <v>2121</v>
          </cell>
          <cell r="D454">
            <v>2121</v>
          </cell>
        </row>
        <row r="455">
          <cell r="A455" t="str">
            <v>REP-0553</v>
          </cell>
          <cell r="B455" t="str">
            <v>{ REP-0553 }  Tee 3/8 HE X 3/8 HE X 3/8 HI</v>
          </cell>
          <cell r="C455">
            <v>7878</v>
          </cell>
          <cell r="D455">
            <v>7878</v>
          </cell>
        </row>
        <row r="456">
          <cell r="A456" t="str">
            <v>REP-0554</v>
          </cell>
          <cell r="B456" t="str">
            <v>{ REP-0554 }  Junta nacional inter</v>
          </cell>
          <cell r="C456">
            <v>36239</v>
          </cell>
          <cell r="D456">
            <v>36239</v>
          </cell>
        </row>
        <row r="457">
          <cell r="A457" t="str">
            <v>REP-0555</v>
          </cell>
          <cell r="B457" t="str">
            <v>{ REP-0555 }  Union tipo Y 14 MM</v>
          </cell>
          <cell r="C457">
            <v>6025</v>
          </cell>
          <cell r="D457">
            <v>6025</v>
          </cell>
        </row>
        <row r="458">
          <cell r="A458" t="str">
            <v>REP-0556</v>
          </cell>
          <cell r="B458" t="str">
            <v>{ REP-0556 }  Reduccion 1/2x3/8</v>
          </cell>
          <cell r="C458">
            <v>2801</v>
          </cell>
          <cell r="D458">
            <v>2801</v>
          </cell>
        </row>
        <row r="459">
          <cell r="A459" t="str">
            <v>REP-0557</v>
          </cell>
          <cell r="B459" t="str">
            <v>{ REP-0557 }  Niple conexion rapida 14MM</v>
          </cell>
          <cell r="C459">
            <v>4905</v>
          </cell>
          <cell r="D459">
            <v>4905</v>
          </cell>
        </row>
        <row r="460">
          <cell r="A460" t="str">
            <v>REP-0558</v>
          </cell>
          <cell r="B460" t="str">
            <v>{ REP-0558 }  Kit porta fichero N</v>
          </cell>
          <cell r="C460">
            <v>35000</v>
          </cell>
          <cell r="D460">
            <v>35000</v>
          </cell>
        </row>
        <row r="461">
          <cell r="A461" t="str">
            <v>REP-0559</v>
          </cell>
          <cell r="B461" t="str">
            <v>{ REP-0559 }  Pulsador 22 mm luz azul</v>
          </cell>
          <cell r="C461">
            <v>8738</v>
          </cell>
          <cell r="D461">
            <v>8738</v>
          </cell>
        </row>
        <row r="462">
          <cell r="A462" t="str">
            <v>REP-0560</v>
          </cell>
          <cell r="B462" t="str">
            <v>{ REP-0560 }  Zocalo 5 pines pulsador 22</v>
          </cell>
          <cell r="C462">
            <v>2488</v>
          </cell>
          <cell r="D462">
            <v>2488</v>
          </cell>
        </row>
        <row r="463">
          <cell r="A463" t="str">
            <v>REP-0561</v>
          </cell>
          <cell r="B463" t="str">
            <v>{ REP-0561 }  Brazo doble MTM</v>
          </cell>
          <cell r="C463">
            <v>2225136</v>
          </cell>
          <cell r="D463">
            <v>2225136</v>
          </cell>
        </row>
        <row r="464">
          <cell r="A464" t="str">
            <v>REP-0562</v>
          </cell>
          <cell r="B464" t="str">
            <v>{ REP-0562 }  Brazo giratorio tipo Z</v>
          </cell>
          <cell r="C464">
            <v>953030</v>
          </cell>
          <cell r="D464">
            <v>953030</v>
          </cell>
        </row>
        <row r="465">
          <cell r="A465" t="str">
            <v>REP-0563</v>
          </cell>
          <cell r="B465" t="str">
            <v>{ REP-0563 }  Controlador de agua</v>
          </cell>
          <cell r="C465">
            <v>36250</v>
          </cell>
          <cell r="D465">
            <v>36250</v>
          </cell>
        </row>
        <row r="466">
          <cell r="A466" t="str">
            <v>REP-0564</v>
          </cell>
          <cell r="B466" t="str">
            <v>{ REP-0564 }  Sistema kit invierno</v>
          </cell>
          <cell r="C466">
            <v>350958</v>
          </cell>
          <cell r="D466">
            <v>350958</v>
          </cell>
        </row>
        <row r="467">
          <cell r="A467" t="str">
            <v>REP-0565</v>
          </cell>
          <cell r="B467" t="str">
            <v>{ REP-0565 }  Boquilla lanza shell 1/8</v>
          </cell>
          <cell r="C467">
            <v>14403</v>
          </cell>
          <cell r="D467">
            <v>14403</v>
          </cell>
        </row>
        <row r="468">
          <cell r="A468" t="str">
            <v>REP-0566</v>
          </cell>
          <cell r="B468" t="str">
            <v>{ REP-0566 }  Manguera 1.63 hehe 1/4 recta y codo 90° brazo doble</v>
          </cell>
          <cell r="C468">
            <v>24525</v>
          </cell>
          <cell r="D468">
            <v>24525</v>
          </cell>
        </row>
        <row r="469">
          <cell r="A469" t="str">
            <v>REP-0567</v>
          </cell>
          <cell r="B469" t="str">
            <v>{ REP-0567 }  Manguera 1.77 hehe 1/4 recta y codo 90° brazo doble</v>
          </cell>
          <cell r="C469">
            <v>25583</v>
          </cell>
          <cell r="D469">
            <v>25583</v>
          </cell>
        </row>
        <row r="470">
          <cell r="A470" t="str">
            <v>REP-0568</v>
          </cell>
          <cell r="B470" t="str">
            <v>{ REP-0568 }  Aspiradora Luster</v>
          </cell>
          <cell r="C470">
            <v>289900</v>
          </cell>
          <cell r="D470">
            <v>289900</v>
          </cell>
        </row>
        <row r="471">
          <cell r="A471" t="str">
            <v>REP-0569</v>
          </cell>
          <cell r="B471" t="str">
            <v>{ REP-0569 }  Motor 5.5 hp 1450rpm</v>
          </cell>
          <cell r="C471">
            <v>560000</v>
          </cell>
          <cell r="D471">
            <v>560000</v>
          </cell>
        </row>
        <row r="472">
          <cell r="A472" t="str">
            <v>REP-0570</v>
          </cell>
          <cell r="B472" t="str">
            <v>{ REP-0570 }  Motor aspiración agua y polvo</v>
          </cell>
          <cell r="C472">
            <v>69875</v>
          </cell>
          <cell r="D472">
            <v>69875</v>
          </cell>
        </row>
        <row r="473">
          <cell r="A473" t="str">
            <v>REP-0571</v>
          </cell>
          <cell r="B473" t="str">
            <v>{ REP-0571 }  Fuente de alimentacion 220 ac/24dc puente lavado</v>
          </cell>
          <cell r="C473">
            <v>169029</v>
          </cell>
          <cell r="D473">
            <v>158345.68188445672</v>
          </cell>
        </row>
        <row r="474">
          <cell r="A474" t="str">
            <v>REP-0572</v>
          </cell>
          <cell r="B474" t="str">
            <v>{ REP-0572 }  Reductor de traslacion cepillo vertical puente lavado</v>
          </cell>
          <cell r="C474">
            <v>205541</v>
          </cell>
          <cell r="D474">
            <v>192549.90799687873</v>
          </cell>
        </row>
        <row r="475">
          <cell r="A475" t="str">
            <v>REP-0573</v>
          </cell>
          <cell r="B475" t="str">
            <v>{ REP-0573 }  Inversor 1, 1KW-230V 1ph schneider puente lavado</v>
          </cell>
          <cell r="C475">
            <v>695625</v>
          </cell>
          <cell r="D475">
            <v>651657.70680494804</v>
          </cell>
        </row>
        <row r="476">
          <cell r="A476" t="str">
            <v>REP-0574</v>
          </cell>
          <cell r="B476" t="str">
            <v>{ REP-0574 }  Motor de cepillo horizontal KW0.5 puente lavado</v>
          </cell>
          <cell r="C476">
            <v>358295</v>
          </cell>
          <cell r="D476">
            <v>335648.32913950318</v>
          </cell>
        </row>
        <row r="477">
          <cell r="A477" t="str">
            <v>REP-0575</v>
          </cell>
          <cell r="B477" t="str">
            <v>{ REP-0575 }  Motor de giro lavallantas puente lavado</v>
          </cell>
          <cell r="C477">
            <v>305443</v>
          </cell>
          <cell r="D477">
            <v>286136.88746296591</v>
          </cell>
        </row>
        <row r="478">
          <cell r="A478" t="str">
            <v>REP-0576</v>
          </cell>
          <cell r="B478" t="str">
            <v>{ REP-0576 }  Motor de traslacion cepillo vertical puente lavado</v>
          </cell>
          <cell r="C478">
            <v>267703</v>
          </cell>
          <cell r="D478">
            <v>250782.27819798986</v>
          </cell>
        </row>
        <row r="479">
          <cell r="A479" t="str">
            <v>REP-0577</v>
          </cell>
          <cell r="B479" t="str">
            <v>{ REP-0577 }  Eletrobomba de acero inoxidable je 120T 0.9KW puente lavado</v>
          </cell>
          <cell r="C479">
            <v>626740</v>
          </cell>
          <cell r="D479">
            <v>587126.33308773465</v>
          </cell>
        </row>
        <row r="480">
          <cell r="A480" t="str">
            <v>REP-0578</v>
          </cell>
          <cell r="B480" t="str">
            <v>{ REP-0578 }  Correa cinta pes azul 25mm puente lavado</v>
          </cell>
          <cell r="C480">
            <v>14373</v>
          </cell>
          <cell r="D480">
            <v>13464.85383771214</v>
          </cell>
        </row>
        <row r="481">
          <cell r="A481" t="str">
            <v>REP-0579</v>
          </cell>
          <cell r="B481" t="str">
            <v>{ REP-0579 }  Reductor de traslacion puente derecho puente lavado</v>
          </cell>
          <cell r="C481">
            <v>675552</v>
          </cell>
          <cell r="D481">
            <v>632853.12660766079</v>
          </cell>
        </row>
        <row r="482">
          <cell r="A482" t="str">
            <v>REP-0580</v>
          </cell>
          <cell r="B482" t="str">
            <v>{ REP-0580 }  Indicador luminoso led diamante izquierda L puente lavado</v>
          </cell>
          <cell r="C482">
            <v>698455</v>
          </cell>
          <cell r="D482">
            <v>654308.20957337331</v>
          </cell>
        </row>
        <row r="483">
          <cell r="A483" t="str">
            <v>REP-0581</v>
          </cell>
          <cell r="B483" t="str">
            <v>{ REP-0581 }  Bomba dosificadora champu/llantas puente lavado</v>
          </cell>
          <cell r="C483">
            <v>195843</v>
          </cell>
          <cell r="D483">
            <v>183464.25430341694</v>
          </cell>
        </row>
        <row r="484">
          <cell r="A484" t="str">
            <v>REP-0582</v>
          </cell>
          <cell r="B484" t="str">
            <v>{ REP-0582 }  Bomba dosificadora WAX 3L/H cera puente lavado</v>
          </cell>
          <cell r="C484">
            <v>192239</v>
          </cell>
          <cell r="D484">
            <v>180088.04837360838</v>
          </cell>
        </row>
        <row r="485">
          <cell r="A485" t="str">
            <v>REP-0583</v>
          </cell>
          <cell r="B485" t="str">
            <v>{ REP-0583 }  Boquilla de espuma 1.2 1/4F puente lavado</v>
          </cell>
          <cell r="C485">
            <v>93921</v>
          </cell>
          <cell r="D485">
            <v>87984.950759024199</v>
          </cell>
        </row>
        <row r="486">
          <cell r="A486" t="str">
            <v>REP-0584</v>
          </cell>
          <cell r="B486" t="str">
            <v>{ REP-0584 }  Bomba dosificadora EPDM 12L/H puente lavado</v>
          </cell>
          <cell r="C486">
            <v>195843</v>
          </cell>
          <cell r="D486">
            <v>183464.25430341694</v>
          </cell>
        </row>
        <row r="487">
          <cell r="A487" t="str">
            <v>REP-0585</v>
          </cell>
          <cell r="B487" t="str">
            <v>{ REP-0585 }  Electrovalvula 90 de agua puente lavado</v>
          </cell>
          <cell r="C487">
            <v>152753</v>
          </cell>
          <cell r="D487">
            <v>152753</v>
          </cell>
        </row>
        <row r="488">
          <cell r="A488" t="str">
            <v>REP-0586</v>
          </cell>
          <cell r="B488" t="str">
            <v>{ REP-0586 }  Base modular plana para EV de aire puente lavado</v>
          </cell>
          <cell r="C488">
            <v>12284</v>
          </cell>
          <cell r="D488">
            <v>11507.578701933389</v>
          </cell>
        </row>
        <row r="489">
          <cell r="A489" t="str">
            <v>REP-0587</v>
          </cell>
          <cell r="B489" t="str">
            <v>{ REP-0587 }  Modulo de absorcion de cepillos puente lavado</v>
          </cell>
          <cell r="C489">
            <v>849479</v>
          </cell>
          <cell r="D489">
            <v>795786.60145556065</v>
          </cell>
        </row>
        <row r="490">
          <cell r="A490" t="str">
            <v>REP-0588</v>
          </cell>
          <cell r="B490" t="str">
            <v>{ REP-0588 }  Inversor schneider de 0.75KW-230V 1PH puente lavado</v>
          </cell>
          <cell r="C490">
            <v>605115</v>
          </cell>
          <cell r="D490">
            <v>566867.84845008596</v>
          </cell>
        </row>
        <row r="491">
          <cell r="A491" t="str">
            <v>REP-0589</v>
          </cell>
          <cell r="B491" t="str">
            <v>{ REP-0589 }  Cilindro de inclinacion cepillo vertical puente lavado</v>
          </cell>
          <cell r="C491">
            <v>281360</v>
          </cell>
          <cell r="D491">
            <v>263576.38746141148</v>
          </cell>
        </row>
        <row r="492">
          <cell r="A492" t="str">
            <v>REP-0590</v>
          </cell>
          <cell r="B492" t="str">
            <v>{ REP-0590 }  Expansion PL schneider 16 puente lavado</v>
          </cell>
          <cell r="C492">
            <v>391169</v>
          </cell>
          <cell r="D492">
            <v>366445.12285217759</v>
          </cell>
        </row>
        <row r="493">
          <cell r="A493" t="str">
            <v>REP-0591</v>
          </cell>
          <cell r="B493" t="str">
            <v>{ REP-0591 }  Motor del reductor de traslacion 0.75KW puente lavado</v>
          </cell>
          <cell r="C493">
            <v>988171</v>
          </cell>
          <cell r="D493">
            <v>925712.4485191023</v>
          </cell>
        </row>
        <row r="494">
          <cell r="A494" t="str">
            <v>REP-0592</v>
          </cell>
          <cell r="B494" t="str">
            <v>{ REP-0592 }  Reductor de traslacion puente de lavado izquierdo puente lavado</v>
          </cell>
          <cell r="C494">
            <v>675552</v>
          </cell>
          <cell r="D494">
            <v>632853.12660766079</v>
          </cell>
        </row>
        <row r="495">
          <cell r="A495" t="str">
            <v>REP-0593</v>
          </cell>
          <cell r="B495" t="str">
            <v>{ REP-0593 }  Reductor para lavallantas puente lavado</v>
          </cell>
          <cell r="C495">
            <v>808505</v>
          </cell>
          <cell r="D495">
            <v>757403.02460649819</v>
          </cell>
        </row>
        <row r="496">
          <cell r="A496" t="str">
            <v>REP-0594</v>
          </cell>
          <cell r="B496" t="str">
            <v>{ REP-0594 }  Bomba de alta presion puente lavado</v>
          </cell>
          <cell r="C496">
            <v>1137529</v>
          </cell>
          <cell r="D496">
            <v>1065630.7659631353</v>
          </cell>
        </row>
        <row r="497">
          <cell r="A497" t="str">
            <v>REP-0595</v>
          </cell>
          <cell r="B497" t="str">
            <v>{ REP-0595 }  Motor KW0. 37 puente lavado</v>
          </cell>
          <cell r="C497">
            <v>304957</v>
          </cell>
          <cell r="D497">
            <v>285682.23006065353</v>
          </cell>
        </row>
        <row r="498">
          <cell r="A498" t="str">
            <v>REP-0596</v>
          </cell>
          <cell r="B498" t="str">
            <v>{ REP-0596 }  Motor de secado con ventilacion trasera puente lavado</v>
          </cell>
          <cell r="C498">
            <v>744535</v>
          </cell>
          <cell r="D498">
            <v>697475.68161709607</v>
          </cell>
        </row>
        <row r="499">
          <cell r="A499" t="str">
            <v>REP-0597</v>
          </cell>
          <cell r="B499" t="str">
            <v>{ REP-0597 }  Motor trifasico bomba de AP 8.5HP 4P 400/230 eje hueco puente lavado</v>
          </cell>
          <cell r="C499">
            <v>871751</v>
          </cell>
          <cell r="D499">
            <v>816650.8796100266</v>
          </cell>
        </row>
        <row r="500">
          <cell r="A500" t="str">
            <v>REP-0598</v>
          </cell>
          <cell r="B500" t="str">
            <v>{ REP-0598 }  Motor secado horizontal puente lavado</v>
          </cell>
          <cell r="C500">
            <v>624527</v>
          </cell>
          <cell r="D500">
            <v>585052.89548378275</v>
          </cell>
        </row>
        <row r="501">
          <cell r="A501" t="str">
            <v>REP-0599</v>
          </cell>
          <cell r="B501" t="str">
            <v>{ REP-0599 }  Caudalimetro pulsador de 1" 53IMP/L puente lavado</v>
          </cell>
          <cell r="C501">
            <v>377301</v>
          </cell>
          <cell r="D501">
            <v>353453.66229874123</v>
          </cell>
        </row>
        <row r="502">
          <cell r="A502" t="str">
            <v>REP-0600</v>
          </cell>
          <cell r="B502" t="str">
            <v>{ REP-0600 }  Correa dentada de kevlar para cepillo horizontal puente lavado 5 mt</v>
          </cell>
          <cell r="C502">
            <v>19067</v>
          </cell>
          <cell r="D502">
            <v>70773.066932874775</v>
          </cell>
        </row>
        <row r="503">
          <cell r="A503" t="str">
            <v>REP-0601</v>
          </cell>
          <cell r="B503" t="str">
            <v>{ REP-0601 }  Colector EV de agua puente lavado</v>
          </cell>
          <cell r="C503">
            <v>440837</v>
          </cell>
          <cell r="D503">
            <v>412973.81212013814</v>
          </cell>
        </row>
        <row r="504">
          <cell r="A504" t="str">
            <v>REP-0602</v>
          </cell>
          <cell r="B504" t="str">
            <v>{ REP-0602 }  Conexion RJ45 CAN-OPEN puente lavado</v>
          </cell>
          <cell r="C504">
            <v>175672</v>
          </cell>
          <cell r="D504">
            <v>164568.49281390774</v>
          </cell>
        </row>
        <row r="505">
          <cell r="A505" t="str">
            <v>REP-0603</v>
          </cell>
          <cell r="B505" t="str">
            <v>{ REP-0603 }  Regulador de presion 1/4 tuerca anular con monom puente lavado</v>
          </cell>
          <cell r="C505">
            <v>55988</v>
          </cell>
          <cell r="D505">
            <v>52449.227968401712</v>
          </cell>
        </row>
        <row r="506">
          <cell r="A506" t="str">
            <v>REP-0604</v>
          </cell>
          <cell r="B506" t="str">
            <v>{ REP-0604 }  Admision de aire 1/4 puente lavado</v>
          </cell>
          <cell r="C506">
            <v>15597</v>
          </cell>
          <cell r="D506">
            <v>14611.489813873526</v>
          </cell>
        </row>
        <row r="507">
          <cell r="A507" t="str">
            <v>REP-0605</v>
          </cell>
          <cell r="B507" t="str">
            <v>{ REP-0605 }  Unidad de filtro de aire manometro1/4 fil. librar puente lavado</v>
          </cell>
          <cell r="C507">
            <v>84984</v>
          </cell>
          <cell r="D507">
            <v>79612.509638969976</v>
          </cell>
        </row>
        <row r="508">
          <cell r="A508" t="str">
            <v>REP-0606</v>
          </cell>
          <cell r="B508" t="str">
            <v>{ REP-0606 }  Modulo de seguridad 8DI puente lavado</v>
          </cell>
          <cell r="C508">
            <v>625140</v>
          </cell>
          <cell r="D508">
            <v>585627.46253066103</v>
          </cell>
        </row>
        <row r="509">
          <cell r="A509" t="str">
            <v>REP-0607</v>
          </cell>
          <cell r="B509" t="str">
            <v>{ REP-0607 }  Valvula pulsar para interpmps VBX puente lavado</v>
          </cell>
          <cell r="C509">
            <v>124324</v>
          </cell>
          <cell r="D509">
            <v>116465.98946101977</v>
          </cell>
        </row>
        <row r="510">
          <cell r="A510" t="str">
            <v>REP-0608</v>
          </cell>
          <cell r="B510" t="str">
            <v>{ REP-0608 }  Electrovalvula plano 5/2 puente lavado</v>
          </cell>
          <cell r="C510">
            <v>82511</v>
          </cell>
          <cell r="D510">
            <v>77295.505569493544</v>
          </cell>
        </row>
        <row r="511">
          <cell r="A511" t="str">
            <v>REP-0609</v>
          </cell>
          <cell r="B511" t="str">
            <v>{ REP-0609 }  Electrovalvula flat 5/3 1/4 casol puente lavado</v>
          </cell>
          <cell r="C511">
            <v>141245</v>
          </cell>
          <cell r="D511">
            <v>132317.79466087179</v>
          </cell>
        </row>
        <row r="512">
          <cell r="A512" t="str">
            <v>REP-0610</v>
          </cell>
          <cell r="B512" t="str">
            <v>{ REP-0610 }  PLC schneirder TMC241CECT 24R puente lavado</v>
          </cell>
          <cell r="C512">
            <v>1287132</v>
          </cell>
          <cell r="D512">
            <v>1205777.6611671222</v>
          </cell>
        </row>
        <row r="513">
          <cell r="A513" t="str">
            <v>REP-0611</v>
          </cell>
          <cell r="B513" t="str">
            <v>{ REP-0611 }  Soporte de boquilla giratoria fil. 3/8 sin tuerca anular puente lavado</v>
          </cell>
          <cell r="C513">
            <v>9343</v>
          </cell>
          <cell r="D513">
            <v>8752.15499451289</v>
          </cell>
        </row>
        <row r="514">
          <cell r="A514" t="str">
            <v>REP-0612</v>
          </cell>
          <cell r="B514" t="str">
            <v>{ REP-0612 }  Expansion de PLC sche 16DO puente lavado</v>
          </cell>
          <cell r="C514">
            <v>582907</v>
          </cell>
          <cell r="D514">
            <v>546063.5251179029</v>
          </cell>
        </row>
        <row r="515">
          <cell r="A515" t="str">
            <v>REP-0613</v>
          </cell>
          <cell r="B515" t="str">
            <v>{ REP-0613 }  Boquilla metalica para tuercas rojas puente lavado</v>
          </cell>
          <cell r="C515">
            <v>4121</v>
          </cell>
          <cell r="D515">
            <v>3860.840743262358</v>
          </cell>
        </row>
        <row r="516">
          <cell r="A516" t="str">
            <v>REP-0614</v>
          </cell>
          <cell r="B516" t="str">
            <v>{ REP-0614 }  Porta boquillas de emoliente puente lavado</v>
          </cell>
          <cell r="C516">
            <v>4121</v>
          </cell>
          <cell r="D516">
            <v>3860.840743262358</v>
          </cell>
        </row>
        <row r="517">
          <cell r="A517" t="str">
            <v>REP-0615</v>
          </cell>
          <cell r="B517" t="str">
            <v>{ REP-0615 }  Adaptador de tarjeta rj45 de apertura de lata puente lavado</v>
          </cell>
          <cell r="C517">
            <v>63988</v>
          </cell>
          <cell r="D517">
            <v>59943.580753770249</v>
          </cell>
        </row>
        <row r="518">
          <cell r="A518" t="str">
            <v>REP-0616</v>
          </cell>
          <cell r="B518" t="str">
            <v>{ REP-0616 }  Mnguera de conexon estanque cumulador de bombas de alta presion puente lavado</v>
          </cell>
          <cell r="C518">
            <v>10684</v>
          </cell>
          <cell r="D518">
            <v>10008.708144859682</v>
          </cell>
        </row>
        <row r="519">
          <cell r="A519" t="str">
            <v>REP-0617</v>
          </cell>
          <cell r="B519" t="str">
            <v>{ REP-0617 }  Electrovalvula de aire 2 vias 1/8 NC 24VDC puente lavado</v>
          </cell>
          <cell r="C519">
            <v>30224</v>
          </cell>
          <cell r="D519">
            <v>28313.664823122337</v>
          </cell>
        </row>
        <row r="520">
          <cell r="A520" t="str">
            <v>REP-0618</v>
          </cell>
          <cell r="B520" t="str">
            <v>{ REP-0618 }  Horquilla cilindro nuematico puente lavado</v>
          </cell>
          <cell r="C520">
            <v>5964</v>
          </cell>
          <cell r="D520">
            <v>5587.0400014922452</v>
          </cell>
        </row>
        <row r="521">
          <cell r="A521" t="str">
            <v>REP-0619</v>
          </cell>
          <cell r="B521" t="str">
            <v>{ REP-0619 }  Rueda de percha 80x25 puente lavado</v>
          </cell>
          <cell r="C521">
            <v>40600</v>
          </cell>
          <cell r="D521">
            <v>38033.84038574533</v>
          </cell>
        </row>
        <row r="522">
          <cell r="A522" t="str">
            <v>REP-0620</v>
          </cell>
          <cell r="B522" t="str">
            <v>{ REP-0620 }  Boquilla fbl 686 1/4 4003 acero inox  puente lavado</v>
          </cell>
          <cell r="C522">
            <v>6837</v>
          </cell>
          <cell r="D522">
            <v>6405.1735138949771</v>
          </cell>
        </row>
        <row r="523">
          <cell r="A523" t="str">
            <v>REP-0621</v>
          </cell>
          <cell r="B523" t="str">
            <v>{ REP-0621 }  Clindro neumatico para inclinacion de lavaruedas y deflector puente lavado</v>
          </cell>
          <cell r="C523">
            <v>48795</v>
          </cell>
          <cell r="D523">
            <v>45710.555755557834</v>
          </cell>
        </row>
        <row r="524">
          <cell r="A524" t="str">
            <v>REP-0622</v>
          </cell>
          <cell r="B524" t="str">
            <v>{ REP-0622 }  Interrptor remoto proximidad D18-5M-NO puente lavado</v>
          </cell>
          <cell r="C524">
            <v>36188</v>
          </cell>
          <cell r="D524">
            <v>33900.704824614579</v>
          </cell>
        </row>
        <row r="525">
          <cell r="A525" t="str">
            <v>REP-0623</v>
          </cell>
          <cell r="B525" t="str">
            <v>{ REP-0623 }  Interruptor remoto proximidad omron 5mt-no puente lavado</v>
          </cell>
          <cell r="C525">
            <v>42589</v>
          </cell>
          <cell r="D525">
            <v>39897.436111706978</v>
          </cell>
        </row>
        <row r="526">
          <cell r="A526" t="str">
            <v>REP-0624</v>
          </cell>
          <cell r="B526" t="str">
            <v>{ REP-0624 }  Boquilla giratoria 1/4-030-26° puente lavado</v>
          </cell>
          <cell r="C526">
            <v>86244</v>
          </cell>
          <cell r="D526">
            <v>80792.870202665523</v>
          </cell>
        </row>
        <row r="527">
          <cell r="A527" t="str">
            <v>REP-0625</v>
          </cell>
          <cell r="B527" t="str">
            <v>{ REP-0625 }  Receptor de fotocelula md mt 30 puente lavado</v>
          </cell>
          <cell r="C527">
            <v>134425</v>
          </cell>
          <cell r="D527">
            <v>125928.85891134512</v>
          </cell>
        </row>
        <row r="528">
          <cell r="A528" t="str">
            <v>REP-0626</v>
          </cell>
          <cell r="B528" t="str">
            <v>{ REP-0626 }  Kit instalacion manómetros</v>
          </cell>
          <cell r="C528">
            <v>54605</v>
          </cell>
          <cell r="D528">
            <v>54605</v>
          </cell>
        </row>
        <row r="529">
          <cell r="A529" t="str">
            <v>REP-0627</v>
          </cell>
          <cell r="B529" t="str">
            <v>{ REP-0627 }  Presostato 1/4 puente lavado</v>
          </cell>
          <cell r="C529">
            <v>55298</v>
          </cell>
          <cell r="D529">
            <v>55298</v>
          </cell>
        </row>
        <row r="530">
          <cell r="A530" t="str">
            <v>REP-0628</v>
          </cell>
          <cell r="B530" t="str">
            <v>{ REP-0628 }  Presostato 1/8 puente lavado</v>
          </cell>
          <cell r="C530">
            <v>52997</v>
          </cell>
          <cell r="D530">
            <v>52997</v>
          </cell>
        </row>
        <row r="531">
          <cell r="A531" t="str">
            <v>REP-0631</v>
          </cell>
          <cell r="B531" t="str">
            <v>{ REP-0631 }  Cilindro neumatico de inclinacion de cepillos puente lavado</v>
          </cell>
          <cell r="C531">
            <v>279200</v>
          </cell>
          <cell r="D531">
            <v>279200</v>
          </cell>
        </row>
        <row r="532">
          <cell r="A532" t="str">
            <v>REP-0632</v>
          </cell>
          <cell r="B532" t="str">
            <v>{ REP-0633 }  Espaciador para rueda de soporte para cepillos verticales PUENTE LAVADO</v>
          </cell>
          <cell r="C532">
            <v>38047</v>
          </cell>
          <cell r="D532">
            <v>38047</v>
          </cell>
        </row>
        <row r="533">
          <cell r="A533" t="str">
            <v>REP-0633</v>
          </cell>
          <cell r="B533" t="str">
            <v>{ REP-0634 }  Rueda de soporte para cepillos verticales puente lavado</v>
          </cell>
          <cell r="C533">
            <v>2856</v>
          </cell>
          <cell r="D533">
            <v>2856</v>
          </cell>
        </row>
        <row r="534">
          <cell r="A534" t="str">
            <v>REP-0634</v>
          </cell>
          <cell r="B534" t="str">
            <v>{ REP-0635 }  Rótula externa rueda de soporte para cepillos verticales puente lavado</v>
          </cell>
          <cell r="C534">
            <v>16755</v>
          </cell>
          <cell r="D534">
            <v>16755</v>
          </cell>
        </row>
        <row r="535">
          <cell r="A535" t="str">
            <v>REP-0635</v>
          </cell>
          <cell r="B535" t="str">
            <v>{ REP-0636 }  Perno superior para Rueda de Soporte excéntrica para cepillos verticales PUENTE AVADO</v>
          </cell>
          <cell r="C535">
            <v>4601</v>
          </cell>
          <cell r="D535">
            <v>4601</v>
          </cell>
        </row>
        <row r="536">
          <cell r="A536" t="str">
            <v>REP-0636</v>
          </cell>
          <cell r="B536" t="str">
            <v>{ REP-0637 }  Espaciador para rueda de soporte excentrica para cepillos verticales</v>
          </cell>
          <cell r="C536">
            <v>27919</v>
          </cell>
          <cell r="D536">
            <v>27919</v>
          </cell>
        </row>
        <row r="537">
          <cell r="A537" t="str">
            <v>REP-0637</v>
          </cell>
          <cell r="B537" t="str">
            <v>{ REP-0638 }  Rueda de soporte excéntrica para cepillos verticales</v>
          </cell>
          <cell r="C537">
            <v>2856</v>
          </cell>
          <cell r="D537">
            <v>2856</v>
          </cell>
        </row>
        <row r="538">
          <cell r="A538" t="str">
            <v>REP-0638</v>
          </cell>
          <cell r="B538" t="str">
            <v>{ REP-0639 }  Rótula externa rueda de soporte excéntrica para cepillos verticales</v>
          </cell>
          <cell r="C538">
            <v>16755</v>
          </cell>
          <cell r="D538">
            <v>16755</v>
          </cell>
        </row>
        <row r="539">
          <cell r="A539" t="str">
            <v>REP-0639</v>
          </cell>
          <cell r="B539" t="str">
            <v>{ REP-0640 }  Guía plástica de anillos de seguridad</v>
          </cell>
          <cell r="C539">
            <v>4601</v>
          </cell>
          <cell r="D539">
            <v>4601</v>
          </cell>
        </row>
        <row r="540">
          <cell r="A540" t="str">
            <v>REP-0640</v>
          </cell>
          <cell r="B540" t="str">
            <v>{ REP-0641 }  Electroválvula de alimentación de estanque de bombas de alta presión</v>
          </cell>
          <cell r="C540">
            <v>22823</v>
          </cell>
          <cell r="D540">
            <v>22823</v>
          </cell>
        </row>
        <row r="541">
          <cell r="A541" t="str">
            <v>REP-0641</v>
          </cell>
          <cell r="B541" t="str">
            <v>{ REP-0642 }  Micro Switch de pie de seguridad</v>
          </cell>
          <cell r="C541">
            <v>184715</v>
          </cell>
          <cell r="D541">
            <v>184715</v>
          </cell>
        </row>
        <row r="542">
          <cell r="A542" t="str">
            <v>REP-0642</v>
          </cell>
          <cell r="B542" t="str">
            <v>{ REP-0643 }  Borde amarillo de seguridad</v>
          </cell>
          <cell r="C542">
            <v>73956</v>
          </cell>
          <cell r="D542">
            <v>73956</v>
          </cell>
        </row>
        <row r="543">
          <cell r="A543" t="str">
            <v>REP-0643</v>
          </cell>
          <cell r="B543" t="str">
            <v>{ REP-0632 }  Perno exentrico para rueda de soporte puente lavado</v>
          </cell>
          <cell r="C543">
            <v>92709</v>
          </cell>
          <cell r="D543">
            <v>92709</v>
          </cell>
        </row>
        <row r="544">
          <cell r="A544" t="str">
            <v>REP-0644</v>
          </cell>
          <cell r="B544" t="str">
            <v>{ REP-0644 }  Estanque de resina para ablandador</v>
          </cell>
          <cell r="C544">
            <v>206250</v>
          </cell>
          <cell r="D544">
            <v>206250</v>
          </cell>
        </row>
        <row r="545">
          <cell r="A545" t="str">
            <v>REP-0645</v>
          </cell>
          <cell r="B545" t="str">
            <v>{ REP-0645 }  Display Touch EX 205 MSELF</v>
          </cell>
          <cell r="C545" t="str">
            <v>nuevo</v>
          </cell>
          <cell r="D545">
            <v>1150640</v>
          </cell>
        </row>
        <row r="546">
          <cell r="A546" t="str">
            <v>REP-0646</v>
          </cell>
          <cell r="B546" t="str">
            <v xml:space="preserve">{ REP-0646 }  Ficha lavado personalizada Espinoza </v>
          </cell>
          <cell r="C546" t="str">
            <v>nuevo</v>
          </cell>
          <cell r="D546">
            <v>632</v>
          </cell>
        </row>
        <row r="547">
          <cell r="A547" t="str">
            <v>REP-0647</v>
          </cell>
          <cell r="B547" t="str">
            <v>{ REP-0647 }  Ficha aspirado personalizada Espinoza</v>
          </cell>
          <cell r="C547" t="str">
            <v>nuevo</v>
          </cell>
          <cell r="D547">
            <v>521</v>
          </cell>
        </row>
        <row r="548">
          <cell r="A548" t="str">
            <v>REP-0648</v>
          </cell>
          <cell r="B548" t="str">
            <v>{ REP-0648 }  Tapa visor cámara de producto multifunción</v>
          </cell>
          <cell r="C548" t="str">
            <v>nuevo</v>
          </cell>
          <cell r="D548">
            <v>79792</v>
          </cell>
        </row>
        <row r="549">
          <cell r="A549" t="str">
            <v>REP-0649</v>
          </cell>
          <cell r="B549" t="str">
            <v>{ REP-0649 }  Sello para aspirado multifunción</v>
          </cell>
          <cell r="C549" t="str">
            <v>nuevo</v>
          </cell>
          <cell r="D549">
            <v>31316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ESTOS"/>
      <sheetName val="SERVICIOS"/>
    </sheetNames>
    <sheetDataSet>
      <sheetData sheetId="0">
        <row r="1">
          <cell r="A1" t="str">
            <v>Código</v>
          </cell>
          <cell r="B1" t="str">
            <v>Descripción</v>
          </cell>
          <cell r="C1" t="str">
            <v>Precio 2S 2025</v>
          </cell>
          <cell r="D1" t="str">
            <v>Precio 1S 2026</v>
          </cell>
        </row>
        <row r="2">
          <cell r="A2" t="str">
            <v>INS-0001</v>
          </cell>
          <cell r="B2" t="str">
            <v>{ INS-0001 }  Shampoo ev14 (22 kg)</v>
          </cell>
          <cell r="C2">
            <v>72630</v>
          </cell>
          <cell r="D2">
            <v>72630</v>
          </cell>
        </row>
        <row r="3">
          <cell r="A3" t="str">
            <v>INS-0006</v>
          </cell>
          <cell r="B3" t="str">
            <v>{ INS-0006 }  Abrillantador de gomas</v>
          </cell>
          <cell r="C3">
            <v>33197</v>
          </cell>
          <cell r="D3">
            <v>31785</v>
          </cell>
        </row>
        <row r="4">
          <cell r="A4" t="str">
            <v>INS-0009</v>
          </cell>
          <cell r="B4" t="str">
            <v>{ INS-0009 }  Rollo de 500 paños politex (5kg)</v>
          </cell>
          <cell r="C4">
            <v>126807</v>
          </cell>
          <cell r="D4">
            <v>121413</v>
          </cell>
        </row>
        <row r="5">
          <cell r="A5" t="str">
            <v>INS-0015</v>
          </cell>
          <cell r="B5" t="str">
            <v>{ INS-0015 }  Lavallantas r7 (22KG)</v>
          </cell>
          <cell r="C5">
            <v>92850</v>
          </cell>
          <cell r="D5">
            <v>92850</v>
          </cell>
        </row>
        <row r="6">
          <cell r="A6" t="str">
            <v>INS-0017</v>
          </cell>
          <cell r="B6" t="str">
            <v>{ INS-0017 }  Espuma activa super ev17 (22KG)</v>
          </cell>
          <cell r="C6">
            <v>80630</v>
          </cell>
          <cell r="D6">
            <v>80630</v>
          </cell>
        </row>
        <row r="7">
          <cell r="A7" t="str">
            <v>INS-0024</v>
          </cell>
          <cell r="B7" t="str">
            <v>{ INS-0024 }  Cera E48 (20lt) mix</v>
          </cell>
          <cell r="C7">
            <v>76139</v>
          </cell>
          <cell r="D7">
            <v>76139</v>
          </cell>
        </row>
        <row r="8">
          <cell r="A8" t="str">
            <v>INS-0026</v>
          </cell>
          <cell r="B8" t="str">
            <v>{ INS-0026 }   ( Shampoo tapiz) textil cleaner I1-5</v>
          </cell>
          <cell r="C8">
            <v>22506</v>
          </cell>
          <cell r="D8">
            <v>22879</v>
          </cell>
        </row>
        <row r="9">
          <cell r="A9" t="str">
            <v>INS-0027</v>
          </cell>
          <cell r="B9" t="str">
            <v>{ INS-0027 }   ( Renovador de tableros) cockpit cleaner c4-5</v>
          </cell>
          <cell r="C9">
            <v>27092</v>
          </cell>
          <cell r="D9">
            <v>27541</v>
          </cell>
        </row>
        <row r="10">
          <cell r="A10" t="str">
            <v>INS-0029</v>
          </cell>
          <cell r="B10" t="str">
            <v>{ INS-0029 }  Renovador de tableros alt.</v>
          </cell>
          <cell r="C10">
            <v>20000</v>
          </cell>
          <cell r="D10">
            <v>20000</v>
          </cell>
        </row>
        <row r="11">
          <cell r="A11" t="str">
            <v>INS-0030</v>
          </cell>
          <cell r="B11" t="str">
            <v>{ INS-0030 }  Perfume citrico alt.</v>
          </cell>
          <cell r="C11">
            <v>18001</v>
          </cell>
          <cell r="D11">
            <v>18001</v>
          </cell>
        </row>
        <row r="12">
          <cell r="A12" t="str">
            <v>INS-0031</v>
          </cell>
          <cell r="B12" t="str">
            <v>{ INS-0031 }  Lavatapiz A.</v>
          </cell>
          <cell r="C12">
            <v>15000</v>
          </cell>
          <cell r="D12">
            <v>15000</v>
          </cell>
        </row>
        <row r="13">
          <cell r="A13" t="str">
            <v>INS-0032</v>
          </cell>
          <cell r="B13" t="str">
            <v>{ INS-0032 }  R8 Lavallantas  5 litros</v>
          </cell>
          <cell r="C13">
            <v>50010</v>
          </cell>
          <cell r="D13">
            <v>50838</v>
          </cell>
        </row>
        <row r="14">
          <cell r="A14" t="str">
            <v>INS-0033</v>
          </cell>
          <cell r="B14" t="str">
            <v>{ INS-0033 }  X5 Process traffic hp 25 litros</v>
          </cell>
          <cell r="C14">
            <v>135719</v>
          </cell>
          <cell r="D14">
            <v>135719</v>
          </cell>
        </row>
        <row r="15">
          <cell r="A15" t="str">
            <v>INS-0034</v>
          </cell>
          <cell r="B15" t="str">
            <v>{ INS-0034 }  X8 Process pre wash 25 litros</v>
          </cell>
          <cell r="C15">
            <v>216464</v>
          </cell>
          <cell r="D15">
            <v>216464</v>
          </cell>
        </row>
        <row r="16">
          <cell r="A16" t="str">
            <v>INS-0035</v>
          </cell>
          <cell r="B16" t="str">
            <v>{ INS-0035 }  X46 Coatinium 25 litros</v>
          </cell>
          <cell r="C16">
            <v>355131</v>
          </cell>
          <cell r="D16">
            <v>355131</v>
          </cell>
        </row>
        <row r="17">
          <cell r="A17" t="str">
            <v>INS-0036</v>
          </cell>
          <cell r="B17" t="str">
            <v>{ INS-0036 }  Ev11-25 brillant wax</v>
          </cell>
          <cell r="C17">
            <v>99566</v>
          </cell>
          <cell r="D17">
            <v>101215</v>
          </cell>
        </row>
        <row r="18">
          <cell r="A18" t="str">
            <v>REP-0001</v>
          </cell>
          <cell r="B18" t="str">
            <v>{ REP-0001 }  Lanza con pistola perdente larga</v>
          </cell>
          <cell r="C18">
            <v>138958</v>
          </cell>
          <cell r="D18">
            <v>141259</v>
          </cell>
        </row>
        <row r="19">
          <cell r="A19" t="str">
            <v>REP-0007</v>
          </cell>
          <cell r="B19" t="str">
            <v>{ REP-0007 }  Manguera 4,0 mts color azul</v>
          </cell>
          <cell r="C19">
            <v>75033</v>
          </cell>
          <cell r="D19">
            <v>76275</v>
          </cell>
        </row>
        <row r="20">
          <cell r="A20" t="str">
            <v>REP-0008</v>
          </cell>
          <cell r="B20" t="str">
            <v>{ REP-0008 }  Manguera 3,5 mts color azul</v>
          </cell>
          <cell r="C20">
            <v>69480</v>
          </cell>
          <cell r="D20">
            <v>70630</v>
          </cell>
        </row>
        <row r="21">
          <cell r="A21" t="str">
            <v>REP-0009</v>
          </cell>
          <cell r="B21" t="str">
            <v>{ REP-0009 }  Manguera 4,7 mts color azul</v>
          </cell>
          <cell r="C21">
            <v>80599</v>
          </cell>
          <cell r="D21">
            <v>81933</v>
          </cell>
        </row>
        <row r="22">
          <cell r="A22" t="str">
            <v>REP-0010</v>
          </cell>
          <cell r="B22" t="str">
            <v>{ REP-0010 }  Niple recto bronce con PVC</v>
          </cell>
          <cell r="C22">
            <v>10325</v>
          </cell>
          <cell r="D22">
            <v>10496</v>
          </cell>
        </row>
        <row r="23">
          <cell r="A23" t="str">
            <v>REP-0011</v>
          </cell>
          <cell r="B23" t="str">
            <v>{ REP-0011 }  Tee he 1/4 salida Cat</v>
          </cell>
          <cell r="C23">
            <v>9114</v>
          </cell>
          <cell r="D23">
            <v>9265</v>
          </cell>
        </row>
        <row r="24">
          <cell r="A24" t="str">
            <v>REP-0012</v>
          </cell>
          <cell r="B24" t="str">
            <v>{ REP-0012 }  Codo PVC bronce 1/2</v>
          </cell>
          <cell r="C24">
            <v>15118</v>
          </cell>
          <cell r="D24">
            <v>15368</v>
          </cell>
        </row>
        <row r="25">
          <cell r="A25" t="str">
            <v>REP-0013</v>
          </cell>
          <cell r="B25" t="str">
            <v>{ REP-0013 }  Tubo PVC diam 15 accoron</v>
          </cell>
          <cell r="C25">
            <v>9018</v>
          </cell>
          <cell r="D25">
            <v>9167</v>
          </cell>
        </row>
        <row r="26">
          <cell r="A26" t="str">
            <v>REP-0014</v>
          </cell>
          <cell r="B26" t="str">
            <v>{ REP-0014 }  Lanza 1200mm por cepillo</v>
          </cell>
          <cell r="C26">
            <v>22763</v>
          </cell>
          <cell r="D26">
            <v>23140</v>
          </cell>
        </row>
        <row r="27">
          <cell r="A27" t="str">
            <v>REP-0015</v>
          </cell>
          <cell r="B27" t="str">
            <v>{ REP-0015 }  Bomba de osmosis</v>
          </cell>
          <cell r="C27">
            <v>323078</v>
          </cell>
          <cell r="D27">
            <v>328428</v>
          </cell>
        </row>
        <row r="28">
          <cell r="A28" t="str">
            <v>REP-0016</v>
          </cell>
          <cell r="B28" t="str">
            <v>{ REP-0016 }  Golilla 1/2</v>
          </cell>
          <cell r="C28">
            <v>1137</v>
          </cell>
          <cell r="D28">
            <v>1156</v>
          </cell>
        </row>
        <row r="29">
          <cell r="A29" t="str">
            <v>REP-0017</v>
          </cell>
          <cell r="B29" t="str">
            <v>{ REP-0017 }  Junta bomba de osmosis</v>
          </cell>
          <cell r="C29">
            <v>58361</v>
          </cell>
          <cell r="D29">
            <v>59327</v>
          </cell>
        </row>
        <row r="30">
          <cell r="A30" t="str">
            <v>REP-0018</v>
          </cell>
          <cell r="B30" t="str">
            <v>{ REP-0018 }  Manguera blanda aspirado shampoo mt RILSAN</v>
          </cell>
          <cell r="C30">
            <v>1591</v>
          </cell>
          <cell r="D30">
            <v>1572</v>
          </cell>
        </row>
        <row r="31">
          <cell r="A31" t="str">
            <v>REP-0019</v>
          </cell>
          <cell r="B31" t="str">
            <v>{ REP-0019 }  Golilla 3/8</v>
          </cell>
          <cell r="C31">
            <v>1287</v>
          </cell>
          <cell r="D31">
            <v>1308</v>
          </cell>
        </row>
        <row r="32">
          <cell r="A32" t="str">
            <v>REP-0020</v>
          </cell>
          <cell r="B32" t="str">
            <v>{ REP-0020 }  Bomba 3CP 1140 CAT</v>
          </cell>
          <cell r="C32">
            <v>954740</v>
          </cell>
          <cell r="D32">
            <v>1029069</v>
          </cell>
        </row>
        <row r="33">
          <cell r="A33" t="str">
            <v>REP-0021</v>
          </cell>
          <cell r="B33" t="str">
            <v>{ REP-0021 }  EV Burkert 287 1/2</v>
          </cell>
          <cell r="C33">
            <v>223041</v>
          </cell>
          <cell r="D33">
            <v>226734</v>
          </cell>
        </row>
        <row r="34">
          <cell r="A34" t="str">
            <v>REP-0022</v>
          </cell>
          <cell r="B34" t="str">
            <v>{ REP-0022 }  Inyector Burket</v>
          </cell>
          <cell r="C34">
            <v>82378</v>
          </cell>
          <cell r="D34">
            <v>83742</v>
          </cell>
        </row>
        <row r="35">
          <cell r="A35" t="str">
            <v>REP-0023</v>
          </cell>
          <cell r="B35" t="str">
            <v>{ REP-0023 }  Bomba dosificadora de shampoo</v>
          </cell>
          <cell r="C35">
            <v>317868</v>
          </cell>
          <cell r="D35">
            <v>323131</v>
          </cell>
        </row>
        <row r="36">
          <cell r="A36" t="str">
            <v>REP-0024</v>
          </cell>
          <cell r="B36" t="str">
            <v>{ REP-0024 }  Bomba dosificadora de  cera</v>
          </cell>
          <cell r="C36">
            <v>317868</v>
          </cell>
          <cell r="D36">
            <v>323131</v>
          </cell>
        </row>
        <row r="37">
          <cell r="A37" t="str">
            <v>REP-0025</v>
          </cell>
          <cell r="B37" t="str">
            <v>{ REP-0025 }  Tuerca inox para cubre fichero</v>
          </cell>
          <cell r="C37">
            <v>16158</v>
          </cell>
          <cell r="D37">
            <v>16426</v>
          </cell>
        </row>
        <row r="38">
          <cell r="A38" t="str">
            <v>REP-0026</v>
          </cell>
          <cell r="B38" t="str">
            <v>{ REP-0026 }  Tornillo cubrefichero</v>
          </cell>
          <cell r="C38">
            <v>161</v>
          </cell>
          <cell r="D38">
            <v>164</v>
          </cell>
        </row>
        <row r="39">
          <cell r="A39" t="str">
            <v>REP-0027</v>
          </cell>
          <cell r="B39" t="str">
            <v>{ REP-0027 }  Niple recto 1/2 HEX20</v>
          </cell>
          <cell r="C39">
            <v>6004</v>
          </cell>
          <cell r="D39">
            <v>6104</v>
          </cell>
        </row>
        <row r="40">
          <cell r="A40" t="str">
            <v>REP-0028</v>
          </cell>
          <cell r="B40" t="str">
            <v>{ REP-0028 }  Unión americana 90° 1/2</v>
          </cell>
          <cell r="C40">
            <v>13285</v>
          </cell>
          <cell r="D40">
            <v>13505</v>
          </cell>
        </row>
        <row r="41">
          <cell r="A41" t="str">
            <v>REP-0029</v>
          </cell>
          <cell r="B41" t="str">
            <v>{ REP-0029 }  Display de 3 cifras</v>
          </cell>
          <cell r="C41">
            <v>325694</v>
          </cell>
          <cell r="D41">
            <v>331088</v>
          </cell>
        </row>
        <row r="42">
          <cell r="A42" t="str">
            <v>REP-0030</v>
          </cell>
          <cell r="B42" t="str">
            <v>{ REP-0030 }  Lanza alta presión</v>
          </cell>
          <cell r="C42">
            <v>136578</v>
          </cell>
          <cell r="D42">
            <v>138839</v>
          </cell>
        </row>
        <row r="43">
          <cell r="A43" t="str">
            <v>REP-0031</v>
          </cell>
          <cell r="B43" t="str">
            <v>{ REP-0031 }  Tee inox 1/2 HEHEHI central</v>
          </cell>
          <cell r="C43">
            <v>11365</v>
          </cell>
          <cell r="D43">
            <v>11554</v>
          </cell>
        </row>
        <row r="44">
          <cell r="A44" t="str">
            <v>REP-0032</v>
          </cell>
          <cell r="B44" t="str">
            <v>{ REP-0032 }  Portafichero</v>
          </cell>
          <cell r="C44">
            <v>24081</v>
          </cell>
          <cell r="D44">
            <v>24480</v>
          </cell>
        </row>
        <row r="45">
          <cell r="A45" t="str">
            <v>REP-0033</v>
          </cell>
          <cell r="B45" t="str">
            <v>{ REP-0033 }  Extension EM 223</v>
          </cell>
          <cell r="C45">
            <v>1157987</v>
          </cell>
          <cell r="D45">
            <v>1177163</v>
          </cell>
        </row>
        <row r="46">
          <cell r="A46" t="str">
            <v>REP-0034</v>
          </cell>
          <cell r="B46" t="str">
            <v>{ REP-0034 }  PLC simatic S7-200</v>
          </cell>
          <cell r="C46">
            <v>3473960</v>
          </cell>
          <cell r="D46">
            <v>3531488</v>
          </cell>
        </row>
        <row r="47">
          <cell r="A47" t="str">
            <v>REP-0035</v>
          </cell>
          <cell r="B47" t="str">
            <v>{ REP-0035 }  Codo 90° 1/2 HEX20</v>
          </cell>
          <cell r="C47">
            <v>12009</v>
          </cell>
          <cell r="D47">
            <v>12208</v>
          </cell>
        </row>
        <row r="48">
          <cell r="A48" t="str">
            <v>REP-0036</v>
          </cell>
          <cell r="B48" t="str">
            <v>{ REP-0036 }  Motor cat trifásico doble bobinado</v>
          </cell>
          <cell r="C48">
            <v>1431951</v>
          </cell>
          <cell r="D48">
            <v>1455663</v>
          </cell>
        </row>
        <row r="49">
          <cell r="A49" t="str">
            <v>REP-0037</v>
          </cell>
          <cell r="B49" t="str">
            <v>{ REP-0037 }  Válvula Robex 1/2 entrada mself</v>
          </cell>
          <cell r="C49">
            <v>58189</v>
          </cell>
          <cell r="D49">
            <v>59153</v>
          </cell>
        </row>
        <row r="50">
          <cell r="A50" t="str">
            <v>REP-0038</v>
          </cell>
          <cell r="B50" t="str">
            <v>{ REP-0038 }  Inyector 1/4\ espuma cepillo</v>
          </cell>
          <cell r="C50">
            <v>19450</v>
          </cell>
          <cell r="D50">
            <v>19772</v>
          </cell>
        </row>
        <row r="51">
          <cell r="A51" t="str">
            <v>REP-0039</v>
          </cell>
          <cell r="B51" t="str">
            <v>{ REP-0039 }  Tee 1/4'' 6 mm inoxidable</v>
          </cell>
          <cell r="C51">
            <v>7613</v>
          </cell>
          <cell r="D51">
            <v>7739</v>
          </cell>
        </row>
        <row r="52">
          <cell r="A52" t="str">
            <v>REP-0040</v>
          </cell>
          <cell r="B52" t="str">
            <v>{ REP-0040 }  Membrana electroválvula Burkert</v>
          </cell>
          <cell r="C52">
            <v>40485</v>
          </cell>
          <cell r="D52">
            <v>41156</v>
          </cell>
        </row>
        <row r="53">
          <cell r="A53" t="str">
            <v>REP-0041</v>
          </cell>
          <cell r="B53" t="str">
            <v>{ REP-0041 }  Junta giratoria centro MTM 1/4</v>
          </cell>
          <cell r="C53">
            <v>85638</v>
          </cell>
          <cell r="D53">
            <v>87056</v>
          </cell>
        </row>
        <row r="54">
          <cell r="A54" t="str">
            <v>REP-0042</v>
          </cell>
          <cell r="B54" t="str">
            <v>{ REP-0042 }  Junta giratoria extremo MTM 1/4</v>
          </cell>
          <cell r="C54">
            <v>96012</v>
          </cell>
          <cell r="D54">
            <v>97602</v>
          </cell>
        </row>
        <row r="55">
          <cell r="A55" t="str">
            <v>REP-0043</v>
          </cell>
          <cell r="B55" t="str">
            <v>{ REP-0043 }  soporte superior fichero G20</v>
          </cell>
          <cell r="C55">
            <v>8642</v>
          </cell>
          <cell r="D55">
            <v>8785</v>
          </cell>
        </row>
        <row r="56">
          <cell r="A56" t="str">
            <v>REP-0044</v>
          </cell>
          <cell r="B56" t="str">
            <v>{ REP-0044 }  Niple mango cepillo 3/8" he * 1/4" hi bronce</v>
          </cell>
          <cell r="C56">
            <v>4428</v>
          </cell>
          <cell r="D56">
            <v>4502</v>
          </cell>
        </row>
        <row r="57">
          <cell r="A57" t="str">
            <v>REP-0045</v>
          </cell>
          <cell r="B57" t="str">
            <v>{ REP-0045 }  Pistón (Kit  reparación EV Burket 1/4\)</v>
          </cell>
          <cell r="C57">
            <v>28456</v>
          </cell>
          <cell r="D57">
            <v>28928</v>
          </cell>
        </row>
        <row r="58">
          <cell r="A58" t="str">
            <v>REP-0046</v>
          </cell>
          <cell r="B58" t="str">
            <v>{ REP-0046 }  Kit válvulas esf aspir/entrega</v>
          </cell>
          <cell r="C58">
            <v>49762</v>
          </cell>
          <cell r="D58">
            <v>50586</v>
          </cell>
        </row>
        <row r="59">
          <cell r="A59" t="str">
            <v>REP-0047</v>
          </cell>
          <cell r="B59" t="str">
            <v>{ REP-0047 }  Cable fichero 1,50 cm</v>
          </cell>
          <cell r="C59">
            <v>13038</v>
          </cell>
          <cell r="D59">
            <v>13253</v>
          </cell>
        </row>
        <row r="60">
          <cell r="A60" t="str">
            <v>REP-0048</v>
          </cell>
          <cell r="B60" t="str">
            <v>{ REP-0048 }  Cerradura nueva Mself</v>
          </cell>
          <cell r="C60">
            <v>76127</v>
          </cell>
          <cell r="D60">
            <v>77388</v>
          </cell>
        </row>
        <row r="61">
          <cell r="A61" t="str">
            <v>REP-0049</v>
          </cell>
          <cell r="B61" t="str">
            <v>{ REP-0049 }  Niple pvc conexión rápida 8 mm terminal polip.  1/4x8 mm</v>
          </cell>
          <cell r="C61">
            <v>3656</v>
          </cell>
          <cell r="D61">
            <v>3717</v>
          </cell>
        </row>
        <row r="62">
          <cell r="A62" t="str">
            <v>REP-0050</v>
          </cell>
          <cell r="B62" t="str">
            <v>{ REP-0050 }  Tee 1/4x6mm PVC</v>
          </cell>
          <cell r="C62">
            <v>4943</v>
          </cell>
          <cell r="D62">
            <v>5025</v>
          </cell>
        </row>
        <row r="63">
          <cell r="A63" t="str">
            <v>REP-0051</v>
          </cell>
          <cell r="B63" t="str">
            <v>{ REP-0051 }  Vaso portafiltro Mself</v>
          </cell>
          <cell r="C63">
            <v>40015</v>
          </cell>
          <cell r="D63">
            <v>40678</v>
          </cell>
        </row>
        <row r="64">
          <cell r="A64" t="str">
            <v>REP-0052</v>
          </cell>
          <cell r="B64" t="str">
            <v>{ REP-0052 }  Bisagras centro puerta Mself</v>
          </cell>
          <cell r="C64">
            <v>26054</v>
          </cell>
          <cell r="D64">
            <v>26486</v>
          </cell>
        </row>
        <row r="65">
          <cell r="A65" t="str">
            <v>REP-0053</v>
          </cell>
          <cell r="B65" t="str">
            <v>{ REP-0053 }  Boquilla manguera soplado Twister&amp;Dry</v>
          </cell>
          <cell r="C65">
            <v>71206</v>
          </cell>
          <cell r="D65">
            <v>72385</v>
          </cell>
        </row>
        <row r="66">
          <cell r="A66" t="str">
            <v>REP-0054</v>
          </cell>
          <cell r="B66" t="str">
            <v>{ REP-0054 }  Manguera soplado Twister&amp;Dry</v>
          </cell>
          <cell r="C66">
            <v>114749</v>
          </cell>
          <cell r="D66">
            <v>116649</v>
          </cell>
        </row>
        <row r="67">
          <cell r="A67" t="str">
            <v>REP-0055</v>
          </cell>
          <cell r="B67" t="str">
            <v>{ REP-0055 }  Filtro aspiradora tambor metálico</v>
          </cell>
          <cell r="C67">
            <v>234814</v>
          </cell>
          <cell r="D67">
            <v>238702</v>
          </cell>
        </row>
        <row r="68">
          <cell r="A68" t="str">
            <v>REP-0056</v>
          </cell>
          <cell r="B68" t="str">
            <v>{ REP-0056 }  Cerradura aspiradora Twister &amp; Dry</v>
          </cell>
          <cell r="C68">
            <v>71978</v>
          </cell>
          <cell r="D68">
            <v>73170</v>
          </cell>
        </row>
        <row r="69">
          <cell r="A69" t="str">
            <v>REP-0057</v>
          </cell>
          <cell r="B69" t="str">
            <v>{ REP-0057 }  Bisagras extremos puerta Mself</v>
          </cell>
          <cell r="C69">
            <v>26054</v>
          </cell>
          <cell r="D69">
            <v>26486</v>
          </cell>
        </row>
        <row r="70">
          <cell r="A70" t="str">
            <v>REP-0058</v>
          </cell>
          <cell r="B70" t="str">
            <v>{ REP-0058 }  Adaptador parada de emergencia 09.01.915</v>
          </cell>
          <cell r="C70">
            <v>3131</v>
          </cell>
          <cell r="D70">
            <v>3183</v>
          </cell>
        </row>
        <row r="71">
          <cell r="A71" t="str">
            <v>REP-0059</v>
          </cell>
          <cell r="B71" t="str">
            <v>{ REP-0059 }  Contacto auxiliar NC para parada de emergencia</v>
          </cell>
          <cell r="C71">
            <v>6401</v>
          </cell>
          <cell r="D71">
            <v>6507</v>
          </cell>
        </row>
        <row r="72">
          <cell r="A72" t="str">
            <v>REP-0060</v>
          </cell>
          <cell r="B72" t="str">
            <v>{ REP-0060 }  Parada de emergencia rasante</v>
          </cell>
          <cell r="C72">
            <v>9800</v>
          </cell>
          <cell r="D72">
            <v>9962</v>
          </cell>
        </row>
        <row r="73">
          <cell r="A73" t="str">
            <v>REP-0061</v>
          </cell>
          <cell r="B73" t="str">
            <v>{ REP-0061 }  Indicador luminoso BLU tabla 21- pos 9</v>
          </cell>
          <cell r="C73">
            <v>19290</v>
          </cell>
          <cell r="D73">
            <v>19609</v>
          </cell>
        </row>
        <row r="74">
          <cell r="A74" t="str">
            <v>REP-0062</v>
          </cell>
          <cell r="B74" t="str">
            <v>{ REP-0062 }  Sensor de nivel de 2 contactos</v>
          </cell>
          <cell r="C74">
            <v>276180</v>
          </cell>
          <cell r="D74">
            <v>280754</v>
          </cell>
        </row>
        <row r="75">
          <cell r="A75" t="str">
            <v>REP-0063</v>
          </cell>
          <cell r="B75" t="str">
            <v>{ REP-0063 }  Placa electróncia  twister reforzada  (tambor metálico 2010-11-12-14)</v>
          </cell>
          <cell r="C75">
            <v>298064</v>
          </cell>
          <cell r="D75">
            <v>303000</v>
          </cell>
        </row>
        <row r="76">
          <cell r="A76" t="str">
            <v>REP-0064</v>
          </cell>
          <cell r="B76" t="str">
            <v>{ REP-0064 }  Cepillo completo italiano</v>
          </cell>
          <cell r="C76">
            <v>71913</v>
          </cell>
          <cell r="D76">
            <v>73104</v>
          </cell>
        </row>
        <row r="77">
          <cell r="A77" t="str">
            <v>REP-0065</v>
          </cell>
          <cell r="B77" t="str">
            <v>{ REP-0065 }  Placa de aspirado Twister&amp;Dry M2 (tambor plástico-2013)</v>
          </cell>
          <cell r="C77">
            <v>307445</v>
          </cell>
          <cell r="D77">
            <v>312536</v>
          </cell>
        </row>
        <row r="78">
          <cell r="A78" t="str">
            <v>REP-0066</v>
          </cell>
          <cell r="B78" t="str">
            <v>{ REP-0066 }  Plc S7-1200 cpu 1214C</v>
          </cell>
          <cell r="C78">
            <v>1208938</v>
          </cell>
          <cell r="D78">
            <v>1228958</v>
          </cell>
        </row>
        <row r="79">
          <cell r="A79" t="str">
            <v>REP-0067</v>
          </cell>
          <cell r="B79" t="str">
            <v>{ REP-0067 }  Transformador Twister M2</v>
          </cell>
          <cell r="C79">
            <v>102139</v>
          </cell>
          <cell r="D79">
            <v>103830</v>
          </cell>
        </row>
        <row r="80">
          <cell r="A80" t="str">
            <v>REP-0068</v>
          </cell>
          <cell r="B80" t="str">
            <v>{ REP-0068 }  Codo 45° para manguera de cepillo</v>
          </cell>
          <cell r="C80">
            <v>40048</v>
          </cell>
          <cell r="D80">
            <v>40711</v>
          </cell>
        </row>
        <row r="81">
          <cell r="A81" t="str">
            <v>REP-0069</v>
          </cell>
          <cell r="B81" t="str">
            <v>{ REP-0069 }  Codo cepillo 90° inoxidable</v>
          </cell>
          <cell r="C81">
            <v>32574</v>
          </cell>
          <cell r="D81">
            <v>33113</v>
          </cell>
        </row>
        <row r="82">
          <cell r="A82" t="str">
            <v>REP-0070</v>
          </cell>
          <cell r="B82" t="str">
            <v>{ REP-0070 }  Motor soplado twister tambor metálico</v>
          </cell>
          <cell r="C82">
            <v>245676</v>
          </cell>
          <cell r="D82">
            <v>249744</v>
          </cell>
        </row>
        <row r="83">
          <cell r="A83" t="str">
            <v>REP-0071</v>
          </cell>
          <cell r="B83" t="str">
            <v>{ REP-0071 }  Mango goma asp S2 diam 38/60</v>
          </cell>
          <cell r="C83">
            <v>28371</v>
          </cell>
          <cell r="D83">
            <v>28841</v>
          </cell>
        </row>
        <row r="84">
          <cell r="A84" t="str">
            <v>REP-0072</v>
          </cell>
          <cell r="B84" t="str">
            <v>{ REP-0072 }  Guarnición tubo aspirado y soplado TW S2</v>
          </cell>
          <cell r="C84">
            <v>11891</v>
          </cell>
          <cell r="D84">
            <v>12088</v>
          </cell>
        </row>
        <row r="85">
          <cell r="A85" t="str">
            <v>REP-0073</v>
          </cell>
          <cell r="B85" t="str">
            <v>{ REP-0073 }  Manguera negra 9m 1/4</v>
          </cell>
          <cell r="C85">
            <v>106299</v>
          </cell>
          <cell r="D85">
            <v>108059</v>
          </cell>
        </row>
        <row r="86">
          <cell r="A86" t="str">
            <v>REP-0074</v>
          </cell>
          <cell r="B86" t="str">
            <v>{ REP-0074 }  Fusible rápido 5x20 2A</v>
          </cell>
          <cell r="C86">
            <v>375</v>
          </cell>
          <cell r="D86">
            <v>381</v>
          </cell>
        </row>
        <row r="87">
          <cell r="A87" t="str">
            <v>REP-0075</v>
          </cell>
          <cell r="B87" t="str">
            <v>{ REP-0075 }  Contador 24V 55x55mm (horometro)</v>
          </cell>
          <cell r="C87">
            <v>41752</v>
          </cell>
          <cell r="D87">
            <v>42443</v>
          </cell>
        </row>
        <row r="88">
          <cell r="A88" t="str">
            <v>REP-0076</v>
          </cell>
          <cell r="B88" t="str">
            <v>{ REP-0076 }  Presóstato osmosis KP1</v>
          </cell>
          <cell r="C88">
            <v>158677</v>
          </cell>
          <cell r="D88">
            <v>161304</v>
          </cell>
        </row>
        <row r="89">
          <cell r="A89" t="str">
            <v>REP-0077</v>
          </cell>
          <cell r="B89" t="str">
            <v>{ REP-0077 }  Válvula pulsar</v>
          </cell>
          <cell r="C89">
            <v>118544</v>
          </cell>
          <cell r="D89">
            <v>120507</v>
          </cell>
        </row>
        <row r="90">
          <cell r="A90" t="str">
            <v>REP-0081</v>
          </cell>
          <cell r="B90" t="str">
            <v>{ REP-0081 }  Manguera conexión CAT</v>
          </cell>
          <cell r="C90">
            <v>33528</v>
          </cell>
          <cell r="D90">
            <v>34083</v>
          </cell>
        </row>
        <row r="91">
          <cell r="A91" t="str">
            <v>REP-0084</v>
          </cell>
          <cell r="B91" t="str">
            <v>{ REP-0084 }  Perno distribución racco 1/2</v>
          </cell>
          <cell r="C91">
            <v>4428</v>
          </cell>
          <cell r="D91">
            <v>4502</v>
          </cell>
        </row>
        <row r="92">
          <cell r="A92" t="str">
            <v>REP-0085</v>
          </cell>
          <cell r="B92" t="str">
            <v>{ REP-0085 }  Junta giratoria centro 3/8</v>
          </cell>
          <cell r="C92">
            <v>151954</v>
          </cell>
          <cell r="D92">
            <v>154470</v>
          </cell>
        </row>
        <row r="93">
          <cell r="A93" t="str">
            <v>REP-0086</v>
          </cell>
          <cell r="B93" t="str">
            <v>{ REP-0086 }  Junta giratoria extremo 3/8</v>
          </cell>
          <cell r="C93">
            <v>161743</v>
          </cell>
          <cell r="D93">
            <v>164422</v>
          </cell>
        </row>
        <row r="94">
          <cell r="A94" t="str">
            <v>REP-0087</v>
          </cell>
          <cell r="B94" t="str">
            <v>{ REP-0087 }  Boquilla plana aspiradora</v>
          </cell>
          <cell r="C94">
            <v>3131</v>
          </cell>
          <cell r="D94">
            <v>3183</v>
          </cell>
        </row>
        <row r="95">
          <cell r="A95" t="str">
            <v>REP-0088</v>
          </cell>
          <cell r="B95" t="str">
            <v>{ REP-0088 }  Válv retencion 1/4 inoxidable conexión viton</v>
          </cell>
          <cell r="C95">
            <v>43585</v>
          </cell>
          <cell r="D95">
            <v>44307</v>
          </cell>
        </row>
        <row r="96">
          <cell r="A96" t="str">
            <v>REP-0089</v>
          </cell>
          <cell r="B96" t="str">
            <v>{ REP-0089 }  Válvula europa bronce 1/2</v>
          </cell>
          <cell r="C96">
            <v>18496</v>
          </cell>
          <cell r="D96">
            <v>18802</v>
          </cell>
        </row>
        <row r="97">
          <cell r="A97" t="str">
            <v>REP-0090</v>
          </cell>
          <cell r="B97" t="str">
            <v>{ REP-0090 }  reducción 1/2\-1/4\, inox uso cepillo USA</v>
          </cell>
          <cell r="C97">
            <v>3281</v>
          </cell>
          <cell r="D97">
            <v>3335</v>
          </cell>
        </row>
        <row r="98">
          <cell r="A98" t="str">
            <v>REP-0091</v>
          </cell>
          <cell r="B98" t="str">
            <v>{ REP-0091 }  Perno distribución racco 3/8</v>
          </cell>
          <cell r="C98">
            <v>8996</v>
          </cell>
          <cell r="D98">
            <v>9145</v>
          </cell>
        </row>
        <row r="99">
          <cell r="A99" t="str">
            <v>REP-0092</v>
          </cell>
          <cell r="B99" t="str">
            <v>{ REP-0092 }  Perno conector 3/8 CAT</v>
          </cell>
          <cell r="C99">
            <v>4728</v>
          </cell>
          <cell r="D99">
            <v>4806</v>
          </cell>
        </row>
        <row r="100">
          <cell r="A100" t="str">
            <v>REP-0093</v>
          </cell>
          <cell r="B100" t="str">
            <v>{ REP-0093 }  Manguito giratorio FL 38M Asp</v>
          </cell>
          <cell r="C100">
            <v>7758</v>
          </cell>
          <cell r="D100">
            <v>7886</v>
          </cell>
        </row>
        <row r="101">
          <cell r="A101" t="str">
            <v>REP-0094</v>
          </cell>
          <cell r="B101" t="str">
            <v>{ REP-0094 }  Niple inox HEHE 1/2</v>
          </cell>
          <cell r="C101">
            <v>5951</v>
          </cell>
          <cell r="D101">
            <v>6050</v>
          </cell>
        </row>
        <row r="102">
          <cell r="A102" t="str">
            <v>REP-0095</v>
          </cell>
          <cell r="B102" t="str">
            <v>{ REP-0095 }  Tee inox 1/2 HIHEHI central</v>
          </cell>
          <cell r="C102">
            <v>11408</v>
          </cell>
          <cell r="D102">
            <v>11597</v>
          </cell>
        </row>
        <row r="103">
          <cell r="A103" t="str">
            <v>REP-0096</v>
          </cell>
          <cell r="B103" t="str">
            <v>{ REP-0096 }  Codo 1/4 * 6mm  inoxidable</v>
          </cell>
          <cell r="C103">
            <v>4074</v>
          </cell>
          <cell r="D103">
            <v>4142</v>
          </cell>
        </row>
        <row r="104">
          <cell r="A104" t="str">
            <v>REP-0097</v>
          </cell>
          <cell r="B104" t="str">
            <v>{ REP-0097 }  Protector boquilla lanza</v>
          </cell>
          <cell r="C104">
            <v>16999</v>
          </cell>
          <cell r="D104">
            <v>17281</v>
          </cell>
        </row>
        <row r="105">
          <cell r="A105" t="str">
            <v>REP-0098</v>
          </cell>
          <cell r="B105" t="str">
            <v>{ REP-0098 }  Boquilla lanza 1/8</v>
          </cell>
          <cell r="C105">
            <v>8073</v>
          </cell>
          <cell r="D105">
            <v>8207</v>
          </cell>
        </row>
        <row r="106">
          <cell r="A106" t="str">
            <v>REP-0099</v>
          </cell>
          <cell r="B106" t="str">
            <v>{ REP-0099 }  Manómetro glic. 0-12 bar</v>
          </cell>
          <cell r="C106">
            <v>23917</v>
          </cell>
          <cell r="D106">
            <v>24313</v>
          </cell>
        </row>
        <row r="107">
          <cell r="A107" t="str">
            <v>REP-0101</v>
          </cell>
          <cell r="B107" t="str">
            <v>{ REP-0101 }  Caja electrica aspirado Twister&amp;Dry</v>
          </cell>
          <cell r="C107">
            <v>51102</v>
          </cell>
          <cell r="D107">
            <v>51948</v>
          </cell>
        </row>
        <row r="108">
          <cell r="A108" t="str">
            <v>REP-0102</v>
          </cell>
          <cell r="B108" t="str">
            <v>{ REP-0102 }  Lanza mousse ST-75</v>
          </cell>
          <cell r="C108">
            <v>447969</v>
          </cell>
          <cell r="D108">
            <v>455387</v>
          </cell>
        </row>
        <row r="109">
          <cell r="A109" t="str">
            <v>REP-0103</v>
          </cell>
          <cell r="B109" t="str">
            <v>{ REP-0103 }  Manómetro seco 0-6 bar</v>
          </cell>
          <cell r="C109">
            <v>12266</v>
          </cell>
          <cell r="D109">
            <v>12469</v>
          </cell>
        </row>
        <row r="110">
          <cell r="A110" t="str">
            <v>REP-0104</v>
          </cell>
          <cell r="B110" t="str">
            <v>{ REP-0104 }  Display 4 cifras</v>
          </cell>
          <cell r="C110">
            <v>396032</v>
          </cell>
          <cell r="D110">
            <v>402590</v>
          </cell>
        </row>
        <row r="111">
          <cell r="A111" t="str">
            <v>REP-0105</v>
          </cell>
          <cell r="B111" t="str">
            <v>{ REP-0105 }  Cable interfaz serial 9/25 para programación ficheros</v>
          </cell>
          <cell r="C111">
            <v>103898</v>
          </cell>
          <cell r="D111">
            <v>105618</v>
          </cell>
        </row>
        <row r="112">
          <cell r="A112" t="str">
            <v>REP-0109</v>
          </cell>
          <cell r="B112" t="str">
            <v>{ REP-0109 }  Lexan para cubrefichero</v>
          </cell>
          <cell r="C112">
            <v>11580</v>
          </cell>
          <cell r="D112">
            <v>11771</v>
          </cell>
        </row>
        <row r="113">
          <cell r="A113" t="str">
            <v>REP-0110</v>
          </cell>
          <cell r="B113" t="str">
            <v>{ REP-0110 }  Grifos Osmosis 1/2 AP</v>
          </cell>
          <cell r="C113">
            <v>114641</v>
          </cell>
          <cell r="D113">
            <v>116539</v>
          </cell>
        </row>
        <row r="114">
          <cell r="A114" t="str">
            <v>REP-0111</v>
          </cell>
          <cell r="B114" t="str">
            <v>{ REP-0111 }  Niples girantes 1/2\F-1/2\M</v>
          </cell>
          <cell r="C114">
            <v>7130</v>
          </cell>
          <cell r="D114">
            <v>7248</v>
          </cell>
        </row>
        <row r="115">
          <cell r="A115" t="str">
            <v>REP-0112</v>
          </cell>
          <cell r="B115" t="str">
            <v>{ REP-0112 }  Manguera rilsan 6x4 dura</v>
          </cell>
          <cell r="C115">
            <v>2445</v>
          </cell>
          <cell r="D115">
            <v>2485</v>
          </cell>
        </row>
        <row r="116">
          <cell r="A116" t="str">
            <v>REP-0113</v>
          </cell>
          <cell r="B116" t="str">
            <v>{ REP-0113 }  Pulsador de tacto programas</v>
          </cell>
          <cell r="C116">
            <v>59937</v>
          </cell>
          <cell r="D116">
            <v>60929</v>
          </cell>
        </row>
        <row r="117">
          <cell r="A117" t="str">
            <v>REP-0114</v>
          </cell>
          <cell r="B117" t="str">
            <v>{ REP-0114 }  Guarnizione filtro tabla 23 - pos.1 (sello poliuretano)</v>
          </cell>
          <cell r="C117">
            <v>17370</v>
          </cell>
          <cell r="D117">
            <v>17658</v>
          </cell>
        </row>
        <row r="118">
          <cell r="A118" t="str">
            <v>REP-0115</v>
          </cell>
          <cell r="B118" t="str">
            <v>{ REP-0115 }  Cable fichero (40 cm)</v>
          </cell>
          <cell r="C118">
            <v>13499</v>
          </cell>
          <cell r="D118">
            <v>13723</v>
          </cell>
        </row>
        <row r="119">
          <cell r="A119" t="str">
            <v>REP-0116</v>
          </cell>
          <cell r="B119" t="str">
            <v>{ REP-0116 }  EV 1/2 salida filtros L180</v>
          </cell>
          <cell r="C119">
            <v>98633</v>
          </cell>
          <cell r="D119">
            <v>100266</v>
          </cell>
        </row>
        <row r="120">
          <cell r="A120" t="str">
            <v>REP-0117</v>
          </cell>
          <cell r="B120" t="str">
            <v>{ REP-0117 }  Numeral de aspirado tabla 21- pos.3</v>
          </cell>
          <cell r="C120">
            <v>104219</v>
          </cell>
          <cell r="D120">
            <v>105945</v>
          </cell>
        </row>
        <row r="121">
          <cell r="A121" t="str">
            <v>REP-0118</v>
          </cell>
          <cell r="B121" t="str">
            <v>{ REP-0118 }  Manómetro ABS 0-250 bar</v>
          </cell>
          <cell r="C121">
            <v>18549</v>
          </cell>
          <cell r="D121">
            <v>18856</v>
          </cell>
        </row>
        <row r="122">
          <cell r="A122" t="str">
            <v>REP-0119</v>
          </cell>
          <cell r="B122" t="str">
            <v>{ REP-0119 }  Junta (bomba 3cp) CAT</v>
          </cell>
          <cell r="C122">
            <v>168776</v>
          </cell>
          <cell r="D122">
            <v>171571</v>
          </cell>
        </row>
        <row r="123">
          <cell r="A123" t="str">
            <v>REP-0120</v>
          </cell>
          <cell r="B123" t="str">
            <v>{ REP-0120 }  Schedino RM 927 (placa fichero pequeña)</v>
          </cell>
          <cell r="C123">
            <v>15633</v>
          </cell>
          <cell r="D123">
            <v>15892</v>
          </cell>
        </row>
        <row r="124">
          <cell r="A124" t="str">
            <v>REP-0121</v>
          </cell>
          <cell r="B124" t="str">
            <v>{ REP-0121 }  Presóstato G1/4</v>
          </cell>
          <cell r="C124">
            <v>33561</v>
          </cell>
          <cell r="D124">
            <v>34116</v>
          </cell>
        </row>
        <row r="125">
          <cell r="A125" t="str">
            <v>REP-0122</v>
          </cell>
          <cell r="B125" t="str">
            <v>{ REP-0122 }  Tee inox 1/4\x6mm</v>
          </cell>
          <cell r="C125">
            <v>8684</v>
          </cell>
          <cell r="D125">
            <v>8828</v>
          </cell>
        </row>
        <row r="126">
          <cell r="A126" t="str">
            <v>REP-0123</v>
          </cell>
          <cell r="B126" t="str">
            <v>{ REP-0123 }  Manguera shampoo Rilsan 6x4 (lavallantas)</v>
          </cell>
          <cell r="C126">
            <v>4589</v>
          </cell>
          <cell r="D126">
            <v>4665</v>
          </cell>
        </row>
        <row r="127">
          <cell r="A127" t="str">
            <v>REP-0124</v>
          </cell>
          <cell r="B127" t="str">
            <v>{ REP-0124 }  Campana (bomba 3p) CAT</v>
          </cell>
          <cell r="C127">
            <v>97700</v>
          </cell>
          <cell r="D127">
            <v>99318</v>
          </cell>
        </row>
        <row r="128">
          <cell r="A128" t="str">
            <v>REP-0125</v>
          </cell>
          <cell r="B128" t="str">
            <v>{ REP-0125 }  Válvula no retorno Inoxidable 1/4''</v>
          </cell>
          <cell r="C128">
            <v>41602</v>
          </cell>
          <cell r="D128">
            <v>42291</v>
          </cell>
        </row>
        <row r="129">
          <cell r="A129" t="str">
            <v>REP-0126</v>
          </cell>
          <cell r="B129" t="str">
            <v>{ REP-0126 }  Válvula de fondo para bidón shampoo</v>
          </cell>
          <cell r="C129">
            <v>45859</v>
          </cell>
          <cell r="D129">
            <v>46618</v>
          </cell>
        </row>
        <row r="130">
          <cell r="A130" t="str">
            <v>REP-0127</v>
          </cell>
          <cell r="B130" t="str">
            <v>{ REP-0127 }  Golillas aislantes pulsadores</v>
          </cell>
          <cell r="C130">
            <v>9382</v>
          </cell>
          <cell r="D130">
            <v>9537</v>
          </cell>
        </row>
        <row r="131">
          <cell r="A131" t="str">
            <v>REP-0128</v>
          </cell>
          <cell r="B131" t="str">
            <v>{ REP-0128 }  Kit EV sirai 3/4\ L131 (membrana electroválvula verde)</v>
          </cell>
          <cell r="C131">
            <v>50158</v>
          </cell>
          <cell r="D131">
            <v>50988</v>
          </cell>
        </row>
        <row r="132">
          <cell r="A132" t="str">
            <v>REP-0129</v>
          </cell>
          <cell r="B132" t="str">
            <v>{ REP-0129 }  Kit filtro twister M2 (tambor plástico 2013)</v>
          </cell>
          <cell r="C132">
            <v>294428</v>
          </cell>
          <cell r="D132">
            <v>299304</v>
          </cell>
        </row>
        <row r="133">
          <cell r="A133" t="str">
            <v>REP-0132</v>
          </cell>
          <cell r="B133" t="str">
            <v>{ REP-0132 }  Pistola renovador de neumático punta inoxidable</v>
          </cell>
          <cell r="C133">
            <v>103704</v>
          </cell>
          <cell r="D133">
            <v>105422</v>
          </cell>
        </row>
        <row r="134">
          <cell r="A134" t="str">
            <v>REP-0134</v>
          </cell>
          <cell r="B134" t="str">
            <v>{ REP-0134 }  Válvula retención europa 3/4</v>
          </cell>
          <cell r="C134">
            <v>20329</v>
          </cell>
          <cell r="D134">
            <v>20665</v>
          </cell>
        </row>
        <row r="135">
          <cell r="A135" t="str">
            <v>REP-0135</v>
          </cell>
          <cell r="B135" t="str">
            <v>{ REP-0135 }  Resorte de sistema vibración (conico)</v>
          </cell>
          <cell r="C135">
            <v>11152</v>
          </cell>
          <cell r="D135">
            <v>11337</v>
          </cell>
        </row>
        <row r="136">
          <cell r="A136" t="str">
            <v>REP-0136</v>
          </cell>
          <cell r="B136" t="str">
            <v>{ REP-0136 }  Manómetro glic. 25 bar</v>
          </cell>
          <cell r="C136">
            <v>23297</v>
          </cell>
          <cell r="D136">
            <v>23297</v>
          </cell>
        </row>
        <row r="137">
          <cell r="A137" t="str">
            <v>REP-0137</v>
          </cell>
          <cell r="B137" t="str">
            <v>{ REP-0137 }  Kit bidone Twister M2 (tambor aspiradora Plástico)</v>
          </cell>
          <cell r="C137">
            <v>589608</v>
          </cell>
          <cell r="D137">
            <v>589608</v>
          </cell>
        </row>
        <row r="138">
          <cell r="A138" t="str">
            <v>REP-0138</v>
          </cell>
          <cell r="B138" t="str">
            <v>{ REP-0138 }  Contactor 24V</v>
          </cell>
          <cell r="C138">
            <v>53203</v>
          </cell>
          <cell r="D138">
            <v>54084</v>
          </cell>
        </row>
        <row r="139">
          <cell r="A139" t="str">
            <v>REP-0144</v>
          </cell>
          <cell r="B139" t="str">
            <v>{ REP-0144 }  EV 1/4\ burket cod 125302w</v>
          </cell>
          <cell r="C139">
            <v>112121</v>
          </cell>
          <cell r="D139">
            <v>113978</v>
          </cell>
        </row>
        <row r="140">
          <cell r="A140" t="str">
            <v>REP-0145</v>
          </cell>
          <cell r="B140" t="str">
            <v>{ REP-0145 }  Manguera lavallantas 8mm</v>
          </cell>
          <cell r="C140">
            <v>3484</v>
          </cell>
          <cell r="D140">
            <v>3484</v>
          </cell>
        </row>
        <row r="141">
          <cell r="A141" t="str">
            <v>REP-0147</v>
          </cell>
          <cell r="B141" t="str">
            <v>{ REP-0147 }  Pistón cerámico Interpump</v>
          </cell>
          <cell r="C141">
            <v>37796</v>
          </cell>
          <cell r="D141">
            <v>37796</v>
          </cell>
        </row>
        <row r="142">
          <cell r="A142" t="str">
            <v>REP-0149</v>
          </cell>
          <cell r="B142" t="str">
            <v>{ REP-0149 }  Kit de sellos de agua interpump</v>
          </cell>
          <cell r="C142">
            <v>130767</v>
          </cell>
          <cell r="D142">
            <v>132932</v>
          </cell>
        </row>
        <row r="143">
          <cell r="A143" t="str">
            <v>REP-0151</v>
          </cell>
          <cell r="B143" t="str">
            <v>{ REP-0151 }  Motor trifásico de osmosis</v>
          </cell>
          <cell r="C143">
            <v>334540</v>
          </cell>
          <cell r="D143">
            <v>340080</v>
          </cell>
        </row>
        <row r="144">
          <cell r="A144" t="str">
            <v>REP-0152</v>
          </cell>
          <cell r="B144" t="str">
            <v>{ REP-0152 }  EV sirai 3/4 bajada osmosis</v>
          </cell>
          <cell r="C144">
            <v>191915</v>
          </cell>
          <cell r="D144">
            <v>195093</v>
          </cell>
        </row>
        <row r="145">
          <cell r="A145" t="str">
            <v>REP-0153</v>
          </cell>
          <cell r="B145" t="str">
            <v>{ REP-0153 }  Motor cat trifásico inverter</v>
          </cell>
          <cell r="C145">
            <v>552602</v>
          </cell>
          <cell r="D145">
            <v>561753</v>
          </cell>
        </row>
        <row r="146">
          <cell r="A146" t="str">
            <v>REP-0154</v>
          </cell>
          <cell r="B146" t="str">
            <v>{ REP-0154 }  Conductivímetro c901</v>
          </cell>
          <cell r="C146">
            <v>515883</v>
          </cell>
          <cell r="D146">
            <v>524426</v>
          </cell>
        </row>
        <row r="147">
          <cell r="A147" t="str">
            <v>REP-0155</v>
          </cell>
          <cell r="B147" t="str">
            <v>{ REP-0155 }  Campana lateral (bomba 3cp) CAT</v>
          </cell>
          <cell r="C147">
            <v>19954</v>
          </cell>
          <cell r="D147">
            <v>20284</v>
          </cell>
        </row>
        <row r="148">
          <cell r="A148" t="str">
            <v>REP-0156</v>
          </cell>
          <cell r="B148" t="str">
            <v>{ REP-0156 }  Inyector colector pvc (blanco o negro)</v>
          </cell>
          <cell r="C148">
            <v>62327</v>
          </cell>
          <cell r="D148">
            <v>63359</v>
          </cell>
        </row>
        <row r="149">
          <cell r="A149" t="str">
            <v>REP-0157</v>
          </cell>
          <cell r="B149" t="str">
            <v>{ REP-0157 }  O-ring separacion E/V</v>
          </cell>
          <cell r="C149">
            <v>5157</v>
          </cell>
          <cell r="D149">
            <v>5243</v>
          </cell>
        </row>
        <row r="150">
          <cell r="A150" t="str">
            <v>REP-0158</v>
          </cell>
          <cell r="B150" t="str">
            <v>{ REP-0158 }  Conector recto 1/4 HI X 6mm</v>
          </cell>
          <cell r="C150">
            <v>2767</v>
          </cell>
          <cell r="D150">
            <v>2813</v>
          </cell>
        </row>
        <row r="151">
          <cell r="A151" t="str">
            <v>REP-0159</v>
          </cell>
          <cell r="B151" t="str">
            <v>{ REP-0159 }  Flujometro 250 lt</v>
          </cell>
          <cell r="C151">
            <v>296477</v>
          </cell>
          <cell r="D151">
            <v>301386</v>
          </cell>
        </row>
        <row r="152">
          <cell r="A152" t="str">
            <v>REP-0160</v>
          </cell>
          <cell r="B152" t="str">
            <v>{ REP-0160 }  Kit EV Burkert</v>
          </cell>
          <cell r="C152">
            <v>59615</v>
          </cell>
          <cell r="D152">
            <v>60602</v>
          </cell>
        </row>
        <row r="153">
          <cell r="A153" t="str">
            <v>REP-0161</v>
          </cell>
          <cell r="B153" t="str">
            <v>{ REP-0161 }  Relé mini 24VCC finder</v>
          </cell>
          <cell r="C153">
            <v>34557</v>
          </cell>
          <cell r="D153">
            <v>35129</v>
          </cell>
        </row>
        <row r="154">
          <cell r="A154" t="str">
            <v>REP-0162</v>
          </cell>
          <cell r="B154" t="str">
            <v>{ REP-0162 }  Contaimpulsos (numeral Mself)</v>
          </cell>
          <cell r="C154">
            <v>37055</v>
          </cell>
          <cell r="D154">
            <v>37669</v>
          </cell>
        </row>
        <row r="155">
          <cell r="A155" t="str">
            <v>REP-0164</v>
          </cell>
          <cell r="B155" t="str">
            <v>{ REP-0164 }  Electroválvula L 180 Burket 3/4´´</v>
          </cell>
          <cell r="C155">
            <v>110523</v>
          </cell>
          <cell r="D155">
            <v>112354</v>
          </cell>
        </row>
        <row r="156">
          <cell r="A156" t="str">
            <v>REP-0165</v>
          </cell>
          <cell r="B156" t="str">
            <v>{ REP-0165 }  Ingreso lateral Burket</v>
          </cell>
          <cell r="C156">
            <v>56903</v>
          </cell>
          <cell r="D156">
            <v>57845</v>
          </cell>
        </row>
        <row r="157">
          <cell r="A157" t="str">
            <v>REP-0168</v>
          </cell>
          <cell r="B157" t="str">
            <v>{ REP-0168 }  Conexión rápida 1/4\ niple</v>
          </cell>
          <cell r="C157">
            <v>3775</v>
          </cell>
          <cell r="D157">
            <v>3837</v>
          </cell>
        </row>
        <row r="158">
          <cell r="A158" t="str">
            <v>REP-0169</v>
          </cell>
          <cell r="B158" t="str">
            <v>{ REP-0169 }  Niple galvanizado1/2”</v>
          </cell>
          <cell r="C158">
            <v>4900</v>
          </cell>
          <cell r="D158">
            <v>4982</v>
          </cell>
        </row>
        <row r="159">
          <cell r="A159" t="str">
            <v>REP-0172</v>
          </cell>
          <cell r="B159" t="str">
            <v>{ REP-0172 }  Conexión  rápida codo 1/4"</v>
          </cell>
          <cell r="C159">
            <v>7194</v>
          </cell>
          <cell r="D159">
            <v>7313</v>
          </cell>
        </row>
        <row r="160">
          <cell r="A160" t="str">
            <v>REP-0173</v>
          </cell>
          <cell r="B160" t="str">
            <v>{ REP-0173 }  kit turbina twister m2 (motor aspiradora t. plástico)</v>
          </cell>
          <cell r="C160">
            <v>2067435</v>
          </cell>
          <cell r="D160">
            <v>2101671</v>
          </cell>
        </row>
        <row r="161">
          <cell r="A161" t="str">
            <v>REP-0175</v>
          </cell>
          <cell r="B161" t="str">
            <v>{ REP-0175 }  Rele mini 24V DC 8A 250V azul</v>
          </cell>
          <cell r="C161">
            <v>14314</v>
          </cell>
          <cell r="D161">
            <v>14551</v>
          </cell>
        </row>
        <row r="162">
          <cell r="A162" t="str">
            <v>REP-0176</v>
          </cell>
          <cell r="B162" t="str">
            <v>{ REP-0176 }  Motor mix dry 220v 7A (motor secado)</v>
          </cell>
          <cell r="C162">
            <v>979796</v>
          </cell>
          <cell r="D162">
            <v>996021</v>
          </cell>
        </row>
        <row r="163">
          <cell r="A163" t="str">
            <v>REP-0178</v>
          </cell>
          <cell r="B163" t="str">
            <v>{ REP-0178 }  Pieza cierre lateral Burket</v>
          </cell>
          <cell r="C163">
            <v>20265</v>
          </cell>
          <cell r="D163">
            <v>20601</v>
          </cell>
        </row>
        <row r="164">
          <cell r="A164" t="str">
            <v>REP-0179</v>
          </cell>
          <cell r="B164" t="str">
            <v>{ REP-0179 }  Transformador 400/220 twister</v>
          </cell>
          <cell r="C164">
            <v>76610</v>
          </cell>
          <cell r="D164">
            <v>77878</v>
          </cell>
        </row>
        <row r="165">
          <cell r="A165" t="str">
            <v>REP-0180</v>
          </cell>
          <cell r="B165" t="str">
            <v>{ REP-0180 }  Lanza para MIX dry completa</v>
          </cell>
          <cell r="C165">
            <v>1069980</v>
          </cell>
          <cell r="D165">
            <v>1087699</v>
          </cell>
        </row>
        <row r="166">
          <cell r="A166" t="str">
            <v>REP-0181</v>
          </cell>
          <cell r="B166" t="str">
            <v>{ REP-0181 }  Contactor 10 24V</v>
          </cell>
          <cell r="C166">
            <v>60173</v>
          </cell>
          <cell r="D166">
            <v>61169</v>
          </cell>
        </row>
        <row r="167">
          <cell r="A167" t="str">
            <v>REP-0182</v>
          </cell>
          <cell r="B167" t="str">
            <v>{ REP-0182 }  Relé mini 24VCA finder</v>
          </cell>
          <cell r="C167">
            <v>10893</v>
          </cell>
          <cell r="D167">
            <v>11074</v>
          </cell>
        </row>
        <row r="168">
          <cell r="A168" t="str">
            <v>REP-0183</v>
          </cell>
          <cell r="B168" t="str">
            <v>{ REP-0183 }  Ugello pos 23 - boquilla y pistola perfume</v>
          </cell>
          <cell r="C168">
            <v>143311</v>
          </cell>
          <cell r="D168">
            <v>145684</v>
          </cell>
        </row>
        <row r="169">
          <cell r="A169" t="str">
            <v>REP-0184</v>
          </cell>
          <cell r="B169" t="str">
            <v>{ REP-0184 }  Relé auxiliar 10A</v>
          </cell>
          <cell r="C169">
            <v>33443</v>
          </cell>
          <cell r="D169">
            <v>33996</v>
          </cell>
        </row>
        <row r="170">
          <cell r="A170" t="str">
            <v>REP-0185</v>
          </cell>
          <cell r="B170" t="str">
            <v>{ REP-0185 }  Rodillo lavatapete LTS400</v>
          </cell>
          <cell r="C170">
            <v>440335</v>
          </cell>
          <cell r="D170">
            <v>447627</v>
          </cell>
        </row>
        <row r="171">
          <cell r="A171" t="str">
            <v>REP-0187</v>
          </cell>
          <cell r="B171" t="str">
            <v>{ REP-0187 }  Sensor conductivímetro</v>
          </cell>
          <cell r="C171">
            <v>213648</v>
          </cell>
          <cell r="D171">
            <v>217186</v>
          </cell>
        </row>
        <row r="172">
          <cell r="A172" t="str">
            <v>REP-0191</v>
          </cell>
          <cell r="B172" t="str">
            <v>{ REP-0191 }  Extensión 8+8 Siemens</v>
          </cell>
          <cell r="C172">
            <v>555833</v>
          </cell>
          <cell r="D172">
            <v>565038</v>
          </cell>
        </row>
        <row r="173">
          <cell r="A173" t="str">
            <v>REP-0192</v>
          </cell>
          <cell r="B173" t="str">
            <v>{ REP-0192 }  Microinterruptor contactor motor trifásico</v>
          </cell>
          <cell r="C173">
            <v>11934</v>
          </cell>
          <cell r="D173">
            <v>12131</v>
          </cell>
        </row>
        <row r="174">
          <cell r="A174" t="str">
            <v>REP-0198</v>
          </cell>
          <cell r="B174" t="str">
            <v>{ REP-0198 }  Válvula robex con válvula retención 3/4\</v>
          </cell>
          <cell r="C174">
            <v>76234</v>
          </cell>
          <cell r="D174">
            <v>77496</v>
          </cell>
        </row>
        <row r="175">
          <cell r="A175" t="str">
            <v>REP-0202</v>
          </cell>
          <cell r="B175" t="str">
            <v>{ REP-0202 }  Transformador 380 / 18 - 24 V</v>
          </cell>
          <cell r="C175">
            <v>81188</v>
          </cell>
          <cell r="D175">
            <v>82532</v>
          </cell>
        </row>
        <row r="176">
          <cell r="A176" t="str">
            <v>REP-0203</v>
          </cell>
          <cell r="B176" t="str">
            <v>{ REP-0203 }  Recuadro Burket</v>
          </cell>
          <cell r="C176">
            <v>19364</v>
          </cell>
          <cell r="D176">
            <v>19684</v>
          </cell>
        </row>
        <row r="177">
          <cell r="A177" t="str">
            <v>REP-0204</v>
          </cell>
          <cell r="B177" t="str">
            <v>{ REP-0204 }  Bomba cat 5 cp</v>
          </cell>
          <cell r="C177">
            <v>1148937</v>
          </cell>
          <cell r="D177">
            <v>1167963</v>
          </cell>
        </row>
        <row r="178">
          <cell r="A178" t="str">
            <v>REP-0205</v>
          </cell>
          <cell r="B178" t="str">
            <v>{ REP-0205 }  Chapa aspirado tambor plástico (TW2013)</v>
          </cell>
          <cell r="C178">
            <v>107693</v>
          </cell>
          <cell r="D178">
            <v>109476</v>
          </cell>
        </row>
        <row r="179">
          <cell r="A179" t="str">
            <v>REP-0208</v>
          </cell>
          <cell r="B179" t="str">
            <v>{ REP-0208 }  Válvula fondo de bidones dispens de producto</v>
          </cell>
          <cell r="C179">
            <v>18223</v>
          </cell>
          <cell r="D179">
            <v>18525</v>
          </cell>
        </row>
        <row r="180">
          <cell r="A180" t="str">
            <v>REP-0209</v>
          </cell>
          <cell r="B180" t="str">
            <v>{ REP-0209 }  Motor 4Kw/2,8 Kw (Camiones)</v>
          </cell>
          <cell r="C180">
            <v>740468</v>
          </cell>
          <cell r="D180">
            <v>740468</v>
          </cell>
        </row>
        <row r="181">
          <cell r="A181" t="str">
            <v>REP-0219</v>
          </cell>
          <cell r="B181" t="str">
            <v>{ REP-0219 }  Zocalo finder 2S</v>
          </cell>
          <cell r="C181">
            <v>8684</v>
          </cell>
          <cell r="D181">
            <v>8828</v>
          </cell>
        </row>
        <row r="182">
          <cell r="A182" t="str">
            <v>REP-0223</v>
          </cell>
          <cell r="B182" t="str">
            <v>{ REP-0223 }  Tee de acople rapido x3 1/4</v>
          </cell>
          <cell r="C182">
            <v>18345</v>
          </cell>
          <cell r="D182">
            <v>18649</v>
          </cell>
        </row>
        <row r="183">
          <cell r="A183" t="str">
            <v>REP-0234</v>
          </cell>
          <cell r="B183" t="str">
            <v>{ REP-0234 }  sujetador manguera aspiradora</v>
          </cell>
          <cell r="C183">
            <v>8095</v>
          </cell>
          <cell r="D183">
            <v>8229</v>
          </cell>
        </row>
        <row r="184">
          <cell r="A184" t="str">
            <v>REP-0236</v>
          </cell>
          <cell r="B184" t="str">
            <v>{ REP-0236 }  Tuerca inoxidable protector fichero</v>
          </cell>
          <cell r="C184">
            <v>32</v>
          </cell>
          <cell r="D184">
            <v>33</v>
          </cell>
        </row>
        <row r="185">
          <cell r="A185" t="str">
            <v>REP-0237</v>
          </cell>
          <cell r="B185" t="str">
            <v>{ REP-0237 }  Separador pvc (bomba 3cp) CAT</v>
          </cell>
          <cell r="C185">
            <v>4225</v>
          </cell>
          <cell r="D185">
            <v>4175</v>
          </cell>
        </row>
        <row r="186">
          <cell r="A186" t="str">
            <v>REP-0238</v>
          </cell>
          <cell r="B186" t="str">
            <v>{ REP-0238 }  Sello de aceite (bomba 3cp) CAT</v>
          </cell>
          <cell r="C186">
            <v>14039</v>
          </cell>
          <cell r="D186">
            <v>13873</v>
          </cell>
        </row>
        <row r="187">
          <cell r="A187" t="str">
            <v>REP-0239</v>
          </cell>
          <cell r="B187" t="str">
            <v>{ REP-0239 }  Pistón cerámicos (bomba 3cp) CAT</v>
          </cell>
          <cell r="C187">
            <v>84779</v>
          </cell>
          <cell r="D187">
            <v>83777</v>
          </cell>
        </row>
        <row r="188">
          <cell r="A188" t="str">
            <v>REP-0240</v>
          </cell>
          <cell r="B188" t="str">
            <v>{ REP-0240 }  Perno culatín m8x65 (bomba 3cp) CAT</v>
          </cell>
          <cell r="C188">
            <v>4604</v>
          </cell>
          <cell r="D188">
            <v>4550</v>
          </cell>
        </row>
        <row r="189">
          <cell r="A189" t="str">
            <v>REP-0241</v>
          </cell>
          <cell r="B189" t="str">
            <v>{ REP-0241 }  Kit de válvulas 33062 (bomba 3cp) CAT</v>
          </cell>
          <cell r="C189">
            <v>71306</v>
          </cell>
          <cell r="D189">
            <v>70463</v>
          </cell>
        </row>
        <row r="190">
          <cell r="A190" t="str">
            <v>REP-0242</v>
          </cell>
          <cell r="B190" t="str">
            <v>{ REP-0242 }  Kit sellos de agua 33983 (bomba 3cp) CAT</v>
          </cell>
          <cell r="C190">
            <v>93816</v>
          </cell>
          <cell r="D190">
            <v>92707</v>
          </cell>
        </row>
        <row r="191">
          <cell r="A191" t="str">
            <v>REP-0243</v>
          </cell>
          <cell r="B191" t="str">
            <v>{ REP-0243 }  Golilla cóncava pistón (bomba 3cp) CAT</v>
          </cell>
          <cell r="C191">
            <v>4774</v>
          </cell>
          <cell r="D191">
            <v>4718</v>
          </cell>
        </row>
        <row r="192">
          <cell r="A192" t="str">
            <v>REP-0245</v>
          </cell>
          <cell r="B192" t="str">
            <v>{ REP-0245 }  O-ring tapa (bomba 3cp) CAT</v>
          </cell>
          <cell r="C192">
            <v>6460</v>
          </cell>
          <cell r="D192">
            <v>6383</v>
          </cell>
        </row>
        <row r="193">
          <cell r="A193" t="str">
            <v>REP-0246</v>
          </cell>
          <cell r="B193" t="str">
            <v>{ REP-0246 }  Golilla pistón ranurada (bomba 3cp) CAT</v>
          </cell>
          <cell r="C193">
            <v>3979</v>
          </cell>
          <cell r="D193">
            <v>3932</v>
          </cell>
        </row>
        <row r="194">
          <cell r="A194" t="str">
            <v>REP-0247</v>
          </cell>
          <cell r="B194" t="str">
            <v>{ REP-0247 }  O-ring tapa rodamiento (bomba 3cp) CAT</v>
          </cell>
          <cell r="C194">
            <v>3193</v>
          </cell>
          <cell r="D194">
            <v>3193</v>
          </cell>
        </row>
        <row r="195">
          <cell r="A195" t="str">
            <v>REP-0248</v>
          </cell>
          <cell r="B195" t="str">
            <v>{ REP-0248 }  Retainer, plunger w/stud3/5cp</v>
          </cell>
          <cell r="C195">
            <v>4973</v>
          </cell>
          <cell r="D195">
            <v>4915</v>
          </cell>
        </row>
        <row r="196">
          <cell r="A196" t="str">
            <v>REP-0249</v>
          </cell>
          <cell r="B196" t="str">
            <v>{ REP-0249 }  O-ring tapón inferior aceite (bomba 3cp) CAT</v>
          </cell>
          <cell r="C196">
            <v>1032</v>
          </cell>
          <cell r="D196">
            <v>1020</v>
          </cell>
        </row>
        <row r="197">
          <cell r="A197" t="str">
            <v>REP-0252</v>
          </cell>
          <cell r="B197" t="str">
            <v>{ REP-0252 }  Portasello (bomba 3cp) CAT</v>
          </cell>
          <cell r="C197">
            <v>31827</v>
          </cell>
          <cell r="D197">
            <v>31451</v>
          </cell>
        </row>
        <row r="198">
          <cell r="A198" t="str">
            <v>REP-0253</v>
          </cell>
          <cell r="B198" t="str">
            <v>{ REP-0253 }  Rodamiento (bomba 3cp) CAT</v>
          </cell>
          <cell r="C198">
            <v>33467</v>
          </cell>
          <cell r="D198">
            <v>33071</v>
          </cell>
        </row>
        <row r="199">
          <cell r="A199" t="str">
            <v>REP-0254</v>
          </cell>
          <cell r="B199" t="str">
            <v>{ REP-0254 }  Tapón inferior aceite (bomba 3cp) CAT</v>
          </cell>
          <cell r="C199">
            <v>6905</v>
          </cell>
          <cell r="D199">
            <v>6823</v>
          </cell>
        </row>
        <row r="200">
          <cell r="A200" t="str">
            <v>REP-0255</v>
          </cell>
          <cell r="B200" t="str">
            <v>{ REP-0255 }  Tapa válvula (bomba 3cp) CAT</v>
          </cell>
          <cell r="C200">
            <v>29839</v>
          </cell>
          <cell r="D200">
            <v>29486</v>
          </cell>
        </row>
        <row r="201">
          <cell r="A201" t="str">
            <v>REP-0256</v>
          </cell>
          <cell r="B201" t="str">
            <v>{ REP-0256 }  Visor nivel de aceite (bomba 3cp) CAT</v>
          </cell>
          <cell r="C201">
            <v>12106</v>
          </cell>
          <cell r="D201">
            <v>11963</v>
          </cell>
        </row>
        <row r="202">
          <cell r="A202" t="str">
            <v>REP-0260</v>
          </cell>
          <cell r="B202" t="str">
            <v>{ REP-0260 }  Ablandador en fibra, modelo HAF 1800 DA, operación automática.</v>
          </cell>
          <cell r="C202">
            <v>0</v>
          </cell>
          <cell r="D202">
            <v>0</v>
          </cell>
        </row>
        <row r="203">
          <cell r="A203" t="str">
            <v>REP-0262</v>
          </cell>
          <cell r="B203" t="str">
            <v>{ REP-0262 }  Membrana de osmosis para nueva Mself</v>
          </cell>
          <cell r="C203">
            <v>288437</v>
          </cell>
          <cell r="D203">
            <v>285027</v>
          </cell>
        </row>
        <row r="204">
          <cell r="A204" t="str">
            <v>REP-0263</v>
          </cell>
          <cell r="B204" t="str">
            <v>{ REP-0263 }  Filtro sedimentos</v>
          </cell>
          <cell r="C204">
            <v>3056</v>
          </cell>
          <cell r="D204">
            <v>3102</v>
          </cell>
        </row>
        <row r="205">
          <cell r="A205" t="str">
            <v>REP-0264</v>
          </cell>
          <cell r="B205" t="str">
            <v>{ REP-0264 }  Filtro carbón activo</v>
          </cell>
          <cell r="C205">
            <v>9832</v>
          </cell>
          <cell r="D205">
            <v>9715</v>
          </cell>
        </row>
        <row r="206">
          <cell r="A206" t="str">
            <v>REP-0266</v>
          </cell>
          <cell r="B206" t="str">
            <v>{ REP-0266 }  Limpiador spray acero inoxidable 3M</v>
          </cell>
          <cell r="C206">
            <v>12975</v>
          </cell>
          <cell r="D206">
            <v>12975</v>
          </cell>
        </row>
        <row r="207">
          <cell r="A207" t="str">
            <v>REP-0267</v>
          </cell>
          <cell r="B207" t="str">
            <v>{ REP-0267 }  Paños pulidores extra finos (10 unidades)</v>
          </cell>
          <cell r="C207">
            <v>4362</v>
          </cell>
          <cell r="D207">
            <v>4310</v>
          </cell>
        </row>
        <row r="208">
          <cell r="A208" t="str">
            <v>REP-0268</v>
          </cell>
          <cell r="B208" t="str">
            <v>{ REP-0268 }  Paños pulidores</v>
          </cell>
          <cell r="C208">
            <v>5140</v>
          </cell>
          <cell r="D208">
            <v>5079</v>
          </cell>
        </row>
        <row r="209">
          <cell r="A209" t="str">
            <v>REP-0269</v>
          </cell>
          <cell r="B209" t="str">
            <v>{ REP-0269 }  Pulsador armado doble 1NA+1NC- LAY5- EL8325</v>
          </cell>
          <cell r="C209">
            <v>12893</v>
          </cell>
          <cell r="D209">
            <v>12741</v>
          </cell>
        </row>
        <row r="210">
          <cell r="A210" t="str">
            <v>REP-0270</v>
          </cell>
          <cell r="B210" t="str">
            <v>{ REP-0270 }  Pulsador armadoverde 1NA+1NC- LAY5- EA31</v>
          </cell>
          <cell r="C210">
            <v>10243</v>
          </cell>
          <cell r="D210">
            <v>10243</v>
          </cell>
        </row>
        <row r="211">
          <cell r="A211" t="str">
            <v>REP-0271</v>
          </cell>
          <cell r="B211" t="str">
            <v>{ REP-0271 }  Pulsador armado rojo 1NA+1NC - LAY5- EA42</v>
          </cell>
          <cell r="C211">
            <v>10242</v>
          </cell>
          <cell r="D211">
            <v>10242</v>
          </cell>
        </row>
        <row r="212">
          <cell r="A212" t="str">
            <v>REP-0273</v>
          </cell>
          <cell r="B212" t="str">
            <v>{ REP-0273 }  Cepillo largo (USA)</v>
          </cell>
          <cell r="C212">
            <v>89515</v>
          </cell>
          <cell r="D212">
            <v>89515</v>
          </cell>
        </row>
        <row r="213">
          <cell r="A213" t="str">
            <v>REP-0274</v>
          </cell>
          <cell r="B213" t="str">
            <v>{ REP-0274 }  Manguera brazo giratorio 1,55 mt</v>
          </cell>
          <cell r="C213">
            <v>36750</v>
          </cell>
          <cell r="D213">
            <v>36750</v>
          </cell>
        </row>
        <row r="214">
          <cell r="A214" t="str">
            <v>REP-0276</v>
          </cell>
          <cell r="B214" t="str">
            <v>{ REP-0276 }  Electrobomba Espa 15,5M</v>
          </cell>
          <cell r="C214">
            <v>229000</v>
          </cell>
          <cell r="D214">
            <v>229000</v>
          </cell>
        </row>
        <row r="215">
          <cell r="A215" t="str">
            <v>REP-0277</v>
          </cell>
          <cell r="B215" t="str">
            <v>{ REP-0277 }  Presóstato Italtécnica PM/5-1Bar</v>
          </cell>
          <cell r="C215">
            <v>15636</v>
          </cell>
          <cell r="D215">
            <v>15636</v>
          </cell>
        </row>
        <row r="216">
          <cell r="A216" t="str">
            <v>REP-0278</v>
          </cell>
          <cell r="B216" t="str">
            <v>{ REP-0278 }  Válvula de pié estanque</v>
          </cell>
          <cell r="C216">
            <v>18900</v>
          </cell>
          <cell r="D216">
            <v>18900</v>
          </cell>
        </row>
        <row r="217">
          <cell r="A217" t="str">
            <v>REP-0280</v>
          </cell>
          <cell r="B217" t="str">
            <v>{ REP-0280 }  Esfera kit hidropack</v>
          </cell>
          <cell r="C217">
            <v>54084</v>
          </cell>
          <cell r="D217">
            <v>54084</v>
          </cell>
        </row>
        <row r="218">
          <cell r="A218" t="str">
            <v>REP-0281</v>
          </cell>
          <cell r="B218" t="str">
            <v>{ REP-0281 }  Filtro para válvula pie de estanque 1\</v>
          </cell>
          <cell r="C218">
            <v>1866</v>
          </cell>
          <cell r="D218">
            <v>1866</v>
          </cell>
        </row>
        <row r="219">
          <cell r="A219" t="str">
            <v>REP-0282</v>
          </cell>
          <cell r="B219" t="str">
            <v>{ REP-0282 }  Válvula 5 vías bronce</v>
          </cell>
          <cell r="C219">
            <v>9274</v>
          </cell>
          <cell r="D219">
            <v>9274</v>
          </cell>
        </row>
        <row r="220">
          <cell r="A220" t="str">
            <v>REP-0283</v>
          </cell>
          <cell r="B220" t="str">
            <v>{ REP-0283 }  Guardamotor electrobba</v>
          </cell>
          <cell r="C220">
            <v>37787</v>
          </cell>
          <cell r="D220">
            <v>37787</v>
          </cell>
        </row>
        <row r="221">
          <cell r="A221" t="str">
            <v>REP-0287</v>
          </cell>
          <cell r="B221" t="str">
            <v>{ REP-0287 }  Gravilla Inquinat 25kg</v>
          </cell>
          <cell r="C221">
            <v>9563</v>
          </cell>
          <cell r="D221">
            <v>9688</v>
          </cell>
        </row>
        <row r="222">
          <cell r="A222" t="str">
            <v>REP-0289</v>
          </cell>
          <cell r="B222" t="str">
            <v>{ REP-0289 }  Resorte filtro de aspirado</v>
          </cell>
          <cell r="C222">
            <v>6300</v>
          </cell>
          <cell r="D222">
            <v>6300</v>
          </cell>
        </row>
        <row r="223">
          <cell r="A223" t="str">
            <v>REP-0290</v>
          </cell>
          <cell r="B223" t="str">
            <v>{ REP-0290 }  Golilla filtro aspirado</v>
          </cell>
          <cell r="C223">
            <v>10000</v>
          </cell>
          <cell r="D223">
            <v>10000</v>
          </cell>
        </row>
        <row r="224">
          <cell r="A224" t="str">
            <v>REP-0294</v>
          </cell>
          <cell r="B224" t="str">
            <v>{ REP-0294 }  Ánodo magnesio frontal</v>
          </cell>
          <cell r="C224">
            <v>38864</v>
          </cell>
          <cell r="D224">
            <v>38864</v>
          </cell>
        </row>
        <row r="225">
          <cell r="A225" t="str">
            <v>REP-0295</v>
          </cell>
          <cell r="B225" t="str">
            <v>{ REP-0295 }  Arosello para ánodo</v>
          </cell>
          <cell r="C225">
            <v>2520</v>
          </cell>
          <cell r="D225">
            <v>2520</v>
          </cell>
        </row>
        <row r="226">
          <cell r="A226" t="str">
            <v>REP-0296</v>
          </cell>
          <cell r="B226" t="str">
            <v>{ REP-0296 }  Calefactor 3 Kw -220V (Resistencia)</v>
          </cell>
          <cell r="C226">
            <v>38430</v>
          </cell>
          <cell r="D226">
            <v>38430</v>
          </cell>
        </row>
        <row r="227">
          <cell r="A227" t="str">
            <v>REP-0298</v>
          </cell>
          <cell r="B227" t="str">
            <v>{ REP-0298 }  Termo 100 Lt Trotter cincado 6 Kw</v>
          </cell>
          <cell r="C227">
            <v>803830</v>
          </cell>
          <cell r="D227">
            <v>803830</v>
          </cell>
        </row>
        <row r="228">
          <cell r="A228" t="str">
            <v>REP-0299</v>
          </cell>
          <cell r="B228" t="str">
            <v>{ REP-0299 }  Bornera de conexión ceramica 3 polos Trotter</v>
          </cell>
          <cell r="C228">
            <v>22176</v>
          </cell>
          <cell r="D228">
            <v>22176</v>
          </cell>
        </row>
        <row r="229">
          <cell r="A229" t="str">
            <v>REP-0300</v>
          </cell>
          <cell r="B229" t="str">
            <v>{ REP-0300 }  Calefactor CU 6KW flang (3x2) tipo L ( resistencia termo trifásico)</v>
          </cell>
          <cell r="C229">
            <v>79940</v>
          </cell>
          <cell r="D229">
            <v>79940</v>
          </cell>
        </row>
        <row r="230">
          <cell r="A230" t="str">
            <v>REP-0301</v>
          </cell>
          <cell r="B230" t="str">
            <v>{ REP-0301 }  Termostato termo Trotter</v>
          </cell>
          <cell r="C230">
            <v>57460</v>
          </cell>
          <cell r="D230">
            <v>57460</v>
          </cell>
        </row>
        <row r="231">
          <cell r="A231" t="str">
            <v>REP-0304</v>
          </cell>
          <cell r="B231" t="str">
            <v>{ REP-0304 }  Ficha aspirado vacuum token/vacuum token dorada (Abast, Socobar, Recabarren, Biec)</v>
          </cell>
          <cell r="C231">
            <v>687</v>
          </cell>
          <cell r="D231">
            <v>687</v>
          </cell>
        </row>
        <row r="232">
          <cell r="A232" t="str">
            <v>REP-0305</v>
          </cell>
          <cell r="B232" t="str">
            <v>{ REP-0305 }  Ficha lavado ESMAX save water save the world/car wash dorada</v>
          </cell>
          <cell r="C232">
            <v>470</v>
          </cell>
          <cell r="D232">
            <v>470</v>
          </cell>
        </row>
        <row r="233">
          <cell r="A233" t="str">
            <v>REP-0307</v>
          </cell>
          <cell r="B233" t="str">
            <v>{ REP-0307 }  Ficha aspirado COPEC mod \C\ personalizadas Lavamax</v>
          </cell>
          <cell r="C233">
            <v>664</v>
          </cell>
          <cell r="D233">
            <v>664</v>
          </cell>
        </row>
        <row r="234">
          <cell r="A234" t="str">
            <v>REP-0308</v>
          </cell>
          <cell r="B234" t="str">
            <v>{ REP-0308 }  Ficha lavado autos/crown dorada (Recabarren-Bascuñan)</v>
          </cell>
          <cell r="C234">
            <v>445</v>
          </cell>
          <cell r="D234">
            <v>445</v>
          </cell>
        </row>
        <row r="235">
          <cell r="A235" t="str">
            <v>REP-0309</v>
          </cell>
          <cell r="B235" t="str">
            <v>{ REP-0309 }  Ficha lavado COPEC mod \A\ personalizadas Lavamax</v>
          </cell>
          <cell r="C235">
            <v>664</v>
          </cell>
          <cell r="D235">
            <v>656</v>
          </cell>
        </row>
        <row r="236">
          <cell r="A236" t="str">
            <v>REP-0311</v>
          </cell>
          <cell r="B236" t="str">
            <v>{ REP-0311 }  Ficha lavado part auto chico/no cash value red brass (Zambra, Socobar)</v>
          </cell>
          <cell r="C236">
            <v>445</v>
          </cell>
          <cell r="D236">
            <v>445</v>
          </cell>
        </row>
        <row r="237">
          <cell r="A237" t="str">
            <v>REP-0312</v>
          </cell>
          <cell r="B237" t="str">
            <v>{ REP-0312 }  Ficha aspirado ESMAX vacuum token/aguila estrellas plateada</v>
          </cell>
          <cell r="C237">
            <v>654</v>
          </cell>
          <cell r="D237">
            <v>654</v>
          </cell>
        </row>
        <row r="238">
          <cell r="A238" t="str">
            <v>REP-0313</v>
          </cell>
          <cell r="B238" t="str">
            <v>{ REP-0313 }  Ficha lavado corona/escudo Dorada PANATT/EING</v>
          </cell>
          <cell r="C238">
            <v>483</v>
          </cell>
          <cell r="D238">
            <v>483</v>
          </cell>
        </row>
        <row r="239">
          <cell r="A239" t="str">
            <v>REP-0314</v>
          </cell>
          <cell r="B239" t="str">
            <v>{ REP-0314 }  Inverter 2,2 KW 3AC380-480V</v>
          </cell>
          <cell r="C239">
            <v>879212</v>
          </cell>
          <cell r="D239">
            <v>893772</v>
          </cell>
        </row>
        <row r="240">
          <cell r="A240" t="str">
            <v>REP-0315</v>
          </cell>
          <cell r="B240" t="str">
            <v>{ REP-0315 }  Ventilador 80x80 24V AC</v>
          </cell>
          <cell r="C240">
            <v>46898</v>
          </cell>
          <cell r="D240">
            <v>47675</v>
          </cell>
        </row>
        <row r="241">
          <cell r="A241" t="str">
            <v>REP-0316</v>
          </cell>
          <cell r="B241" t="str">
            <v>{ REP-0316 }  Int. Aut. C60N 3P 16A</v>
          </cell>
          <cell r="C241">
            <v>94837</v>
          </cell>
          <cell r="D241">
            <v>96408</v>
          </cell>
        </row>
        <row r="242">
          <cell r="A242" t="str">
            <v>REP-0317</v>
          </cell>
          <cell r="B242" t="str">
            <v>{ REP-0317 }  Int. MT 6KA 1N 1MOD 2A C</v>
          </cell>
          <cell r="C242">
            <v>50941</v>
          </cell>
          <cell r="D242">
            <v>51784</v>
          </cell>
        </row>
        <row r="243">
          <cell r="A243" t="str">
            <v>REP-0318</v>
          </cell>
          <cell r="B243" t="str">
            <v>{ REP-0318 }  Int. MT 10 KA 1P+1N D 2A</v>
          </cell>
          <cell r="C243">
            <v>60269</v>
          </cell>
          <cell r="D243">
            <v>61267</v>
          </cell>
        </row>
        <row r="244">
          <cell r="A244" t="str">
            <v>REP-0319</v>
          </cell>
          <cell r="B244" t="str">
            <v>{ REP-0319 }  Int. mt 6KA 1N 1MOD 6A C</v>
          </cell>
          <cell r="C244">
            <v>42031</v>
          </cell>
          <cell r="D244">
            <v>42727</v>
          </cell>
        </row>
        <row r="245">
          <cell r="A245" t="str">
            <v>REP-0320</v>
          </cell>
          <cell r="B245" t="str">
            <v>{ REP-0320 }  kit pistola+ manguera+soporte para sanitizado</v>
          </cell>
          <cell r="C245">
            <v>418162</v>
          </cell>
          <cell r="D245">
            <v>425086</v>
          </cell>
        </row>
        <row r="246">
          <cell r="A246" t="str">
            <v>REP-0321</v>
          </cell>
          <cell r="B246" t="str">
            <v>{ REP-0321 }  Filtro pistola mousse</v>
          </cell>
          <cell r="C246">
            <v>18121</v>
          </cell>
          <cell r="D246">
            <v>18421</v>
          </cell>
        </row>
        <row r="247">
          <cell r="A247" t="str">
            <v>REP-0324</v>
          </cell>
          <cell r="B247" t="str">
            <v>{ REP-0324 }  Ficha lavado part autos/rueda (La Serena Florida, Llolleo part)</v>
          </cell>
          <cell r="C247">
            <v>494</v>
          </cell>
          <cell r="D247">
            <v>494</v>
          </cell>
        </row>
        <row r="248">
          <cell r="A248" t="str">
            <v>REP-0325</v>
          </cell>
          <cell r="B248" t="str">
            <v>{ REP-0325 }  Ficha asp part estrella-winner</v>
          </cell>
          <cell r="C248">
            <v>326</v>
          </cell>
          <cell r="D248">
            <v>326</v>
          </cell>
        </row>
        <row r="249">
          <cell r="A249" t="str">
            <v>REP-0326</v>
          </cell>
          <cell r="B249" t="str">
            <v>{ REP-0326 }  Válvula de inyección verde</v>
          </cell>
          <cell r="C249">
            <v>39372</v>
          </cell>
          <cell r="D249">
            <v>40024</v>
          </cell>
        </row>
        <row r="250">
          <cell r="A250" t="str">
            <v>REP-0327</v>
          </cell>
          <cell r="B250" t="str">
            <v>{ REP-0327 }  Válvula de inyección blanca</v>
          </cell>
          <cell r="C250">
            <v>43424</v>
          </cell>
          <cell r="D250">
            <v>44143</v>
          </cell>
        </row>
        <row r="251">
          <cell r="A251" t="str">
            <v>REP-0328</v>
          </cell>
          <cell r="B251" t="str">
            <v>{ REP-0328 }  Resina sunresin SC 130</v>
          </cell>
          <cell r="C251">
            <v>67972</v>
          </cell>
          <cell r="D251">
            <v>67168</v>
          </cell>
        </row>
        <row r="252">
          <cell r="A252" t="str">
            <v>REP-0329</v>
          </cell>
          <cell r="B252" t="str">
            <v>{ REP-0329 }  Manguera espiral + terminales para sanitizado</v>
          </cell>
          <cell r="C252">
            <v>222334</v>
          </cell>
          <cell r="D252">
            <v>226015</v>
          </cell>
        </row>
        <row r="253">
          <cell r="A253" t="str">
            <v>REP-0333</v>
          </cell>
          <cell r="B253" t="str">
            <v>{ REP-0333 }  Filtro de sedimento texpro</v>
          </cell>
          <cell r="C253">
            <v>5678</v>
          </cell>
          <cell r="D253">
            <v>5772</v>
          </cell>
        </row>
        <row r="254">
          <cell r="A254" t="str">
            <v>REP-0336</v>
          </cell>
          <cell r="B254" t="str">
            <v>{ REP-0336 }  Visera para display de 4 cifras</v>
          </cell>
          <cell r="C254">
            <v>37500</v>
          </cell>
          <cell r="D254">
            <v>37500</v>
          </cell>
        </row>
        <row r="255">
          <cell r="A255" t="str">
            <v>REP-0337</v>
          </cell>
          <cell r="B255" t="str">
            <v>{ REP-0337 }  Válvula bola paso total 1/2 ( Bonomi Italiana)</v>
          </cell>
          <cell r="C255">
            <v>3900</v>
          </cell>
          <cell r="D255">
            <v>3900</v>
          </cell>
        </row>
        <row r="256">
          <cell r="A256" t="str">
            <v>REP-0338</v>
          </cell>
          <cell r="B256" t="str">
            <v>{ REP-0338 }  Copla bronce  HI-HI 1/2 x 1/2 nacional</v>
          </cell>
          <cell r="C256">
            <v>1939</v>
          </cell>
          <cell r="D256">
            <v>1939</v>
          </cell>
        </row>
        <row r="257">
          <cell r="A257" t="str">
            <v>REP-0339</v>
          </cell>
          <cell r="B257" t="str">
            <v>{ REP-0339 }  Kit analizador de durezas de alto rango 100 determinaciones</v>
          </cell>
          <cell r="C257">
            <v>65372</v>
          </cell>
          <cell r="D257">
            <v>65372</v>
          </cell>
        </row>
        <row r="258">
          <cell r="A258" t="str">
            <v>REP-0340</v>
          </cell>
          <cell r="B258" t="str">
            <v>{ REP-0340 }  Pulsador armado azul contacto NO</v>
          </cell>
          <cell r="C258">
            <v>10535</v>
          </cell>
          <cell r="D258">
            <v>10535</v>
          </cell>
        </row>
        <row r="259">
          <cell r="A259" t="str">
            <v>REP-0341</v>
          </cell>
          <cell r="B259" t="str">
            <v>{ REP-0341 }  Kit analizador de durezas bajo rango 100 determinaciones</v>
          </cell>
          <cell r="C259">
            <v>55944</v>
          </cell>
          <cell r="D259">
            <v>55944</v>
          </cell>
        </row>
        <row r="260">
          <cell r="A260" t="str">
            <v>REP-0344</v>
          </cell>
          <cell r="B260" t="str">
            <v>{ REP-0344 }  EV 1/2 100 bar mousse</v>
          </cell>
          <cell r="C260">
            <v>486226</v>
          </cell>
          <cell r="D260">
            <v>494278</v>
          </cell>
        </row>
        <row r="261">
          <cell r="A261" t="str">
            <v>REP-0345</v>
          </cell>
          <cell r="B261" t="str">
            <v>{ REP-0345 }  Termo 100lt Trotter inoxidable 6 kw</v>
          </cell>
          <cell r="C261">
            <v>1109900</v>
          </cell>
          <cell r="D261">
            <v>1270000</v>
          </cell>
        </row>
        <row r="262">
          <cell r="A262" t="str">
            <v>REP-0346</v>
          </cell>
          <cell r="B262" t="str">
            <v>{ REP-0346 }   Soporte de plástico para manguera de soplado</v>
          </cell>
          <cell r="C262">
            <v>16546</v>
          </cell>
          <cell r="D262">
            <v>16546</v>
          </cell>
        </row>
        <row r="263">
          <cell r="A263" t="str">
            <v>REP-0347</v>
          </cell>
          <cell r="B263" t="str">
            <v>{ REP-0347 }  Contactor 4KW DILEM 10 24V 50/60</v>
          </cell>
          <cell r="C263">
            <v>20810</v>
          </cell>
          <cell r="D263">
            <v>21155</v>
          </cell>
        </row>
        <row r="264">
          <cell r="A264" t="str">
            <v>REP-0348</v>
          </cell>
          <cell r="B264" t="str">
            <v>{ REP-0348 }  Diferencial tipo B SIEMENE 5SV3342-4</v>
          </cell>
          <cell r="C264">
            <v>943181</v>
          </cell>
          <cell r="D264">
            <v>958800</v>
          </cell>
        </row>
        <row r="265">
          <cell r="A265" t="str">
            <v>REP-0350</v>
          </cell>
          <cell r="B265" t="str">
            <v>{ REP-0350 }  Manguera 3,5 mts color rojo</v>
          </cell>
          <cell r="C265">
            <v>71463</v>
          </cell>
          <cell r="D265">
            <v>72646</v>
          </cell>
        </row>
        <row r="266">
          <cell r="A266" t="str">
            <v>REP-0351</v>
          </cell>
          <cell r="B266" t="str">
            <v>{ REP-0351 }  Manguera 4,7 mts color gris</v>
          </cell>
          <cell r="C266">
            <v>82979</v>
          </cell>
          <cell r="D266">
            <v>113245</v>
          </cell>
        </row>
        <row r="267">
          <cell r="A267" t="str">
            <v>REP-0352</v>
          </cell>
          <cell r="B267" t="str">
            <v>{ REP-0352 }  Manguera 4,0 mts color gris</v>
          </cell>
          <cell r="C267">
            <v>75033</v>
          </cell>
          <cell r="D267">
            <v>76275</v>
          </cell>
        </row>
        <row r="268">
          <cell r="A268" t="str">
            <v>REP-0353</v>
          </cell>
          <cell r="B268" t="str">
            <v>{ REP-0353 }  Fichero nuevo RM5 evo</v>
          </cell>
          <cell r="C268">
            <v>312888</v>
          </cell>
          <cell r="D268">
            <v>295095</v>
          </cell>
        </row>
        <row r="269">
          <cell r="A269" t="str">
            <v>REP-0354</v>
          </cell>
          <cell r="B269" t="str">
            <v>{ REP-0354 }  Reducción 1/2 A 1/4" bronce (bushing)</v>
          </cell>
          <cell r="C269">
            <v>5152</v>
          </cell>
          <cell r="D269">
            <v>5237</v>
          </cell>
        </row>
        <row r="270">
          <cell r="A270" t="str">
            <v>REP-0355</v>
          </cell>
          <cell r="B270" t="str">
            <v>{ REP-0355 }   Oring para boquilla pistola mousse</v>
          </cell>
          <cell r="C270">
            <v>1632</v>
          </cell>
          <cell r="D270">
            <v>1632</v>
          </cell>
        </row>
        <row r="271">
          <cell r="A271" t="str">
            <v>REP-0356</v>
          </cell>
          <cell r="B271" t="str">
            <v>{ REP-0356 }  Ficha lavado Abastible self service car wash/tu lavas tu brillas</v>
          </cell>
          <cell r="C271">
            <v>578</v>
          </cell>
          <cell r="D271">
            <v>578</v>
          </cell>
        </row>
        <row r="272">
          <cell r="A272" t="str">
            <v>REP-0357</v>
          </cell>
          <cell r="B272" t="str">
            <v>{ REP-0357 }  Manguera 4,0 mts color rojo</v>
          </cell>
          <cell r="C272">
            <v>73414</v>
          </cell>
          <cell r="D272">
            <v>74630</v>
          </cell>
        </row>
        <row r="273">
          <cell r="A273" t="str">
            <v>REP-0360</v>
          </cell>
          <cell r="B273" t="str">
            <v>{ REP-0360 }  Ficha dorada lava interni Lavamax multifunción</v>
          </cell>
          <cell r="C273">
            <v>741</v>
          </cell>
          <cell r="D273">
            <v>741</v>
          </cell>
        </row>
        <row r="274">
          <cell r="A274" t="str">
            <v>REP-0361</v>
          </cell>
          <cell r="B274" t="str">
            <v>{ REP-0361 }  Carcasa de membrana de osmosis</v>
          </cell>
          <cell r="C274">
            <v>349047</v>
          </cell>
          <cell r="D274">
            <v>354827</v>
          </cell>
        </row>
        <row r="275">
          <cell r="A275" t="str">
            <v>REP-0362</v>
          </cell>
          <cell r="B275" t="str">
            <v>{ REP-0362 }  Mango pistola mousse</v>
          </cell>
          <cell r="C275">
            <v>156275</v>
          </cell>
          <cell r="D275">
            <v>158862</v>
          </cell>
        </row>
        <row r="276">
          <cell r="A276" t="str">
            <v>REP-0363</v>
          </cell>
          <cell r="B276" t="str">
            <v>{ REP-0363 }  Boquilla y cuerpo lanza mousse</v>
          </cell>
          <cell r="C276">
            <v>253309</v>
          </cell>
          <cell r="D276">
            <v>257504</v>
          </cell>
        </row>
        <row r="277">
          <cell r="A277" t="str">
            <v>REP-0364</v>
          </cell>
          <cell r="B277" t="str">
            <v>{ REP-0364 }  Bomba dosificadora de mousse</v>
          </cell>
          <cell r="C277">
            <v>423523</v>
          </cell>
          <cell r="D277">
            <v>430536</v>
          </cell>
        </row>
        <row r="278">
          <cell r="A278" t="str">
            <v>REP-0365</v>
          </cell>
          <cell r="B278" t="str">
            <v>{ REP-0365 }  Manguera 1/4" 1 mt color rojo ext. HE-HI 3/8</v>
          </cell>
          <cell r="C278">
            <v>38224</v>
          </cell>
          <cell r="D278">
            <v>38857</v>
          </cell>
        </row>
        <row r="279">
          <cell r="A279" t="str">
            <v>REP-0366</v>
          </cell>
          <cell r="B279" t="str">
            <v>{ REP-0366 }  Codo bronce 1/4 HE- HI</v>
          </cell>
          <cell r="C279">
            <v>3044</v>
          </cell>
          <cell r="D279">
            <v>3044</v>
          </cell>
        </row>
        <row r="280">
          <cell r="A280" t="str">
            <v>REP-0367</v>
          </cell>
          <cell r="B280" t="str">
            <v>{ REP-0367 }  Resina catiónica G8 CG8 saco de 28,32L</v>
          </cell>
          <cell r="C280">
            <v>97704</v>
          </cell>
          <cell r="D280">
            <v>97704</v>
          </cell>
        </row>
        <row r="281">
          <cell r="A281" t="str">
            <v>REP-0368</v>
          </cell>
          <cell r="B281" t="str">
            <v>{ REP-0368 }  Gravilla silica malla 4"-8" saco</v>
          </cell>
          <cell r="C281">
            <v>16560</v>
          </cell>
          <cell r="D281">
            <v>16560</v>
          </cell>
        </row>
        <row r="282">
          <cell r="A282" t="str">
            <v>REP-0369</v>
          </cell>
          <cell r="B282" t="str">
            <v>{ REP-0369 }  HF1 membrana de osmosis para MSELF</v>
          </cell>
          <cell r="C282">
            <v>331249</v>
          </cell>
          <cell r="D282">
            <v>336734</v>
          </cell>
        </row>
        <row r="283">
          <cell r="A283" t="str">
            <v>REP-0370</v>
          </cell>
          <cell r="B283" t="str">
            <v>{ REP-0370 }  HR3 membrana de osmosis para MSELF</v>
          </cell>
          <cell r="C283">
            <v>345336</v>
          </cell>
          <cell r="D283">
            <v>341253</v>
          </cell>
        </row>
        <row r="284">
          <cell r="A284" t="str">
            <v>REP-0371</v>
          </cell>
          <cell r="B284" t="str">
            <v>{ REP-0371 }  Ficha mod "B" no personalizadas (ex Abastible)</v>
          </cell>
          <cell r="C284">
            <v>0</v>
          </cell>
          <cell r="D284">
            <v>0</v>
          </cell>
        </row>
        <row r="285">
          <cell r="A285" t="str">
            <v>REP-0372</v>
          </cell>
          <cell r="B285" t="str">
            <v>{ REP-0372 }  Ficha vacuum plateada (aspiradora)</v>
          </cell>
          <cell r="C285">
            <v>601</v>
          </cell>
          <cell r="D285">
            <v>601</v>
          </cell>
        </row>
        <row r="286">
          <cell r="A286" t="str">
            <v>REP-0373</v>
          </cell>
          <cell r="B286" t="str">
            <v>{ REP-0373 }  Ficha carwash dorada (auto covertible)</v>
          </cell>
          <cell r="C286">
            <v>0</v>
          </cell>
          <cell r="D286">
            <v>0</v>
          </cell>
        </row>
        <row r="287">
          <cell r="A287" t="str">
            <v>REP-0374</v>
          </cell>
          <cell r="B287" t="str">
            <v>{ REP-0374 }  Cubre fichero (lava interior)</v>
          </cell>
          <cell r="C287">
            <v>46898</v>
          </cell>
          <cell r="D287">
            <v>47675</v>
          </cell>
        </row>
        <row r="288">
          <cell r="A288" t="str">
            <v>REP-0375</v>
          </cell>
          <cell r="B288" t="str">
            <v>{ REP-0375 }  Tarjeta electrónica lavainterior (lava interior)</v>
          </cell>
          <cell r="C288">
            <v>332923</v>
          </cell>
          <cell r="D288">
            <v>338436</v>
          </cell>
        </row>
        <row r="289">
          <cell r="A289" t="str">
            <v>REP-0376</v>
          </cell>
          <cell r="B289" t="str">
            <v>{ REP-0376 }  Alimentador para tarjeta electrónica (lava interior)</v>
          </cell>
          <cell r="C289">
            <v>103737</v>
          </cell>
          <cell r="D289">
            <v>105455</v>
          </cell>
        </row>
        <row r="290">
          <cell r="A290" t="str">
            <v>REP-0377</v>
          </cell>
          <cell r="B290" t="str">
            <v>{ REP-0377 }  Pulsador azul luminoso (lava interior)</v>
          </cell>
          <cell r="C290">
            <v>77199</v>
          </cell>
          <cell r="D290">
            <v>78477</v>
          </cell>
        </row>
        <row r="291">
          <cell r="A291" t="str">
            <v>REP-0378</v>
          </cell>
          <cell r="B291" t="str">
            <v>{ REP-0378 }  Pulsador rojo luminoso (lava interior)</v>
          </cell>
          <cell r="C291">
            <v>77199</v>
          </cell>
          <cell r="D291">
            <v>78477</v>
          </cell>
        </row>
        <row r="292">
          <cell r="A292" t="str">
            <v>REP-0379</v>
          </cell>
          <cell r="B292" t="str">
            <v>{ REP-0379 }  Bomba producto electromagnética (lava interior)</v>
          </cell>
          <cell r="C292">
            <v>104540</v>
          </cell>
          <cell r="D292">
            <v>106271</v>
          </cell>
        </row>
        <row r="293">
          <cell r="A293" t="str">
            <v>REP-0380</v>
          </cell>
          <cell r="B293" t="str">
            <v>{ REP-0380 }  Espiral + pistola perfume (lava interior)</v>
          </cell>
          <cell r="C293">
            <v>265371</v>
          </cell>
          <cell r="D293">
            <v>269766</v>
          </cell>
        </row>
        <row r="294">
          <cell r="A294" t="str">
            <v>REP-0381</v>
          </cell>
          <cell r="B294" t="str">
            <v>{ REP-0381 }  Espiral + pistola renovador (lava interior)</v>
          </cell>
          <cell r="C294">
            <v>265371</v>
          </cell>
          <cell r="D294">
            <v>269766</v>
          </cell>
        </row>
        <row r="295">
          <cell r="A295" t="str">
            <v>REP-0382</v>
          </cell>
          <cell r="B295" t="str">
            <v>{ REP-0382 }  Filtro metálico aspirado (lava interior)</v>
          </cell>
          <cell r="C295">
            <v>301559</v>
          </cell>
          <cell r="D295">
            <v>306552</v>
          </cell>
        </row>
        <row r="296">
          <cell r="A296" t="str">
            <v>REP-0383</v>
          </cell>
          <cell r="B296" t="str">
            <v>{ REP-0383 }  Kit aspiradora, boquilla, manguito y sujetador (lava interior)</v>
          </cell>
          <cell r="C296">
            <v>30161</v>
          </cell>
          <cell r="D296">
            <v>30660</v>
          </cell>
        </row>
        <row r="297">
          <cell r="A297" t="str">
            <v>REP-0385</v>
          </cell>
          <cell r="B297" t="str">
            <v>{ REP-0385 }  Boquilla lavainteriores dry (lava interior)</v>
          </cell>
          <cell r="C297">
            <v>57579</v>
          </cell>
          <cell r="D297">
            <v>58532</v>
          </cell>
        </row>
        <row r="298">
          <cell r="A298" t="str">
            <v>REP-0386</v>
          </cell>
          <cell r="B298" t="str">
            <v>{ REP-0386 }  Cepillo completo lavainteriores (lava interior)</v>
          </cell>
          <cell r="C298">
            <v>227851</v>
          </cell>
          <cell r="D298">
            <v>231624</v>
          </cell>
        </row>
        <row r="299">
          <cell r="A299" t="str">
            <v>REP-0387</v>
          </cell>
          <cell r="B299" t="str">
            <v>{ REP-0387 }  Espiral lavainteriores dry (lava interior)</v>
          </cell>
          <cell r="C299">
            <v>78452</v>
          </cell>
          <cell r="D299">
            <v>79751</v>
          </cell>
        </row>
        <row r="300">
          <cell r="A300" t="str">
            <v>REP-0388</v>
          </cell>
          <cell r="B300" t="str">
            <v>{ REP-0388 }  Manguera aspiración agua delgada (lava interior)</v>
          </cell>
          <cell r="C300">
            <v>60312</v>
          </cell>
          <cell r="D300">
            <v>61310</v>
          </cell>
        </row>
        <row r="301">
          <cell r="A301" t="str">
            <v>REP-0389</v>
          </cell>
          <cell r="B301" t="str">
            <v>{ REP-0389 }  Motor modulo aspiración agua (lava interior)</v>
          </cell>
          <cell r="C301">
            <v>562910</v>
          </cell>
          <cell r="D301">
            <v>572232</v>
          </cell>
        </row>
        <row r="302">
          <cell r="A302" t="str">
            <v>REP-0390</v>
          </cell>
          <cell r="B302" t="str">
            <v>{ REP-0390 }  Bomba modulo lavainteriores dry (lava interior)</v>
          </cell>
          <cell r="C302">
            <v>287385</v>
          </cell>
          <cell r="D302">
            <v>292144</v>
          </cell>
        </row>
        <row r="303">
          <cell r="A303" t="str">
            <v>REP-0391</v>
          </cell>
          <cell r="B303" t="str">
            <v>{ REP-0391 }  Bisagra (lava interior)</v>
          </cell>
          <cell r="C303">
            <v>13467</v>
          </cell>
          <cell r="D303">
            <v>13690</v>
          </cell>
        </row>
        <row r="304">
          <cell r="A304" t="str">
            <v>REP-0392</v>
          </cell>
          <cell r="B304" t="str">
            <v>{ REP-0392 }  Cerradura (lava interior)</v>
          </cell>
          <cell r="C304">
            <v>28949</v>
          </cell>
          <cell r="D304">
            <v>29429</v>
          </cell>
        </row>
        <row r="305">
          <cell r="A305" t="str">
            <v>REP-0393</v>
          </cell>
          <cell r="B305" t="str">
            <v>{ REP-0393 }  Palanca interior cerradura (lava interior)</v>
          </cell>
          <cell r="C305">
            <v>7033</v>
          </cell>
          <cell r="D305">
            <v>7150</v>
          </cell>
        </row>
        <row r="306">
          <cell r="A306" t="str">
            <v>REP-0394</v>
          </cell>
          <cell r="B306" t="str">
            <v>{ REP-0394 }  Interruptor ON/OFF (lava interior)</v>
          </cell>
          <cell r="C306">
            <v>151182</v>
          </cell>
          <cell r="D306">
            <v>153686</v>
          </cell>
        </row>
        <row r="307">
          <cell r="A307" t="str">
            <v>REP-0395</v>
          </cell>
          <cell r="B307" t="str">
            <v>{ REP-0395 }  Cable (lava interior)</v>
          </cell>
          <cell r="C307">
            <v>23116</v>
          </cell>
          <cell r="D307">
            <v>23499</v>
          </cell>
        </row>
        <row r="308">
          <cell r="A308" t="str">
            <v>REP-0396</v>
          </cell>
          <cell r="B308" t="str">
            <v>{ REP-0396 }  Perilla timer de programas (lava interior)</v>
          </cell>
          <cell r="C308">
            <v>10058</v>
          </cell>
          <cell r="D308">
            <v>10224</v>
          </cell>
        </row>
        <row r="309">
          <cell r="A309" t="str">
            <v>REP-0397</v>
          </cell>
          <cell r="B309" t="str">
            <v>{ REP-0397 }  Contactor 24V NO (lava interior)</v>
          </cell>
          <cell r="C309">
            <v>82024</v>
          </cell>
          <cell r="D309">
            <v>83382</v>
          </cell>
        </row>
        <row r="310">
          <cell r="A310" t="str">
            <v>REP-0398</v>
          </cell>
          <cell r="B310" t="str">
            <v>{ REP-0398 }  Interruptor térmico 4.2-5.7A (lava interior)</v>
          </cell>
          <cell r="C310">
            <v>102128</v>
          </cell>
          <cell r="D310">
            <v>103820</v>
          </cell>
        </row>
        <row r="311">
          <cell r="A311" t="str">
            <v>REP-0399</v>
          </cell>
          <cell r="B311" t="str">
            <v>{ REP-0399 }  Mango sujetador aspirado interior(lava interior)</v>
          </cell>
          <cell r="C311">
            <v>16083</v>
          </cell>
          <cell r="D311">
            <v>16349</v>
          </cell>
        </row>
        <row r="312">
          <cell r="A312" t="str">
            <v>REP-0400</v>
          </cell>
          <cell r="B312" t="str">
            <v>{ REP-0400 }  Electroválvula 230V 50HZ 1/4 (lava interior)</v>
          </cell>
          <cell r="C312">
            <v>127057</v>
          </cell>
          <cell r="D312">
            <v>129161</v>
          </cell>
        </row>
        <row r="313">
          <cell r="A313" t="str">
            <v>REP-0401</v>
          </cell>
          <cell r="B313" t="str">
            <v>{ REP-0401 }  Gancho (lava interior)</v>
          </cell>
          <cell r="C313">
            <v>62724</v>
          </cell>
          <cell r="D313">
            <v>63763</v>
          </cell>
        </row>
        <row r="314">
          <cell r="A314" t="str">
            <v>REP-0403</v>
          </cell>
          <cell r="B314" t="str">
            <v>{ REP-0403 }  Módulo regulador y mezcla producto (lava interior)</v>
          </cell>
          <cell r="C314">
            <v>3793608</v>
          </cell>
          <cell r="D314">
            <v>3856428</v>
          </cell>
        </row>
        <row r="315">
          <cell r="A315" t="str">
            <v>REP-0404</v>
          </cell>
          <cell r="B315" t="str">
            <v>{ REP-0404 }  Contactor 230V NO (lava interior)</v>
          </cell>
          <cell r="C315">
            <v>131485</v>
          </cell>
          <cell r="D315">
            <v>133662</v>
          </cell>
        </row>
        <row r="316">
          <cell r="A316" t="str">
            <v>REP-0405</v>
          </cell>
          <cell r="B316" t="str">
            <v>{ REP-0405 }  Motor aspirado con turbina (lava interior)</v>
          </cell>
          <cell r="C316">
            <v>2151121</v>
          </cell>
          <cell r="D316">
            <v>2186743</v>
          </cell>
        </row>
        <row r="317">
          <cell r="A317" t="str">
            <v>REP-0406</v>
          </cell>
          <cell r="B317" t="str">
            <v>{ REP-0406 }  Codo 45° entrada tambor aspirado (lava interior)</v>
          </cell>
          <cell r="C317">
            <v>9853</v>
          </cell>
          <cell r="D317">
            <v>10016</v>
          </cell>
        </row>
        <row r="318">
          <cell r="A318" t="str">
            <v>REP-0407</v>
          </cell>
          <cell r="B318" t="str">
            <v>{ REP-0407 }  Acople rápido de bombas (lava interior)</v>
          </cell>
          <cell r="C318">
            <v>11258</v>
          </cell>
          <cell r="D318">
            <v>11444</v>
          </cell>
        </row>
        <row r="319">
          <cell r="A319" t="str">
            <v>REP-0408</v>
          </cell>
          <cell r="B319" t="str">
            <v>{ REP-0408 }  Tubo a espiral para perfume (lava interior)</v>
          </cell>
          <cell r="C319">
            <v>99512</v>
          </cell>
          <cell r="D319">
            <v>101160</v>
          </cell>
        </row>
        <row r="320">
          <cell r="A320" t="str">
            <v>REP-0409</v>
          </cell>
          <cell r="B320" t="str">
            <v>{ REP-0409 }  Telaio SD/TI (lava interior)</v>
          </cell>
          <cell r="C320">
            <v>1333700</v>
          </cell>
          <cell r="D320">
            <v>1355786</v>
          </cell>
        </row>
        <row r="321">
          <cell r="A321" t="str">
            <v>REP-0410</v>
          </cell>
          <cell r="B321" t="str">
            <v>{ REP-0410 }  Boquilla bronce para pistola (lava interior)</v>
          </cell>
          <cell r="C321">
            <v>52270</v>
          </cell>
          <cell r="D321">
            <v>53136</v>
          </cell>
        </row>
        <row r="322">
          <cell r="A322" t="str">
            <v>REP-0412</v>
          </cell>
          <cell r="B322" t="str">
            <v>{ REP-0412 }  Boquilla verde para pistola (lava interior)</v>
          </cell>
          <cell r="C322">
            <v>50265</v>
          </cell>
          <cell r="D322">
            <v>51098</v>
          </cell>
        </row>
        <row r="323">
          <cell r="A323" t="str">
            <v>REP-0413</v>
          </cell>
          <cell r="B323" t="str">
            <v>{ REP-0413 }  Tambor cilíndrico filtro aspirado</v>
          </cell>
          <cell r="C323">
            <v>288253</v>
          </cell>
          <cell r="D323">
            <v>293026</v>
          </cell>
        </row>
        <row r="324">
          <cell r="A324" t="str">
            <v>REP-0414</v>
          </cell>
          <cell r="B324" t="str">
            <v>{ REP-0414 }   Manguito boquilla aspirado lava tapiz (lava interior)</v>
          </cell>
          <cell r="C324">
            <v>11483</v>
          </cell>
          <cell r="D324">
            <v>11674</v>
          </cell>
        </row>
        <row r="325">
          <cell r="A325" t="str">
            <v>REP-0415</v>
          </cell>
          <cell r="B325" t="str">
            <v>{ REP-0415 }  Display (lava interior)</v>
          </cell>
          <cell r="C325">
            <v>361870</v>
          </cell>
          <cell r="D325">
            <v>367863</v>
          </cell>
        </row>
        <row r="326">
          <cell r="A326" t="str">
            <v>REP-0416</v>
          </cell>
          <cell r="B326" t="str">
            <v>{ REP-0416 } 2022 Cubrefichero inox plus 2022</v>
          </cell>
          <cell r="C326">
            <v>150185</v>
          </cell>
          <cell r="D326">
            <v>152672</v>
          </cell>
        </row>
        <row r="327">
          <cell r="A327" t="str">
            <v>REP-0417</v>
          </cell>
          <cell r="B327" t="str">
            <v>{ REP-0417 }  Lexan para cubrefichero plus 2022</v>
          </cell>
          <cell r="C327">
            <v>46694</v>
          </cell>
          <cell r="D327">
            <v>47468</v>
          </cell>
        </row>
        <row r="328">
          <cell r="A328" t="str">
            <v>REP-0418</v>
          </cell>
          <cell r="B328" t="str">
            <v>{ REP-0418 }  Unión americana inoxidable de 1/2"</v>
          </cell>
          <cell r="C328">
            <v>2969</v>
          </cell>
          <cell r="D328">
            <v>2969</v>
          </cell>
        </row>
        <row r="329">
          <cell r="A329" t="str">
            <v>REP-0419</v>
          </cell>
          <cell r="B329" t="str">
            <v>{ REP-0419 }  Manguera silicona D8/D5 150cm (lava interior)</v>
          </cell>
          <cell r="C329">
            <v>27748</v>
          </cell>
          <cell r="D329">
            <v>28208</v>
          </cell>
        </row>
        <row r="330">
          <cell r="A330" t="str">
            <v>REP-0424</v>
          </cell>
          <cell r="B330" t="str">
            <v>{ REP-0424 }  Niple bronce 1/4 x 3/8 HE-HE</v>
          </cell>
          <cell r="C330">
            <v>4985</v>
          </cell>
          <cell r="D330">
            <v>4985</v>
          </cell>
        </row>
        <row r="331">
          <cell r="A331" t="str">
            <v>REP-0425</v>
          </cell>
          <cell r="B331" t="str">
            <v>{ REP-0425 }  Niple bronce 1/4 HE HE</v>
          </cell>
          <cell r="C331">
            <v>3912</v>
          </cell>
          <cell r="D331">
            <v>3912</v>
          </cell>
        </row>
        <row r="332">
          <cell r="A332" t="str">
            <v>REP-0426</v>
          </cell>
          <cell r="B332" t="str">
            <v>{ REP-0426 }  Niple bronce 3/4 x 1/2 HE HI</v>
          </cell>
          <cell r="C332">
            <v>5662</v>
          </cell>
          <cell r="D332">
            <v>5662</v>
          </cell>
        </row>
        <row r="333">
          <cell r="A333" t="str">
            <v>REP-0427</v>
          </cell>
          <cell r="B333" t="str">
            <v>{ REP-0427 }  Niple bronce 3/4 x 1/2 HI HE</v>
          </cell>
          <cell r="C333">
            <v>5250</v>
          </cell>
          <cell r="D333">
            <v>5250</v>
          </cell>
        </row>
        <row r="334">
          <cell r="A334" t="str">
            <v>REP-0428</v>
          </cell>
          <cell r="B334" t="str">
            <v>{ REP-0428 }  Terminal cachimba 1/2 HI</v>
          </cell>
          <cell r="C334">
            <v>6000</v>
          </cell>
          <cell r="D334">
            <v>6000</v>
          </cell>
        </row>
        <row r="335">
          <cell r="A335" t="str">
            <v>REP-0429</v>
          </cell>
          <cell r="B335" t="str">
            <v>{ REP-0429 }  Terminal cachimba 1/2 HE</v>
          </cell>
          <cell r="C335">
            <v>6000</v>
          </cell>
          <cell r="D335">
            <v>6000</v>
          </cell>
        </row>
        <row r="336">
          <cell r="A336" t="str">
            <v>REP-0430</v>
          </cell>
          <cell r="B336" t="str">
            <v>{ REP-0430 }  membranas de osmosis de CSM RE4021-BLN-K</v>
          </cell>
          <cell r="C336">
            <v>303626</v>
          </cell>
          <cell r="D336">
            <v>303626</v>
          </cell>
        </row>
        <row r="337">
          <cell r="A337" t="str">
            <v>REP-0431</v>
          </cell>
          <cell r="B337" t="str">
            <v>{ REP-0431 }  Cabezal ablandador down flow válvula cleck</v>
          </cell>
          <cell r="C337">
            <v>550000</v>
          </cell>
          <cell r="D337">
            <v>550000</v>
          </cell>
        </row>
        <row r="338">
          <cell r="A338" t="str">
            <v>REP-0432</v>
          </cell>
          <cell r="B338" t="str">
            <v>{ REP-0432 }  Codo inox 1/2 HE HI</v>
          </cell>
          <cell r="C338">
            <v>9104</v>
          </cell>
          <cell r="D338">
            <v>9104</v>
          </cell>
        </row>
        <row r="339">
          <cell r="A339" t="str">
            <v>REP-0433</v>
          </cell>
          <cell r="B339" t="str">
            <v>{ REP-0433 }  Kit 269 Interpump</v>
          </cell>
          <cell r="C339">
            <v>63220</v>
          </cell>
          <cell r="D339">
            <v>63220</v>
          </cell>
        </row>
        <row r="340">
          <cell r="A340" t="str">
            <v>REP-0434</v>
          </cell>
          <cell r="B340" t="str">
            <v>{ REP-0434 }  Kit 271 Interpump</v>
          </cell>
          <cell r="C340">
            <v>22580</v>
          </cell>
          <cell r="D340">
            <v>22580</v>
          </cell>
        </row>
        <row r="341">
          <cell r="A341" t="str">
            <v>REP-0435</v>
          </cell>
          <cell r="B341" t="str">
            <v>{ REP-0435 }  Tapa carcasa osmosis</v>
          </cell>
          <cell r="C341">
            <v>59861</v>
          </cell>
          <cell r="D341">
            <v>60853</v>
          </cell>
        </row>
        <row r="342">
          <cell r="A342" t="str">
            <v>REP-0436</v>
          </cell>
          <cell r="B342" t="str">
            <v>{ REP-0436 }  O´rings tapa carcasa de osmosis</v>
          </cell>
          <cell r="C342">
            <v>6189</v>
          </cell>
          <cell r="D342">
            <v>6189</v>
          </cell>
        </row>
        <row r="343">
          <cell r="A343" t="str">
            <v>REP-0437</v>
          </cell>
          <cell r="B343" t="str">
            <v>{ REP-0437 }  Kit 343 bomba CAT</v>
          </cell>
          <cell r="C343">
            <v>234116</v>
          </cell>
          <cell r="D343">
            <v>234116</v>
          </cell>
        </row>
        <row r="344">
          <cell r="A344" t="str">
            <v>REP-0439</v>
          </cell>
          <cell r="B344" t="str">
            <v>{ REP-0439 }  Bomba espa prisma 25 5M.</v>
          </cell>
          <cell r="C344">
            <v>683240</v>
          </cell>
          <cell r="D344">
            <v>683240</v>
          </cell>
        </row>
        <row r="345">
          <cell r="A345" t="str">
            <v>REP-0440</v>
          </cell>
          <cell r="B345" t="str">
            <v>{ REP-0440 }  Tapón rojo (bomba 3cp) CAT</v>
          </cell>
          <cell r="C345">
            <v>17647</v>
          </cell>
          <cell r="D345">
            <v>17438</v>
          </cell>
        </row>
        <row r="346">
          <cell r="A346" t="str">
            <v>REP-0441</v>
          </cell>
          <cell r="B346" t="str">
            <v>{ REP-0441 }  Culatín (bomba 3cp) CAT</v>
          </cell>
          <cell r="C346">
            <v>563121</v>
          </cell>
          <cell r="D346">
            <v>556463</v>
          </cell>
        </row>
        <row r="347">
          <cell r="A347" t="str">
            <v>REP-0442</v>
          </cell>
          <cell r="B347" t="str">
            <v>{ REP-0442 }  Válvula rompe vacío</v>
          </cell>
          <cell r="C347">
            <v>24000</v>
          </cell>
          <cell r="D347">
            <v>24000</v>
          </cell>
        </row>
        <row r="348">
          <cell r="A348" t="str">
            <v>REP-0443</v>
          </cell>
          <cell r="B348" t="str">
            <v>{ REP-0443 }  Manguera espiral 8MM sin terminales color rojo</v>
          </cell>
          <cell r="C348">
            <v>0</v>
          </cell>
          <cell r="D348">
            <v>0</v>
          </cell>
        </row>
        <row r="349">
          <cell r="A349" t="str">
            <v>REP-0445</v>
          </cell>
          <cell r="B349" t="str">
            <v>{ REP-0445 }  Kit mousse mix</v>
          </cell>
          <cell r="C349">
            <v>4644878</v>
          </cell>
          <cell r="D349">
            <v>4644878</v>
          </cell>
        </row>
        <row r="350">
          <cell r="A350" t="str">
            <v>REP-0446</v>
          </cell>
          <cell r="B350" t="str">
            <v>{ REP-0446 }  Resistencia termo Rheem 3200W</v>
          </cell>
          <cell r="C350">
            <v>69900</v>
          </cell>
          <cell r="D350">
            <v>69900</v>
          </cell>
        </row>
        <row r="351">
          <cell r="A351" t="str">
            <v>REP-0447</v>
          </cell>
          <cell r="B351" t="str">
            <v>{ REP-0447 }  Cabezal ablandador Aguasin HAF-1200</v>
          </cell>
          <cell r="C351">
            <v>399154</v>
          </cell>
          <cell r="D351">
            <v>399154</v>
          </cell>
        </row>
        <row r="352">
          <cell r="A352" t="str">
            <v>REP-0448</v>
          </cell>
          <cell r="B352" t="str">
            <v>{ REP-0448 }  Sello para separador tambor aspirado</v>
          </cell>
          <cell r="C352">
            <v>0</v>
          </cell>
          <cell r="D352">
            <v>0</v>
          </cell>
        </row>
        <row r="353">
          <cell r="A353" t="str">
            <v>REP-0450</v>
          </cell>
          <cell r="B353" t="str">
            <v>{ REP-0450 }  Ánodo magnesio delgado</v>
          </cell>
          <cell r="C353">
            <v>39060</v>
          </cell>
          <cell r="D353">
            <v>39060</v>
          </cell>
        </row>
        <row r="354">
          <cell r="A354" t="str">
            <v>REP-0451</v>
          </cell>
          <cell r="B354" t="str">
            <v>{ REP-0451 }  Tee acople rápido</v>
          </cell>
          <cell r="C354">
            <v>6122</v>
          </cell>
          <cell r="D354">
            <v>6224</v>
          </cell>
        </row>
        <row r="355">
          <cell r="A355" t="str">
            <v>REP-0452</v>
          </cell>
          <cell r="B355" t="str">
            <v>{ REP-0452 }  Motor trifásico</v>
          </cell>
          <cell r="C355">
            <v>775551</v>
          </cell>
          <cell r="D355">
            <v>775551</v>
          </cell>
        </row>
        <row r="356">
          <cell r="A356" t="str">
            <v>REP-0453</v>
          </cell>
          <cell r="B356" t="str">
            <v>{ REP-0453 }  Compresor lavainteriores</v>
          </cell>
          <cell r="C356">
            <v>273004</v>
          </cell>
          <cell r="D356">
            <v>273004</v>
          </cell>
        </row>
        <row r="357">
          <cell r="A357" t="str">
            <v>REP-0454</v>
          </cell>
          <cell r="B357" t="str">
            <v>{ REP-0454 }  Bomba dosificadora de producto</v>
          </cell>
          <cell r="C357">
            <v>653803</v>
          </cell>
          <cell r="D357">
            <v>664629</v>
          </cell>
        </row>
        <row r="358">
          <cell r="A358" t="str">
            <v>REP-0455</v>
          </cell>
          <cell r="B358" t="str">
            <v>{ REP-0455 }  Cabezal multifunción ROHS</v>
          </cell>
          <cell r="C358">
            <v>412108</v>
          </cell>
          <cell r="D358">
            <v>418932</v>
          </cell>
        </row>
        <row r="359">
          <cell r="A359" t="str">
            <v>REP-0456</v>
          </cell>
          <cell r="B359" t="str">
            <v>{ REP-0456 }  Punto de control</v>
          </cell>
          <cell r="C359">
            <v>466808</v>
          </cell>
          <cell r="D359">
            <v>466808</v>
          </cell>
        </row>
        <row r="360">
          <cell r="A360" t="str">
            <v>REP-0457</v>
          </cell>
          <cell r="B360" t="str">
            <v>{ REP-0457 }  Cuerpo de válvula 2000PF2</v>
          </cell>
          <cell r="C360">
            <v>326027</v>
          </cell>
          <cell r="D360">
            <v>326027</v>
          </cell>
        </row>
        <row r="361">
          <cell r="A361" t="str">
            <v>REP-0458</v>
          </cell>
          <cell r="B361" t="str">
            <v>{ REP-0458 }  Disyuntor automático 4 polos</v>
          </cell>
          <cell r="C361">
            <v>69854</v>
          </cell>
          <cell r="D361">
            <v>69854</v>
          </cell>
        </row>
        <row r="362">
          <cell r="A362" t="str">
            <v>REP-0459</v>
          </cell>
          <cell r="B362" t="str">
            <v>{ REP-0459 }  Bomba Interpump W-150</v>
          </cell>
          <cell r="C362">
            <v>1115698</v>
          </cell>
          <cell r="D362">
            <v>1115698</v>
          </cell>
        </row>
        <row r="363">
          <cell r="A363" t="str">
            <v>REP-0460</v>
          </cell>
          <cell r="B363" t="str">
            <v>{ REP-0460 }  Mariposa para aspirado</v>
          </cell>
          <cell r="C363">
            <v>17503</v>
          </cell>
          <cell r="D363">
            <v>17503</v>
          </cell>
        </row>
        <row r="364">
          <cell r="A364" t="str">
            <v>REP-0462</v>
          </cell>
          <cell r="B364" t="str">
            <v>{ REP-0462 }  Motor Hp3 M100 200/380B3</v>
          </cell>
          <cell r="C364">
            <v>894223</v>
          </cell>
          <cell r="D364">
            <v>894223</v>
          </cell>
        </row>
        <row r="365">
          <cell r="A365" t="str">
            <v>REP-0463</v>
          </cell>
          <cell r="B365" t="str">
            <v>{ REP-0463 }  Membrana 4040</v>
          </cell>
          <cell r="C365">
            <v>530551</v>
          </cell>
          <cell r="D365">
            <v>539336</v>
          </cell>
        </row>
        <row r="366">
          <cell r="A366" t="str">
            <v>REP-0464</v>
          </cell>
          <cell r="B366" t="str">
            <v>{ REP-0464 }  Kit anello tenutadi 18 bomba C2W2012</v>
          </cell>
          <cell r="C366">
            <v>167811</v>
          </cell>
          <cell r="D366">
            <v>167811</v>
          </cell>
        </row>
        <row r="367">
          <cell r="A367" t="str">
            <v>REP-0465</v>
          </cell>
          <cell r="B367" t="str">
            <v>{ REP-0465 }  Kit anello radialed 15 bomba C2W2012</v>
          </cell>
          <cell r="C367">
            <v>23482</v>
          </cell>
          <cell r="D367">
            <v>23482</v>
          </cell>
        </row>
        <row r="368">
          <cell r="A368" t="str">
            <v>REP-0466</v>
          </cell>
          <cell r="B368" t="str">
            <v>{ REP-0466 }  Kit válvula a/m bomba C2W2012</v>
          </cell>
          <cell r="C368">
            <v>74829</v>
          </cell>
          <cell r="D368">
            <v>74829</v>
          </cell>
        </row>
        <row r="369">
          <cell r="A369" t="str">
            <v>REP-0467</v>
          </cell>
          <cell r="B369" t="str">
            <v>{ REP-0467 }  Válvula sobre presión 8 BAR</v>
          </cell>
          <cell r="C369">
            <v>16900</v>
          </cell>
          <cell r="D369">
            <v>16900</v>
          </cell>
        </row>
        <row r="370">
          <cell r="A370" t="str">
            <v>REP-0468</v>
          </cell>
          <cell r="B370" t="str">
            <v>{ REP-0468 }  Interruptor luminoso termo Trotter</v>
          </cell>
          <cell r="C370">
            <v>6300</v>
          </cell>
          <cell r="D370">
            <v>6300</v>
          </cell>
        </row>
        <row r="371">
          <cell r="A371" t="str">
            <v>REP-0469</v>
          </cell>
          <cell r="B371" t="str">
            <v>{ REP-0469 }  Válvula Seg 1/2 10 BAR termo Trotter</v>
          </cell>
          <cell r="C371">
            <v>19990</v>
          </cell>
          <cell r="D371">
            <v>19990</v>
          </cell>
        </row>
        <row r="372">
          <cell r="A372" t="str">
            <v>REP-0470</v>
          </cell>
          <cell r="B372" t="str">
            <v>{ REP-0470 }  Porta filtro con elemento para compresor lavainterior</v>
          </cell>
          <cell r="C372">
            <v>15061</v>
          </cell>
          <cell r="D372">
            <v>15061</v>
          </cell>
        </row>
        <row r="373">
          <cell r="A373" t="str">
            <v>REP-0472</v>
          </cell>
          <cell r="B373" t="str">
            <v>{ REP-0472 }  Ánodo grueso frontal 4 pernos</v>
          </cell>
          <cell r="C373">
            <v>39060</v>
          </cell>
          <cell r="D373">
            <v>39060</v>
          </cell>
        </row>
        <row r="374">
          <cell r="A374" t="str">
            <v>REP-0473</v>
          </cell>
          <cell r="B374" t="str">
            <v>{ REP-0473 }  Orin´g ánodo grueso</v>
          </cell>
          <cell r="C374">
            <v>2400</v>
          </cell>
          <cell r="D374">
            <v>2400</v>
          </cell>
        </row>
        <row r="375">
          <cell r="A375" t="str">
            <v>REP-0475</v>
          </cell>
          <cell r="B375" t="str">
            <v>{ REP-0475 }  Bomba dosificadora de cera Smart pro</v>
          </cell>
          <cell r="C375">
            <v>329297</v>
          </cell>
          <cell r="D375">
            <v>329297</v>
          </cell>
        </row>
        <row r="376">
          <cell r="A376" t="str">
            <v>REP-0476</v>
          </cell>
          <cell r="B376" t="str">
            <v>{ REP-0476 }  Bomba dosificadora de shampoo/lava llantas Smart pro</v>
          </cell>
          <cell r="C376">
            <v>324076</v>
          </cell>
          <cell r="D376">
            <v>324076</v>
          </cell>
        </row>
        <row r="377">
          <cell r="A377" t="str">
            <v>REP-0477</v>
          </cell>
          <cell r="B377" t="str">
            <v>{ REP-0477 }  Cuerpo reparación bomba Smart pro</v>
          </cell>
          <cell r="C377">
            <v>55722</v>
          </cell>
          <cell r="D377">
            <v>55722</v>
          </cell>
        </row>
        <row r="378">
          <cell r="A378" t="str">
            <v>REP-0478</v>
          </cell>
          <cell r="B378" t="str">
            <v>{ REP-0478 }  Cuerpo reparación de bomba cera Smart pro</v>
          </cell>
          <cell r="C378">
            <v>47767</v>
          </cell>
          <cell r="D378">
            <v>47767</v>
          </cell>
        </row>
        <row r="379">
          <cell r="A379" t="str">
            <v>REP-0479</v>
          </cell>
          <cell r="B379" t="str">
            <v>{ REP-0479 }  Válvula de fondo shampoo/lava llantas Smart pro</v>
          </cell>
          <cell r="C379">
            <v>16727</v>
          </cell>
          <cell r="D379">
            <v>16727</v>
          </cell>
        </row>
        <row r="380">
          <cell r="A380" t="str">
            <v>REP-0480</v>
          </cell>
          <cell r="B380" t="str">
            <v>{ REP-0480 }  Válvula de fondo bidón cera Smart pro</v>
          </cell>
          <cell r="C380">
            <v>16941</v>
          </cell>
          <cell r="D380">
            <v>16941</v>
          </cell>
        </row>
        <row r="381">
          <cell r="A381" t="str">
            <v>REP-0481</v>
          </cell>
          <cell r="B381" t="str">
            <v>{ REP-0481 }  Contenedor membrana osmosis Smart pro</v>
          </cell>
          <cell r="C381">
            <v>317288</v>
          </cell>
          <cell r="D381">
            <v>317288</v>
          </cell>
        </row>
        <row r="382">
          <cell r="A382" t="str">
            <v>REP-0482</v>
          </cell>
          <cell r="B382" t="str">
            <v>{ REP-0482 }  Adaptador grifo Smart pro</v>
          </cell>
          <cell r="C382">
            <v>3401</v>
          </cell>
          <cell r="D382">
            <v>3401</v>
          </cell>
        </row>
        <row r="383">
          <cell r="A383" t="str">
            <v>REP-0483</v>
          </cell>
          <cell r="B383" t="str">
            <v>{ REP-0483 }  Grifo 1/4 Smart pro</v>
          </cell>
          <cell r="C383">
            <v>20168</v>
          </cell>
          <cell r="D383">
            <v>20168</v>
          </cell>
        </row>
        <row r="384">
          <cell r="A384" t="str">
            <v>REP-0484</v>
          </cell>
          <cell r="B384" t="str">
            <v>{ REP-0484 }  Válvula retención inox 1/2</v>
          </cell>
          <cell r="C384">
            <v>61480</v>
          </cell>
          <cell r="D384">
            <v>61480</v>
          </cell>
        </row>
        <row r="385">
          <cell r="A385" t="str">
            <v>REP-0485</v>
          </cell>
          <cell r="B385" t="str">
            <v>{ REP-0485 }  Tee 1/2 HI,HI,HI, Inox Smart pro</v>
          </cell>
          <cell r="C385">
            <v>30955</v>
          </cell>
          <cell r="D385">
            <v>30955</v>
          </cell>
        </row>
        <row r="386">
          <cell r="A386" t="str">
            <v>REP-0486</v>
          </cell>
          <cell r="B386" t="str">
            <v>{ REP-0486 }  Salida estanque agua desmineralizada</v>
          </cell>
          <cell r="C386">
            <v>24682</v>
          </cell>
          <cell r="D386">
            <v>24682</v>
          </cell>
        </row>
        <row r="387">
          <cell r="A387" t="str">
            <v>REP-0487</v>
          </cell>
          <cell r="B387" t="str">
            <v>{ REP-0487 }  Foco esquina exterior Smart pro</v>
          </cell>
          <cell r="C387">
            <v>44228</v>
          </cell>
          <cell r="D387">
            <v>44228</v>
          </cell>
        </row>
        <row r="388">
          <cell r="A388" t="str">
            <v>REP-0488</v>
          </cell>
          <cell r="B388" t="str">
            <v>{ REP-0488 }  Ampolleta led foco exterior Smart pro</v>
          </cell>
          <cell r="C388">
            <v>180453</v>
          </cell>
          <cell r="D388">
            <v>180453</v>
          </cell>
        </row>
        <row r="389">
          <cell r="A389" t="str">
            <v>REP-0489</v>
          </cell>
          <cell r="B389" t="str">
            <v>{ REP-0489 }  Bisagra puerta frontal</v>
          </cell>
          <cell r="C389">
            <v>13049</v>
          </cell>
          <cell r="D389">
            <v>13049</v>
          </cell>
        </row>
        <row r="390">
          <cell r="A390" t="str">
            <v>REP-0490</v>
          </cell>
          <cell r="B390" t="str">
            <v>{ REP-0490 }  Placa mini protección entrada fichero Smart pro</v>
          </cell>
          <cell r="C390">
            <v>10486</v>
          </cell>
          <cell r="D390">
            <v>10486</v>
          </cell>
        </row>
        <row r="391">
          <cell r="A391" t="str">
            <v>REP-0491</v>
          </cell>
          <cell r="B391" t="str">
            <v>{ REP-0491 }  Perno largo Allen electroválvula de 1/2 (442)</v>
          </cell>
          <cell r="C391">
            <v>299</v>
          </cell>
          <cell r="D391">
            <v>313</v>
          </cell>
        </row>
        <row r="392">
          <cell r="A392" t="str">
            <v>REP-0492</v>
          </cell>
          <cell r="B392" t="str">
            <v>{ REP-0492 }  Perno corto Allen electroválvula (442)</v>
          </cell>
          <cell r="C392">
            <v>0</v>
          </cell>
          <cell r="D392">
            <v>0</v>
          </cell>
        </row>
        <row r="393">
          <cell r="A393" t="str">
            <v>REP-0493</v>
          </cell>
          <cell r="B393" t="str">
            <v>{ REP-0493 }  Filtro tipo Y</v>
          </cell>
          <cell r="C393">
            <v>6168</v>
          </cell>
          <cell r="D393">
            <v>6168</v>
          </cell>
        </row>
        <row r="394">
          <cell r="A394" t="str">
            <v>REP-0494</v>
          </cell>
          <cell r="B394" t="str">
            <v>{ REP-0494 }  Contactor ABB para termo trifásico</v>
          </cell>
          <cell r="C394">
            <v>60000</v>
          </cell>
          <cell r="D394">
            <v>60000</v>
          </cell>
        </row>
        <row r="395">
          <cell r="A395" t="str">
            <v>REP-0495</v>
          </cell>
          <cell r="B395" t="str">
            <v>{ REP-0495 }  Espiral de protección 10m</v>
          </cell>
          <cell r="C395">
            <v>64313</v>
          </cell>
          <cell r="D395">
            <v>40000</v>
          </cell>
        </row>
        <row r="396">
          <cell r="A396" t="str">
            <v>REP-0496</v>
          </cell>
          <cell r="B396" t="str">
            <v>{ REP-0496 }  Manguera baja presión poliuretano 10M</v>
          </cell>
          <cell r="C396">
            <v>34847</v>
          </cell>
          <cell r="D396">
            <v>35424</v>
          </cell>
        </row>
        <row r="397">
          <cell r="A397" t="str">
            <v>REP-0497</v>
          </cell>
          <cell r="B397" t="str">
            <v>{ REP-0497 }  Flexible aspiradora D.38</v>
          </cell>
          <cell r="C397">
            <v>92060</v>
          </cell>
          <cell r="D397">
            <v>93585</v>
          </cell>
        </row>
        <row r="398">
          <cell r="A398" t="str">
            <v>REP-0498</v>
          </cell>
          <cell r="B398" t="str">
            <v>{ REP-0498 }  Válvula fondo bidón (lava interior)</v>
          </cell>
          <cell r="C398">
            <v>3460</v>
          </cell>
          <cell r="D398">
            <v>3460</v>
          </cell>
        </row>
        <row r="399">
          <cell r="A399" t="str">
            <v>REP-0499</v>
          </cell>
          <cell r="B399" t="str">
            <v>{ REP-0499 }  Mango lanza AP</v>
          </cell>
          <cell r="C399">
            <v>30000</v>
          </cell>
          <cell r="D399">
            <v>30000</v>
          </cell>
        </row>
        <row r="400">
          <cell r="A400" t="str">
            <v>REP-0500</v>
          </cell>
          <cell r="B400" t="str">
            <v>{ REP-0500 }  Boquilla metálica pistola mousse</v>
          </cell>
          <cell r="C400">
            <v>28279</v>
          </cell>
          <cell r="D400">
            <v>28279</v>
          </cell>
        </row>
        <row r="401">
          <cell r="A401" t="str">
            <v>REP-0501</v>
          </cell>
          <cell r="B401" t="str">
            <v>{ REP-0501 }  Punta pistola de mousse</v>
          </cell>
          <cell r="C401">
            <v>67515</v>
          </cell>
          <cell r="D401">
            <v>67515</v>
          </cell>
        </row>
        <row r="402">
          <cell r="A402" t="str">
            <v>REP-0502</v>
          </cell>
          <cell r="B402" t="str">
            <v>{ REP-0502 }  Termo eléctrico 200L 6kw.380v. ac. inox</v>
          </cell>
          <cell r="C402">
            <v>0</v>
          </cell>
          <cell r="D402">
            <v>0</v>
          </cell>
        </row>
        <row r="403">
          <cell r="A403" t="str">
            <v>REP-0503</v>
          </cell>
          <cell r="B403" t="str">
            <v>{ REP-0503 }  Manguera entrada EV alta presión</v>
          </cell>
          <cell r="C403">
            <v>14990</v>
          </cell>
          <cell r="D403">
            <v>14990</v>
          </cell>
        </row>
        <row r="404">
          <cell r="A404" t="str">
            <v>REP-0504</v>
          </cell>
          <cell r="B404" t="str">
            <v>{ REP-0504 }  Fusible placa de aspirado</v>
          </cell>
          <cell r="C404">
            <v>4200</v>
          </cell>
          <cell r="D404">
            <v>4200</v>
          </cell>
        </row>
        <row r="405">
          <cell r="A405" t="str">
            <v>REP-0505</v>
          </cell>
          <cell r="B405" t="str">
            <v>{ REP-0505 }  Oring pequeño EV alta presión</v>
          </cell>
          <cell r="C405">
            <v>1200</v>
          </cell>
          <cell r="D405">
            <v>1200</v>
          </cell>
        </row>
        <row r="406">
          <cell r="A406" t="str">
            <v>REP-0506</v>
          </cell>
          <cell r="B406" t="str">
            <v>{ REP-0506 }  Cuerpo cepillo (lava interior)</v>
          </cell>
          <cell r="C406">
            <v>76175</v>
          </cell>
          <cell r="D406">
            <v>72935</v>
          </cell>
        </row>
        <row r="407">
          <cell r="A407" t="str">
            <v>REP-0508</v>
          </cell>
          <cell r="B407" t="str">
            <v>{ REP-0508 }  Lanza pistola perdente corta</v>
          </cell>
          <cell r="C407">
            <v>130209</v>
          </cell>
          <cell r="D407">
            <v>132365</v>
          </cell>
        </row>
        <row r="408">
          <cell r="A408" t="str">
            <v>REP-0509</v>
          </cell>
          <cell r="B408" t="str">
            <v>{ REP-0509 }  Boquilla dry lavainterior alternativa</v>
          </cell>
          <cell r="C408">
            <v>20900</v>
          </cell>
          <cell r="D408">
            <v>20900</v>
          </cell>
        </row>
        <row r="409">
          <cell r="A409" t="str">
            <v>REP-0510</v>
          </cell>
          <cell r="B409" t="str">
            <v>{ REP-0510 }  Ablandador twin 1600 kit completo</v>
          </cell>
          <cell r="C409">
            <v>2687500</v>
          </cell>
          <cell r="D409">
            <v>2687500</v>
          </cell>
        </row>
        <row r="410">
          <cell r="A410" t="str">
            <v>REP-0511</v>
          </cell>
          <cell r="B410" t="str">
            <v>{ REP-0511 }  BIPASS CABEZAL 1"</v>
          </cell>
          <cell r="C410">
            <v>43750</v>
          </cell>
          <cell r="D410">
            <v>43750</v>
          </cell>
        </row>
        <row r="411">
          <cell r="A411" t="str">
            <v>REP-0512</v>
          </cell>
          <cell r="B411" t="str">
            <v>{ REP-0512 }  CANASTILLO CABEZAL CON ORING.</v>
          </cell>
          <cell r="C411">
            <v>43750</v>
          </cell>
          <cell r="D411">
            <v>43750</v>
          </cell>
        </row>
        <row r="412">
          <cell r="A412" t="str">
            <v>REP-0513</v>
          </cell>
          <cell r="B412" t="str">
            <v>{ REP-0513 }  RELE FINDER ZOCALO (KIT MOUSSE ECO)</v>
          </cell>
          <cell r="C412">
            <v>26469</v>
          </cell>
          <cell r="D412">
            <v>25763</v>
          </cell>
        </row>
        <row r="413">
          <cell r="A413" t="str">
            <v>REP-0514</v>
          </cell>
          <cell r="B413" t="str">
            <v>{ REP-0514 }  BOUILLA PISTOLA MOUSSE ST-75 05 (KIT MOUSSE ECO )</v>
          </cell>
          <cell r="C413">
            <v>27768</v>
          </cell>
          <cell r="D413">
            <v>27027</v>
          </cell>
        </row>
        <row r="414">
          <cell r="A414" t="str">
            <v>REP-0515</v>
          </cell>
          <cell r="B414" t="str">
            <v>{ REP-0515 }  PASADOR PUNTA PISTOLA DE MOUSSE</v>
          </cell>
          <cell r="C414">
            <v>100</v>
          </cell>
          <cell r="D414">
            <v>100</v>
          </cell>
        </row>
        <row r="415">
          <cell r="A415" t="str">
            <v>REP-0516</v>
          </cell>
          <cell r="B415" t="str">
            <v>{ REP-0516 }  Sensor flotante de nivel ON / OFF</v>
          </cell>
          <cell r="C415">
            <v>50000</v>
          </cell>
          <cell r="D415">
            <v>50000</v>
          </cell>
        </row>
        <row r="416">
          <cell r="A416" t="str">
            <v>REP-0517</v>
          </cell>
          <cell r="B416" t="str">
            <v>{ REP-0517 }  RELE ULTRADELGADO 24V</v>
          </cell>
          <cell r="C416">
            <v>7555</v>
          </cell>
          <cell r="D416">
            <v>7555</v>
          </cell>
        </row>
        <row r="417">
          <cell r="A417" t="str">
            <v>REP-0518</v>
          </cell>
          <cell r="B417" t="str">
            <v>{ REP-0518 }  TUBO INOXIDABLE MANGO DE LANZA AP</v>
          </cell>
          <cell r="C417">
            <v>16563</v>
          </cell>
          <cell r="D417">
            <v>16563</v>
          </cell>
        </row>
        <row r="418">
          <cell r="A418" t="str">
            <v>REP-0519</v>
          </cell>
          <cell r="B418" t="str">
            <v>{ REP-0519 }  TAPA INTERIOR LAVAINTERIOR</v>
          </cell>
          <cell r="C418">
            <v>42859</v>
          </cell>
          <cell r="D418">
            <v>42859</v>
          </cell>
        </row>
        <row r="419">
          <cell r="A419" t="str">
            <v>REP-0520</v>
          </cell>
          <cell r="B419" t="str">
            <v>{ REP-0520 }  GATILLO PISTOLA NO PERDENTE AZUL</v>
          </cell>
          <cell r="C419">
            <v>43750</v>
          </cell>
          <cell r="D419">
            <v>43750</v>
          </cell>
        </row>
        <row r="420">
          <cell r="A420" t="str">
            <v>REP-0521</v>
          </cell>
          <cell r="B420" t="str">
            <v>{ REP-0521 }  GATILLO PISTOLA PERDENTE CELESTE</v>
          </cell>
          <cell r="C420">
            <v>43750</v>
          </cell>
          <cell r="D420">
            <v>43750</v>
          </cell>
        </row>
        <row r="421">
          <cell r="A421" t="str">
            <v>REP-0522</v>
          </cell>
          <cell r="B421" t="str">
            <v>{ REP-0522 }  CODO 3/8 HIHI</v>
          </cell>
          <cell r="C421">
            <v>9500</v>
          </cell>
          <cell r="D421">
            <v>9500</v>
          </cell>
        </row>
        <row r="422">
          <cell r="A422" t="str">
            <v>REP-0523</v>
          </cell>
          <cell r="B422" t="str">
            <v>{ REP-0523 }  CERRADURA TUBULAR</v>
          </cell>
          <cell r="C422">
            <v>8000</v>
          </cell>
          <cell r="D422">
            <v>8000</v>
          </cell>
        </row>
        <row r="423">
          <cell r="A423" t="str">
            <v>REP-0524</v>
          </cell>
          <cell r="B423" t="str">
            <v>{ REP-0524 }  CODO 3/8 HE 1/4HI BROCE</v>
          </cell>
          <cell r="C423">
            <v>9375</v>
          </cell>
          <cell r="D423">
            <v>9375</v>
          </cell>
        </row>
        <row r="424">
          <cell r="A424" t="str">
            <v>REP-0525</v>
          </cell>
          <cell r="B424" t="str">
            <v>{ REP-0525 }  BOMBA INTER W154</v>
          </cell>
          <cell r="C424">
            <v>846667</v>
          </cell>
          <cell r="D424">
            <v>846667</v>
          </cell>
        </row>
        <row r="425">
          <cell r="A425" t="str">
            <v>REP-0526</v>
          </cell>
          <cell r="B425" t="str">
            <v>{ REP-0526 }  KIT 127 ANILLOS AGUA BOMBA INTER SHELL</v>
          </cell>
          <cell r="C425">
            <v>110737</v>
          </cell>
          <cell r="D425">
            <v>110737</v>
          </cell>
        </row>
        <row r="426">
          <cell r="A426" t="str">
            <v>REP-0527</v>
          </cell>
          <cell r="B426" t="str">
            <v>{ REP-0527 }  KIT 129 ANILLO EXPANSOR BOMBA INTER SHELL</v>
          </cell>
          <cell r="C426">
            <v>11562</v>
          </cell>
          <cell r="D426">
            <v>11562</v>
          </cell>
        </row>
        <row r="427">
          <cell r="A427" t="str">
            <v>REP-0528</v>
          </cell>
          <cell r="B427" t="str">
            <v>{ REP-0528 }  KIT 123 VALVULAS ASPIRACION BOMBA INTER SHELL</v>
          </cell>
          <cell r="C427">
            <v>93778</v>
          </cell>
          <cell r="D427">
            <v>93778</v>
          </cell>
        </row>
        <row r="428">
          <cell r="A428" t="str">
            <v>REP-0529</v>
          </cell>
          <cell r="B428" t="str">
            <v>{ REP-0529 }  KIT 23 SELLOS BOMBA INTER SHELL</v>
          </cell>
          <cell r="C428">
            <v>31310</v>
          </cell>
          <cell r="D428">
            <v>31310</v>
          </cell>
        </row>
        <row r="429">
          <cell r="A429" t="str">
            <v>REP-0530</v>
          </cell>
          <cell r="B429" t="str">
            <v>{ REP-0530 }  LANZA CURVA 600MM</v>
          </cell>
          <cell r="C429">
            <v>36235</v>
          </cell>
          <cell r="D429">
            <v>36235</v>
          </cell>
        </row>
        <row r="430">
          <cell r="A430" t="str">
            <v>REP-0531</v>
          </cell>
          <cell r="B430" t="str">
            <v>{ REP-0531 }  GUIA ASTA MSELF</v>
          </cell>
          <cell r="C430">
            <v>4729</v>
          </cell>
          <cell r="D430">
            <v>4603</v>
          </cell>
        </row>
        <row r="431">
          <cell r="A431" t="str">
            <v>REP-0532</v>
          </cell>
          <cell r="B431" t="str">
            <v>{ REP-0532 }  ASTA MSELF</v>
          </cell>
          <cell r="C431">
            <v>12740</v>
          </cell>
          <cell r="D431">
            <v>12400</v>
          </cell>
        </row>
        <row r="432">
          <cell r="A432" t="str">
            <v>REP-0533</v>
          </cell>
          <cell r="B432" t="str">
            <v>{ REP-0533 }  UNION CENTRAL MSELF</v>
          </cell>
          <cell r="C432">
            <v>11558</v>
          </cell>
          <cell r="D432">
            <v>11249</v>
          </cell>
        </row>
        <row r="433">
          <cell r="A433" t="str">
            <v>REP-0534</v>
          </cell>
          <cell r="B433" t="str">
            <v>{ REP-0534 }  BOQUILLA RECTA DE LATON 1/2</v>
          </cell>
          <cell r="C433">
            <v>9635</v>
          </cell>
          <cell r="D433">
            <v>9378</v>
          </cell>
        </row>
        <row r="434">
          <cell r="A434" t="str">
            <v>REP-0535</v>
          </cell>
          <cell r="B434" t="str">
            <v>{ REP-0535 }  VALVULA 3/4 RECTA</v>
          </cell>
          <cell r="C434">
            <v>18493</v>
          </cell>
          <cell r="D434">
            <v>17999</v>
          </cell>
        </row>
        <row r="435">
          <cell r="A435" t="str">
            <v>REP-0536</v>
          </cell>
          <cell r="B435" t="str">
            <v>{ REP-0536 }  BOQUILLA CROMADA RECTA 3/4</v>
          </cell>
          <cell r="C435">
            <v>12705</v>
          </cell>
          <cell r="D435">
            <v>12366</v>
          </cell>
        </row>
        <row r="436">
          <cell r="A436" t="str">
            <v>REP-0537</v>
          </cell>
          <cell r="B436" t="str">
            <v>{ REP-0537 }  MANGUEA ROJA 4.7 METROS</v>
          </cell>
          <cell r="C436">
            <v>71854</v>
          </cell>
          <cell r="D436">
            <v>69936</v>
          </cell>
        </row>
        <row r="437">
          <cell r="A437" t="str">
            <v>REP-0538</v>
          </cell>
          <cell r="B437" t="str">
            <v>{ REP-0538 }  BISAGRA DE ASPIRADO</v>
          </cell>
          <cell r="C437">
            <v>44327</v>
          </cell>
          <cell r="D437">
            <v>43144</v>
          </cell>
        </row>
        <row r="438">
          <cell r="A438" t="str">
            <v>REP-0539</v>
          </cell>
          <cell r="B438" t="str">
            <v>{ REP-0539 }  MARCO NEGRO DE PUERTA DE ASPIRADO</v>
          </cell>
          <cell r="C438">
            <v>17646</v>
          </cell>
          <cell r="D438">
            <v>17175</v>
          </cell>
        </row>
        <row r="439">
          <cell r="A439" t="str">
            <v>REP-0540</v>
          </cell>
          <cell r="B439" t="str">
            <v>{ REP-0540 }  ASTA SUPERIOR E INFERIOR ASPIRADO</v>
          </cell>
          <cell r="C439">
            <v>26239</v>
          </cell>
          <cell r="D439">
            <v>25539</v>
          </cell>
        </row>
        <row r="440">
          <cell r="A440" t="str">
            <v>REP-0541</v>
          </cell>
          <cell r="B440" t="str">
            <v>{ REP-0541 }  STIKER PARADA EMERGENCIA ASPIRADO</v>
          </cell>
          <cell r="C440">
            <v>1288</v>
          </cell>
          <cell r="D440">
            <v>1253</v>
          </cell>
        </row>
        <row r="441">
          <cell r="A441" t="str">
            <v>REP-0542</v>
          </cell>
          <cell r="B441" t="str">
            <v>{ REP-0542 }  FICHERO ELECTRONICO SHELL</v>
          </cell>
          <cell r="C441">
            <v>26750</v>
          </cell>
          <cell r="D441">
            <v>26750</v>
          </cell>
        </row>
        <row r="442">
          <cell r="A442" t="str">
            <v>REP-0543</v>
          </cell>
          <cell r="B442" t="str">
            <v>{ REP-0543 }  CAPUCHA SILICONA PULSADOR 22MM</v>
          </cell>
          <cell r="C442">
            <v>961</v>
          </cell>
          <cell r="D442">
            <v>961</v>
          </cell>
        </row>
        <row r="443">
          <cell r="A443" t="str">
            <v>REP-0544</v>
          </cell>
          <cell r="B443" t="str">
            <v>{ REP-0544 }  TAPA PULSADORES 22 MM</v>
          </cell>
          <cell r="C443">
            <v>56</v>
          </cell>
          <cell r="D443">
            <v>56</v>
          </cell>
        </row>
        <row r="444">
          <cell r="A444" t="str">
            <v>REP-0545</v>
          </cell>
          <cell r="B444" t="str">
            <v>{ REP-0545 }  VALVULA PULSAR BYPASS INCLUIDO</v>
          </cell>
          <cell r="C444">
            <v>147000</v>
          </cell>
          <cell r="D444">
            <v>147000</v>
          </cell>
        </row>
        <row r="445">
          <cell r="A445" t="str">
            <v>REP-0546</v>
          </cell>
          <cell r="B445" t="str">
            <v>{ REP-0546 }  NIPLE RECTO 3/8 3/8 BRONCE</v>
          </cell>
          <cell r="C445">
            <v>2626</v>
          </cell>
          <cell r="D445">
            <v>2626</v>
          </cell>
        </row>
        <row r="446">
          <cell r="A446" t="str">
            <v>REP-0547</v>
          </cell>
          <cell r="B446" t="str">
            <v>{ REP-0547 }  FICHA DORADA LAVADO SHELL</v>
          </cell>
          <cell r="C446">
            <v>483</v>
          </cell>
          <cell r="D446">
            <v>484</v>
          </cell>
        </row>
        <row r="447">
          <cell r="A447" t="str">
            <v>REP-0548</v>
          </cell>
          <cell r="B447" t="str">
            <v>{ REP-0548 }  FICHA DE ASPIRADO SHELL</v>
          </cell>
          <cell r="C447">
            <v>561</v>
          </cell>
          <cell r="D447">
            <v>563</v>
          </cell>
        </row>
        <row r="448">
          <cell r="A448" t="str">
            <v>REP-0549</v>
          </cell>
          <cell r="B448" t="str">
            <v>{ REP-0549 }  FICHERO COMPARACION PUNTO ROJO</v>
          </cell>
          <cell r="C448">
            <v>56583</v>
          </cell>
          <cell r="D448">
            <v>56583</v>
          </cell>
        </row>
        <row r="449">
          <cell r="A449" t="str">
            <v>REP-0550</v>
          </cell>
          <cell r="B449" t="str">
            <v>{ REP-0550 }  FILTRO ASPIRADORA SHELL</v>
          </cell>
          <cell r="C449">
            <v>32000</v>
          </cell>
          <cell r="D449">
            <v>32000</v>
          </cell>
        </row>
        <row r="450">
          <cell r="A450" t="str">
            <v>REP-0551</v>
          </cell>
          <cell r="B450" t="str">
            <v>{ REP-0551 }  Ablandador completo 13x54" (cabezal clack estanques e insumos)</v>
          </cell>
          <cell r="C450">
            <v>820000</v>
          </cell>
          <cell r="D450">
            <v>820000</v>
          </cell>
        </row>
        <row r="451">
          <cell r="A451" t="str">
            <v>REP-0552</v>
          </cell>
          <cell r="B451" t="str">
            <v>{ REP-0552 }  Numeral (nacional)</v>
          </cell>
          <cell r="C451">
            <v>2121</v>
          </cell>
          <cell r="D451">
            <v>2121</v>
          </cell>
        </row>
        <row r="452">
          <cell r="A452" t="str">
            <v>REP-0553</v>
          </cell>
          <cell r="B452" t="str">
            <v>{ REP-0553 }  Tee 3/8 HE X 3/8 HE X 3/8 HI</v>
          </cell>
          <cell r="C452">
            <v>7878</v>
          </cell>
          <cell r="D452">
            <v>7878</v>
          </cell>
        </row>
        <row r="453">
          <cell r="A453" t="str">
            <v>REP-0554</v>
          </cell>
          <cell r="B453" t="str">
            <v>{ REP-0554 }  Junta nacional inter</v>
          </cell>
          <cell r="C453">
            <v>36239</v>
          </cell>
          <cell r="D453">
            <v>36239</v>
          </cell>
        </row>
        <row r="454">
          <cell r="A454" t="str">
            <v>REP-0555</v>
          </cell>
          <cell r="B454" t="str">
            <v>{ REP-0555 }  Union tipo Y 14 MM</v>
          </cell>
          <cell r="C454">
            <v>6025</v>
          </cell>
          <cell r="D454">
            <v>6025</v>
          </cell>
        </row>
        <row r="455">
          <cell r="A455" t="str">
            <v>REP-0556</v>
          </cell>
          <cell r="B455" t="str">
            <v>{ REP-0556 }  Reduccion 1/2x3/8</v>
          </cell>
          <cell r="C455">
            <v>2801</v>
          </cell>
          <cell r="D455">
            <v>2801</v>
          </cell>
        </row>
        <row r="456">
          <cell r="A456" t="str">
            <v>REP-0557</v>
          </cell>
          <cell r="B456" t="str">
            <v>{ REP-0557 }  Niple conexion rapida 14MM</v>
          </cell>
          <cell r="C456">
            <v>4905</v>
          </cell>
          <cell r="D456">
            <v>4905</v>
          </cell>
        </row>
        <row r="457">
          <cell r="A457" t="str">
            <v>REP-0558</v>
          </cell>
          <cell r="B457" t="str">
            <v>{ REP-0558 }  Kit porta fichero N</v>
          </cell>
          <cell r="C457">
            <v>35000</v>
          </cell>
          <cell r="D457">
            <v>35000</v>
          </cell>
        </row>
        <row r="458">
          <cell r="A458" t="str">
            <v>REP-0559</v>
          </cell>
          <cell r="B458" t="str">
            <v>{ REP-0559 }  Pulsador 22 mm luz azul</v>
          </cell>
          <cell r="C458">
            <v>8738</v>
          </cell>
          <cell r="D458">
            <v>8738</v>
          </cell>
        </row>
        <row r="459">
          <cell r="A459" t="str">
            <v>REP-0560</v>
          </cell>
          <cell r="B459" t="str">
            <v>{ REP-0560 }  Zocalo 5 pines pulsador 22</v>
          </cell>
          <cell r="C459">
            <v>2488</v>
          </cell>
          <cell r="D459">
            <v>2488</v>
          </cell>
        </row>
        <row r="460">
          <cell r="A460" t="str">
            <v>REP-0561</v>
          </cell>
          <cell r="B460" t="str">
            <v>{ REP-0561 }  Brazo doble MTM</v>
          </cell>
          <cell r="C460">
            <v>2225136</v>
          </cell>
          <cell r="D460">
            <v>2225136</v>
          </cell>
        </row>
        <row r="461">
          <cell r="A461" t="str">
            <v>REP-0562</v>
          </cell>
          <cell r="B461" t="str">
            <v>{ REP-0562 }  Brazo giratorio tipo Z</v>
          </cell>
          <cell r="C461">
            <v>953030</v>
          </cell>
          <cell r="D461">
            <v>953030</v>
          </cell>
        </row>
        <row r="462">
          <cell r="A462" t="str">
            <v>REP-0563</v>
          </cell>
          <cell r="B462" t="str">
            <v>{ REP-0563 }  Controlador de agua</v>
          </cell>
          <cell r="C462">
            <v>36250</v>
          </cell>
          <cell r="D462">
            <v>36250</v>
          </cell>
        </row>
        <row r="463">
          <cell r="A463" t="str">
            <v>REP-0564</v>
          </cell>
          <cell r="B463" t="str">
            <v>{ REP-0564 }  Sistema kit invierno</v>
          </cell>
          <cell r="C463">
            <v>350958</v>
          </cell>
          <cell r="D463">
            <v>350958</v>
          </cell>
        </row>
        <row r="464">
          <cell r="A464" t="str">
            <v>REP-0565</v>
          </cell>
          <cell r="B464" t="str">
            <v>{ REP-0565 }  Boquilla lanza shell 1/8</v>
          </cell>
          <cell r="C464">
            <v>14403</v>
          </cell>
          <cell r="D464">
            <v>14403</v>
          </cell>
        </row>
        <row r="465">
          <cell r="A465" t="str">
            <v>REP-0566</v>
          </cell>
          <cell r="B465" t="str">
            <v>{ REP-0566 }  Manguera 1.63 hehe 1/4 recta y codo 90° brazo doble</v>
          </cell>
          <cell r="C465">
            <v>24525</v>
          </cell>
          <cell r="D465">
            <v>24525</v>
          </cell>
        </row>
        <row r="466">
          <cell r="A466" t="str">
            <v>REP-0567</v>
          </cell>
          <cell r="B466" t="str">
            <v>{ REP-0567 }  Manguera 1.77 hehe 1/4 recta y codo 90° brazo doble</v>
          </cell>
          <cell r="C466">
            <v>25583</v>
          </cell>
          <cell r="D466">
            <v>25583</v>
          </cell>
        </row>
        <row r="467">
          <cell r="A467" t="str">
            <v>REP-0568</v>
          </cell>
          <cell r="B467" t="str">
            <v>{ REP-0568 }  Aspiradora Luster</v>
          </cell>
          <cell r="C467">
            <v>289900</v>
          </cell>
          <cell r="D467">
            <v>289900</v>
          </cell>
        </row>
        <row r="468">
          <cell r="A468" t="str">
            <v>REP-0569</v>
          </cell>
          <cell r="B468" t="str">
            <v>{ REP-0569 }  Motor 5.5 hp 1450rpm</v>
          </cell>
          <cell r="C468">
            <v>560000</v>
          </cell>
          <cell r="D468">
            <v>560000</v>
          </cell>
        </row>
        <row r="469">
          <cell r="A469" t="str">
            <v>REP-0570</v>
          </cell>
          <cell r="B469" t="str">
            <v>{ REP-0570 }  Motor aspiración agua y polvo</v>
          </cell>
          <cell r="C469">
            <v>69875</v>
          </cell>
          <cell r="D469">
            <v>69875</v>
          </cell>
        </row>
        <row r="470">
          <cell r="A470" t="str">
            <v>REP-0571</v>
          </cell>
          <cell r="B470" t="str">
            <v>{ REP-0571 }  Fuente de alimentacion 220 ac/24dc puente lavado</v>
          </cell>
          <cell r="C470" t="str">
            <v>Nvo</v>
          </cell>
          <cell r="D470">
            <v>169029</v>
          </cell>
        </row>
        <row r="471">
          <cell r="A471" t="str">
            <v>REP-0572</v>
          </cell>
          <cell r="B471" t="str">
            <v>{ REP-0572 }  Reductor de traslacion cepillo vertical puente lavado</v>
          </cell>
          <cell r="C471" t="str">
            <v>Nvo</v>
          </cell>
          <cell r="D471">
            <v>205541</v>
          </cell>
        </row>
        <row r="472">
          <cell r="A472" t="str">
            <v>REP-0573</v>
          </cell>
          <cell r="B472" t="str">
            <v>{ REP-0573 }  Inversor 1, 1KW-230V 1ph schneider puente lavado</v>
          </cell>
          <cell r="C472" t="str">
            <v>Nvo</v>
          </cell>
          <cell r="D472">
            <v>695625</v>
          </cell>
        </row>
        <row r="473">
          <cell r="A473" t="str">
            <v>REP-0574</v>
          </cell>
          <cell r="B473" t="str">
            <v>{ REP-0574 }  Motor de cepillo horizontal KW0.5 puente lavado</v>
          </cell>
          <cell r="C473" t="str">
            <v>Nvo</v>
          </cell>
          <cell r="D473">
            <v>358295</v>
          </cell>
        </row>
        <row r="474">
          <cell r="A474" t="str">
            <v>REP-0575</v>
          </cell>
          <cell r="B474" t="str">
            <v>{ REP-0575 }  Motor de giro lavallantas puente lavado</v>
          </cell>
          <cell r="C474" t="str">
            <v>Nvo</v>
          </cell>
          <cell r="D474">
            <v>305443</v>
          </cell>
        </row>
        <row r="475">
          <cell r="A475" t="str">
            <v>REP-0576</v>
          </cell>
          <cell r="B475" t="str">
            <v>{ REP-0576 }  Motor de traslacion cepillo vertical puente lavado</v>
          </cell>
          <cell r="C475" t="str">
            <v>Nvo</v>
          </cell>
          <cell r="D475">
            <v>267703</v>
          </cell>
        </row>
        <row r="476">
          <cell r="A476" t="str">
            <v>REP-0577</v>
          </cell>
          <cell r="B476" t="str">
            <v>{ REP-0577 }  Eletrobomba de acero inoxidable je 120T 0.9KW puente lavado</v>
          </cell>
          <cell r="C476" t="str">
            <v>Nvo</v>
          </cell>
          <cell r="D476">
            <v>626740</v>
          </cell>
        </row>
        <row r="477">
          <cell r="A477" t="str">
            <v>REP-0578</v>
          </cell>
          <cell r="B477" t="str">
            <v>{ REP-0578 }  Correa cinta pes azul 25mm puente lavado</v>
          </cell>
          <cell r="C477" t="str">
            <v>Nvo</v>
          </cell>
          <cell r="D477">
            <v>14373</v>
          </cell>
        </row>
        <row r="478">
          <cell r="A478" t="str">
            <v>REP-0579</v>
          </cell>
          <cell r="B478" t="str">
            <v>{ REP-0579 }  Reductor de traslacion puente derecho puente lavado</v>
          </cell>
          <cell r="C478" t="str">
            <v>Nvo</v>
          </cell>
          <cell r="D478">
            <v>675552</v>
          </cell>
        </row>
        <row r="479">
          <cell r="A479" t="str">
            <v>REP-0580</v>
          </cell>
          <cell r="B479" t="str">
            <v>{ REP-0580 }  Indicador luminoso led diamante izquierda L puente lavado</v>
          </cell>
          <cell r="C479" t="str">
            <v>Nvo</v>
          </cell>
          <cell r="D479">
            <v>698455</v>
          </cell>
        </row>
        <row r="480">
          <cell r="A480" t="str">
            <v>REP-0581</v>
          </cell>
          <cell r="B480" t="str">
            <v>{ REP-0581 }  Bomba dosificadora champu/llantas puente lavado</v>
          </cell>
          <cell r="C480" t="str">
            <v>Nvo</v>
          </cell>
          <cell r="D480">
            <v>195843</v>
          </cell>
        </row>
        <row r="481">
          <cell r="A481" t="str">
            <v>REP-0582</v>
          </cell>
          <cell r="B481" t="str">
            <v>{ REP-0582 }  Bomba dosificadora WAX 3L/H cera puente lavado</v>
          </cell>
          <cell r="C481" t="str">
            <v>Nvo</v>
          </cell>
          <cell r="D481">
            <v>192239</v>
          </cell>
        </row>
        <row r="482">
          <cell r="A482" t="str">
            <v>REP-0583</v>
          </cell>
          <cell r="B482" t="str">
            <v>{ REP-0583 }  Boquilla de espuma 1.2 1/4F puente lavado</v>
          </cell>
          <cell r="C482" t="str">
            <v>Nvo</v>
          </cell>
          <cell r="D482">
            <v>93921</v>
          </cell>
        </row>
        <row r="483">
          <cell r="A483" t="str">
            <v>REP-0584</v>
          </cell>
          <cell r="B483" t="str">
            <v>{ REP-0584 }  Bomba dosificadora EPDM 12L/H puente lavado</v>
          </cell>
          <cell r="C483" t="str">
            <v>Nvo</v>
          </cell>
          <cell r="D483">
            <v>195843</v>
          </cell>
        </row>
        <row r="484">
          <cell r="A484" t="str">
            <v>REP-0585</v>
          </cell>
          <cell r="B484" t="str">
            <v>{ REP-0585 }  Electrovalvula 90 de agua puente lavado</v>
          </cell>
          <cell r="C484" t="str">
            <v>Nvo</v>
          </cell>
          <cell r="D484" t="str">
            <v>Nvo</v>
          </cell>
        </row>
        <row r="485">
          <cell r="A485" t="str">
            <v>REP-0586</v>
          </cell>
          <cell r="B485" t="str">
            <v>{ REP-0586 }  Base modular plana para EV de aire puente lavado</v>
          </cell>
          <cell r="C485" t="str">
            <v>Nvo</v>
          </cell>
          <cell r="D485">
            <v>12284</v>
          </cell>
        </row>
        <row r="486">
          <cell r="A486" t="str">
            <v>REP-0587</v>
          </cell>
          <cell r="B486" t="str">
            <v>{ REP-0587 }  Modulo de absorcion de cepillos puente lavado</v>
          </cell>
          <cell r="C486" t="str">
            <v>Nvo</v>
          </cell>
          <cell r="D486">
            <v>849479</v>
          </cell>
        </row>
        <row r="487">
          <cell r="A487" t="str">
            <v>REP-0588</v>
          </cell>
          <cell r="B487" t="str">
            <v>{ REP-0588 }  Inversor schneider de 0.75KW-230V 1PH puente lavado</v>
          </cell>
          <cell r="C487" t="str">
            <v>Nvo</v>
          </cell>
          <cell r="D487">
            <v>605115</v>
          </cell>
        </row>
        <row r="488">
          <cell r="A488" t="str">
            <v>REP-0589</v>
          </cell>
          <cell r="B488" t="str">
            <v>{ REP-0589 }  Cilindro de inclinacion cepillo vertical puente lavado</v>
          </cell>
          <cell r="C488" t="str">
            <v>Nvo</v>
          </cell>
          <cell r="D488">
            <v>281360</v>
          </cell>
        </row>
        <row r="489">
          <cell r="A489" t="str">
            <v>REP-0590</v>
          </cell>
          <cell r="B489" t="str">
            <v>{ REP-0590 }  Expansion PL schneider 16 puente lavado</v>
          </cell>
          <cell r="C489" t="str">
            <v>Nvo</v>
          </cell>
          <cell r="D489">
            <v>391169</v>
          </cell>
        </row>
        <row r="490">
          <cell r="A490" t="str">
            <v>REP-0591</v>
          </cell>
          <cell r="B490" t="str">
            <v>{ REP-0591 }  Motor del reductor de traslacion 0.75KW puente lavado</v>
          </cell>
          <cell r="C490" t="str">
            <v>Nvo</v>
          </cell>
          <cell r="D490">
            <v>988171</v>
          </cell>
        </row>
        <row r="491">
          <cell r="A491" t="str">
            <v>REP-0592</v>
          </cell>
          <cell r="B491" t="str">
            <v>{ REP-0592 }  Reductor de traslacion puente de lavado izquierdo puente lavado</v>
          </cell>
          <cell r="C491" t="str">
            <v>Nvo</v>
          </cell>
          <cell r="D491">
            <v>675552</v>
          </cell>
        </row>
        <row r="492">
          <cell r="A492" t="str">
            <v>REP-0593</v>
          </cell>
          <cell r="B492" t="str">
            <v>{ REP-0593 }  Reductor para lavallantas puente lavado</v>
          </cell>
          <cell r="C492" t="str">
            <v>Nvo</v>
          </cell>
          <cell r="D492">
            <v>808505</v>
          </cell>
        </row>
        <row r="493">
          <cell r="A493" t="str">
            <v>REP-0594</v>
          </cell>
          <cell r="B493" t="str">
            <v>{ REP-0594 }  Bomba de alta presion puente lavado</v>
          </cell>
          <cell r="C493" t="str">
            <v>Nvo</v>
          </cell>
          <cell r="D493">
            <v>1137529</v>
          </cell>
        </row>
        <row r="494">
          <cell r="A494" t="str">
            <v>REP-0595</v>
          </cell>
          <cell r="B494" t="str">
            <v>{ REP-0595 }  Motor KW0. 37 puente lavado</v>
          </cell>
          <cell r="C494" t="str">
            <v>Nvo</v>
          </cell>
          <cell r="D494">
            <v>304957</v>
          </cell>
        </row>
        <row r="495">
          <cell r="A495" t="str">
            <v>REP-0596</v>
          </cell>
          <cell r="B495" t="str">
            <v>{ REP-0596 }  Motor de secado con ventilacion trasera puente lavado</v>
          </cell>
          <cell r="C495" t="str">
            <v>Nvo</v>
          </cell>
          <cell r="D495">
            <v>744535</v>
          </cell>
        </row>
        <row r="496">
          <cell r="A496" t="str">
            <v>REP-0597</v>
          </cell>
          <cell r="B496" t="str">
            <v>{ REP-0597 }  Motor trifasico bomba de AP 8.5HP 4P 400/230 eje hueco puente lavado</v>
          </cell>
          <cell r="C496" t="str">
            <v>Nvo</v>
          </cell>
          <cell r="D496">
            <v>871751</v>
          </cell>
        </row>
        <row r="497">
          <cell r="A497" t="str">
            <v>REP-0598</v>
          </cell>
          <cell r="B497" t="str">
            <v>{ REP-0598 }  Motor secado horizontal puente lavado</v>
          </cell>
          <cell r="C497" t="str">
            <v>Nvo</v>
          </cell>
          <cell r="D497">
            <v>624527</v>
          </cell>
        </row>
        <row r="498">
          <cell r="A498" t="str">
            <v>REP-0599</v>
          </cell>
          <cell r="B498" t="str">
            <v>{ REP-0599 }  Caudalimetro pulsador de 1" 53IMP/L puente lavado</v>
          </cell>
          <cell r="C498" t="str">
            <v>Nvo</v>
          </cell>
          <cell r="D498">
            <v>377301</v>
          </cell>
        </row>
        <row r="499">
          <cell r="A499" t="str">
            <v>REP-0600</v>
          </cell>
          <cell r="B499" t="str">
            <v>{ REP-0600 }  Correa dentada de kevlar para cepillo horizontal puente lavado</v>
          </cell>
          <cell r="C499" t="str">
            <v>Nvo</v>
          </cell>
          <cell r="D499">
            <v>1907</v>
          </cell>
        </row>
        <row r="500">
          <cell r="A500" t="str">
            <v>REP-0601</v>
          </cell>
          <cell r="B500" t="str">
            <v>{ REP-0601 }  Colector EV de agua puente lavado</v>
          </cell>
          <cell r="C500" t="str">
            <v>Nvo</v>
          </cell>
          <cell r="D500">
            <v>440837</v>
          </cell>
        </row>
        <row r="501">
          <cell r="A501" t="str">
            <v>REP-0602</v>
          </cell>
          <cell r="B501" t="str">
            <v>{ REP-0602 }  Conexion RJ45 CAN-OPEN puente lavado</v>
          </cell>
          <cell r="C501" t="str">
            <v>Nvo</v>
          </cell>
          <cell r="D501">
            <v>175672</v>
          </cell>
        </row>
        <row r="502">
          <cell r="A502" t="str">
            <v>REP-0603</v>
          </cell>
          <cell r="B502" t="str">
            <v>{ REP-0603 }  Regulador de presion 1/4 tuerca anular con monom puente lavado</v>
          </cell>
          <cell r="C502" t="str">
            <v>Nvo</v>
          </cell>
          <cell r="D502">
            <v>55988</v>
          </cell>
        </row>
        <row r="503">
          <cell r="A503" t="str">
            <v>REP-0604</v>
          </cell>
          <cell r="B503" t="str">
            <v>{ REP-0604 }  Admision de aire 1/4 puente lavado</v>
          </cell>
          <cell r="C503" t="str">
            <v>Nvo</v>
          </cell>
          <cell r="D503">
            <v>15597</v>
          </cell>
        </row>
        <row r="504">
          <cell r="A504" t="str">
            <v>REP-0605</v>
          </cell>
          <cell r="B504" t="str">
            <v>{ REP-0605 }  Unidad de filtro de aire manometro1/4 fil. librar puente lavado</v>
          </cell>
          <cell r="C504" t="str">
            <v>Nvo</v>
          </cell>
          <cell r="D504">
            <v>84984</v>
          </cell>
        </row>
        <row r="505">
          <cell r="A505" t="str">
            <v>REP-0606</v>
          </cell>
          <cell r="B505" t="str">
            <v>{ REP-0606 }  Modulo de seguridad 8DI puente lavado</v>
          </cell>
          <cell r="C505" t="str">
            <v>Nvo</v>
          </cell>
          <cell r="D505">
            <v>625140</v>
          </cell>
        </row>
        <row r="506">
          <cell r="A506" t="str">
            <v>REP-0607</v>
          </cell>
          <cell r="B506" t="str">
            <v>{ REP-0607 }  Valvula pulsar para interpmps VBX puente lavado</v>
          </cell>
          <cell r="C506" t="str">
            <v>Nvo</v>
          </cell>
          <cell r="D506">
            <v>124324</v>
          </cell>
        </row>
        <row r="507">
          <cell r="A507" t="str">
            <v>REP-0608</v>
          </cell>
          <cell r="B507" t="str">
            <v>{ REP-0608 }  Electrovalvula plano 5/2 puente lavado</v>
          </cell>
          <cell r="C507" t="str">
            <v>Nvo</v>
          </cell>
          <cell r="D507">
            <v>82511</v>
          </cell>
        </row>
        <row r="508">
          <cell r="A508" t="str">
            <v>REP-0609</v>
          </cell>
          <cell r="B508" t="str">
            <v>{ REP-0609 }  Electrovalvula flat 5/3 1/4 casol puente lavado</v>
          </cell>
          <cell r="C508" t="str">
            <v>Nvo</v>
          </cell>
          <cell r="D508">
            <v>141245</v>
          </cell>
        </row>
        <row r="509">
          <cell r="A509" t="str">
            <v>REP-0610</v>
          </cell>
          <cell r="B509" t="str">
            <v>{ REP-0610 }  PLC schneirder TMC241CECT 24R puente lavado</v>
          </cell>
          <cell r="C509" t="str">
            <v>Nvo</v>
          </cell>
          <cell r="D509">
            <v>1287132</v>
          </cell>
        </row>
        <row r="510">
          <cell r="A510" t="str">
            <v>REP-0611</v>
          </cell>
          <cell r="B510" t="str">
            <v>{ REP-0611 }  Soporte de boquilla giratoria fil. 3/8 sin tuerca anular puente lavado</v>
          </cell>
          <cell r="C510" t="str">
            <v>Nvo</v>
          </cell>
          <cell r="D510">
            <v>9343</v>
          </cell>
        </row>
        <row r="511">
          <cell r="A511" t="str">
            <v>REP-0612</v>
          </cell>
          <cell r="B511" t="str">
            <v>{ REP-0612 }  Expansion de PLC sche 16DO puente lavado</v>
          </cell>
          <cell r="C511" t="str">
            <v>Nvo</v>
          </cell>
          <cell r="D511">
            <v>582907</v>
          </cell>
        </row>
        <row r="512">
          <cell r="A512" t="str">
            <v>REP-0613</v>
          </cell>
          <cell r="B512" t="str">
            <v>{ REP-0613 }  Boquilla metalica para tuercas rojas puente lavado</v>
          </cell>
          <cell r="C512" t="str">
            <v>Nvo</v>
          </cell>
          <cell r="D512">
            <v>4121</v>
          </cell>
        </row>
        <row r="513">
          <cell r="A513" t="str">
            <v>REP-0614</v>
          </cell>
          <cell r="B513" t="str">
            <v>{ REP-0614 }  Porta boquillas de emoliente puente lavado</v>
          </cell>
          <cell r="C513" t="str">
            <v>Nvo</v>
          </cell>
          <cell r="D513">
            <v>4121</v>
          </cell>
        </row>
        <row r="514">
          <cell r="A514" t="str">
            <v>REP-0615</v>
          </cell>
          <cell r="B514" t="str">
            <v>{ REP-0615 }  Adaptador de tarjeta rj45 de apertura de lata puente lavado</v>
          </cell>
          <cell r="C514" t="str">
            <v>Nvo</v>
          </cell>
          <cell r="D514">
            <v>63988</v>
          </cell>
        </row>
        <row r="515">
          <cell r="A515" t="str">
            <v>REP-0616</v>
          </cell>
          <cell r="B515" t="str">
            <v>{ REP-0616 }  Mnguera de conexon estanque cumulador de bombas de alta presion puente lavado</v>
          </cell>
          <cell r="C515" t="str">
            <v>Nvo</v>
          </cell>
          <cell r="D515">
            <v>10684</v>
          </cell>
        </row>
        <row r="516">
          <cell r="A516" t="str">
            <v>REP-0617</v>
          </cell>
          <cell r="B516" t="str">
            <v>{ REP-0617 }  Electrovalvula de aire 2 vias 1/8 NC 24VDC puente lavado</v>
          </cell>
          <cell r="C516" t="str">
            <v>Nvo</v>
          </cell>
          <cell r="D516">
            <v>30224</v>
          </cell>
        </row>
        <row r="517">
          <cell r="A517" t="str">
            <v>REP-0618</v>
          </cell>
          <cell r="B517" t="str">
            <v>{ REP-0618 }  Horquilla cilindro nuematico puente lavado</v>
          </cell>
          <cell r="C517" t="str">
            <v>Nvo</v>
          </cell>
          <cell r="D517">
            <v>5964</v>
          </cell>
        </row>
        <row r="518">
          <cell r="A518" t="str">
            <v>REP-0619</v>
          </cell>
          <cell r="B518" t="str">
            <v>{ REP-0619 }  Rueda de percha 80x25 puente lavado</v>
          </cell>
          <cell r="C518" t="str">
            <v>Nvo</v>
          </cell>
          <cell r="D518">
            <v>40600</v>
          </cell>
        </row>
        <row r="519">
          <cell r="A519" t="str">
            <v>REP-0620</v>
          </cell>
          <cell r="B519" t="str">
            <v>{ REP-0620 }  Boquilla fbl 686 1/4 4003 acero inox  puente lavado</v>
          </cell>
          <cell r="C519" t="str">
            <v>Nvo</v>
          </cell>
          <cell r="D519">
            <v>6837</v>
          </cell>
        </row>
        <row r="520">
          <cell r="A520" t="str">
            <v>REP-0621</v>
          </cell>
          <cell r="B520" t="str">
            <v>{ REP-0621 }  Clindro neumatico para inclinacion de lavaruedas y deflector puente lavado</v>
          </cell>
          <cell r="C520" t="str">
            <v>Nvo</v>
          </cell>
          <cell r="D520">
            <v>48795</v>
          </cell>
        </row>
        <row r="521">
          <cell r="A521" t="str">
            <v>REP-0622</v>
          </cell>
          <cell r="B521" t="str">
            <v>{ REP-0622 }  Interrptor remoto proximidad D18-5M-NO puente lavado</v>
          </cell>
          <cell r="C521" t="str">
            <v>Nvo</v>
          </cell>
          <cell r="D521">
            <v>36188</v>
          </cell>
        </row>
        <row r="522">
          <cell r="A522" t="str">
            <v>REP-0623</v>
          </cell>
          <cell r="B522" t="str">
            <v>{ REP-0623 }  Interruptor remoto proximidad omron 5mt-no puente lavado</v>
          </cell>
          <cell r="C522" t="str">
            <v>Nvo</v>
          </cell>
          <cell r="D522">
            <v>42589</v>
          </cell>
        </row>
        <row r="523">
          <cell r="A523" t="str">
            <v>REP-0624</v>
          </cell>
          <cell r="B523" t="str">
            <v>{ REP-0624 }  Boquilla giratoria 1/4-030-26° puente lavado</v>
          </cell>
          <cell r="C523" t="str">
            <v>Nvo</v>
          </cell>
          <cell r="D523">
            <v>86244</v>
          </cell>
        </row>
        <row r="524">
          <cell r="A524" t="str">
            <v>REP-0625</v>
          </cell>
          <cell r="B524" t="str">
            <v>{ REP-0625 }  Receptor de fotocelula md mt 30 puente lavado</v>
          </cell>
          <cell r="C524" t="str">
            <v>Nvo</v>
          </cell>
          <cell r="D524">
            <v>134425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B6BC-0932-41FA-A822-87C5B1DDF618}">
  <dimension ref="A1:S331"/>
  <sheetViews>
    <sheetView tabSelected="1" zoomScale="70" zoomScaleNormal="70" workbookViewId="0">
      <pane ySplit="2" topLeftCell="A3" activePane="bottomLeft" state="frozen"/>
      <selection pane="bottomLeft" activeCell="E3" sqref="E3"/>
    </sheetView>
  </sheetViews>
  <sheetFormatPr baseColWidth="10" defaultRowHeight="14.4" x14ac:dyDescent="0.3"/>
  <cols>
    <col min="1" max="1" width="12" customWidth="1"/>
    <col min="2" max="2" width="54.6640625" customWidth="1"/>
    <col min="3" max="3" width="10.5546875" bestFit="1" customWidth="1"/>
    <col min="4" max="4" width="21.21875" bestFit="1" customWidth="1"/>
    <col min="5" max="5" width="11.109375" bestFit="1" customWidth="1"/>
    <col min="6" max="6" width="10" style="17" customWidth="1"/>
    <col min="7" max="7" width="8.21875" style="10" customWidth="1"/>
    <col min="8" max="8" width="12.77734375" customWidth="1"/>
    <col min="9" max="9" width="54.5546875" customWidth="1"/>
    <col min="10" max="10" width="10.5546875" style="21" customWidth="1"/>
    <col min="11" max="11" width="8.88671875" customWidth="1"/>
    <col min="12" max="12" width="11.109375" customWidth="1"/>
    <col min="13" max="14" width="7.5546875" customWidth="1"/>
    <col min="15" max="15" width="12.77734375" customWidth="1"/>
    <col min="16" max="16" width="54.5546875" customWidth="1"/>
    <col min="17" max="17" width="10.5546875" style="21" customWidth="1"/>
    <col min="18" max="18" width="8.88671875" customWidth="1"/>
    <col min="19" max="19" width="11.109375" customWidth="1"/>
  </cols>
  <sheetData>
    <row r="1" spans="1:19" ht="15.6" x14ac:dyDescent="0.3">
      <c r="A1" s="1"/>
      <c r="B1" s="2"/>
      <c r="C1" s="2"/>
      <c r="D1" s="3"/>
      <c r="E1" s="2"/>
      <c r="H1" s="9" t="s">
        <v>757</v>
      </c>
      <c r="I1" s="8"/>
      <c r="J1" s="20"/>
      <c r="K1" s="8"/>
      <c r="L1" s="8"/>
      <c r="O1" s="15" t="s">
        <v>786</v>
      </c>
      <c r="P1" s="16"/>
      <c r="Q1" s="23"/>
      <c r="R1" s="16"/>
      <c r="S1" s="16"/>
    </row>
    <row r="2" spans="1:19" ht="46.8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817</v>
      </c>
      <c r="F2" s="18"/>
      <c r="G2" s="12"/>
      <c r="H2" s="6" t="s">
        <v>0</v>
      </c>
      <c r="I2" s="6" t="s">
        <v>1</v>
      </c>
      <c r="J2" s="6" t="s">
        <v>2</v>
      </c>
      <c r="K2" s="6" t="s">
        <v>3</v>
      </c>
      <c r="L2" s="6" t="s">
        <v>816</v>
      </c>
      <c r="N2" s="6"/>
      <c r="O2" s="6" t="s">
        <v>0</v>
      </c>
      <c r="P2" s="6" t="s">
        <v>1</v>
      </c>
      <c r="Q2" s="6" t="s">
        <v>2</v>
      </c>
      <c r="R2" s="6" t="s">
        <v>3</v>
      </c>
      <c r="S2" s="6" t="s">
        <v>817</v>
      </c>
    </row>
    <row r="3" spans="1:19" ht="15.6" x14ac:dyDescent="0.3">
      <c r="A3" s="7">
        <v>503403</v>
      </c>
      <c r="B3" s="4" t="s">
        <v>370</v>
      </c>
      <c r="C3" s="19" t="s">
        <v>371</v>
      </c>
      <c r="D3" s="7" t="str">
        <f>VLOOKUP(C3,[1]data!$W:$Z,4,FALSE)</f>
        <v>Si</v>
      </c>
      <c r="E3" s="5">
        <f>VLOOKUP(C3,[2]REPUESTOS!$A:$D,4,FALSE)</f>
        <v>32311.344243132669</v>
      </c>
      <c r="F3" s="18">
        <f t="shared" ref="F3:F66" si="0">+A3</f>
        <v>503403</v>
      </c>
      <c r="G3" s="11"/>
      <c r="H3" s="7">
        <v>504900</v>
      </c>
      <c r="I3" s="4" t="s">
        <v>630</v>
      </c>
      <c r="J3" s="21" t="s">
        <v>385</v>
      </c>
      <c r="K3" s="7" t="str">
        <f>VLOOKUP(J3,[1]data!$W:$Z,4,FALSE)</f>
        <v>Si</v>
      </c>
      <c r="L3" s="5">
        <f>VLOOKUP(J3,[3]REPUESTOS!$A:$D,4,FALSE)</f>
        <v>72646</v>
      </c>
      <c r="N3" s="13"/>
      <c r="O3" s="7"/>
      <c r="P3" s="4" t="s">
        <v>787</v>
      </c>
      <c r="Q3" s="21" t="s">
        <v>756</v>
      </c>
      <c r="R3" s="7" t="str">
        <f>VLOOKUP(Q3,[1]data!$W:$Z,4,FALSE)</f>
        <v>Si</v>
      </c>
      <c r="S3" s="5">
        <f>VLOOKUP(Q3,[2]REPUESTOS!$A:$D,4,FALSE)</f>
        <v>20900</v>
      </c>
    </row>
    <row r="4" spans="1:19" ht="15.6" x14ac:dyDescent="0.3">
      <c r="A4" s="7">
        <v>503400</v>
      </c>
      <c r="B4" s="4" t="s">
        <v>368</v>
      </c>
      <c r="C4" s="19" t="s">
        <v>369</v>
      </c>
      <c r="D4" s="7" t="str">
        <f>VLOOKUP(C4,[1]data!$W:$Z,4,FALSE)</f>
        <v>Si</v>
      </c>
      <c r="E4" s="5">
        <f>VLOOKUP(C4,[2]REPUESTOS!$A:$D,4,FALSE)</f>
        <v>123423.54061952075</v>
      </c>
      <c r="F4" s="18">
        <f t="shared" si="0"/>
        <v>503400</v>
      </c>
      <c r="G4" s="11"/>
      <c r="H4" s="7">
        <v>504902</v>
      </c>
      <c r="I4" s="4" t="s">
        <v>631</v>
      </c>
      <c r="J4" s="21" t="s">
        <v>387</v>
      </c>
      <c r="K4" s="7" t="str">
        <f>VLOOKUP(J4,[1]data!$W:$Z,4,FALSE)</f>
        <v>Si</v>
      </c>
      <c r="L4" s="5">
        <f>VLOOKUP(J4,[3]REPUESTOS!$A:$D,4,FALSE)</f>
        <v>113245</v>
      </c>
      <c r="N4" s="13"/>
      <c r="O4" s="7"/>
      <c r="P4" s="4" t="s">
        <v>788</v>
      </c>
      <c r="Q4" s="21" t="s">
        <v>758</v>
      </c>
      <c r="R4" s="7" t="str">
        <f>VLOOKUP(Q4,[1]data!$W:$Z,4,FALSE)</f>
        <v>Si</v>
      </c>
      <c r="S4" s="5">
        <f>VLOOKUP(Q4,[2]REPUESTOS!$A:$D,4,FALSE)</f>
        <v>43750</v>
      </c>
    </row>
    <row r="5" spans="1:19" ht="15.6" x14ac:dyDescent="0.3">
      <c r="A5" s="7">
        <v>504251</v>
      </c>
      <c r="B5" s="4" t="s">
        <v>476</v>
      </c>
      <c r="C5" s="19" t="s">
        <v>477</v>
      </c>
      <c r="D5" s="7" t="str">
        <f>VLOOKUP(C5,[1]data!$W:$Z,4,FALSE)</f>
        <v>Si</v>
      </c>
      <c r="E5" s="5">
        <f>VLOOKUP(C5,[2]REPUESTOS!$A:$D,4,FALSE)</f>
        <v>22879.078325848619</v>
      </c>
      <c r="F5" s="18">
        <f t="shared" si="0"/>
        <v>504251</v>
      </c>
      <c r="G5" s="11"/>
      <c r="H5" s="7" t="s">
        <v>632</v>
      </c>
      <c r="I5" s="4" t="s">
        <v>633</v>
      </c>
      <c r="J5" s="21" t="s">
        <v>383</v>
      </c>
      <c r="K5" s="7" t="str">
        <f>VLOOKUP(J5,[1]data!$W:$Z,4,FALSE)</f>
        <v>Si</v>
      </c>
      <c r="L5" s="5">
        <f>VLOOKUP(J5,[3]REPUESTOS!$A:$D,4,FALSE)</f>
        <v>76275</v>
      </c>
      <c r="N5" s="13"/>
      <c r="O5" s="7"/>
      <c r="P5" s="4" t="s">
        <v>789</v>
      </c>
      <c r="Q5" s="21" t="s">
        <v>759</v>
      </c>
      <c r="R5" s="7" t="str">
        <f>VLOOKUP(Q5,[1]data!$W:$Z,4,FALSE)</f>
        <v>Si</v>
      </c>
      <c r="S5" s="5">
        <f>VLOOKUP(Q5,[2]REPUESTOS!$A:$D,4,FALSE)</f>
        <v>43750</v>
      </c>
    </row>
    <row r="6" spans="1:19" ht="15.6" x14ac:dyDescent="0.3">
      <c r="A6" s="7">
        <v>504254</v>
      </c>
      <c r="B6" s="4" t="s">
        <v>482</v>
      </c>
      <c r="C6" s="19" t="s">
        <v>483</v>
      </c>
      <c r="D6" s="7" t="str">
        <f>VLOOKUP(C6,[1]data!$W:$Z,4,FALSE)</f>
        <v>Si</v>
      </c>
      <c r="E6" s="5">
        <f>VLOOKUP(C6,[2]REPUESTOS!$A:$D,4,FALSE)</f>
        <v>18299.087862848239</v>
      </c>
      <c r="F6" s="18">
        <f t="shared" si="0"/>
        <v>504254</v>
      </c>
      <c r="G6" s="11"/>
      <c r="H6" s="7" t="s">
        <v>634</v>
      </c>
      <c r="I6" s="4" t="s">
        <v>635</v>
      </c>
      <c r="J6" s="21" t="s">
        <v>453</v>
      </c>
      <c r="K6" s="7" t="str">
        <f>VLOOKUP(J6,[1]data!$W:$Z,4,FALSE)</f>
        <v>Si</v>
      </c>
      <c r="L6" s="5">
        <f>VLOOKUP(J6,[3]REPUESTOS!$A:$D,4,FALSE)</f>
        <v>47675</v>
      </c>
      <c r="N6" s="13"/>
      <c r="O6" s="7"/>
      <c r="P6" s="4" t="s">
        <v>790</v>
      </c>
      <c r="Q6" s="21" t="s">
        <v>760</v>
      </c>
      <c r="R6" s="7" t="str">
        <f>VLOOKUP(Q6,[1]data!$W:$Z,4,FALSE)</f>
        <v>Si</v>
      </c>
      <c r="S6" s="5">
        <f>VLOOKUP(Q6,[2]REPUESTOS!$A:$D,4,FALSE)</f>
        <v>24134.31518150706</v>
      </c>
    </row>
    <row r="7" spans="1:19" ht="15.6" x14ac:dyDescent="0.3">
      <c r="A7" s="7">
        <v>502310</v>
      </c>
      <c r="B7" s="4" t="s">
        <v>4</v>
      </c>
      <c r="C7" s="19" t="s">
        <v>5</v>
      </c>
      <c r="D7" s="7" t="str">
        <f>VLOOKUP(C7,[1]data!$W:$Z,4,FALSE)</f>
        <v>Si</v>
      </c>
      <c r="E7" s="5">
        <f>VLOOKUP(C7,[2]REPUESTOS!$A:$D,4,FALSE)</f>
        <v>132330.70806556128</v>
      </c>
      <c r="F7" s="18">
        <f t="shared" si="0"/>
        <v>502310</v>
      </c>
      <c r="G7" s="11"/>
      <c r="H7" s="7" t="s">
        <v>636</v>
      </c>
      <c r="I7" s="4" t="s">
        <v>637</v>
      </c>
      <c r="J7" s="21" t="s">
        <v>449</v>
      </c>
      <c r="K7" s="7" t="str">
        <f>VLOOKUP(J7,[1]data!$W:$Z,4,FALSE)</f>
        <v>Si</v>
      </c>
      <c r="L7" s="5">
        <f>VLOOKUP(J7,[3]REPUESTOS!$A:$D,4,FALSE)</f>
        <v>338436</v>
      </c>
      <c r="N7" s="13"/>
      <c r="O7" s="7"/>
      <c r="P7" s="4" t="s">
        <v>791</v>
      </c>
      <c r="Q7" s="21" t="s">
        <v>761</v>
      </c>
      <c r="R7" s="7" t="str">
        <f>VLOOKUP(Q7,[1]data!$W:$Z,4,FALSE)</f>
        <v>Si</v>
      </c>
      <c r="S7" s="5">
        <f>VLOOKUP(Q7,[2]REPUESTOS!$A:$D,4,FALSE)</f>
        <v>25318.985034555037</v>
      </c>
    </row>
    <row r="8" spans="1:19" ht="15.6" x14ac:dyDescent="0.3">
      <c r="A8" s="7">
        <v>502389</v>
      </c>
      <c r="B8" s="4" t="s">
        <v>10</v>
      </c>
      <c r="C8" s="19" t="s">
        <v>11</v>
      </c>
      <c r="D8" s="7" t="str">
        <f>VLOOKUP(C8,[1]data!$W:$Z,4,FALSE)</f>
        <v>Si</v>
      </c>
      <c r="E8" s="5">
        <f>VLOOKUP(C8,[2]REPUESTOS!$A:$D,4,FALSE)</f>
        <v>71454.225936232979</v>
      </c>
      <c r="F8" s="18">
        <f t="shared" si="0"/>
        <v>502389</v>
      </c>
      <c r="G8" s="11"/>
      <c r="H8" s="7" t="s">
        <v>638</v>
      </c>
      <c r="I8" s="4" t="s">
        <v>639</v>
      </c>
      <c r="J8" s="21" t="s">
        <v>397</v>
      </c>
      <c r="K8" s="7" t="str">
        <f>VLOOKUP(J8,[1]data!$W:$Z,4,FALSE)</f>
        <v>Si</v>
      </c>
      <c r="L8" s="5">
        <f>VLOOKUP(J8,[3]REPUESTOS!$A:$D,4,FALSE)</f>
        <v>105455</v>
      </c>
      <c r="N8" s="13"/>
      <c r="O8" s="7"/>
      <c r="P8" s="4" t="s">
        <v>792</v>
      </c>
      <c r="Q8" s="21" t="s">
        <v>762</v>
      </c>
      <c r="R8" s="7" t="str">
        <f>VLOOKUP(Q8,[1]data!$W:$Z,4,FALSE)</f>
        <v>Si</v>
      </c>
      <c r="S8" s="5">
        <f>VLOOKUP(Q8,[2]REPUESTOS!$A:$D,4,FALSE)</f>
        <v>100</v>
      </c>
    </row>
    <row r="9" spans="1:19" ht="15.6" x14ac:dyDescent="0.3">
      <c r="A9" s="7">
        <v>502380</v>
      </c>
      <c r="B9" s="4" t="s">
        <v>6</v>
      </c>
      <c r="C9" s="19" t="s">
        <v>7</v>
      </c>
      <c r="D9" s="7" t="str">
        <f>VLOOKUP(C9,[1]data!$W:$Z,4,FALSE)</f>
        <v>Si</v>
      </c>
      <c r="E9" s="5">
        <f>VLOOKUP(C9,[2]REPUESTOS!$A:$D,4,FALSE)</f>
        <v>66165.851340905094</v>
      </c>
      <c r="F9" s="18">
        <f t="shared" si="0"/>
        <v>502380</v>
      </c>
      <c r="G9" s="11"/>
      <c r="H9" s="7" t="s">
        <v>640</v>
      </c>
      <c r="I9" s="4" t="s">
        <v>641</v>
      </c>
      <c r="J9" s="21" t="s">
        <v>465</v>
      </c>
      <c r="K9" s="7" t="str">
        <f>VLOOKUP(J9,[1]data!$W:$Z,4,FALSE)</f>
        <v>Si</v>
      </c>
      <c r="L9" s="5">
        <f>VLOOKUP(J9,[3]REPUESTOS!$A:$D,4,FALSE)</f>
        <v>78477</v>
      </c>
      <c r="N9" s="13"/>
      <c r="O9" s="7"/>
      <c r="P9" s="4" t="s">
        <v>793</v>
      </c>
      <c r="Q9" s="21" t="s">
        <v>763</v>
      </c>
      <c r="R9" s="7" t="str">
        <f>VLOOKUP(Q9,[1]data!$W:$Z,4,FALSE)</f>
        <v>Si</v>
      </c>
      <c r="S9" s="5">
        <f>VLOOKUP(Q9,[2]REPUESTOS!$A:$D,4,FALSE)</f>
        <v>7555</v>
      </c>
    </row>
    <row r="10" spans="1:19" ht="15.6" x14ac:dyDescent="0.3">
      <c r="A10" s="7">
        <v>502386</v>
      </c>
      <c r="B10" s="4" t="s">
        <v>8</v>
      </c>
      <c r="C10" s="19" t="s">
        <v>9</v>
      </c>
      <c r="D10" s="7" t="str">
        <f>VLOOKUP(C10,[1]data!$W:$Z,4,FALSE)</f>
        <v>Si</v>
      </c>
      <c r="E10" s="5">
        <f>VLOOKUP(C10,[2]REPUESTOS!$A:$D,4,FALSE)</f>
        <v>76754.535926547484</v>
      </c>
      <c r="F10" s="18">
        <f t="shared" si="0"/>
        <v>502386</v>
      </c>
      <c r="G10" s="11"/>
      <c r="H10" s="7" t="s">
        <v>642</v>
      </c>
      <c r="I10" s="4" t="s">
        <v>643</v>
      </c>
      <c r="J10" s="21" t="s">
        <v>451</v>
      </c>
      <c r="K10" s="7" t="str">
        <f>VLOOKUP(J10,[1]data!$W:$Z,4,FALSE)</f>
        <v>Si</v>
      </c>
      <c r="L10" s="5">
        <f>VLOOKUP(J10,[3]REPUESTOS!$A:$D,4,FALSE)</f>
        <v>78477</v>
      </c>
      <c r="N10" s="13"/>
      <c r="O10" s="7"/>
      <c r="P10" s="4" t="s">
        <v>794</v>
      </c>
      <c r="Q10" s="21" t="s">
        <v>764</v>
      </c>
      <c r="R10" s="7" t="str">
        <f>VLOOKUP(Q10,[1]data!$W:$Z,4,FALSE)</f>
        <v>Si</v>
      </c>
      <c r="S10" s="5">
        <f>VLOOKUP(Q10,[2]REPUESTOS!$A:$D,4,FALSE)</f>
        <v>16563</v>
      </c>
    </row>
    <row r="11" spans="1:19" ht="15.6" x14ac:dyDescent="0.3">
      <c r="A11" s="7">
        <v>502392</v>
      </c>
      <c r="B11" s="4" t="s">
        <v>12</v>
      </c>
      <c r="C11" s="19" t="s">
        <v>13</v>
      </c>
      <c r="D11" s="7" t="str">
        <f>VLOOKUP(C11,[1]data!$W:$Z,4,FALSE)</f>
        <v>Si</v>
      </c>
      <c r="E11" s="5">
        <f>VLOOKUP(C11,[2]REPUESTOS!$A:$D,4,FALSE)</f>
        <v>9832.7762364889022</v>
      </c>
      <c r="F11" s="18">
        <f t="shared" si="0"/>
        <v>502392</v>
      </c>
      <c r="G11" s="11"/>
      <c r="H11" s="7" t="s">
        <v>644</v>
      </c>
      <c r="I11" s="4" t="s">
        <v>645</v>
      </c>
      <c r="J11" s="21" t="s">
        <v>399</v>
      </c>
      <c r="K11" s="7" t="str">
        <f>VLOOKUP(J11,[1]data!$W:$Z,4,FALSE)</f>
        <v>Si</v>
      </c>
      <c r="L11" s="5">
        <f>VLOOKUP(J11,[3]REPUESTOS!$A:$D,4,FALSE)</f>
        <v>106271</v>
      </c>
      <c r="N11" s="13"/>
      <c r="O11" s="7"/>
      <c r="P11" s="4" t="s">
        <v>795</v>
      </c>
      <c r="Q11" s="21" t="s">
        <v>765</v>
      </c>
      <c r="R11" s="7" t="str">
        <f>VLOOKUP(Q11,[1]data!$W:$Z,4,FALSE)</f>
        <v>Si</v>
      </c>
      <c r="S11" s="5">
        <f>VLOOKUP(Q11,[2]REPUESTOS!$A:$D,4,FALSE)</f>
        <v>42859</v>
      </c>
    </row>
    <row r="12" spans="1:19" ht="15.6" x14ac:dyDescent="0.3">
      <c r="A12" s="7">
        <v>502395</v>
      </c>
      <c r="B12" s="4" t="s">
        <v>14</v>
      </c>
      <c r="C12" s="19" t="s">
        <v>15</v>
      </c>
      <c r="D12" s="7" t="str">
        <f>VLOOKUP(C12,[1]data!$W:$Z,4,FALSE)</f>
        <v>Si</v>
      </c>
      <c r="E12" s="5">
        <f>VLOOKUP(C12,[2]REPUESTOS!$A:$D,4,FALSE)</f>
        <v>8679.0213877809183</v>
      </c>
      <c r="F12" s="18">
        <f t="shared" si="0"/>
        <v>502395</v>
      </c>
      <c r="G12" s="11"/>
      <c r="H12" s="7" t="s">
        <v>646</v>
      </c>
      <c r="I12" s="4" t="s">
        <v>647</v>
      </c>
      <c r="J12" s="21" t="s">
        <v>401</v>
      </c>
      <c r="K12" s="7" t="str">
        <f>VLOOKUP(J12,[1]data!$W:$Z,4,FALSE)</f>
        <v>Si</v>
      </c>
      <c r="L12" s="5">
        <f>VLOOKUP(J12,[3]REPUESTOS!$A:$D,4,FALSE)</f>
        <v>269766</v>
      </c>
      <c r="N12" s="13"/>
      <c r="O12" s="7"/>
      <c r="P12" s="4" t="s">
        <v>796</v>
      </c>
      <c r="Q12" s="21" t="s">
        <v>766</v>
      </c>
      <c r="R12" s="7" t="str">
        <f>VLOOKUP(Q12,[1]data!$W:$Z,4,FALSE)</f>
        <v>Si</v>
      </c>
      <c r="S12" s="5">
        <f>VLOOKUP(Q12,[2]REPUESTOS!$A:$D,4,FALSE)</f>
        <v>43750</v>
      </c>
    </row>
    <row r="13" spans="1:19" ht="15.6" x14ac:dyDescent="0.3">
      <c r="A13" s="7">
        <v>502401</v>
      </c>
      <c r="B13" s="4" t="s">
        <v>18</v>
      </c>
      <c r="C13" s="19" t="s">
        <v>19</v>
      </c>
      <c r="D13" s="7" t="str">
        <f>VLOOKUP(C13,[1]data!$W:$Z,4,FALSE)</f>
        <v>Si</v>
      </c>
      <c r="E13" s="5">
        <f>VLOOKUP(C13,[2]REPUESTOS!$A:$D,4,FALSE)</f>
        <v>14397.070202627641</v>
      </c>
      <c r="F13" s="18">
        <f t="shared" si="0"/>
        <v>502401</v>
      </c>
      <c r="G13" s="11"/>
      <c r="H13" s="7" t="s">
        <v>648</v>
      </c>
      <c r="I13" s="4" t="s">
        <v>649</v>
      </c>
      <c r="J13" s="21" t="s">
        <v>403</v>
      </c>
      <c r="K13" s="7" t="str">
        <f>VLOOKUP(J13,[1]data!$W:$Z,4,FALSE)</f>
        <v>Si</v>
      </c>
      <c r="L13" s="5">
        <f>VLOOKUP(J13,[3]REPUESTOS!$A:$D,4,FALSE)</f>
        <v>306552</v>
      </c>
      <c r="N13" s="13"/>
      <c r="O13" s="7"/>
      <c r="P13" s="4" t="s">
        <v>797</v>
      </c>
      <c r="Q13" s="21" t="s">
        <v>767</v>
      </c>
      <c r="R13" s="7" t="str">
        <f>VLOOKUP(Q13,[1]data!$W:$Z,4,FALSE)</f>
        <v>Si</v>
      </c>
      <c r="S13" s="5">
        <f>VLOOKUP(Q13,[2]REPUESTOS!$A:$D,4,FALSE)</f>
        <v>9500</v>
      </c>
    </row>
    <row r="14" spans="1:19" ht="15.6" x14ac:dyDescent="0.3">
      <c r="A14" s="7">
        <v>502410</v>
      </c>
      <c r="B14" s="4" t="s">
        <v>24</v>
      </c>
      <c r="C14" s="19" t="s">
        <v>25</v>
      </c>
      <c r="D14" s="7" t="str">
        <f>VLOOKUP(C14,[1]data!$W:$Z,4,FALSE)</f>
        <v>Si</v>
      </c>
      <c r="E14" s="5">
        <f>VLOOKUP(C14,[2]REPUESTOS!$A:$D,4,FALSE)</f>
        <v>8587.5166928833878</v>
      </c>
      <c r="F14" s="18">
        <f t="shared" si="0"/>
        <v>502410</v>
      </c>
      <c r="G14" s="11"/>
      <c r="H14" s="7" t="s">
        <v>650</v>
      </c>
      <c r="I14" s="4" t="s">
        <v>651</v>
      </c>
      <c r="J14" s="21" t="s">
        <v>405</v>
      </c>
      <c r="K14" s="7" t="str">
        <f>VLOOKUP(J14,[1]data!$W:$Z,4,FALSE)</f>
        <v>Si</v>
      </c>
      <c r="L14" s="5">
        <f>VLOOKUP(J14,[3]REPUESTOS!$A:$D,4,FALSE)</f>
        <v>30660</v>
      </c>
      <c r="N14" s="13"/>
      <c r="O14" s="7"/>
      <c r="P14" s="4" t="s">
        <v>798</v>
      </c>
      <c r="Q14" s="21" t="s">
        <v>768</v>
      </c>
      <c r="R14" s="7" t="str">
        <f>VLOOKUP(Q14,[1]data!$W:$Z,4,FALSE)</f>
        <v>Si</v>
      </c>
      <c r="S14" s="5">
        <f>VLOOKUP(Q14,[2]REPUESTOS!$A:$D,4,FALSE)</f>
        <v>9375</v>
      </c>
    </row>
    <row r="15" spans="1:19" ht="15.6" x14ac:dyDescent="0.3">
      <c r="A15" s="7">
        <v>502419</v>
      </c>
      <c r="B15" s="4" t="s">
        <v>26</v>
      </c>
      <c r="C15" s="19" t="s">
        <v>27</v>
      </c>
      <c r="D15" s="7" t="str">
        <f>VLOOKUP(C15,[1]data!$W:$Z,4,FALSE)</f>
        <v>Si</v>
      </c>
      <c r="E15" s="5">
        <f>VLOOKUP(C15,[2]REPUESTOS!$A:$D,4,FALSE)</f>
        <v>21677.661144474572</v>
      </c>
      <c r="F15" s="18">
        <f t="shared" si="0"/>
        <v>502419</v>
      </c>
      <c r="G15" s="11"/>
      <c r="H15" s="7" t="s">
        <v>652</v>
      </c>
      <c r="I15" s="4" t="s">
        <v>653</v>
      </c>
      <c r="J15" s="21" t="s">
        <v>407</v>
      </c>
      <c r="K15" s="7" t="str">
        <f>VLOOKUP(J15,[1]data!$W:$Z,4,FALSE)</f>
        <v>Si</v>
      </c>
      <c r="L15" s="5">
        <f>VLOOKUP(J15,[3]REPUESTOS!$A:$D,4,FALSE)</f>
        <v>58532</v>
      </c>
      <c r="N15" s="13"/>
      <c r="O15" s="7"/>
      <c r="P15" s="4" t="s">
        <v>799</v>
      </c>
      <c r="Q15" s="21" t="s">
        <v>769</v>
      </c>
      <c r="R15" s="7" t="str">
        <f>VLOOKUP(Q15,[1]data!$W:$Z,4,FALSE)</f>
        <v>Si</v>
      </c>
      <c r="S15" s="5">
        <f>VLOOKUP(Q15,[2]REPUESTOS!$A:$D,4,FALSE)</f>
        <v>4312.0458959816906</v>
      </c>
    </row>
    <row r="16" spans="1:19" ht="15.6" x14ac:dyDescent="0.3">
      <c r="A16" s="7">
        <v>502425</v>
      </c>
      <c r="B16" s="4" t="s">
        <v>28</v>
      </c>
      <c r="C16" s="19" t="s">
        <v>29</v>
      </c>
      <c r="D16" s="7" t="str">
        <f>VLOOKUP(C16,[1]data!$W:$Z,4,FALSE)</f>
        <v>Si</v>
      </c>
      <c r="E16" s="5">
        <f>VLOOKUP(C16,[2]REPUESTOS!$A:$D,4,FALSE)</f>
        <v>307669.61734921043</v>
      </c>
      <c r="F16" s="18">
        <f t="shared" si="0"/>
        <v>502425</v>
      </c>
      <c r="G16" s="11"/>
      <c r="H16" s="7" t="s">
        <v>654</v>
      </c>
      <c r="I16" s="4" t="s">
        <v>655</v>
      </c>
      <c r="J16" s="21" t="s">
        <v>461</v>
      </c>
      <c r="K16" s="7" t="str">
        <f>VLOOKUP(J16,[1]data!$W:$Z,4,FALSE)</f>
        <v>Si</v>
      </c>
      <c r="L16" s="5">
        <f>VLOOKUP(J16,[3]REPUESTOS!$A:$D,4,FALSE)</f>
        <v>231624</v>
      </c>
      <c r="N16" s="13"/>
      <c r="O16" s="7"/>
      <c r="P16" s="4" t="s">
        <v>800</v>
      </c>
      <c r="Q16" s="21" t="s">
        <v>770</v>
      </c>
      <c r="R16" s="7" t="str">
        <f>VLOOKUP(Q16,[1]data!$W:$Z,4,FALSE)</f>
        <v>Si</v>
      </c>
      <c r="S16" s="5">
        <f>VLOOKUP(Q16,[2]REPUESTOS!$A:$D,4,FALSE)</f>
        <v>11616.240247169757</v>
      </c>
    </row>
    <row r="17" spans="1:19" ht="15.6" x14ac:dyDescent="0.3">
      <c r="A17" s="7">
        <v>502428</v>
      </c>
      <c r="B17" s="4" t="s">
        <v>30</v>
      </c>
      <c r="C17" s="19" t="s">
        <v>31</v>
      </c>
      <c r="D17" s="7" t="str">
        <f>VLOOKUP(C17,[1]data!$W:$Z,4,FALSE)</f>
        <v>Si</v>
      </c>
      <c r="E17" s="5">
        <f>VLOOKUP(C17,[2]REPUESTOS!$A:$D,4,FALSE)</f>
        <v>1083.137095037064</v>
      </c>
      <c r="F17" s="18">
        <f t="shared" si="0"/>
        <v>502428</v>
      </c>
      <c r="G17" s="11"/>
      <c r="H17" s="7" t="s">
        <v>656</v>
      </c>
      <c r="I17" s="4" t="s">
        <v>657</v>
      </c>
      <c r="J17" s="21" t="s">
        <v>459</v>
      </c>
      <c r="K17" s="7" t="str">
        <f>VLOOKUP(J17,[1]data!$W:$Z,4,FALSE)</f>
        <v>Si</v>
      </c>
      <c r="L17" s="5">
        <f>VLOOKUP(J17,[3]REPUESTOS!$A:$D,4,FALSE)</f>
        <v>79751</v>
      </c>
      <c r="N17" s="14"/>
      <c r="O17" s="7"/>
      <c r="P17" s="4" t="s">
        <v>801</v>
      </c>
      <c r="Q17" s="21" t="s">
        <v>771</v>
      </c>
      <c r="R17" s="7" t="str">
        <f>VLOOKUP(Q17,[1]data!$W:$Z,4,FALSE)</f>
        <v>Si</v>
      </c>
      <c r="S17" s="5">
        <f>VLOOKUP(Q17,[2]REPUESTOS!$A:$D,4,FALSE)</f>
        <v>10538.228773174334</v>
      </c>
    </row>
    <row r="18" spans="1:19" ht="15.6" x14ac:dyDescent="0.3">
      <c r="A18" s="7">
        <v>503220</v>
      </c>
      <c r="B18" s="4" t="s">
        <v>306</v>
      </c>
      <c r="C18" s="19" t="s">
        <v>307</v>
      </c>
      <c r="D18" s="7" t="str">
        <f>VLOOKUP(C18,[1]data!$W:$Z,4,FALSE)</f>
        <v>Si</v>
      </c>
      <c r="E18" s="5">
        <f>VLOOKUP(C18,[2]REPUESTOS!$A:$D,4,FALSE)</f>
        <v>55577.166755262675</v>
      </c>
      <c r="F18" s="18">
        <f t="shared" si="0"/>
        <v>503220</v>
      </c>
      <c r="G18" s="11"/>
      <c r="H18" s="7" t="s">
        <v>658</v>
      </c>
      <c r="I18" s="4" t="s">
        <v>659</v>
      </c>
      <c r="J18" s="21" t="s">
        <v>463</v>
      </c>
      <c r="K18" s="7" t="str">
        <f>VLOOKUP(J18,[1]data!$W:$Z,4,FALSE)</f>
        <v>Si</v>
      </c>
      <c r="L18" s="5">
        <f>VLOOKUP(J18,[3]REPUESTOS!$A:$D,4,FALSE)</f>
        <v>61310</v>
      </c>
      <c r="N18" s="13"/>
      <c r="O18" s="7"/>
      <c r="P18" s="4" t="s">
        <v>802</v>
      </c>
      <c r="Q18" s="21" t="s">
        <v>772</v>
      </c>
      <c r="R18" s="7" t="str">
        <f>VLOOKUP(Q18,[1]data!$W:$Z,4,FALSE)</f>
        <v>Si</v>
      </c>
      <c r="S18" s="5">
        <f>VLOOKUP(Q18,[2]REPUESTOS!$A:$D,4,FALSE)</f>
        <v>8785.0316674980313</v>
      </c>
    </row>
    <row r="19" spans="1:19" ht="15.6" x14ac:dyDescent="0.3">
      <c r="A19" s="7">
        <v>502431</v>
      </c>
      <c r="B19" s="4" t="s">
        <v>32</v>
      </c>
      <c r="C19" s="19" t="s">
        <v>33</v>
      </c>
      <c r="D19" s="7" t="str">
        <f>VLOOKUP(C19,[1]data!$W:$Z,4,FALSE)</f>
        <v>Si</v>
      </c>
      <c r="E19" s="5">
        <f>VLOOKUP(C19,[2]REPUESTOS!$A:$D,4,FALSE)</f>
        <v>1548.1109975508841</v>
      </c>
      <c r="F19" s="18">
        <f t="shared" si="0"/>
        <v>502431</v>
      </c>
      <c r="G19" s="11"/>
      <c r="H19" s="7" t="s">
        <v>660</v>
      </c>
      <c r="I19" s="4" t="s">
        <v>661</v>
      </c>
      <c r="J19" s="21" t="s">
        <v>409</v>
      </c>
      <c r="K19" s="7" t="str">
        <f>VLOOKUP(J19,[1]data!$W:$Z,4,FALSE)</f>
        <v>Si</v>
      </c>
      <c r="L19" s="5">
        <f>VLOOKUP(J19,[3]REPUESTOS!$A:$D,4,FALSE)</f>
        <v>572232</v>
      </c>
      <c r="N19" s="13"/>
      <c r="O19" s="7"/>
      <c r="P19" s="4" t="s">
        <v>803</v>
      </c>
      <c r="Q19" s="21" t="s">
        <v>773</v>
      </c>
      <c r="R19" s="7" t="str">
        <f>VLOOKUP(Q19,[1]data!$W:$Z,4,FALSE)</f>
        <v>Si</v>
      </c>
      <c r="S19" s="5">
        <f>VLOOKUP(Q19,[2]REPUESTOS!$A:$D,4,FALSE)</f>
        <v>16861.546959861265</v>
      </c>
    </row>
    <row r="20" spans="1:19" ht="15.6" x14ac:dyDescent="0.3">
      <c r="A20" s="7">
        <v>502434</v>
      </c>
      <c r="B20" s="4" t="s">
        <v>34</v>
      </c>
      <c r="C20" s="19" t="s">
        <v>35</v>
      </c>
      <c r="D20" s="7" t="str">
        <f>VLOOKUP(C20,[1]data!$W:$Z,4,FALSE)</f>
        <v>Si</v>
      </c>
      <c r="E20" s="5">
        <f>VLOOKUP(C20,[2]REPUESTOS!$A:$D,4,FALSE)</f>
        <v>1225.3672186277895</v>
      </c>
      <c r="F20" s="18">
        <f t="shared" si="0"/>
        <v>502434</v>
      </c>
      <c r="G20" s="11"/>
      <c r="H20" s="7" t="s">
        <v>662</v>
      </c>
      <c r="I20" s="4" t="s">
        <v>663</v>
      </c>
      <c r="J20" s="21" t="s">
        <v>411</v>
      </c>
      <c r="K20" s="7" t="str">
        <f>VLOOKUP(J20,[1]data!$W:$Z,4,FALSE)</f>
        <v>Si</v>
      </c>
      <c r="L20" s="5">
        <f>VLOOKUP(J20,[3]REPUESTOS!$A:$D,4,FALSE)</f>
        <v>292144</v>
      </c>
      <c r="N20" s="13"/>
      <c r="O20" s="7"/>
      <c r="P20" s="4" t="s">
        <v>804</v>
      </c>
      <c r="Q20" s="21" t="s">
        <v>774</v>
      </c>
      <c r="R20" s="7" t="str">
        <f>VLOOKUP(Q20,[1]data!$W:$Z,4,FALSE)</f>
        <v>Si</v>
      </c>
      <c r="S20" s="5">
        <f>VLOOKUP(Q20,[2]REPUESTOS!$A:$D,4,FALSE)</f>
        <v>11584.814117627488</v>
      </c>
    </row>
    <row r="21" spans="1:19" ht="15.6" x14ac:dyDescent="0.3">
      <c r="A21" s="7">
        <v>502875</v>
      </c>
      <c r="B21" s="4" t="s">
        <v>186</v>
      </c>
      <c r="C21" s="19" t="s">
        <v>187</v>
      </c>
      <c r="D21" s="7" t="str">
        <f>VLOOKUP(C21,[1]data!$W:$Z,4,FALSE)</f>
        <v>Si</v>
      </c>
      <c r="E21" s="5">
        <f>VLOOKUP(C21,[2]REPUESTOS!$A:$D,4,FALSE)</f>
        <v>964025.83153544902</v>
      </c>
      <c r="F21" s="18">
        <f t="shared" si="0"/>
        <v>502875</v>
      </c>
      <c r="G21" s="11"/>
      <c r="H21" s="7" t="s">
        <v>664</v>
      </c>
      <c r="I21" s="4" t="s">
        <v>665</v>
      </c>
      <c r="J21" s="21" t="s">
        <v>447</v>
      </c>
      <c r="K21" s="7" t="str">
        <f>VLOOKUP(J21,[1]data!$W:$Z,4,FALSE)</f>
        <v>Si</v>
      </c>
      <c r="L21" s="5">
        <f>VLOOKUP(J21,[3]REPUESTOS!$A:$D,4,FALSE)</f>
        <v>13690</v>
      </c>
      <c r="N21" s="13"/>
      <c r="O21" s="7"/>
      <c r="P21" s="4" t="s">
        <v>805</v>
      </c>
      <c r="Q21" s="21" t="s">
        <v>775</v>
      </c>
      <c r="R21" s="7" t="str">
        <f>VLOOKUP(Q21,[1]data!$W:$Z,4,FALSE)</f>
        <v>Si</v>
      </c>
      <c r="S21" s="5">
        <f>VLOOKUP(Q21,[2]REPUESTOS!$A:$D,4,FALSE)</f>
        <v>65515.861639985058</v>
      </c>
    </row>
    <row r="22" spans="1:19" ht="15.6" x14ac:dyDescent="0.3">
      <c r="A22" s="7">
        <v>502437</v>
      </c>
      <c r="B22" s="4" t="s">
        <v>36</v>
      </c>
      <c r="C22" s="19" t="s">
        <v>37</v>
      </c>
      <c r="D22" s="7" t="str">
        <f>VLOOKUP(C22,[1]data!$W:$Z,4,FALSE)</f>
        <v>Si</v>
      </c>
      <c r="E22" s="5">
        <f>VLOOKUP(C22,[2]REPUESTOS!$A:$D,4,FALSE)</f>
        <v>212403.28379839312</v>
      </c>
      <c r="F22" s="18">
        <f t="shared" si="0"/>
        <v>502437</v>
      </c>
      <c r="G22" s="11"/>
      <c r="H22" s="7" t="s">
        <v>666</v>
      </c>
      <c r="I22" s="4" t="s">
        <v>667</v>
      </c>
      <c r="J22" s="21" t="s">
        <v>413</v>
      </c>
      <c r="K22" s="7" t="str">
        <f>VLOOKUP(J22,[1]data!$W:$Z,4,FALSE)</f>
        <v>Si</v>
      </c>
      <c r="L22" s="5">
        <f>VLOOKUP(J22,[3]REPUESTOS!$A:$D,4,FALSE)</f>
        <v>29429</v>
      </c>
      <c r="N22" s="13"/>
      <c r="O22" s="7"/>
      <c r="P22" s="4" t="s">
        <v>806</v>
      </c>
      <c r="Q22" s="21" t="s">
        <v>776</v>
      </c>
      <c r="R22" s="7" t="str">
        <f>VLOOKUP(Q22,[1]data!$W:$Z,4,FALSE)</f>
        <v>Si</v>
      </c>
      <c r="S22" s="5">
        <f>VLOOKUP(Q22,[2]REPUESTOS!$A:$D,4,FALSE)</f>
        <v>40416.859512225907</v>
      </c>
    </row>
    <row r="23" spans="1:19" ht="15.6" x14ac:dyDescent="0.3">
      <c r="A23" s="7">
        <v>503103</v>
      </c>
      <c r="B23" s="4" t="s">
        <v>260</v>
      </c>
      <c r="C23" s="19" t="s">
        <v>261</v>
      </c>
      <c r="D23" s="7" t="str">
        <f>VLOOKUP(C23,[1]data!$W:$Z,4,FALSE)</f>
        <v>Si</v>
      </c>
      <c r="E23" s="5">
        <f>VLOOKUP(C23,[2]REPUESTOS!$A:$D,4,FALSE)</f>
        <v>78449.362014649567</v>
      </c>
      <c r="F23" s="18">
        <f t="shared" si="0"/>
        <v>503103</v>
      </c>
      <c r="G23" s="11"/>
      <c r="H23" s="7" t="s">
        <v>668</v>
      </c>
      <c r="I23" s="4" t="s">
        <v>669</v>
      </c>
      <c r="J23" s="21" t="s">
        <v>415</v>
      </c>
      <c r="K23" s="7" t="str">
        <f>VLOOKUP(J23,[1]data!$W:$Z,4,FALSE)</f>
        <v>Si</v>
      </c>
      <c r="L23" s="5">
        <f>VLOOKUP(J23,[3]REPUESTOS!$A:$D,4,FALSE)</f>
        <v>7150</v>
      </c>
      <c r="N23" s="13"/>
      <c r="O23" s="7"/>
      <c r="P23" s="4" t="s">
        <v>807</v>
      </c>
      <c r="Q23" s="21" t="s">
        <v>777</v>
      </c>
      <c r="R23" s="7" t="str">
        <f>VLOOKUP(Q23,[1]data!$W:$Z,4,FALSE)</f>
        <v>Si</v>
      </c>
      <c r="S23" s="5">
        <f>VLOOKUP(Q23,[2]REPUESTOS!$A:$D,4,FALSE)</f>
        <v>16089.226018686099</v>
      </c>
    </row>
    <row r="24" spans="1:19" ht="15.6" x14ac:dyDescent="0.3">
      <c r="A24" s="7">
        <v>502443</v>
      </c>
      <c r="B24" s="4" t="s">
        <v>38</v>
      </c>
      <c r="C24" s="19" t="s">
        <v>39</v>
      </c>
      <c r="D24" s="7" t="str">
        <f>VLOOKUP(C24,[1]data!$W:$Z,4,FALSE)</f>
        <v>Si</v>
      </c>
      <c r="E24" s="5">
        <f>VLOOKUP(C24,[2]REPUESTOS!$A:$D,4,FALSE)</f>
        <v>302707.47688351723</v>
      </c>
      <c r="F24" s="18">
        <f t="shared" si="0"/>
        <v>502443</v>
      </c>
      <c r="G24" s="11"/>
      <c r="H24" s="7" t="s">
        <v>670</v>
      </c>
      <c r="I24" s="4" t="s">
        <v>671</v>
      </c>
      <c r="J24" s="21" t="s">
        <v>417</v>
      </c>
      <c r="K24" s="7" t="str">
        <f>VLOOKUP(J24,[1]data!$W:$Z,4,FALSE)</f>
        <v>Si</v>
      </c>
      <c r="L24" s="5">
        <f>VLOOKUP(J24,[3]REPUESTOS!$A:$D,4,FALSE)</f>
        <v>153686</v>
      </c>
      <c r="N24" s="13"/>
      <c r="O24" s="7"/>
      <c r="P24" s="4" t="s">
        <v>808</v>
      </c>
      <c r="Q24" s="21" t="s">
        <v>778</v>
      </c>
      <c r="R24" s="7" t="str">
        <f>VLOOKUP(Q24,[1]data!$W:$Z,4,FALSE)</f>
        <v>Si</v>
      </c>
      <c r="S24" s="5">
        <f>VLOOKUP(Q24,[2]REPUESTOS!$A:$D,4,FALSE)</f>
        <v>23924.807651225266</v>
      </c>
    </row>
    <row r="25" spans="1:19" ht="15.6" x14ac:dyDescent="0.3">
      <c r="A25" s="7">
        <v>502446</v>
      </c>
      <c r="B25" s="4" t="s">
        <v>40</v>
      </c>
      <c r="C25" s="19" t="s">
        <v>41</v>
      </c>
      <c r="D25" s="7" t="str">
        <f>VLOOKUP(C25,[1]data!$W:$Z,4,FALSE)</f>
        <v>Si</v>
      </c>
      <c r="E25" s="5">
        <f>VLOOKUP(C25,[2]REPUESTOS!$A:$D,4,FALSE)</f>
        <v>302707.47688351723</v>
      </c>
      <c r="F25" s="18">
        <f t="shared" si="0"/>
        <v>502446</v>
      </c>
      <c r="G25" s="11"/>
      <c r="H25" s="7" t="s">
        <v>672</v>
      </c>
      <c r="I25" s="4" t="s">
        <v>673</v>
      </c>
      <c r="J25" s="21" t="s">
        <v>419</v>
      </c>
      <c r="K25" s="7" t="str">
        <f>VLOOKUP(J25,[1]data!$W:$Z,4,FALSE)</f>
        <v>Si</v>
      </c>
      <c r="L25" s="5">
        <f>VLOOKUP(J25,[3]REPUESTOS!$A:$D,4,FALSE)</f>
        <v>23499</v>
      </c>
      <c r="N25" s="13"/>
      <c r="O25" s="7"/>
      <c r="P25" s="4" t="s">
        <v>809</v>
      </c>
      <c r="Q25" s="21" t="s">
        <v>779</v>
      </c>
      <c r="R25" s="7" t="str">
        <f>VLOOKUP(Q25,[1]data!$W:$Z,4,FALSE)</f>
        <v>Si</v>
      </c>
      <c r="S25" s="5">
        <f>VLOOKUP(Q25,[2]REPUESTOS!$A:$D,4,FALSE)</f>
        <v>1174.1944765338833</v>
      </c>
    </row>
    <row r="26" spans="1:19" ht="15.6" x14ac:dyDescent="0.3">
      <c r="A26" s="7">
        <v>502455</v>
      </c>
      <c r="B26" s="4" t="s">
        <v>44</v>
      </c>
      <c r="C26" s="19" t="s">
        <v>45</v>
      </c>
      <c r="D26" s="7" t="str">
        <f>VLOOKUP(C26,[1]data!$W:$Z,4,FALSE)</f>
        <v>Si</v>
      </c>
      <c r="E26" s="5">
        <f>VLOOKUP(C26,[2]REPUESTOS!$A:$D,4,FALSE)</f>
        <v>15387.707986518288</v>
      </c>
      <c r="F26" s="18">
        <f t="shared" si="0"/>
        <v>502455</v>
      </c>
      <c r="G26" s="11"/>
      <c r="H26" s="7" t="s">
        <v>674</v>
      </c>
      <c r="I26" s="4" t="s">
        <v>675</v>
      </c>
      <c r="J26" s="21" t="s">
        <v>421</v>
      </c>
      <c r="K26" s="7" t="str">
        <f>VLOOKUP(J26,[1]data!$W:$Z,4,FALSE)</f>
        <v>Si</v>
      </c>
      <c r="L26" s="5">
        <f>VLOOKUP(J26,[3]REPUESTOS!$A:$D,4,FALSE)</f>
        <v>10224</v>
      </c>
      <c r="N26" s="13"/>
      <c r="O26" s="7"/>
      <c r="P26" s="4" t="s">
        <v>810</v>
      </c>
      <c r="Q26" s="21" t="s">
        <v>780</v>
      </c>
      <c r="R26" s="7" t="str">
        <f>VLOOKUP(Q26,[1]data!$W:$Z,4,FALSE)</f>
        <v>Si</v>
      </c>
      <c r="S26" s="5">
        <f>VLOOKUP(Q26,[2]REPUESTOS!$A:$D,4,FALSE)</f>
        <v>147000</v>
      </c>
    </row>
    <row r="27" spans="1:19" ht="15.6" x14ac:dyDescent="0.3">
      <c r="A27" s="7">
        <v>502458</v>
      </c>
      <c r="B27" s="4" t="s">
        <v>46</v>
      </c>
      <c r="C27" s="19" t="s">
        <v>47</v>
      </c>
      <c r="D27" s="7" t="str">
        <f>VLOOKUP(C27,[1]data!$W:$Z,4,FALSE)</f>
        <v>Si</v>
      </c>
      <c r="E27" s="5">
        <f>VLOOKUP(C27,[2]REPUESTOS!$A:$D,4,FALSE)</f>
        <v>153.17090232847369</v>
      </c>
      <c r="F27" s="18">
        <f t="shared" si="0"/>
        <v>502458</v>
      </c>
      <c r="G27" s="11"/>
      <c r="H27" s="7" t="s">
        <v>676</v>
      </c>
      <c r="I27" s="4" t="s">
        <v>677</v>
      </c>
      <c r="J27" s="21" t="s">
        <v>423</v>
      </c>
      <c r="K27" s="7" t="str">
        <f>VLOOKUP(J27,[1]data!$W:$Z,4,FALSE)</f>
        <v>Si</v>
      </c>
      <c r="L27" s="5">
        <f>VLOOKUP(J27,[3]REPUESTOS!$A:$D,4,FALSE)</f>
        <v>83382</v>
      </c>
      <c r="N27" s="13"/>
      <c r="O27" s="7"/>
      <c r="P27" s="4" t="s">
        <v>811</v>
      </c>
      <c r="Q27" s="21" t="s">
        <v>781</v>
      </c>
      <c r="R27" s="7" t="str">
        <f>VLOOKUP(Q27,[1]data!$W:$Z,4,FALSE)</f>
        <v>Si</v>
      </c>
      <c r="S27" s="5">
        <f>VLOOKUP(Q27,[2]REPUESTOS!$A:$D,4,FALSE)</f>
        <v>2626</v>
      </c>
    </row>
    <row r="28" spans="1:19" ht="15.6" x14ac:dyDescent="0.3">
      <c r="A28" s="7">
        <v>504255</v>
      </c>
      <c r="B28" s="4" t="s">
        <v>484</v>
      </c>
      <c r="C28" s="19" t="s">
        <v>485</v>
      </c>
      <c r="D28" s="7" t="str">
        <f>VLOOKUP(C28,[1]data!$W:$Z,4,FALSE)</f>
        <v>Si</v>
      </c>
      <c r="E28" s="5">
        <f>VLOOKUP(C28,[2]REPUESTOS!$A:$D,4,FALSE)</f>
        <v>5718.048814846723</v>
      </c>
      <c r="F28" s="18">
        <f t="shared" si="0"/>
        <v>504255</v>
      </c>
      <c r="G28" s="11"/>
      <c r="H28" s="7" t="s">
        <v>678</v>
      </c>
      <c r="I28" s="4" t="s">
        <v>679</v>
      </c>
      <c r="J28" s="21" t="s">
        <v>425</v>
      </c>
      <c r="K28" s="7" t="str">
        <f>VLOOKUP(J28,[1]data!$W:$Z,4,FALSE)</f>
        <v>Si</v>
      </c>
      <c r="L28" s="5">
        <f>VLOOKUP(J28,[3]REPUESTOS!$A:$D,4,FALSE)</f>
        <v>103820</v>
      </c>
      <c r="N28" s="13"/>
      <c r="O28" s="7"/>
      <c r="P28" s="4" t="s">
        <v>812</v>
      </c>
      <c r="Q28" s="21" t="s">
        <v>782</v>
      </c>
      <c r="R28" s="7" t="str">
        <f>VLOOKUP(Q28,[1]data!$W:$Z,4,FALSE)</f>
        <v>Si</v>
      </c>
      <c r="S28" s="5">
        <f>VLOOKUP(Q28,[2]REPUESTOS!$A:$D,4,FALSE)</f>
        <v>2121</v>
      </c>
    </row>
    <row r="29" spans="1:19" ht="15.6" x14ac:dyDescent="0.3">
      <c r="A29" s="7">
        <v>503223</v>
      </c>
      <c r="B29" s="4" t="s">
        <v>308</v>
      </c>
      <c r="C29" s="19" t="s">
        <v>309</v>
      </c>
      <c r="D29" s="7" t="str">
        <f>VLOOKUP(C29,[1]data!$W:$Z,4,FALSE)</f>
        <v>Si</v>
      </c>
      <c r="E29" s="5">
        <f>VLOOKUP(C29,[2]REPUESTOS!$A:$D,4,FALSE)</f>
        <v>12651.518685832372</v>
      </c>
      <c r="F29" s="18">
        <f t="shared" si="0"/>
        <v>503223</v>
      </c>
      <c r="G29" s="11"/>
      <c r="H29" s="7" t="s">
        <v>680</v>
      </c>
      <c r="I29" s="4" t="s">
        <v>681</v>
      </c>
      <c r="J29" s="21" t="s">
        <v>171</v>
      </c>
      <c r="K29" s="7" t="str">
        <f>VLOOKUP(J29,[1]data!$W:$Z,4,FALSE)</f>
        <v>Si</v>
      </c>
      <c r="L29" s="5">
        <f>VLOOKUP(J29,[3]REPUESTOS!$A:$D,4,FALSE)</f>
        <v>16349</v>
      </c>
      <c r="N29" s="13"/>
      <c r="O29" s="7"/>
      <c r="P29" s="4" t="s">
        <v>813</v>
      </c>
      <c r="Q29" s="21" t="s">
        <v>783</v>
      </c>
      <c r="R29" s="7" t="str">
        <f>VLOOKUP(Q29,[1]data!$W:$Z,4,FALSE)</f>
        <v>Si</v>
      </c>
      <c r="S29" s="5">
        <f>VLOOKUP(Q29,[2]REPUESTOS!$A:$D,4,FALSE)</f>
        <v>7878</v>
      </c>
    </row>
    <row r="30" spans="1:19" ht="15.6" x14ac:dyDescent="0.3">
      <c r="A30" s="7">
        <v>503226</v>
      </c>
      <c r="B30" s="4" t="s">
        <v>310</v>
      </c>
      <c r="C30" s="19" t="s">
        <v>311</v>
      </c>
      <c r="D30" s="7" t="str">
        <f>VLOOKUP(C30,[1]data!$W:$Z,4,FALSE)</f>
        <v>Si</v>
      </c>
      <c r="E30" s="5">
        <f>VLOOKUP(C30,[2]REPUESTOS!$A:$D,4,FALSE)</f>
        <v>310161.13105267036</v>
      </c>
      <c r="F30" s="18">
        <f t="shared" si="0"/>
        <v>503226</v>
      </c>
      <c r="G30" s="11"/>
      <c r="H30" s="7" t="s">
        <v>682</v>
      </c>
      <c r="I30" s="4" t="s">
        <v>683</v>
      </c>
      <c r="J30" s="21" t="s">
        <v>457</v>
      </c>
      <c r="K30" s="7" t="str">
        <f>VLOOKUP(J30,[1]data!$W:$Z,4,FALSE)</f>
        <v>Si</v>
      </c>
      <c r="L30" s="5">
        <f>VLOOKUP(J30,[3]REPUESTOS!$A:$D,4,FALSE)</f>
        <v>129161</v>
      </c>
      <c r="N30" s="13"/>
      <c r="O30" s="7"/>
      <c r="P30" s="4" t="s">
        <v>814</v>
      </c>
      <c r="Q30" s="21" t="s">
        <v>784</v>
      </c>
      <c r="R30" s="7" t="str">
        <f>VLOOKUP(Q30,[1]data!$W:$Z,4,FALSE)</f>
        <v>Si</v>
      </c>
      <c r="S30" s="5">
        <f>VLOOKUP(Q30,[2]REPUESTOS!$A:$D,4,FALSE)</f>
        <v>2801</v>
      </c>
    </row>
    <row r="31" spans="1:19" ht="15.6" x14ac:dyDescent="0.3">
      <c r="A31" s="7">
        <v>502467</v>
      </c>
      <c r="B31" s="4" t="s">
        <v>50</v>
      </c>
      <c r="C31" s="19" t="s">
        <v>51</v>
      </c>
      <c r="D31" s="7" t="str">
        <f>VLOOKUP(C31,[1]data!$W:$Z,4,FALSE)</f>
        <v>Si</v>
      </c>
      <c r="E31" s="5">
        <f>VLOOKUP(C31,[2]REPUESTOS!$A:$D,4,FALSE)</f>
        <v>130063.97763434965</v>
      </c>
      <c r="F31" s="18">
        <f t="shared" si="0"/>
        <v>502467</v>
      </c>
      <c r="G31" s="11"/>
      <c r="H31" s="7" t="s">
        <v>684</v>
      </c>
      <c r="I31" s="4" t="s">
        <v>685</v>
      </c>
      <c r="J31" s="21" t="s">
        <v>427</v>
      </c>
      <c r="K31" s="7" t="str">
        <f>VLOOKUP(J31,[1]data!$W:$Z,4,FALSE)</f>
        <v>Si</v>
      </c>
      <c r="L31" s="5">
        <f>VLOOKUP(J31,[3]REPUESTOS!$A:$D,4,FALSE)</f>
        <v>63763</v>
      </c>
      <c r="N31" s="13"/>
      <c r="O31" s="7"/>
      <c r="P31" s="4" t="s">
        <v>815</v>
      </c>
      <c r="Q31" s="21" t="s">
        <v>785</v>
      </c>
      <c r="R31" s="7" t="str">
        <f>VLOOKUP(Q31,[1]data!$W:$Z,4,FALSE)</f>
        <v>Si</v>
      </c>
      <c r="S31" s="5">
        <f>VLOOKUP(Q31,[2]REPUESTOS!$A:$D,4,FALSE)</f>
        <v>36250</v>
      </c>
    </row>
    <row r="32" spans="1:19" ht="15.6" x14ac:dyDescent="0.3">
      <c r="A32" s="7">
        <v>502476</v>
      </c>
      <c r="B32" s="4" t="s">
        <v>54</v>
      </c>
      <c r="C32" s="19" t="s">
        <v>55</v>
      </c>
      <c r="D32" s="7" t="str">
        <f>VLOOKUP(C32,[1]data!$W:$Z,4,FALSE)</f>
        <v>Si</v>
      </c>
      <c r="E32" s="5">
        <f>VLOOKUP(C32,[2]REPUESTOS!$A:$D,4,FALSE)</f>
        <v>10823.41402037955</v>
      </c>
      <c r="F32" s="18">
        <f t="shared" si="0"/>
        <v>502476</v>
      </c>
      <c r="G32" s="11"/>
      <c r="H32" s="7" t="s">
        <v>686</v>
      </c>
      <c r="I32" s="4" t="s">
        <v>687</v>
      </c>
      <c r="J32" s="21" t="s">
        <v>429</v>
      </c>
      <c r="K32" s="7" t="str">
        <f>VLOOKUP(J32,[1]data!$W:$Z,4,FALSE)</f>
        <v>Si</v>
      </c>
      <c r="L32" s="5">
        <f>VLOOKUP(J32,[3]REPUESTOS!$A:$D,4,FALSE)</f>
        <v>3856428</v>
      </c>
      <c r="N32" s="13"/>
      <c r="O32" s="7"/>
      <c r="P32" s="4" t="s">
        <v>823</v>
      </c>
      <c r="Q32" s="21" t="s">
        <v>818</v>
      </c>
      <c r="R32" s="7" t="str">
        <f>VLOOKUP(Q32,[1]data!$W:$Z,4,FALSE)</f>
        <v>Si</v>
      </c>
      <c r="S32" s="5">
        <f>VLOOKUP(Q32,[2]REPUESTOS!$A:$D,4,FALSE)</f>
        <v>92709</v>
      </c>
    </row>
    <row r="33" spans="1:19" ht="15.6" x14ac:dyDescent="0.3">
      <c r="A33" s="7">
        <v>503313</v>
      </c>
      <c r="B33" s="4" t="s">
        <v>342</v>
      </c>
      <c r="C33" s="19" t="s">
        <v>343</v>
      </c>
      <c r="D33" s="7" t="str">
        <f>VLOOKUP(C33,[1]data!$W:$Z,4,FALSE)</f>
        <v>Si</v>
      </c>
      <c r="E33" s="5">
        <f>VLOOKUP(C33,[2]REPUESTOS!$A:$D,4,FALSE)</f>
        <v>22932.866850568949</v>
      </c>
      <c r="F33" s="18">
        <f t="shared" si="0"/>
        <v>503313</v>
      </c>
      <c r="G33" s="11"/>
      <c r="H33" s="7" t="s">
        <v>688</v>
      </c>
      <c r="I33" s="4" t="s">
        <v>689</v>
      </c>
      <c r="J33" s="21" t="s">
        <v>431</v>
      </c>
      <c r="K33" s="7" t="str">
        <f>VLOOKUP(J33,[1]data!$W:$Z,4,FALSE)</f>
        <v>Si</v>
      </c>
      <c r="L33" s="5">
        <f>VLOOKUP(J33,[3]REPUESTOS!$A:$D,4,FALSE)</f>
        <v>133662</v>
      </c>
      <c r="N33" s="13"/>
      <c r="O33" s="7"/>
      <c r="P33" s="4" t="s">
        <v>824</v>
      </c>
      <c r="Q33" s="21" t="s">
        <v>819</v>
      </c>
      <c r="R33" s="7" t="str">
        <f>VLOOKUP(Q33,[1]data!$W:$Z,4,FALSE)</f>
        <v>Si</v>
      </c>
      <c r="S33" s="5">
        <f>VLOOKUP(Q33,[2]REPUESTOS!$A:$D,4,FALSE)</f>
        <v>206250</v>
      </c>
    </row>
    <row r="34" spans="1:19" ht="15.6" x14ac:dyDescent="0.3">
      <c r="A34" s="7">
        <v>504256</v>
      </c>
      <c r="B34" s="4" t="s">
        <v>486</v>
      </c>
      <c r="C34" s="19" t="s">
        <v>487</v>
      </c>
      <c r="D34" s="7" t="str">
        <f>VLOOKUP(C34,[1]data!$W:$Z,4,FALSE)</f>
        <v>Si</v>
      </c>
      <c r="E34" s="5">
        <f>VLOOKUP(C34,[2]REPUESTOS!$A:$D,4,FALSE)</f>
        <v>1102758.8843950906</v>
      </c>
      <c r="F34" s="18">
        <f t="shared" si="0"/>
        <v>504256</v>
      </c>
      <c r="G34" s="11"/>
      <c r="H34" s="7" t="s">
        <v>690</v>
      </c>
      <c r="I34" s="4" t="s">
        <v>691</v>
      </c>
      <c r="J34" s="21" t="s">
        <v>433</v>
      </c>
      <c r="K34" s="7" t="str">
        <f>VLOOKUP(J34,[1]data!$W:$Z,4,FALSE)</f>
        <v>Si</v>
      </c>
      <c r="L34" s="5">
        <f>VLOOKUP(J34,[3]REPUESTOS!$A:$D,4,FALSE)</f>
        <v>2186743</v>
      </c>
      <c r="N34" s="13"/>
      <c r="O34" s="7"/>
      <c r="P34" s="4" t="s">
        <v>825</v>
      </c>
      <c r="Q34" s="21" t="s">
        <v>820</v>
      </c>
      <c r="R34" s="7" t="str">
        <f>VLOOKUP(Q34,[1]data!$W:$Z,4,FALSE)</f>
        <v>Si</v>
      </c>
      <c r="S34" s="5">
        <f>VLOOKUP(Q34,[2]REPUESTOS!$A:$D,4,FALSE)</f>
        <v>1150640</v>
      </c>
    </row>
    <row r="35" spans="1:19" ht="15.6" x14ac:dyDescent="0.3">
      <c r="A35" s="7">
        <v>503232</v>
      </c>
      <c r="B35" s="4" t="s">
        <v>312</v>
      </c>
      <c r="C35" s="19" t="s">
        <v>313</v>
      </c>
      <c r="D35" s="7" t="str">
        <f>VLOOKUP(C35,[1]data!$W:$Z,4,FALSE)</f>
        <v>Si</v>
      </c>
      <c r="E35" s="5">
        <f>VLOOKUP(C35,[2]REPUESTOS!$A:$D,4,FALSE)</f>
        <v>3308276.6531852721</v>
      </c>
      <c r="F35" s="18">
        <f t="shared" si="0"/>
        <v>503232</v>
      </c>
      <c r="G35" s="11"/>
      <c r="H35" s="7" t="s">
        <v>692</v>
      </c>
      <c r="I35" s="4" t="s">
        <v>693</v>
      </c>
      <c r="J35" s="21" t="s">
        <v>435</v>
      </c>
      <c r="K35" s="7" t="str">
        <f>VLOOKUP(J35,[1]data!$W:$Z,4,FALSE)</f>
        <v>Si</v>
      </c>
      <c r="L35" s="5">
        <f>VLOOKUP(J35,[3]REPUESTOS!$A:$D,4,FALSE)</f>
        <v>10016</v>
      </c>
      <c r="N35" s="13"/>
      <c r="O35" s="7"/>
      <c r="P35" s="4" t="s">
        <v>826</v>
      </c>
      <c r="Q35" s="21" t="s">
        <v>821</v>
      </c>
      <c r="R35" s="7" t="str">
        <f>VLOOKUP(Q35,[1]data!$W:$Z,4,FALSE)</f>
        <v>Si</v>
      </c>
      <c r="S35" s="5">
        <f>VLOOKUP(Q35,[2]REPUESTOS!$A:$D,4,FALSE)</f>
        <v>79792</v>
      </c>
    </row>
    <row r="36" spans="1:19" ht="15.6" x14ac:dyDescent="0.3">
      <c r="A36" s="7">
        <v>504257</v>
      </c>
      <c r="B36" s="4" t="s">
        <v>488</v>
      </c>
      <c r="C36" s="19" t="s">
        <v>489</v>
      </c>
      <c r="D36" s="7" t="str">
        <f>VLOOKUP(C36,[1]data!$W:$Z,4,FALSE)</f>
        <v>Si</v>
      </c>
      <c r="E36" s="5">
        <f>VLOOKUP(C36,[2]REPUESTOS!$A:$D,4,FALSE)</f>
        <v>13024.598155301192</v>
      </c>
      <c r="F36" s="18">
        <f t="shared" si="0"/>
        <v>504257</v>
      </c>
      <c r="G36" s="11"/>
      <c r="H36" s="7" t="s">
        <v>694</v>
      </c>
      <c r="I36" s="4" t="s">
        <v>695</v>
      </c>
      <c r="J36" s="21" t="s">
        <v>469</v>
      </c>
      <c r="K36" s="7" t="str">
        <f>VLOOKUP(J36,[1]data!$W:$Z,4,FALSE)</f>
        <v>Si</v>
      </c>
      <c r="L36" s="5">
        <f>VLOOKUP(J36,[3]REPUESTOS!$A:$D,4,FALSE)</f>
        <v>11444</v>
      </c>
      <c r="N36" s="13"/>
      <c r="O36" s="7"/>
      <c r="P36" s="4" t="s">
        <v>827</v>
      </c>
      <c r="Q36" s="21" t="s">
        <v>822</v>
      </c>
      <c r="R36" s="7" t="str">
        <f>VLOOKUP(Q36,[1]data!$W:$Z,4,FALSE)</f>
        <v>Si</v>
      </c>
      <c r="S36" s="5">
        <f>VLOOKUP(Q36,[2]REPUESTOS!$A:$D,4,FALSE)</f>
        <v>31316</v>
      </c>
    </row>
    <row r="37" spans="1:19" ht="15.6" x14ac:dyDescent="0.3">
      <c r="A37" s="7">
        <v>503130</v>
      </c>
      <c r="B37" s="4" t="s">
        <v>270</v>
      </c>
      <c r="C37" s="19" t="s">
        <v>271</v>
      </c>
      <c r="D37" s="7" t="str">
        <f>VLOOKUP(C37,[1]data!$W:$Z,4,FALSE)</f>
        <v>Si</v>
      </c>
      <c r="E37" s="5">
        <f>VLOOKUP(C37,[2]REPUESTOS!$A:$D,4,FALSE)</f>
        <v>1363656.6726404279</v>
      </c>
      <c r="F37" s="18">
        <f t="shared" si="0"/>
        <v>503130</v>
      </c>
      <c r="G37" s="11"/>
      <c r="H37" s="7" t="s">
        <v>696</v>
      </c>
      <c r="I37" s="4" t="s">
        <v>697</v>
      </c>
      <c r="J37" s="21" t="s">
        <v>437</v>
      </c>
      <c r="K37" s="7" t="str">
        <f>VLOOKUP(J37,[1]data!$W:$Z,4,FALSE)</f>
        <v>Si</v>
      </c>
      <c r="L37" s="5">
        <f>VLOOKUP(J37,[3]REPUESTOS!$A:$D,4,FALSE)</f>
        <v>101160</v>
      </c>
      <c r="N37" s="13"/>
      <c r="O37" s="7"/>
      <c r="P37" s="4"/>
      <c r="R37" s="7"/>
      <c r="S37" s="5"/>
    </row>
    <row r="38" spans="1:19" ht="15.6" x14ac:dyDescent="0.3">
      <c r="A38" s="7">
        <v>504258</v>
      </c>
      <c r="B38" s="4" t="s">
        <v>490</v>
      </c>
      <c r="C38" s="19" t="s">
        <v>491</v>
      </c>
      <c r="D38" s="7" t="str">
        <f>VLOOKUP(C38,[1]data!$W:$Z,4,FALSE)</f>
        <v>Si</v>
      </c>
      <c r="E38" s="5">
        <f>VLOOKUP(C38,[2]REPUESTOS!$A:$D,4,FALSE)</f>
        <v>55414.049690445347</v>
      </c>
      <c r="F38" s="18">
        <f t="shared" si="0"/>
        <v>504258</v>
      </c>
      <c r="G38" s="11"/>
      <c r="H38" s="7" t="s">
        <v>698</v>
      </c>
      <c r="I38" s="4" t="s">
        <v>699</v>
      </c>
      <c r="J38" s="21" t="s">
        <v>471</v>
      </c>
      <c r="K38" s="7" t="str">
        <f>VLOOKUP(J38,[1]data!$W:$Z,4,FALSE)</f>
        <v>Si</v>
      </c>
      <c r="L38" s="5">
        <f>VLOOKUP(J38,[3]REPUESTOS!$A:$D,4,FALSE)</f>
        <v>53136</v>
      </c>
      <c r="N38" s="13"/>
      <c r="O38" s="7"/>
      <c r="P38" s="4"/>
      <c r="R38" s="7"/>
      <c r="S38" s="5"/>
    </row>
    <row r="39" spans="1:19" ht="15.6" x14ac:dyDescent="0.3">
      <c r="A39" s="7">
        <v>502482</v>
      </c>
      <c r="B39" s="4" t="s">
        <v>58</v>
      </c>
      <c r="C39" s="19" t="s">
        <v>59</v>
      </c>
      <c r="D39" s="7" t="str">
        <f>VLOOKUP(C39,[1]data!$W:$Z,4,FALSE)</f>
        <v>Si</v>
      </c>
      <c r="E39" s="5">
        <f>VLOOKUP(C39,[2]REPUESTOS!$A:$D,4,FALSE)</f>
        <v>18522.73840300757</v>
      </c>
      <c r="F39" s="18">
        <f t="shared" si="0"/>
        <v>502482</v>
      </c>
      <c r="G39" s="11"/>
      <c r="H39" s="7" t="s">
        <v>700</v>
      </c>
      <c r="I39" s="4" t="s">
        <v>701</v>
      </c>
      <c r="J39" s="21" t="s">
        <v>473</v>
      </c>
      <c r="K39" s="7" t="str">
        <f>VLOOKUP(J39,[1]data!$W:$Z,4,FALSE)</f>
        <v>Si</v>
      </c>
      <c r="L39" s="5">
        <f>VLOOKUP(J39,[3]REPUESTOS!$A:$D,4,FALSE)</f>
        <v>51098</v>
      </c>
      <c r="N39" s="13"/>
      <c r="O39" s="7"/>
      <c r="P39" s="4"/>
      <c r="R39" s="7"/>
      <c r="S39" s="5"/>
    </row>
    <row r="40" spans="1:19" ht="15.6" x14ac:dyDescent="0.3">
      <c r="A40" s="7">
        <v>502485</v>
      </c>
      <c r="B40" s="4" t="s">
        <v>60</v>
      </c>
      <c r="C40" s="19" t="s">
        <v>61</v>
      </c>
      <c r="D40" s="7" t="str">
        <f>VLOOKUP(C40,[1]data!$W:$Z,4,FALSE)</f>
        <v>Si</v>
      </c>
      <c r="E40" s="5">
        <f>VLOOKUP(C40,[2]REPUESTOS!$A:$D,4,FALSE)</f>
        <v>7249.7578381314588</v>
      </c>
      <c r="F40" s="18">
        <f t="shared" si="0"/>
        <v>502485</v>
      </c>
      <c r="G40" s="11"/>
      <c r="H40" s="7" t="s">
        <v>702</v>
      </c>
      <c r="I40" s="4" t="s">
        <v>703</v>
      </c>
      <c r="J40" s="21" t="s">
        <v>443</v>
      </c>
      <c r="K40" s="7" t="str">
        <f>VLOOKUP(J40,[1]data!$W:$Z,4,FALSE)</f>
        <v>Si</v>
      </c>
      <c r="L40" s="5">
        <f>VLOOKUP(J40,[3]REPUESTOS!$A:$D,4,FALSE)</f>
        <v>293026</v>
      </c>
      <c r="N40" s="13"/>
      <c r="O40" s="7"/>
      <c r="P40" s="4"/>
      <c r="R40" s="7"/>
      <c r="S40" s="5"/>
    </row>
    <row r="41" spans="1:19" ht="15.6" x14ac:dyDescent="0.3">
      <c r="A41" s="7">
        <v>502488</v>
      </c>
      <c r="B41" s="4" t="s">
        <v>62</v>
      </c>
      <c r="C41" s="19" t="s">
        <v>63</v>
      </c>
      <c r="D41" s="7" t="str">
        <f>VLOOKUP(C41,[1]data!$W:$Z,4,FALSE)</f>
        <v>Si</v>
      </c>
      <c r="E41" s="5">
        <f>VLOOKUP(C41,[2]REPUESTOS!$A:$D,4,FALSE)</f>
        <v>38554.309655575489</v>
      </c>
      <c r="F41" s="18">
        <f t="shared" si="0"/>
        <v>502488</v>
      </c>
      <c r="G41" s="11"/>
      <c r="H41" s="7" t="s">
        <v>704</v>
      </c>
      <c r="I41" s="4" t="s">
        <v>705</v>
      </c>
      <c r="J41" s="21" t="s">
        <v>475</v>
      </c>
      <c r="K41" s="7" t="str">
        <f>VLOOKUP(J41,[1]data!$W:$Z,4,FALSE)</f>
        <v>Si</v>
      </c>
      <c r="L41" s="5">
        <f>VLOOKUP(J41,[3]REPUESTOS!$A:$D,4,FALSE)</f>
        <v>11674</v>
      </c>
      <c r="N41" s="13"/>
      <c r="O41" s="7"/>
      <c r="P41" s="4"/>
      <c r="R41" s="7"/>
      <c r="S41" s="5"/>
    </row>
    <row r="42" spans="1:19" ht="15.6" x14ac:dyDescent="0.3">
      <c r="A42" s="7">
        <v>502506</v>
      </c>
      <c r="B42" s="4" t="s">
        <v>68</v>
      </c>
      <c r="C42" s="19" t="s">
        <v>69</v>
      </c>
      <c r="D42" s="7" t="str">
        <f>VLOOKUP(C42,[1]data!$W:$Z,4,FALSE)</f>
        <v>Si</v>
      </c>
      <c r="E42" s="5">
        <f>VLOOKUP(C42,[2]REPUESTOS!$A:$D,4,FALSE)</f>
        <v>81553.559327423383</v>
      </c>
      <c r="F42" s="18">
        <f t="shared" si="0"/>
        <v>502506</v>
      </c>
      <c r="G42" s="11"/>
      <c r="H42" s="7" t="s">
        <v>706</v>
      </c>
      <c r="I42" s="4" t="s">
        <v>707</v>
      </c>
      <c r="J42" s="21" t="s">
        <v>445</v>
      </c>
      <c r="K42" s="7" t="str">
        <f>VLOOKUP(J42,[1]data!$W:$Z,4,FALSE)</f>
        <v>Si</v>
      </c>
      <c r="L42" s="5">
        <f>VLOOKUP(J42,[3]REPUESTOS!$A:$D,4,FALSE)</f>
        <v>367863</v>
      </c>
      <c r="N42" s="13"/>
      <c r="O42" s="7"/>
      <c r="P42" s="4"/>
      <c r="R42" s="7"/>
      <c r="S42" s="5"/>
    </row>
    <row r="43" spans="1:19" ht="15.6" x14ac:dyDescent="0.3">
      <c r="A43" s="7">
        <v>502509</v>
      </c>
      <c r="B43" s="4" t="s">
        <v>70</v>
      </c>
      <c r="C43" s="19" t="s">
        <v>71</v>
      </c>
      <c r="D43" s="7" t="str">
        <f>VLOOKUP(C43,[1]data!$W:$Z,4,FALSE)</f>
        <v>Si</v>
      </c>
      <c r="E43" s="5">
        <f>VLOOKUP(C43,[2]REPUESTOS!$A:$D,4,FALSE)</f>
        <v>91433.08252760992</v>
      </c>
      <c r="F43" s="18">
        <f t="shared" si="0"/>
        <v>502509</v>
      </c>
      <c r="G43" s="11"/>
      <c r="H43" s="7" t="s">
        <v>708</v>
      </c>
      <c r="I43" s="4" t="s">
        <v>709</v>
      </c>
      <c r="J43" s="21" t="s">
        <v>599</v>
      </c>
      <c r="K43" s="7" t="str">
        <f>VLOOKUP(J43,[1]data!$W:$Z,4,FALSE)</f>
        <v>Si</v>
      </c>
      <c r="L43" s="5">
        <f>VLOOKUP(J43,[3]REPUESTOS!$A:$D,4,FALSE)</f>
        <v>152672</v>
      </c>
      <c r="N43" s="13"/>
    </row>
    <row r="44" spans="1:19" ht="15.6" x14ac:dyDescent="0.3">
      <c r="A44" s="7">
        <v>502515</v>
      </c>
      <c r="B44" s="4" t="s">
        <v>74</v>
      </c>
      <c r="C44" s="19" t="s">
        <v>75</v>
      </c>
      <c r="D44" s="7" t="str">
        <f>VLOOKUP(C44,[1]data!$W:$Z,4,FALSE)</f>
        <v>Si</v>
      </c>
      <c r="E44" s="5">
        <f>VLOOKUP(C44,[2]REPUESTOS!$A:$D,4,FALSE)</f>
        <v>4217.1728952774574</v>
      </c>
      <c r="F44" s="18">
        <f t="shared" si="0"/>
        <v>502515</v>
      </c>
      <c r="G44" s="11"/>
      <c r="H44" s="7" t="s">
        <v>710</v>
      </c>
      <c r="I44" s="4" t="s">
        <v>711</v>
      </c>
      <c r="J44" s="21" t="s">
        <v>441</v>
      </c>
      <c r="K44" s="7" t="str">
        <f>VLOOKUP(J44,[1]data!$W:$Z,4,FALSE)</f>
        <v>Si</v>
      </c>
      <c r="L44" s="5">
        <v>28208</v>
      </c>
      <c r="N44" s="13"/>
    </row>
    <row r="45" spans="1:19" ht="15.6" x14ac:dyDescent="0.3">
      <c r="A45" s="7">
        <v>502518</v>
      </c>
      <c r="B45" s="4" t="s">
        <v>76</v>
      </c>
      <c r="C45" s="19" t="s">
        <v>77</v>
      </c>
      <c r="D45" s="7" t="str">
        <f>VLOOKUP(C45,[1]data!$W:$Z,4,FALSE)</f>
        <v>Si</v>
      </c>
      <c r="E45" s="5">
        <f>VLOOKUP(C45,[2]REPUESTOS!$A:$D,4,FALSE)</f>
        <v>27099.314317153207</v>
      </c>
      <c r="F45" s="18">
        <f t="shared" si="0"/>
        <v>502518</v>
      </c>
      <c r="G45" s="11"/>
      <c r="H45" s="7">
        <v>502512</v>
      </c>
      <c r="I45" s="4" t="s">
        <v>72</v>
      </c>
      <c r="J45" s="22" t="s">
        <v>73</v>
      </c>
      <c r="K45" s="7" t="str">
        <f>VLOOKUP(J45,[1]data!$W:$Z,4,FALSE)</f>
        <v>No</v>
      </c>
      <c r="L45" s="5">
        <v>8785</v>
      </c>
      <c r="N45" s="13"/>
    </row>
    <row r="46" spans="1:19" ht="15.6" x14ac:dyDescent="0.3">
      <c r="A46" s="7">
        <v>502521</v>
      </c>
      <c r="B46" s="4" t="s">
        <v>78</v>
      </c>
      <c r="C46" s="19" t="s">
        <v>79</v>
      </c>
      <c r="D46" s="7" t="str">
        <f>VLOOKUP(C46,[1]data!$W:$Z,4,FALSE)</f>
        <v>Si</v>
      </c>
      <c r="E46" s="5">
        <f>VLOOKUP(C46,[2]REPUESTOS!$A:$D,4,FALSE)</f>
        <v>47388.491178182652</v>
      </c>
      <c r="F46" s="18">
        <f t="shared" si="0"/>
        <v>502521</v>
      </c>
      <c r="G46" s="11"/>
      <c r="H46" s="7">
        <v>502650</v>
      </c>
      <c r="I46" s="4" t="s">
        <v>134</v>
      </c>
      <c r="J46" s="22" t="s">
        <v>135</v>
      </c>
      <c r="K46" s="7" t="str">
        <f>VLOOKUP(J46,[1]data!$W:$Z,4,FALSE)</f>
        <v>No</v>
      </c>
      <c r="L46" s="5">
        <v>35129</v>
      </c>
      <c r="N46" s="13"/>
    </row>
    <row r="47" spans="1:19" ht="15.6" x14ac:dyDescent="0.3">
      <c r="A47" s="7">
        <v>503145</v>
      </c>
      <c r="B47" s="4" t="s">
        <v>274</v>
      </c>
      <c r="C47" s="19" t="s">
        <v>275</v>
      </c>
      <c r="D47" s="7" t="str">
        <f>VLOOKUP(C47,[1]data!$W:$Z,4,FALSE)</f>
        <v>Si</v>
      </c>
      <c r="E47" s="5">
        <f>VLOOKUP(C47,[2]REPUESTOS!$A:$D,4,FALSE)</f>
        <v>12415.794634846345</v>
      </c>
      <c r="F47" s="18">
        <f t="shared" si="0"/>
        <v>503145</v>
      </c>
      <c r="G47" s="11"/>
      <c r="H47" s="7">
        <v>503034</v>
      </c>
      <c r="I47" s="4" t="s">
        <v>242</v>
      </c>
      <c r="J47" s="22" t="s">
        <v>243</v>
      </c>
      <c r="K47" s="7" t="str">
        <f>VLOOKUP(J47,[1]data!$W:$Z,4,FALSE)</f>
        <v>No</v>
      </c>
      <c r="L47" s="5">
        <v>9688</v>
      </c>
      <c r="N47" s="13"/>
    </row>
    <row r="48" spans="1:19" ht="15.6" x14ac:dyDescent="0.3">
      <c r="A48" s="7">
        <v>503148</v>
      </c>
      <c r="B48" s="4" t="s">
        <v>276</v>
      </c>
      <c r="C48" s="19" t="s">
        <v>277</v>
      </c>
      <c r="D48" s="7" t="str">
        <f>VLOOKUP(C48,[1]data!$W:$Z,4,FALSE)</f>
        <v>Si</v>
      </c>
      <c r="E48" s="5">
        <f>VLOOKUP(C48,[2]REPUESTOS!$A:$D,4,FALSE)</f>
        <v>72496.583765065705</v>
      </c>
      <c r="F48" s="18">
        <f t="shared" si="0"/>
        <v>503148</v>
      </c>
      <c r="G48" s="11"/>
      <c r="H48" s="7">
        <v>503259</v>
      </c>
      <c r="I48" s="4" t="s">
        <v>320</v>
      </c>
      <c r="J48" s="22" t="s">
        <v>321</v>
      </c>
      <c r="K48" s="7" t="str">
        <f>VLOOKUP(J48,[1]data!$W:$Z,4,FALSE)</f>
        <v>No</v>
      </c>
      <c r="L48" s="5">
        <v>2101671</v>
      </c>
      <c r="N48" s="13"/>
    </row>
    <row r="49" spans="1:14" ht="15.6" x14ac:dyDescent="0.3">
      <c r="A49" s="7">
        <v>502548</v>
      </c>
      <c r="B49" s="4" t="s">
        <v>90</v>
      </c>
      <c r="C49" s="19" t="s">
        <v>91</v>
      </c>
      <c r="D49" s="7" t="str">
        <f>VLOOKUP(C49,[1]data!$W:$Z,4,FALSE)</f>
        <v>Si</v>
      </c>
      <c r="E49" s="5">
        <f>VLOOKUP(C49,[2]REPUESTOS!$A:$D,4,FALSE)</f>
        <v>3482.1514873505612</v>
      </c>
      <c r="F49" s="18">
        <f t="shared" si="0"/>
        <v>502548</v>
      </c>
      <c r="G49" s="11"/>
      <c r="H49" s="7">
        <v>504252</v>
      </c>
      <c r="I49" s="4" t="s">
        <v>478</v>
      </c>
      <c r="J49" s="22" t="s">
        <v>479</v>
      </c>
      <c r="K49" s="7" t="str">
        <f>VLOOKUP(J49,[1]data!$W:$Z,4,FALSE)</f>
        <v>No</v>
      </c>
      <c r="L49" s="5">
        <v>27541</v>
      </c>
      <c r="N49" s="13"/>
    </row>
    <row r="50" spans="1:14" ht="15.6" x14ac:dyDescent="0.3">
      <c r="A50" s="7">
        <v>503154</v>
      </c>
      <c r="B50" s="4" t="s">
        <v>280</v>
      </c>
      <c r="C50" s="19" t="s">
        <v>281</v>
      </c>
      <c r="D50" s="7" t="str">
        <f>VLOOKUP(C50,[1]data!$W:$Z,4,FALSE)</f>
        <v>Si</v>
      </c>
      <c r="E50" s="5">
        <f>VLOOKUP(C50,[2]REPUESTOS!$A:$D,4,FALSE)</f>
        <v>4707.5187059783502</v>
      </c>
      <c r="F50" s="18">
        <f t="shared" si="0"/>
        <v>503154</v>
      </c>
      <c r="G50" s="11"/>
      <c r="H50" s="7">
        <v>504253</v>
      </c>
      <c r="I50" s="4" t="s">
        <v>480</v>
      </c>
      <c r="J50" s="22" t="s">
        <v>481</v>
      </c>
      <c r="K50" s="7" t="str">
        <f>VLOOKUP(J50,[1]data!$W:$Z,4,FALSE)</f>
        <v>No</v>
      </c>
      <c r="L50" s="5">
        <v>20000</v>
      </c>
      <c r="N50" s="13"/>
    </row>
    <row r="51" spans="1:14" ht="15.6" x14ac:dyDescent="0.3">
      <c r="A51" s="7">
        <v>502554</v>
      </c>
      <c r="B51" s="4" t="s">
        <v>94</v>
      </c>
      <c r="C51" s="19" t="s">
        <v>95</v>
      </c>
      <c r="D51" s="7" t="str">
        <f>VLOOKUP(C51,[1]data!$W:$Z,4,FALSE)</f>
        <v>Si</v>
      </c>
      <c r="E51" s="5">
        <f>VLOOKUP(C51,[2]REPUESTOS!$A:$D,4,FALSE)</f>
        <v>38106.732343576703</v>
      </c>
      <c r="F51" s="18">
        <f t="shared" si="0"/>
        <v>502554</v>
      </c>
      <c r="G51" s="11"/>
      <c r="H51" s="7">
        <v>504293</v>
      </c>
      <c r="I51" s="4" t="s">
        <v>548</v>
      </c>
      <c r="J51" s="22" t="s">
        <v>549</v>
      </c>
      <c r="K51" s="7" t="str">
        <f>VLOOKUP(J51,[1]data!$W:$Z,4,FALSE)</f>
        <v>No</v>
      </c>
      <c r="L51" s="5">
        <v>67168</v>
      </c>
      <c r="N51" s="13"/>
    </row>
    <row r="52" spans="1:14" ht="15.6" x14ac:dyDescent="0.3">
      <c r="A52" s="7">
        <v>502560</v>
      </c>
      <c r="B52" s="4" t="s">
        <v>96</v>
      </c>
      <c r="C52" s="19" t="s">
        <v>97</v>
      </c>
      <c r="D52" s="7" t="str">
        <f>VLOOKUP(C52,[1]data!$W:$Z,4,FALSE)</f>
        <v>Si</v>
      </c>
      <c r="E52" s="5">
        <f>VLOOKUP(C52,[2]REPUESTOS!$A:$D,4,FALSE)</f>
        <v>24811.696944714968</v>
      </c>
      <c r="F52" s="18">
        <f t="shared" si="0"/>
        <v>502560</v>
      </c>
      <c r="G52" s="11"/>
      <c r="H52" s="7">
        <v>504294</v>
      </c>
      <c r="I52" s="4" t="s">
        <v>550</v>
      </c>
      <c r="J52" s="22" t="s">
        <v>551</v>
      </c>
      <c r="K52" s="7" t="str">
        <f>VLOOKUP(J52,[1]data!$W:$Z,4,FALSE)</f>
        <v>No</v>
      </c>
      <c r="L52" s="5">
        <v>5772</v>
      </c>
      <c r="N52" s="13"/>
    </row>
    <row r="53" spans="1:14" ht="15.6" x14ac:dyDescent="0.3">
      <c r="A53" s="7">
        <v>503268</v>
      </c>
      <c r="B53" s="4" t="s">
        <v>324</v>
      </c>
      <c r="C53" s="19" t="s">
        <v>325</v>
      </c>
      <c r="D53" s="7" t="str">
        <f>VLOOKUP(C53,[1]data!$W:$Z,4,FALSE)</f>
        <v>Si</v>
      </c>
      <c r="E53" s="5">
        <f>VLOOKUP(C53,[2]REPUESTOS!$A:$D,4,FALSE)</f>
        <v>41758.265955435512</v>
      </c>
      <c r="F53" s="18">
        <f t="shared" si="0"/>
        <v>503268</v>
      </c>
      <c r="G53" s="11"/>
      <c r="H53" s="7">
        <v>504323</v>
      </c>
      <c r="I53" s="4" t="s">
        <v>604</v>
      </c>
      <c r="J53" s="22" t="s">
        <v>605</v>
      </c>
      <c r="K53" s="7" t="str">
        <f>VLOOKUP(J53,[1]data!$W:$Z,4,FALSE)</f>
        <v>No</v>
      </c>
      <c r="L53" s="5">
        <v>303626</v>
      </c>
      <c r="N53" s="13"/>
    </row>
    <row r="54" spans="1:14" ht="15.6" x14ac:dyDescent="0.3">
      <c r="A54" s="7">
        <v>503271</v>
      </c>
      <c r="B54" s="4" t="s">
        <v>466</v>
      </c>
      <c r="C54" s="19" t="s">
        <v>467</v>
      </c>
      <c r="D54" s="7" t="str">
        <f>VLOOKUP(C54,[1]data!$W:$Z,4,FALSE)</f>
        <v>Si</v>
      </c>
      <c r="E54" s="5">
        <f>VLOOKUP(C54,[2]REPUESTOS!$A:$D,4,FALSE)</f>
        <v>98234.135339047833</v>
      </c>
      <c r="F54" s="18">
        <f t="shared" si="0"/>
        <v>503271</v>
      </c>
      <c r="G54" s="11"/>
      <c r="H54" s="7">
        <v>504325</v>
      </c>
      <c r="I54" s="4" t="s">
        <v>606</v>
      </c>
      <c r="J54" s="22" t="s">
        <v>607</v>
      </c>
      <c r="K54" s="7" t="str">
        <f>VLOOKUP(J54,[1]data!$W:$Z,4,FALSE)</f>
        <v>No</v>
      </c>
      <c r="L54" s="5">
        <v>9104</v>
      </c>
      <c r="N54" s="13"/>
    </row>
    <row r="55" spans="1:14" ht="15.6" x14ac:dyDescent="0.3">
      <c r="A55" s="7">
        <v>503274</v>
      </c>
      <c r="B55" s="4" t="s">
        <v>326</v>
      </c>
      <c r="C55" s="19" t="s">
        <v>327</v>
      </c>
      <c r="D55" s="7" t="str">
        <f>VLOOKUP(C55,[1]data!$W:$Z,4,FALSE)</f>
        <v>Si</v>
      </c>
      <c r="E55" s="5">
        <f>VLOOKUP(C55,[2]REPUESTOS!$A:$D,4,FALSE)</f>
        <v>223614.59815583829</v>
      </c>
      <c r="F55" s="18">
        <f t="shared" si="0"/>
        <v>503274</v>
      </c>
      <c r="G55" s="11"/>
      <c r="N55" s="13"/>
    </row>
    <row r="56" spans="1:14" ht="15.6" x14ac:dyDescent="0.3">
      <c r="A56" s="7">
        <v>503280</v>
      </c>
      <c r="B56" s="4" t="s">
        <v>330</v>
      </c>
      <c r="C56" s="19" t="s">
        <v>331</v>
      </c>
      <c r="D56" s="7" t="str">
        <f>VLOOKUP(C56,[1]data!$W:$Z,4,FALSE)</f>
        <v>Si</v>
      </c>
      <c r="E56" s="5">
        <f>VLOOKUP(C56,[2]REPUESTOS!$A:$D,4,FALSE)</f>
        <v>68544.973408240869</v>
      </c>
      <c r="F56" s="18">
        <f t="shared" si="0"/>
        <v>503280</v>
      </c>
      <c r="G56" s="11"/>
      <c r="N56" s="13"/>
    </row>
    <row r="57" spans="1:14" ht="15.6" x14ac:dyDescent="0.3">
      <c r="A57" s="7">
        <v>502566</v>
      </c>
      <c r="B57" s="4" t="s">
        <v>100</v>
      </c>
      <c r="C57" s="19" t="s">
        <v>101</v>
      </c>
      <c r="D57" s="7" t="str">
        <f>VLOOKUP(C57,[1]data!$W:$Z,4,FALSE)</f>
        <v>Si</v>
      </c>
      <c r="E57" s="5">
        <f>VLOOKUP(C57,[2]REPUESTOS!$A:$D,4,FALSE)</f>
        <v>24811.696944714968</v>
      </c>
      <c r="F57" s="18">
        <f t="shared" si="0"/>
        <v>502566</v>
      </c>
      <c r="G57" s="11"/>
      <c r="N57" s="13"/>
    </row>
    <row r="58" spans="1:14" ht="15.6" x14ac:dyDescent="0.3">
      <c r="A58" s="7">
        <v>503163</v>
      </c>
      <c r="B58" s="4" t="s">
        <v>284</v>
      </c>
      <c r="C58" s="19" t="s">
        <v>285</v>
      </c>
      <c r="D58" s="7" t="str">
        <f>VLOOKUP(C58,[1]data!$W:$Z,4,FALSE)</f>
        <v>Si</v>
      </c>
      <c r="E58" s="5">
        <f>VLOOKUP(C58,[2]REPUESTOS!$A:$D,4,FALSE)</f>
        <v>2981.8595141608062</v>
      </c>
      <c r="F58" s="18">
        <f t="shared" si="0"/>
        <v>503163</v>
      </c>
      <c r="G58" s="11"/>
      <c r="N58" s="13"/>
    </row>
    <row r="59" spans="1:14" ht="15.6" x14ac:dyDescent="0.3">
      <c r="A59" s="7">
        <v>503166</v>
      </c>
      <c r="B59" s="4" t="s">
        <v>286</v>
      </c>
      <c r="C59" s="19" t="s">
        <v>287</v>
      </c>
      <c r="D59" s="7" t="str">
        <f>VLOOKUP(C59,[1]data!$W:$Z,4,FALSE)</f>
        <v>Si</v>
      </c>
      <c r="E59" s="5">
        <f>VLOOKUP(C59,[2]REPUESTOS!$A:$D,4,FALSE)</f>
        <v>6096.0029894234758</v>
      </c>
      <c r="F59" s="18">
        <f t="shared" si="0"/>
        <v>503166</v>
      </c>
      <c r="G59" s="11"/>
      <c r="N59" s="13"/>
    </row>
    <row r="60" spans="1:14" ht="15.6" x14ac:dyDescent="0.3">
      <c r="A60" s="7">
        <v>503169</v>
      </c>
      <c r="B60" s="4" t="s">
        <v>288</v>
      </c>
      <c r="C60" s="19" t="s">
        <v>289</v>
      </c>
      <c r="D60" s="7" t="str">
        <f>VLOOKUP(C60,[1]data!$W:$Z,4,FALSE)</f>
        <v>Si</v>
      </c>
      <c r="E60" s="5">
        <f>VLOOKUP(C60,[2]REPUESTOS!$A:$D,4,FALSE)</f>
        <v>9332.4842632991458</v>
      </c>
      <c r="F60" s="18">
        <f t="shared" si="0"/>
        <v>503169</v>
      </c>
      <c r="G60" s="11"/>
      <c r="N60" s="13"/>
    </row>
    <row r="61" spans="1:14" ht="15.6" x14ac:dyDescent="0.3">
      <c r="A61" s="7">
        <v>503289</v>
      </c>
      <c r="B61" s="4" t="s">
        <v>336</v>
      </c>
      <c r="C61" s="19" t="s">
        <v>337</v>
      </c>
      <c r="D61" s="7" t="str">
        <f>VLOOKUP(C61,[1]data!$W:$Z,4,FALSE)</f>
        <v>Si</v>
      </c>
      <c r="E61" s="5">
        <f>VLOOKUP(C61,[2]REPUESTOS!$A:$D,4,FALSE)</f>
        <v>18369.567500679095</v>
      </c>
      <c r="F61" s="18">
        <f t="shared" si="0"/>
        <v>503289</v>
      </c>
      <c r="G61" s="11"/>
      <c r="N61" s="13"/>
    </row>
    <row r="62" spans="1:14" ht="15.6" x14ac:dyDescent="0.3">
      <c r="A62" s="7">
        <v>502578</v>
      </c>
      <c r="B62" s="4" t="s">
        <v>102</v>
      </c>
      <c r="C62" s="19" t="s">
        <v>103</v>
      </c>
      <c r="D62" s="7" t="str">
        <f>VLOOKUP(C62,[1]data!$W:$Z,4,FALSE)</f>
        <v>Si</v>
      </c>
      <c r="E62" s="5">
        <f>VLOOKUP(C62,[2]REPUESTOS!$A:$D,4,FALSE)</f>
        <v>263008.36392547371</v>
      </c>
      <c r="F62" s="18">
        <f t="shared" si="0"/>
        <v>502578</v>
      </c>
      <c r="G62" s="11"/>
      <c r="N62" s="13"/>
    </row>
    <row r="63" spans="1:14" ht="15.6" x14ac:dyDescent="0.3">
      <c r="A63" s="7">
        <v>502563</v>
      </c>
      <c r="B63" s="4" t="s">
        <v>98</v>
      </c>
      <c r="C63" s="19" t="s">
        <v>99</v>
      </c>
      <c r="D63" s="7" t="str">
        <f>VLOOKUP(C63,[1]data!$W:$Z,4,FALSE)</f>
        <v>Si</v>
      </c>
      <c r="E63" s="5">
        <f>VLOOKUP(C63,[2]REPUESTOS!$A:$D,4,FALSE)</f>
        <v>283848.55818838615</v>
      </c>
      <c r="F63" s="18">
        <f t="shared" si="0"/>
        <v>502563</v>
      </c>
      <c r="G63" s="11"/>
      <c r="N63" s="13"/>
    </row>
    <row r="64" spans="1:14" ht="15.6" x14ac:dyDescent="0.3">
      <c r="A64" s="7">
        <v>502581</v>
      </c>
      <c r="B64" s="4" t="s">
        <v>104</v>
      </c>
      <c r="C64" s="19" t="s">
        <v>105</v>
      </c>
      <c r="D64" s="7" t="str">
        <f>VLOOKUP(C64,[1]data!$W:$Z,4,FALSE)</f>
        <v>Si</v>
      </c>
      <c r="E64" s="5">
        <f>VLOOKUP(C64,[2]REPUESTOS!$A:$D,4,FALSE)</f>
        <v>68483.307200809912</v>
      </c>
      <c r="F64" s="18">
        <f t="shared" si="0"/>
        <v>502581</v>
      </c>
      <c r="G64" s="11"/>
      <c r="N64" s="13"/>
    </row>
    <row r="65" spans="1:14" ht="15.6" x14ac:dyDescent="0.3">
      <c r="A65" s="7">
        <v>502584</v>
      </c>
      <c r="B65" s="4" t="s">
        <v>106</v>
      </c>
      <c r="C65" s="19" t="s">
        <v>107</v>
      </c>
      <c r="D65" s="7" t="str">
        <f>VLOOKUP(C65,[1]data!$W:$Z,4,FALSE)</f>
        <v>Si</v>
      </c>
      <c r="E65" s="5">
        <f>VLOOKUP(C65,[2]REPUESTOS!$A:$D,4,FALSE)</f>
        <v>292782.20133588195</v>
      </c>
      <c r="F65" s="18">
        <f t="shared" si="0"/>
        <v>502584</v>
      </c>
      <c r="G65" s="11"/>
      <c r="N65" s="13"/>
    </row>
    <row r="66" spans="1:14" ht="15.6" x14ac:dyDescent="0.3">
      <c r="A66" s="7">
        <v>502590</v>
      </c>
      <c r="B66" s="4" t="s">
        <v>108</v>
      </c>
      <c r="C66" s="19" t="s">
        <v>109</v>
      </c>
      <c r="D66" s="7" t="str">
        <f>VLOOKUP(C66,[1]data!$W:$Z,4,FALSE)</f>
        <v>Si</v>
      </c>
      <c r="E66" s="5">
        <f>VLOOKUP(C66,[2]REPUESTOS!$A:$D,4,FALSE)</f>
        <v>1151280.2434807548</v>
      </c>
      <c r="F66" s="18">
        <f t="shared" si="0"/>
        <v>502590</v>
      </c>
      <c r="G66" s="11"/>
      <c r="N66" s="13"/>
    </row>
    <row r="67" spans="1:14" ht="15.6" x14ac:dyDescent="0.3">
      <c r="A67" s="7">
        <v>502596</v>
      </c>
      <c r="B67" s="4" t="s">
        <v>112</v>
      </c>
      <c r="C67" s="19" t="s">
        <v>113</v>
      </c>
      <c r="D67" s="7" t="str">
        <f>VLOOKUP(C67,[1]data!$W:$Z,4,FALSE)</f>
        <v>Si</v>
      </c>
      <c r="E67" s="5">
        <f>VLOOKUP(C67,[2]REPUESTOS!$A:$D,4,FALSE)</f>
        <v>97267.50144357633</v>
      </c>
      <c r="F67" s="18">
        <f t="shared" ref="F67:F130" si="1">+A67</f>
        <v>502596</v>
      </c>
      <c r="G67" s="11"/>
      <c r="N67" s="13"/>
    </row>
    <row r="68" spans="1:14" ht="15.6" x14ac:dyDescent="0.3">
      <c r="A68" s="7">
        <v>502605</v>
      </c>
      <c r="B68" s="4" t="s">
        <v>116</v>
      </c>
      <c r="C68" s="19" t="s">
        <v>117</v>
      </c>
      <c r="D68" s="7" t="str">
        <f>VLOOKUP(C68,[1]data!$W:$Z,4,FALSE)</f>
        <v>Si</v>
      </c>
      <c r="E68" s="5">
        <f>VLOOKUP(C68,[2]REPUESTOS!$A:$D,4,FALSE)</f>
        <v>38137.565447292174</v>
      </c>
      <c r="F68" s="18">
        <f t="shared" si="1"/>
        <v>502605</v>
      </c>
      <c r="G68" s="11"/>
      <c r="N68" s="13"/>
    </row>
    <row r="69" spans="1:14" ht="15.6" x14ac:dyDescent="0.3">
      <c r="A69" s="7">
        <v>502614</v>
      </c>
      <c r="B69" s="4" t="s">
        <v>120</v>
      </c>
      <c r="C69" s="19" t="s">
        <v>121</v>
      </c>
      <c r="D69" s="7" t="str">
        <f>VLOOKUP(C69,[1]data!$W:$Z,4,FALSE)</f>
        <v>Si</v>
      </c>
      <c r="E69" s="5">
        <f>VLOOKUP(C69,[2]REPUESTOS!$A:$D,4,FALSE)</f>
        <v>31020.091570262579</v>
      </c>
      <c r="F69" s="18">
        <f t="shared" si="1"/>
        <v>502614</v>
      </c>
      <c r="G69" s="11"/>
      <c r="N69" s="13"/>
    </row>
    <row r="70" spans="1:14" ht="15.6" x14ac:dyDescent="0.3">
      <c r="A70" s="7">
        <v>503352</v>
      </c>
      <c r="B70" s="4" t="s">
        <v>352</v>
      </c>
      <c r="C70" s="19" t="s">
        <v>353</v>
      </c>
      <c r="D70" s="7" t="str">
        <f>VLOOKUP(C70,[1]data!$W:$Z,4,FALSE)</f>
        <v>Si</v>
      </c>
      <c r="E70" s="5">
        <f>VLOOKUP(C70,[2]REPUESTOS!$A:$D,4,FALSE)</f>
        <v>233958.6071442547</v>
      </c>
      <c r="F70" s="18">
        <f t="shared" si="1"/>
        <v>503352</v>
      </c>
      <c r="G70" s="11"/>
      <c r="N70" s="13"/>
    </row>
    <row r="71" spans="1:14" ht="15.6" x14ac:dyDescent="0.3">
      <c r="A71" s="7">
        <v>504259</v>
      </c>
      <c r="B71" s="4" t="s">
        <v>492</v>
      </c>
      <c r="C71" s="19" t="s">
        <v>493</v>
      </c>
      <c r="D71" s="7" t="str">
        <f>VLOOKUP(C71,[1]data!$W:$Z,4,FALSE)</f>
        <v>Si</v>
      </c>
      <c r="E71" s="5">
        <f>VLOOKUP(C71,[2]REPUESTOS!$A:$D,4,FALSE)</f>
        <v>27017.755784744539</v>
      </c>
      <c r="F71" s="18">
        <f t="shared" si="1"/>
        <v>504259</v>
      </c>
      <c r="G71" s="11"/>
      <c r="N71" s="13"/>
    </row>
    <row r="72" spans="1:14" ht="15.6" x14ac:dyDescent="0.3">
      <c r="A72" s="7">
        <v>503998</v>
      </c>
      <c r="B72" s="4" t="s">
        <v>378</v>
      </c>
      <c r="C72" s="19" t="s">
        <v>379</v>
      </c>
      <c r="D72" s="7" t="str">
        <f>VLOOKUP(C72,[1]data!$W:$Z,4,FALSE)</f>
        <v>Si</v>
      </c>
      <c r="E72" s="5">
        <f>VLOOKUP(C72,[2]REPUESTOS!$A:$D,4,FALSE)</f>
        <v>11323.705993569303</v>
      </c>
      <c r="F72" s="18">
        <f t="shared" si="1"/>
        <v>503998</v>
      </c>
      <c r="G72" s="11"/>
      <c r="N72" s="13"/>
    </row>
    <row r="73" spans="1:14" ht="15.6" x14ac:dyDescent="0.3">
      <c r="A73" s="7">
        <v>502674</v>
      </c>
      <c r="B73" s="4" t="s">
        <v>140</v>
      </c>
      <c r="C73" s="19" t="s">
        <v>141</v>
      </c>
      <c r="D73" s="7" t="str">
        <f>VLOOKUP(C73,[1]data!$W:$Z,4,FALSE)</f>
        <v>Si</v>
      </c>
      <c r="E73" s="5">
        <f>VLOOKUP(C73,[2]REPUESTOS!$A:$D,4,FALSE)</f>
        <v>101229.05796289005</v>
      </c>
      <c r="F73" s="18">
        <f t="shared" si="1"/>
        <v>502674</v>
      </c>
      <c r="G73" s="11"/>
      <c r="N73" s="13"/>
    </row>
    <row r="74" spans="1:14" ht="15.6" x14ac:dyDescent="0.3">
      <c r="A74" s="7">
        <v>502626</v>
      </c>
      <c r="B74" s="4" t="s">
        <v>124</v>
      </c>
      <c r="C74" s="19" t="s">
        <v>125</v>
      </c>
      <c r="D74" s="7" t="str">
        <f>VLOOKUP(C74,[1]data!$W:$Z,4,FALSE)</f>
        <v>Si</v>
      </c>
      <c r="E74" s="5">
        <f>VLOOKUP(C74,[2]REPUESTOS!$A:$D,4,FALSE)</f>
        <v>357.06723335014323</v>
      </c>
      <c r="F74" s="18">
        <f t="shared" si="1"/>
        <v>502626</v>
      </c>
      <c r="G74" s="11"/>
      <c r="N74" s="13"/>
    </row>
    <row r="75" spans="1:14" ht="15.6" x14ac:dyDescent="0.3">
      <c r="A75" s="7">
        <v>503172</v>
      </c>
      <c r="B75" s="4" t="s">
        <v>290</v>
      </c>
      <c r="C75" s="19" t="s">
        <v>291</v>
      </c>
      <c r="D75" s="7" t="str">
        <f>VLOOKUP(C75,[1]data!$W:$Z,4,FALSE)</f>
        <v>Si</v>
      </c>
      <c r="E75" s="5">
        <f>VLOOKUP(C75,[2]REPUESTOS!$A:$D,4,FALSE)</f>
        <v>39760.779165474443</v>
      </c>
      <c r="F75" s="18">
        <f t="shared" si="1"/>
        <v>503172</v>
      </c>
      <c r="G75" s="11"/>
      <c r="N75" s="13"/>
    </row>
    <row r="76" spans="1:14" ht="15.6" x14ac:dyDescent="0.3">
      <c r="A76" s="7">
        <v>502644</v>
      </c>
      <c r="B76" s="4" t="s">
        <v>132</v>
      </c>
      <c r="C76" s="19" t="s">
        <v>133</v>
      </c>
      <c r="D76" s="7" t="str">
        <f>VLOOKUP(C76,[1]data!$W:$Z,4,FALSE)</f>
        <v>Si</v>
      </c>
      <c r="E76" s="5">
        <f>VLOOKUP(C76,[2]REPUESTOS!$A:$D,4,FALSE)</f>
        <v>151109.0628445326</v>
      </c>
      <c r="F76" s="18">
        <f t="shared" si="1"/>
        <v>502644</v>
      </c>
      <c r="G76" s="11"/>
      <c r="N76" s="13"/>
    </row>
    <row r="77" spans="1:14" ht="15.6" x14ac:dyDescent="0.3">
      <c r="A77" s="7">
        <v>502656</v>
      </c>
      <c r="B77" s="4" t="s">
        <v>136</v>
      </c>
      <c r="C77" s="19" t="s">
        <v>137</v>
      </c>
      <c r="D77" s="7" t="str">
        <f>VLOOKUP(C77,[1]data!$W:$Z,4,FALSE)</f>
        <v>Si</v>
      </c>
      <c r="E77" s="5">
        <f>VLOOKUP(C77,[2]REPUESTOS!$A:$D,4,FALSE)</f>
        <v>112889.93886483177</v>
      </c>
      <c r="F77" s="18">
        <f t="shared" si="1"/>
        <v>502656</v>
      </c>
      <c r="G77" s="11"/>
      <c r="N77" s="13"/>
    </row>
    <row r="78" spans="1:14" ht="15.6" x14ac:dyDescent="0.3">
      <c r="A78" s="7">
        <v>502899</v>
      </c>
      <c r="B78" s="4" t="s">
        <v>202</v>
      </c>
      <c r="C78" s="19" t="s">
        <v>203</v>
      </c>
      <c r="D78" s="7" t="str">
        <f>VLOOKUP(C78,[1]data!$W:$Z,4,FALSE)</f>
        <v>Si</v>
      </c>
      <c r="E78" s="5">
        <f>VLOOKUP(C78,[2]REPUESTOS!$A:$D,4,FALSE)</f>
        <v>31929.170821744556</v>
      </c>
      <c r="F78" s="18">
        <f t="shared" si="1"/>
        <v>502899</v>
      </c>
      <c r="G78" s="11"/>
      <c r="N78" s="13"/>
    </row>
    <row r="79" spans="1:14" ht="15.6" x14ac:dyDescent="0.3">
      <c r="A79" s="7">
        <v>502680</v>
      </c>
      <c r="B79" s="4" t="s">
        <v>142</v>
      </c>
      <c r="C79" s="19" t="s">
        <v>143</v>
      </c>
      <c r="D79" s="7" t="str">
        <f>VLOOKUP(C79,[1]data!$W:$Z,4,FALSE)</f>
        <v>Si</v>
      </c>
      <c r="E79" s="5">
        <f>VLOOKUP(C79,[2]REPUESTOS!$A:$D,4,FALSE)</f>
        <v>4217.1728952774574</v>
      </c>
      <c r="F79" s="18">
        <f t="shared" si="1"/>
        <v>502680</v>
      </c>
      <c r="G79" s="11"/>
      <c r="N79" s="13"/>
    </row>
    <row r="80" spans="1:14" ht="15.6" x14ac:dyDescent="0.3">
      <c r="A80" s="7">
        <v>502686</v>
      </c>
      <c r="B80" s="4" t="s">
        <v>144</v>
      </c>
      <c r="C80" s="19" t="s">
        <v>145</v>
      </c>
      <c r="D80" s="7" t="str">
        <f>VLOOKUP(C80,[1]data!$W:$Z,4,FALSE)</f>
        <v>Si</v>
      </c>
      <c r="E80" s="5">
        <f>VLOOKUP(C80,[2]REPUESTOS!$A:$D,4,FALSE)</f>
        <v>144706.71805045218</v>
      </c>
      <c r="F80" s="18">
        <f t="shared" si="1"/>
        <v>502686</v>
      </c>
      <c r="G80" s="11"/>
      <c r="N80" s="13"/>
    </row>
    <row r="81" spans="1:17" ht="15.6" x14ac:dyDescent="0.3">
      <c r="A81" s="7">
        <v>502689</v>
      </c>
      <c r="B81" s="4" t="s">
        <v>146</v>
      </c>
      <c r="C81" s="19" t="s">
        <v>147</v>
      </c>
      <c r="D81" s="7" t="str">
        <f>VLOOKUP(C81,[1]data!$W:$Z,4,FALSE)</f>
        <v>Si</v>
      </c>
      <c r="E81" s="5">
        <f>VLOOKUP(C81,[2]REPUESTOS!$A:$D,4,FALSE)</f>
        <v>154029.25615126247</v>
      </c>
      <c r="F81" s="18">
        <f t="shared" si="1"/>
        <v>502689</v>
      </c>
      <c r="G81" s="11"/>
      <c r="N81" s="13"/>
    </row>
    <row r="82" spans="1:17" ht="15.6" x14ac:dyDescent="0.3">
      <c r="A82" s="7">
        <v>502692</v>
      </c>
      <c r="B82" s="4" t="s">
        <v>148</v>
      </c>
      <c r="C82" s="19" t="s">
        <v>149</v>
      </c>
      <c r="D82" s="7" t="str">
        <f>VLOOKUP(C82,[1]data!$W:$Z,4,FALSE)</f>
        <v>Si</v>
      </c>
      <c r="E82" s="5">
        <f>VLOOKUP(C82,[2]REPUESTOS!$A:$D,4,FALSE)</f>
        <v>4123</v>
      </c>
      <c r="F82" s="18">
        <f t="shared" si="1"/>
        <v>502692</v>
      </c>
      <c r="G82" s="11"/>
      <c r="N82" s="13"/>
    </row>
    <row r="83" spans="1:17" ht="15.6" x14ac:dyDescent="0.3">
      <c r="A83" s="7">
        <v>502722</v>
      </c>
      <c r="B83" s="4" t="s">
        <v>156</v>
      </c>
      <c r="C83" s="19" t="s">
        <v>157</v>
      </c>
      <c r="D83" s="7" t="str">
        <f>VLOOKUP(C83,[1]data!$W:$Z,4,FALSE)</f>
        <v>Si</v>
      </c>
      <c r="E83" s="5">
        <f>VLOOKUP(C83,[2]REPUESTOS!$A:$D,4,FALSE)</f>
        <v>41506.330682269712</v>
      </c>
      <c r="F83" s="18">
        <f t="shared" si="1"/>
        <v>502722</v>
      </c>
      <c r="G83" s="11"/>
      <c r="N83" s="13"/>
    </row>
    <row r="84" spans="1:17" ht="15.6" x14ac:dyDescent="0.3">
      <c r="A84" s="7">
        <v>502728</v>
      </c>
      <c r="B84" s="4" t="s">
        <v>160</v>
      </c>
      <c r="C84" s="19" t="s">
        <v>161</v>
      </c>
      <c r="D84" s="7" t="str">
        <f>VLOOKUP(C84,[1]data!$W:$Z,4,FALSE)</f>
        <v>Si</v>
      </c>
      <c r="E84" s="5">
        <f>VLOOKUP(C84,[2]REPUESTOS!$A:$D,4,FALSE)</f>
        <v>17613.659151525586</v>
      </c>
      <c r="F84" s="18">
        <f t="shared" si="1"/>
        <v>502728</v>
      </c>
      <c r="G84" s="11"/>
      <c r="N84" s="13"/>
    </row>
    <row r="85" spans="1:17" ht="15.6" x14ac:dyDescent="0.3">
      <c r="A85" s="7">
        <v>502743</v>
      </c>
      <c r="B85" s="4" t="s">
        <v>164</v>
      </c>
      <c r="C85" s="19" t="s">
        <v>165</v>
      </c>
      <c r="D85" s="7" t="str">
        <f>VLOOKUP(C85,[1]data!$W:$Z,4,FALSE)</f>
        <v>Si</v>
      </c>
      <c r="E85" s="5">
        <f>VLOOKUP(C85,[2]REPUESTOS!$A:$D,4,FALSE)</f>
        <v>3124.0896377515319</v>
      </c>
      <c r="F85" s="18">
        <f t="shared" si="1"/>
        <v>502743</v>
      </c>
      <c r="G85" s="11"/>
      <c r="N85" s="13"/>
    </row>
    <row r="86" spans="1:17" ht="15.6" x14ac:dyDescent="0.3">
      <c r="A86" s="7">
        <v>502890</v>
      </c>
      <c r="B86" s="4" t="s">
        <v>196</v>
      </c>
      <c r="C86" s="19" t="s">
        <v>197</v>
      </c>
      <c r="D86" s="7" t="str">
        <f>VLOOKUP(C86,[1]data!$W:$Z,4,FALSE)</f>
        <v>Si</v>
      </c>
      <c r="E86" s="5">
        <f>VLOOKUP(C86,[2]REPUESTOS!$A:$D,4,FALSE)</f>
        <v>8566.6297516567774</v>
      </c>
      <c r="F86" s="18">
        <f t="shared" si="1"/>
        <v>502890</v>
      </c>
      <c r="G86" s="11"/>
      <c r="N86" s="13"/>
    </row>
    <row r="87" spans="1:17" ht="15.6" x14ac:dyDescent="0.3">
      <c r="A87" s="7">
        <v>502893</v>
      </c>
      <c r="B87" s="4" t="s">
        <v>198</v>
      </c>
      <c r="C87" s="19" t="s">
        <v>199</v>
      </c>
      <c r="D87" s="7" t="str">
        <f>VLOOKUP(C87,[1]data!$W:$Z,4,FALSE)</f>
        <v>Si</v>
      </c>
      <c r="E87" s="5">
        <f>VLOOKUP(C87,[2]REPUESTOS!$A:$D,4,FALSE)</f>
        <v>4502.6277587077948</v>
      </c>
      <c r="F87" s="18">
        <f t="shared" si="1"/>
        <v>502893</v>
      </c>
      <c r="G87" s="11"/>
      <c r="N87" s="13"/>
    </row>
    <row r="88" spans="1:17" ht="15.6" x14ac:dyDescent="0.3">
      <c r="A88" s="7">
        <v>502764</v>
      </c>
      <c r="B88" s="4" t="s">
        <v>172</v>
      </c>
      <c r="C88" s="19" t="s">
        <v>173</v>
      </c>
      <c r="D88" s="7" t="str">
        <f>VLOOKUP(C88,[1]data!$W:$Z,4,FALSE)</f>
        <v>Si</v>
      </c>
      <c r="E88" s="5">
        <f>VLOOKUP(C88,[2]REPUESTOS!$A:$D,4,FALSE)</f>
        <v>7388.0094967266396</v>
      </c>
      <c r="F88" s="18">
        <f t="shared" si="1"/>
        <v>502764</v>
      </c>
      <c r="G88" s="11"/>
      <c r="N88" s="13"/>
    </row>
    <row r="89" spans="1:17" ht="15.6" x14ac:dyDescent="0.3">
      <c r="A89" s="7">
        <v>502770</v>
      </c>
      <c r="B89" s="4" t="s">
        <v>174</v>
      </c>
      <c r="C89" s="19" t="s">
        <v>175</v>
      </c>
      <c r="D89" s="7" t="str">
        <f>VLOOKUP(C89,[1]data!$W:$Z,4,FALSE)</f>
        <v>Si</v>
      </c>
      <c r="E89" s="5">
        <f>VLOOKUP(C89,[2]REPUESTOS!$A:$D,4,FALSE)</f>
        <v>5667.3233861535264</v>
      </c>
      <c r="F89" s="18">
        <f t="shared" si="1"/>
        <v>502770</v>
      </c>
      <c r="G89" s="11"/>
      <c r="N89" s="13"/>
    </row>
    <row r="90" spans="1:17" ht="15.6" x14ac:dyDescent="0.3">
      <c r="A90" s="7">
        <v>502776</v>
      </c>
      <c r="B90" s="4" t="s">
        <v>176</v>
      </c>
      <c r="C90" s="19" t="s">
        <v>177</v>
      </c>
      <c r="D90" s="7" t="str">
        <f>VLOOKUP(C90,[1]data!$W:$Z,4,FALSE)</f>
        <v>Si</v>
      </c>
      <c r="E90" s="5">
        <f>VLOOKUP(C90,[2]REPUESTOS!$A:$D,4,FALSE)</f>
        <v>10864.193286583884</v>
      </c>
      <c r="F90" s="18">
        <f t="shared" si="1"/>
        <v>502776</v>
      </c>
      <c r="G90" s="11"/>
      <c r="N90" s="13"/>
    </row>
    <row r="91" spans="1:17" ht="15.6" x14ac:dyDescent="0.3">
      <c r="A91" s="7">
        <v>502779</v>
      </c>
      <c r="B91" s="4" t="s">
        <v>178</v>
      </c>
      <c r="C91" s="19" t="s">
        <v>179</v>
      </c>
      <c r="D91" s="7" t="str">
        <f>VLOOKUP(C91,[1]data!$W:$Z,4,FALSE)</f>
        <v>Si</v>
      </c>
      <c r="E91" s="5">
        <f>VLOOKUP(C91,[2]REPUESTOS!$A:$D,4,FALSE)</f>
        <v>3879.9979869050376</v>
      </c>
      <c r="F91" s="18">
        <f t="shared" si="1"/>
        <v>502779</v>
      </c>
      <c r="G91" s="11"/>
      <c r="N91" s="13"/>
    </row>
    <row r="92" spans="1:17" ht="15.6" x14ac:dyDescent="0.3">
      <c r="A92" s="7">
        <v>502782</v>
      </c>
      <c r="B92" s="4" t="s">
        <v>180</v>
      </c>
      <c r="C92" s="19" t="s">
        <v>181</v>
      </c>
      <c r="D92" s="7" t="str">
        <f>VLOOKUP(C92,[1]data!$W:$Z,4,FALSE)</f>
        <v>Si</v>
      </c>
      <c r="E92" s="5">
        <f>VLOOKUP(C92,[2]REPUESTOS!$A:$D,4,FALSE)</f>
        <v>16188.374066871675</v>
      </c>
      <c r="F92" s="18">
        <f t="shared" si="1"/>
        <v>502782</v>
      </c>
      <c r="G92" s="11"/>
      <c r="N92" s="13"/>
      <c r="Q92" s="7"/>
    </row>
    <row r="93" spans="1:17" ht="15.6" x14ac:dyDescent="0.3">
      <c r="A93" s="7">
        <v>502785</v>
      </c>
      <c r="B93" s="4" t="s">
        <v>182</v>
      </c>
      <c r="C93" s="19" t="s">
        <v>183</v>
      </c>
      <c r="D93" s="7" t="str">
        <f>VLOOKUP(C93,[1]data!$W:$Z,4,FALSE)</f>
        <v>Si</v>
      </c>
      <c r="E93" s="5">
        <f>VLOOKUP(C93,[2]REPUESTOS!$A:$D,4,FALSE)</f>
        <v>7688.3836038902718</v>
      </c>
      <c r="F93" s="18">
        <f t="shared" si="1"/>
        <v>502785</v>
      </c>
      <c r="G93" s="11"/>
      <c r="J93" s="7"/>
      <c r="N93" s="13"/>
      <c r="Q93" s="7"/>
    </row>
    <row r="94" spans="1:17" ht="15.6" x14ac:dyDescent="0.3">
      <c r="A94" s="7">
        <v>503208</v>
      </c>
      <c r="B94" s="4" t="s">
        <v>302</v>
      </c>
      <c r="C94" s="19" t="s">
        <v>303</v>
      </c>
      <c r="D94" s="7" t="str">
        <f>VLOOKUP(C94,[1]data!$W:$Z,4,FALSE)</f>
        <v>Si</v>
      </c>
      <c r="E94" s="5">
        <f>VLOOKUP(C94,[2]REPUESTOS!$A:$D,4,FALSE)</f>
        <v>22776.712099493812</v>
      </c>
      <c r="F94" s="18">
        <f t="shared" si="1"/>
        <v>503208</v>
      </c>
      <c r="G94" s="11"/>
      <c r="J94" s="7"/>
      <c r="N94" s="14"/>
      <c r="Q94" s="7"/>
    </row>
    <row r="95" spans="1:17" ht="15.6" x14ac:dyDescent="0.3">
      <c r="A95" s="7">
        <v>503301</v>
      </c>
      <c r="B95" s="4" t="s">
        <v>338</v>
      </c>
      <c r="C95" s="19" t="s">
        <v>339</v>
      </c>
      <c r="D95" s="7" t="str">
        <f>VLOOKUP(C95,[1]data!$W:$Z,4,FALSE)</f>
        <v>Si</v>
      </c>
      <c r="E95" s="5">
        <f>VLOOKUP(C95,[2]REPUESTOS!$A:$D,4,FALSE)</f>
        <v>48664.583825503636</v>
      </c>
      <c r="F95" s="18">
        <f t="shared" si="1"/>
        <v>503301</v>
      </c>
      <c r="G95" s="11"/>
      <c r="J95" s="7"/>
      <c r="N95" s="13"/>
      <c r="Q95" s="7"/>
    </row>
    <row r="96" spans="1:17" ht="15.6" x14ac:dyDescent="0.3">
      <c r="A96" s="7">
        <v>502617</v>
      </c>
      <c r="B96" s="4" t="s">
        <v>122</v>
      </c>
      <c r="C96" s="19" t="s">
        <v>123</v>
      </c>
      <c r="D96" s="7" t="str">
        <f>VLOOKUP(C96,[1]data!$W:$Z,4,FALSE)</f>
        <v>Si</v>
      </c>
      <c r="E96" s="5">
        <f>VLOOKUP(C96,[2]REPUESTOS!$A:$D,4,FALSE)</f>
        <v>426603.83915852365</v>
      </c>
      <c r="F96" s="18">
        <f t="shared" si="1"/>
        <v>502617</v>
      </c>
      <c r="G96" s="11"/>
      <c r="J96" s="7"/>
      <c r="N96" s="13"/>
      <c r="Q96" s="7"/>
    </row>
    <row r="97" spans="1:17" ht="15.6" x14ac:dyDescent="0.3">
      <c r="A97" s="7">
        <v>502908</v>
      </c>
      <c r="B97" s="4" t="s">
        <v>208</v>
      </c>
      <c r="C97" s="19" t="s">
        <v>209</v>
      </c>
      <c r="D97" s="7" t="str">
        <f>VLOOKUP(C97,[1]data!$W:$Z,4,FALSE)</f>
        <v>Si</v>
      </c>
      <c r="E97" s="5">
        <f>VLOOKUP(C97,[2]REPUESTOS!$A:$D,4,FALSE)</f>
        <v>11680.773226919449</v>
      </c>
      <c r="F97" s="18">
        <f t="shared" si="1"/>
        <v>502908</v>
      </c>
      <c r="G97" s="11"/>
      <c r="J97" s="7"/>
      <c r="N97" s="13"/>
      <c r="Q97" s="7"/>
    </row>
    <row r="98" spans="1:17" ht="15.6" x14ac:dyDescent="0.3">
      <c r="A98" s="7">
        <v>504037</v>
      </c>
      <c r="B98" s="4" t="s">
        <v>394</v>
      </c>
      <c r="C98" s="19" t="s">
        <v>395</v>
      </c>
      <c r="D98" s="7" t="str">
        <f>VLOOKUP(C98,[1]data!$W:$Z,4,FALSE)</f>
        <v>Si</v>
      </c>
      <c r="E98" s="5">
        <f>VLOOKUP(C98,[2]REPUESTOS!$A:$D,4,FALSE)</f>
        <v>377143.56233391102</v>
      </c>
      <c r="F98" s="18">
        <f t="shared" si="1"/>
        <v>504037</v>
      </c>
      <c r="G98" s="11"/>
      <c r="J98" s="7"/>
      <c r="N98" s="13"/>
      <c r="Q98" s="7"/>
    </row>
    <row r="99" spans="1:17" ht="15.6" x14ac:dyDescent="0.3">
      <c r="A99" s="7">
        <v>504260</v>
      </c>
      <c r="B99" s="4" t="s">
        <v>494</v>
      </c>
      <c r="C99" s="19" t="s">
        <v>495</v>
      </c>
      <c r="D99" s="7" t="str">
        <f>VLOOKUP(C99,[1]data!$W:$Z,4,FALSE)</f>
        <v>Si</v>
      </c>
      <c r="E99" s="5">
        <f>VLOOKUP(C99,[2]REPUESTOS!$A:$D,4,FALSE)</f>
        <v>98942.435206700684</v>
      </c>
      <c r="F99" s="18">
        <f t="shared" si="1"/>
        <v>504260</v>
      </c>
      <c r="G99" s="11"/>
      <c r="J99" s="7"/>
      <c r="N99" s="13"/>
      <c r="Q99" s="7"/>
    </row>
    <row r="100" spans="1:17" ht="15.6" x14ac:dyDescent="0.3">
      <c r="A100" s="7">
        <v>502545</v>
      </c>
      <c r="B100" s="4" t="s">
        <v>88</v>
      </c>
      <c r="C100" s="19" t="s">
        <v>89</v>
      </c>
      <c r="D100" s="7" t="str">
        <f>VLOOKUP(C100,[1]data!$W:$Z,4,FALSE)</f>
        <v>Si</v>
      </c>
      <c r="E100" s="5">
        <f>VLOOKUP(C100,[2]REPUESTOS!$A:$D,4,FALSE)</f>
        <v>11027.31035140122</v>
      </c>
      <c r="F100" s="18">
        <f t="shared" si="1"/>
        <v>502545</v>
      </c>
      <c r="G100" s="11"/>
      <c r="J100" s="7"/>
      <c r="N100" s="13"/>
      <c r="Q100" s="7"/>
    </row>
    <row r="101" spans="1:17" ht="15.6" x14ac:dyDescent="0.3">
      <c r="A101" s="7">
        <v>502602</v>
      </c>
      <c r="B101" s="4" t="s">
        <v>114</v>
      </c>
      <c r="C101" s="19" t="s">
        <v>115</v>
      </c>
      <c r="D101" s="7" t="str">
        <f>VLOOKUP(C101,[1]data!$W:$Z,4,FALSE)</f>
        <v>Si</v>
      </c>
      <c r="E101" s="5">
        <f>VLOOKUP(C101,[2]REPUESTOS!$A:$D,4,FALSE)</f>
        <v>109173.05794274405</v>
      </c>
      <c r="F101" s="18">
        <f t="shared" si="1"/>
        <v>502602</v>
      </c>
      <c r="G101" s="11"/>
      <c r="J101" s="7"/>
      <c r="N101" s="13"/>
      <c r="Q101" s="7"/>
    </row>
    <row r="102" spans="1:17" ht="15.6" x14ac:dyDescent="0.3">
      <c r="A102" s="7">
        <v>502752</v>
      </c>
      <c r="B102" s="4" t="s">
        <v>166</v>
      </c>
      <c r="C102" s="19" t="s">
        <v>167</v>
      </c>
      <c r="D102" s="7" t="str">
        <f>VLOOKUP(C102,[1]data!$W:$Z,4,FALSE)</f>
        <v>Si</v>
      </c>
      <c r="E102" s="5">
        <f>VLOOKUP(C102,[2]REPUESTOS!$A:$D,4,FALSE)</f>
        <v>6790.2451311460372</v>
      </c>
      <c r="F102" s="18">
        <f t="shared" si="1"/>
        <v>502752</v>
      </c>
      <c r="G102" s="11"/>
      <c r="J102" s="7"/>
      <c r="N102" s="13"/>
      <c r="Q102" s="7"/>
    </row>
    <row r="103" spans="1:17" ht="15.6" x14ac:dyDescent="0.3">
      <c r="A103" s="7">
        <v>502398</v>
      </c>
      <c r="B103" s="4" t="s">
        <v>16</v>
      </c>
      <c r="C103" s="19" t="s">
        <v>17</v>
      </c>
      <c r="D103" s="7" t="str">
        <f>VLOOKUP(C103,[1]data!$W:$Z,4,FALSE)</f>
        <v>Si</v>
      </c>
      <c r="E103" s="5">
        <f>VLOOKUP(C103,[2]REPUESTOS!$A:$D,4,FALSE)</f>
        <v>2328.3966386425773</v>
      </c>
      <c r="F103" s="18">
        <f t="shared" si="1"/>
        <v>502398</v>
      </c>
      <c r="G103" s="11"/>
      <c r="J103" s="7"/>
      <c r="N103" s="13"/>
      <c r="Q103" s="7"/>
    </row>
    <row r="104" spans="1:17" ht="15.6" x14ac:dyDescent="0.3">
      <c r="A104" s="7">
        <v>502533</v>
      </c>
      <c r="B104" s="4" t="s">
        <v>84</v>
      </c>
      <c r="C104" s="19" t="s">
        <v>85</v>
      </c>
      <c r="D104" s="7" t="str">
        <f>VLOOKUP(C104,[1]data!$W:$Z,4,FALSE)</f>
        <v>Si</v>
      </c>
      <c r="E104" s="5">
        <f>VLOOKUP(C104,[2]REPUESTOS!$A:$D,4,FALSE)</f>
        <v>57078.042674831944</v>
      </c>
      <c r="F104" s="18">
        <f t="shared" si="1"/>
        <v>502533</v>
      </c>
      <c r="G104" s="11"/>
      <c r="J104" s="7"/>
      <c r="N104" s="13"/>
      <c r="Q104" s="7"/>
    </row>
    <row r="105" spans="1:17" ht="15.6" x14ac:dyDescent="0.3">
      <c r="A105" s="7">
        <v>503277</v>
      </c>
      <c r="B105" s="4" t="s">
        <v>328</v>
      </c>
      <c r="C105" s="19" t="s">
        <v>329</v>
      </c>
      <c r="D105" s="7" t="str">
        <f>VLOOKUP(C105,[1]data!$W:$Z,4,FALSE)</f>
        <v>Si</v>
      </c>
      <c r="E105" s="5">
        <f>VLOOKUP(C105,[2]REPUESTOS!$A:$D,4,FALSE)</f>
        <v>16541.462835226273</v>
      </c>
      <c r="F105" s="18">
        <f t="shared" si="1"/>
        <v>503277</v>
      </c>
      <c r="G105" s="11"/>
      <c r="J105" s="7"/>
      <c r="N105" s="13"/>
      <c r="Q105" s="7"/>
    </row>
    <row r="106" spans="1:17" ht="15.6" x14ac:dyDescent="0.3">
      <c r="A106" s="7">
        <v>502965</v>
      </c>
      <c r="B106" s="4" t="s">
        <v>232</v>
      </c>
      <c r="C106" s="19" t="s">
        <v>233</v>
      </c>
      <c r="D106" s="7" t="str">
        <f>VLOOKUP(C106,[1]data!$W:$Z,4,FALSE)</f>
        <v>Si</v>
      </c>
      <c r="E106" s="5">
        <f>VLOOKUP(C106,[2]REPUESTOS!$A:$D,4,FALSE)</f>
        <v>12855.415016854042</v>
      </c>
      <c r="F106" s="18">
        <f t="shared" si="1"/>
        <v>502965</v>
      </c>
      <c r="G106" s="11"/>
      <c r="J106" s="7"/>
      <c r="N106" s="13"/>
      <c r="Q106" s="7"/>
    </row>
    <row r="107" spans="1:17" ht="15.6" x14ac:dyDescent="0.3">
      <c r="A107" s="7">
        <v>502635</v>
      </c>
      <c r="B107" s="4" t="s">
        <v>130</v>
      </c>
      <c r="C107" s="19" t="s">
        <v>131</v>
      </c>
      <c r="D107" s="7" t="str">
        <f>VLOOKUP(C107,[1]data!$W:$Z,4,FALSE)</f>
        <v>Si</v>
      </c>
      <c r="E107" s="5">
        <f>VLOOKUP(C107,[2]REPUESTOS!$A:$D,4,FALSE)</f>
        <v>93928.574696065392</v>
      </c>
      <c r="F107" s="18">
        <f t="shared" si="1"/>
        <v>502635</v>
      </c>
      <c r="G107" s="11"/>
      <c r="J107" s="7"/>
      <c r="N107" s="13"/>
      <c r="Q107" s="7"/>
    </row>
    <row r="108" spans="1:17" ht="15.6" x14ac:dyDescent="0.3">
      <c r="A108" s="7">
        <v>503283</v>
      </c>
      <c r="B108" s="4" t="s">
        <v>332</v>
      </c>
      <c r="C108" s="19" t="s">
        <v>333</v>
      </c>
      <c r="D108" s="7" t="str">
        <f>VLOOKUP(C108,[1]data!$W:$Z,4,FALSE)</f>
        <v>Si</v>
      </c>
      <c r="E108" s="5">
        <f>VLOOKUP(C108,[2]REPUESTOS!$A:$D,4,FALSE)</f>
        <v>99248.777011357626</v>
      </c>
      <c r="F108" s="18">
        <f t="shared" si="1"/>
        <v>503283</v>
      </c>
      <c r="G108" s="11"/>
      <c r="J108" s="7"/>
      <c r="N108" s="13"/>
      <c r="Q108" s="7"/>
    </row>
    <row r="109" spans="1:17" ht="15.6" x14ac:dyDescent="0.3">
      <c r="A109" s="7">
        <v>502788</v>
      </c>
      <c r="B109" s="4" t="s">
        <v>184</v>
      </c>
      <c r="C109" s="19" t="s">
        <v>185</v>
      </c>
      <c r="D109" s="7" t="str">
        <f>VLOOKUP(C109,[1]data!$W:$Z,4,FALSE)</f>
        <v>Si</v>
      </c>
      <c r="E109" s="5">
        <f>VLOOKUP(C109,[2]REPUESTOS!$A:$D,4,FALSE)</f>
        <v>17664.384580218786</v>
      </c>
      <c r="F109" s="18">
        <f t="shared" si="1"/>
        <v>502788</v>
      </c>
      <c r="G109" s="11"/>
      <c r="J109" s="7"/>
      <c r="N109" s="13"/>
      <c r="Q109" s="7"/>
    </row>
    <row r="110" spans="1:17" ht="15.6" x14ac:dyDescent="0.3">
      <c r="A110" s="7">
        <v>502881</v>
      </c>
      <c r="B110" s="4" t="s">
        <v>190</v>
      </c>
      <c r="C110" s="19" t="s">
        <v>191</v>
      </c>
      <c r="D110" s="7" t="str">
        <f>VLOOKUP(C110,[1]data!$W:$Z,4,FALSE)</f>
        <v>Si</v>
      </c>
      <c r="E110" s="5">
        <f>VLOOKUP(C110,[2]REPUESTOS!$A:$D,4,FALSE)</f>
        <v>160727.0019712621</v>
      </c>
      <c r="F110" s="18">
        <f t="shared" si="1"/>
        <v>502881</v>
      </c>
      <c r="G110" s="11"/>
      <c r="J110" s="7"/>
      <c r="N110" s="13"/>
      <c r="Q110" s="7"/>
    </row>
    <row r="111" spans="1:17" ht="15.6" x14ac:dyDescent="0.3">
      <c r="A111" s="7">
        <v>503151</v>
      </c>
      <c r="B111" s="4" t="s">
        <v>278</v>
      </c>
      <c r="C111" s="19" t="s">
        <v>279</v>
      </c>
      <c r="D111" s="7" t="str">
        <f>VLOOKUP(C111,[1]data!$W:$Z,4,FALSE)</f>
        <v>Si</v>
      </c>
      <c r="E111" s="5">
        <f>VLOOKUP(C111,[2]REPUESTOS!$A:$D,4,FALSE)</f>
        <v>14887.416013328533</v>
      </c>
      <c r="F111" s="18">
        <f t="shared" si="1"/>
        <v>503151</v>
      </c>
      <c r="G111" s="11"/>
      <c r="J111" s="7"/>
      <c r="N111" s="13"/>
      <c r="Q111" s="7"/>
    </row>
    <row r="112" spans="1:17" ht="15.6" x14ac:dyDescent="0.3">
      <c r="A112" s="7">
        <v>502629</v>
      </c>
      <c r="B112" s="4" t="s">
        <v>126</v>
      </c>
      <c r="C112" s="19" t="s">
        <v>127</v>
      </c>
      <c r="D112" s="7" t="str">
        <f>VLOOKUP(C112,[1]data!$W:$Z,4,FALSE)</f>
        <v>Si</v>
      </c>
      <c r="E112" s="5">
        <f>VLOOKUP(C112,[2]REPUESTOS!$A:$D,4,FALSE)</f>
        <v>31960.003925460031</v>
      </c>
      <c r="F112" s="18">
        <f t="shared" si="1"/>
        <v>502629</v>
      </c>
      <c r="G112" s="11"/>
      <c r="J112" s="7"/>
      <c r="N112" s="13"/>
      <c r="Q112" s="7"/>
    </row>
    <row r="113" spans="1:17" ht="15.6" x14ac:dyDescent="0.3">
      <c r="A113" s="7">
        <v>502449</v>
      </c>
      <c r="B113" s="4" t="s">
        <v>42</v>
      </c>
      <c r="C113" s="19" t="s">
        <v>43</v>
      </c>
      <c r="D113" s="7" t="str">
        <f>VLOOKUP(C113,[1]data!$W:$Z,4,FALSE)</f>
        <v>Si</v>
      </c>
      <c r="E113" s="5">
        <f>VLOOKUP(C113,[2]REPUESTOS!$A:$D,4,FALSE)</f>
        <v>8270.2341094886924</v>
      </c>
      <c r="F113" s="18">
        <f t="shared" si="1"/>
        <v>502449</v>
      </c>
      <c r="G113" s="11"/>
      <c r="J113" s="7"/>
      <c r="N113" s="13"/>
      <c r="Q113" s="7"/>
    </row>
    <row r="114" spans="1:17" ht="15.6" x14ac:dyDescent="0.3">
      <c r="A114" s="7">
        <v>502716</v>
      </c>
      <c r="B114" s="4" t="s">
        <v>154</v>
      </c>
      <c r="C114" s="19" t="s">
        <v>155</v>
      </c>
      <c r="D114" s="7" t="str">
        <f>VLOOKUP(C114,[1]data!$W:$Z,4,FALSE)</f>
        <v>Si</v>
      </c>
      <c r="E114" s="5">
        <f>VLOOKUP(C114,[2]REPUESTOS!$A:$D,4,FALSE)</f>
        <v>4370.3437976059304</v>
      </c>
      <c r="F114" s="18">
        <f t="shared" si="1"/>
        <v>502716</v>
      </c>
      <c r="G114" s="11"/>
      <c r="J114" s="7"/>
      <c r="N114" s="13"/>
      <c r="Q114" s="7"/>
    </row>
    <row r="115" spans="1:17" ht="15.6" x14ac:dyDescent="0.3">
      <c r="A115" s="7">
        <v>502878</v>
      </c>
      <c r="B115" s="4" t="s">
        <v>188</v>
      </c>
      <c r="C115" s="19" t="s">
        <v>189</v>
      </c>
      <c r="D115" s="7" t="str">
        <f>VLOOKUP(C115,[1]data!$W:$Z,4,FALSE)</f>
        <v>Si</v>
      </c>
      <c r="E115" s="5">
        <f>VLOOKUP(C115,[2]REPUESTOS!$A:$D,4,FALSE)</f>
        <v>93040.382385810022</v>
      </c>
      <c r="F115" s="18">
        <f t="shared" si="1"/>
        <v>502878</v>
      </c>
      <c r="G115" s="11"/>
      <c r="J115" s="7"/>
      <c r="N115" s="13"/>
      <c r="Q115" s="7"/>
    </row>
    <row r="116" spans="1:17" ht="15.6" x14ac:dyDescent="0.3">
      <c r="A116" s="7">
        <v>502731</v>
      </c>
      <c r="B116" s="4" t="s">
        <v>162</v>
      </c>
      <c r="C116" s="19" t="s">
        <v>163</v>
      </c>
      <c r="D116" s="7" t="str">
        <f>VLOOKUP(C116,[1]data!$W:$Z,4,FALSE)</f>
        <v>Si</v>
      </c>
      <c r="E116" s="5">
        <f>VLOOKUP(C116,[2]REPUESTOS!$A:$D,4,FALSE)</f>
        <v>39617.554425634829</v>
      </c>
      <c r="F116" s="18">
        <f t="shared" si="1"/>
        <v>502731</v>
      </c>
      <c r="G116" s="11"/>
      <c r="J116" s="7"/>
      <c r="N116" s="13"/>
      <c r="Q116" s="7"/>
    </row>
    <row r="117" spans="1:17" ht="15.6" x14ac:dyDescent="0.3">
      <c r="A117" s="7">
        <v>503100</v>
      </c>
      <c r="B117" s="4" t="s">
        <v>258</v>
      </c>
      <c r="C117" s="19" t="s">
        <v>259</v>
      </c>
      <c r="D117" s="7" t="str">
        <f>VLOOKUP(C117,[1]data!$W:$Z,4,FALSE)</f>
        <v>Si</v>
      </c>
      <c r="E117" s="5">
        <f>VLOOKUP(C117,[2]REPUESTOS!$A:$D,4,FALSE)</f>
        <v>43671.610256094951</v>
      </c>
      <c r="F117" s="18">
        <f t="shared" si="1"/>
        <v>503100</v>
      </c>
      <c r="G117" s="11"/>
      <c r="J117" s="7"/>
      <c r="N117" s="13"/>
      <c r="Q117" s="7"/>
    </row>
    <row r="118" spans="1:17" ht="15.6" x14ac:dyDescent="0.3">
      <c r="A118" s="7">
        <v>502611</v>
      </c>
      <c r="B118" s="4" t="s">
        <v>118</v>
      </c>
      <c r="C118" s="19" t="s">
        <v>119</v>
      </c>
      <c r="D118" s="7" t="str">
        <f>VLOOKUP(C118,[1]data!$W:$Z,4,FALSE)</f>
        <v>Si</v>
      </c>
      <c r="E118" s="5">
        <f>VLOOKUP(C118,[2]REPUESTOS!$A:$D,4,FALSE)</f>
        <v>8934.6377637446694</v>
      </c>
      <c r="F118" s="18">
        <f t="shared" si="1"/>
        <v>502611</v>
      </c>
      <c r="G118" s="11"/>
      <c r="J118" s="7"/>
      <c r="N118" s="14"/>
      <c r="Q118" s="7"/>
    </row>
    <row r="119" spans="1:17" ht="15.6" x14ac:dyDescent="0.3">
      <c r="A119" s="7">
        <v>502527</v>
      </c>
      <c r="B119" s="4" t="s">
        <v>80</v>
      </c>
      <c r="C119" s="19" t="s">
        <v>81</v>
      </c>
      <c r="D119" s="7" t="str">
        <f>VLOOKUP(C119,[1]data!$W:$Z,4,FALSE)</f>
        <v>Si</v>
      </c>
      <c r="E119" s="5">
        <f>VLOOKUP(C119,[2]REPUESTOS!$A:$D,4,FALSE)</f>
        <v>47765.450736510516</v>
      </c>
      <c r="F119" s="18">
        <f t="shared" si="1"/>
        <v>502527</v>
      </c>
      <c r="G119" s="11"/>
      <c r="J119" s="7"/>
      <c r="N119" s="13"/>
      <c r="Q119" s="7"/>
    </row>
    <row r="120" spans="1:17" ht="15.6" x14ac:dyDescent="0.3">
      <c r="A120" s="7">
        <v>503262</v>
      </c>
      <c r="B120" s="4" t="s">
        <v>322</v>
      </c>
      <c r="C120" s="19" t="s">
        <v>323</v>
      </c>
      <c r="D120" s="7" t="str">
        <f>VLOOKUP(C120,[1]data!$W:$Z,4,FALSE)</f>
        <v>Si</v>
      </c>
      <c r="E120" s="5">
        <f>VLOOKUP(C120,[2]REPUESTOS!$A:$D,4,FALSE)</f>
        <v>280386.29902601329</v>
      </c>
      <c r="F120" s="18">
        <f t="shared" si="1"/>
        <v>503262</v>
      </c>
      <c r="G120" s="11"/>
      <c r="J120" s="7"/>
      <c r="N120" s="13"/>
      <c r="Q120" s="7"/>
    </row>
    <row r="121" spans="1:17" ht="15.6" x14ac:dyDescent="0.3">
      <c r="A121" s="7">
        <v>503337</v>
      </c>
      <c r="B121" s="4" t="s">
        <v>346</v>
      </c>
      <c r="C121" s="19" t="s">
        <v>347</v>
      </c>
      <c r="D121" s="7" t="str">
        <f>VLOOKUP(C121,[1]data!$W:$Z,4,FALSE)</f>
        <v>Si</v>
      </c>
      <c r="E121" s="5">
        <f>VLOOKUP(C121,[2]REPUESTOS!$A:$D,4,FALSE)</f>
        <v>98758.431200656734</v>
      </c>
      <c r="F121" s="18">
        <f t="shared" si="1"/>
        <v>503337</v>
      </c>
      <c r="G121" s="11"/>
      <c r="J121" s="7"/>
      <c r="N121" s="14"/>
      <c r="Q121" s="7"/>
    </row>
    <row r="122" spans="1:17" ht="15.6" x14ac:dyDescent="0.3">
      <c r="A122" s="7">
        <v>502725</v>
      </c>
      <c r="B122" s="4" t="s">
        <v>158</v>
      </c>
      <c r="C122" s="19" t="s">
        <v>159</v>
      </c>
      <c r="D122" s="7" t="str">
        <f>VLOOKUP(C122,[1]data!$W:$Z,4,FALSE)</f>
        <v>Si</v>
      </c>
      <c r="E122" s="5">
        <f>VLOOKUP(C122,[2]REPUESTOS!$A:$D,4,FALSE)</f>
        <v>19359.210668320859</v>
      </c>
      <c r="F122" s="18">
        <f t="shared" si="1"/>
        <v>502725</v>
      </c>
      <c r="G122" s="11"/>
      <c r="N122" s="13"/>
      <c r="Q122" s="7"/>
    </row>
    <row r="123" spans="1:17" ht="15.6" x14ac:dyDescent="0.3">
      <c r="A123" s="7">
        <v>503046</v>
      </c>
      <c r="B123" s="4" t="s">
        <v>248</v>
      </c>
      <c r="C123" s="19" t="s">
        <v>249</v>
      </c>
      <c r="D123" s="7" t="str">
        <f>VLOOKUP(C123,[1]data!$W:$Z,4,FALSE)</f>
        <v>Si</v>
      </c>
      <c r="E123" s="5">
        <f>VLOOKUP(C123,[2]REPUESTOS!$A:$D,4,FALSE)</f>
        <v>11336.671731930644</v>
      </c>
      <c r="F123" s="18">
        <f t="shared" si="1"/>
        <v>503046</v>
      </c>
      <c r="G123" s="11"/>
      <c r="N123" s="13"/>
      <c r="Q123" s="7"/>
    </row>
    <row r="124" spans="1:17" ht="15.6" x14ac:dyDescent="0.3">
      <c r="A124" s="7">
        <v>503250</v>
      </c>
      <c r="B124" s="4" t="s">
        <v>318</v>
      </c>
      <c r="C124" s="19" t="s">
        <v>319</v>
      </c>
      <c r="D124" s="7" t="str">
        <f>VLOOKUP(C124,[1]data!$W:$Z,4,FALSE)</f>
        <v>Si</v>
      </c>
      <c r="E124" s="5">
        <f>VLOOKUP(C124,[2]REPUESTOS!$A:$D,4,FALSE)</f>
        <v>23297</v>
      </c>
      <c r="F124" s="18">
        <f t="shared" si="1"/>
        <v>503250</v>
      </c>
      <c r="G124" s="11"/>
      <c r="N124" s="13"/>
      <c r="Q124" s="7"/>
    </row>
    <row r="125" spans="1:17" ht="15.6" x14ac:dyDescent="0.3">
      <c r="A125" s="7">
        <v>503094</v>
      </c>
      <c r="B125" s="4" t="s">
        <v>254</v>
      </c>
      <c r="C125" s="19" t="s">
        <v>255</v>
      </c>
      <c r="D125" s="7" t="str">
        <f>VLOOKUP(C125,[1]data!$W:$Z,4,FALSE)</f>
        <v>Si</v>
      </c>
      <c r="E125" s="5">
        <f>VLOOKUP(C125,[2]REPUESTOS!$A:$D,4,FALSE)</f>
        <v>50665.751718262669</v>
      </c>
      <c r="F125" s="18">
        <f t="shared" si="1"/>
        <v>503094</v>
      </c>
      <c r="G125" s="11"/>
      <c r="N125" s="13"/>
      <c r="Q125" s="7"/>
    </row>
    <row r="126" spans="1:17" ht="15.6" x14ac:dyDescent="0.3">
      <c r="A126" s="7">
        <v>502632</v>
      </c>
      <c r="B126" s="4" t="s">
        <v>128</v>
      </c>
      <c r="C126" s="19" t="s">
        <v>129</v>
      </c>
      <c r="D126" s="7" t="str">
        <f>VLOOKUP(C126,[1]data!$W:$Z,4,FALSE)</f>
        <v>Si</v>
      </c>
      <c r="E126" s="5">
        <f>VLOOKUP(C126,[2]REPUESTOS!$A:$D,4,FALSE)</f>
        <v>106774.04355043056</v>
      </c>
      <c r="F126" s="18">
        <f t="shared" si="1"/>
        <v>502632</v>
      </c>
      <c r="G126" s="11"/>
      <c r="N126" s="13"/>
      <c r="Q126" s="7"/>
    </row>
    <row r="127" spans="1:17" ht="15.6" x14ac:dyDescent="0.3">
      <c r="A127" s="7">
        <v>504261</v>
      </c>
      <c r="B127" s="4" t="s">
        <v>496</v>
      </c>
      <c r="C127" s="19" t="s">
        <v>497</v>
      </c>
      <c r="D127" s="7" t="str">
        <f>VLOOKUP(C127,[1]data!$W:$Z,4,FALSE)</f>
        <v>Si</v>
      </c>
      <c r="E127" s="5">
        <f>VLOOKUP(C127,[2]REPUESTOS!$A:$D,4,FALSE)</f>
        <v>124529.93282554687</v>
      </c>
      <c r="F127" s="18">
        <f t="shared" si="1"/>
        <v>504261</v>
      </c>
      <c r="G127" s="11"/>
      <c r="N127" s="13"/>
      <c r="Q127" s="7"/>
    </row>
    <row r="128" spans="1:17" ht="15.6" x14ac:dyDescent="0.3">
      <c r="A128" s="7">
        <v>502491</v>
      </c>
      <c r="B128" s="4" t="s">
        <v>64</v>
      </c>
      <c r="C128" s="19" t="s">
        <v>65</v>
      </c>
      <c r="D128" s="7" t="str">
        <f>VLOOKUP(C128,[1]data!$W:$Z,4,FALSE)</f>
        <v>Si</v>
      </c>
      <c r="E128" s="5">
        <f>VLOOKUP(C128,[2]REPUESTOS!$A:$D,4,FALSE)</f>
        <v>318584.53606448753</v>
      </c>
      <c r="F128" s="18">
        <f t="shared" si="1"/>
        <v>502491</v>
      </c>
      <c r="G128" s="11"/>
      <c r="N128" s="13"/>
      <c r="Q128" s="7"/>
    </row>
    <row r="129" spans="1:17" ht="15.6" x14ac:dyDescent="0.3">
      <c r="A129" s="7">
        <v>503241</v>
      </c>
      <c r="B129" s="4" t="s">
        <v>314</v>
      </c>
      <c r="C129" s="19" t="s">
        <v>315</v>
      </c>
      <c r="D129" s="7" t="str">
        <f>VLOOKUP(C129,[1]data!$W:$Z,4,FALSE)</f>
        <v>Si</v>
      </c>
      <c r="E129" s="5">
        <f>VLOOKUP(C129,[2]REPUESTOS!$A:$D,4,FALSE)</f>
        <v>182761.73034908681</v>
      </c>
      <c r="F129" s="18">
        <f t="shared" si="1"/>
        <v>503241</v>
      </c>
      <c r="G129" s="11"/>
      <c r="N129" s="13"/>
      <c r="Q129" s="7"/>
    </row>
    <row r="130" spans="1:17" ht="15.6" x14ac:dyDescent="0.3">
      <c r="A130" s="7">
        <v>502896</v>
      </c>
      <c r="B130" s="4" t="s">
        <v>200</v>
      </c>
      <c r="C130" s="19" t="s">
        <v>201</v>
      </c>
      <c r="D130" s="7" t="str">
        <f>VLOOKUP(C130,[1]data!$W:$Z,4,FALSE)</f>
        <v>Si</v>
      </c>
      <c r="E130" s="5">
        <f>VLOOKUP(C130,[2]REPUESTOS!$A:$D,4,FALSE)</f>
        <v>526246.48420444014</v>
      </c>
      <c r="F130" s="18">
        <f t="shared" si="1"/>
        <v>502896</v>
      </c>
      <c r="G130" s="11"/>
      <c r="N130" s="13"/>
      <c r="Q130" s="7"/>
    </row>
    <row r="131" spans="1:17" ht="15.6" x14ac:dyDescent="0.3">
      <c r="A131" s="7">
        <v>503187</v>
      </c>
      <c r="B131" s="4" t="s">
        <v>296</v>
      </c>
      <c r="C131" s="19" t="s">
        <v>297</v>
      </c>
      <c r="D131" s="7" t="str">
        <f>VLOOKUP(C131,[1]data!$W:$Z,4,FALSE)</f>
        <v>Si</v>
      </c>
      <c r="E131" s="5">
        <f>VLOOKUP(C131,[2]REPUESTOS!$A:$D,4,FALSE)</f>
        <v>491278.76074234833</v>
      </c>
      <c r="F131" s="18">
        <f t="shared" ref="F131:F194" si="2">+A131</f>
        <v>503187</v>
      </c>
      <c r="G131" s="11"/>
      <c r="N131" s="13"/>
      <c r="Q131" s="7"/>
    </row>
    <row r="132" spans="1:17" ht="15.6" x14ac:dyDescent="0.3">
      <c r="A132" s="7">
        <v>503199</v>
      </c>
      <c r="B132" s="4" t="s">
        <v>300</v>
      </c>
      <c r="C132" s="19" t="s">
        <v>301</v>
      </c>
      <c r="D132" s="7" t="str">
        <f>VLOOKUP(C132,[1]data!$W:$Z,4,FALSE)</f>
        <v>Si</v>
      </c>
      <c r="E132" s="5">
        <f>VLOOKUP(C132,[2]REPUESTOS!$A:$D,4,FALSE)</f>
        <v>19002.143434970712</v>
      </c>
      <c r="F132" s="18">
        <f t="shared" si="2"/>
        <v>503199</v>
      </c>
      <c r="G132" s="11"/>
      <c r="J132" s="7"/>
      <c r="N132" s="13"/>
      <c r="Q132" s="7"/>
    </row>
    <row r="133" spans="1:17" ht="15.6" x14ac:dyDescent="0.3">
      <c r="A133" s="7">
        <v>502551</v>
      </c>
      <c r="B133" s="4" t="s">
        <v>92</v>
      </c>
      <c r="C133" s="19" t="s">
        <v>93</v>
      </c>
      <c r="D133" s="7" t="str">
        <f>VLOOKUP(C133,[1]data!$W:$Z,4,FALSE)</f>
        <v>Si</v>
      </c>
      <c r="E133" s="5">
        <f>VLOOKUP(C133,[2]REPUESTOS!$A:$D,4,FALSE)</f>
        <v>59354.719268532441</v>
      </c>
      <c r="F133" s="18">
        <f t="shared" si="2"/>
        <v>502551</v>
      </c>
      <c r="G133" s="11"/>
      <c r="J133" s="7"/>
      <c r="N133" s="13"/>
    </row>
    <row r="134" spans="1:17" ht="15.6" x14ac:dyDescent="0.3">
      <c r="A134" s="7">
        <v>503109</v>
      </c>
      <c r="B134" s="4" t="s">
        <v>264</v>
      </c>
      <c r="C134" s="19" t="s">
        <v>265</v>
      </c>
      <c r="D134" s="7" t="str">
        <f>VLOOKUP(C134,[1]data!$W:$Z,4,FALSE)</f>
        <v>Si</v>
      </c>
      <c r="E134" s="5">
        <f>VLOOKUP(C134,[2]REPUESTOS!$A:$D,4,FALSE)</f>
        <v>4911.4150370000198</v>
      </c>
      <c r="F134" s="18">
        <f t="shared" si="2"/>
        <v>503109</v>
      </c>
      <c r="G134" s="11"/>
      <c r="N134" s="13"/>
    </row>
    <row r="135" spans="1:17" ht="15.6" x14ac:dyDescent="0.3">
      <c r="A135" s="7">
        <v>503127</v>
      </c>
      <c r="B135" s="4" t="s">
        <v>268</v>
      </c>
      <c r="C135" s="19" t="s">
        <v>269</v>
      </c>
      <c r="D135" s="7" t="str">
        <f>VLOOKUP(C135,[1]data!$W:$Z,4,FALSE)</f>
        <v>Si</v>
      </c>
      <c r="E135" s="5">
        <f>VLOOKUP(C135,[2]REPUESTOS!$A:$D,4,FALSE)</f>
        <v>2634.7384432995241</v>
      </c>
      <c r="F135" s="18">
        <f t="shared" si="2"/>
        <v>503127</v>
      </c>
      <c r="G135" s="11"/>
      <c r="N135" s="13"/>
    </row>
    <row r="136" spans="1:17" ht="15.6" x14ac:dyDescent="0.3">
      <c r="A136" s="7">
        <v>502503</v>
      </c>
      <c r="B136" s="4" t="s">
        <v>66</v>
      </c>
      <c r="C136" s="19" t="s">
        <v>67</v>
      </c>
      <c r="D136" s="7" t="str">
        <f>VLOOKUP(C136,[1]data!$W:$Z,4,FALSE)</f>
        <v>Si</v>
      </c>
      <c r="E136" s="5">
        <f>VLOOKUP(C136,[2]REPUESTOS!$A:$D,4,FALSE)</f>
        <v>282336.74149007909</v>
      </c>
      <c r="F136" s="18">
        <f t="shared" si="2"/>
        <v>502503</v>
      </c>
      <c r="G136" s="11"/>
      <c r="N136" s="13"/>
    </row>
    <row r="137" spans="1:17" ht="15.6" x14ac:dyDescent="0.3">
      <c r="A137" s="7">
        <v>502530</v>
      </c>
      <c r="B137" s="4" t="s">
        <v>82</v>
      </c>
      <c r="C137" s="19" t="s">
        <v>83</v>
      </c>
      <c r="D137" s="7" t="str">
        <f>VLOOKUP(C137,[1]data!$W:$Z,4,FALSE)</f>
        <v>Si</v>
      </c>
      <c r="E137" s="5">
        <f>VLOOKUP(C137,[2]REPUESTOS!$A:$D,4,FALSE)</f>
        <v>56771.700870175002</v>
      </c>
      <c r="F137" s="18">
        <f t="shared" si="2"/>
        <v>502530</v>
      </c>
      <c r="G137" s="11"/>
      <c r="N137" s="14"/>
    </row>
    <row r="138" spans="1:17" ht="15.6" x14ac:dyDescent="0.3">
      <c r="A138" s="7">
        <v>503181</v>
      </c>
      <c r="B138" s="4" t="s">
        <v>294</v>
      </c>
      <c r="C138" s="19" t="s">
        <v>295</v>
      </c>
      <c r="D138" s="7" t="str">
        <f>VLOOKUP(C138,[1]data!$W:$Z,4,FALSE)</f>
        <v>Si</v>
      </c>
      <c r="E138" s="5">
        <f>VLOOKUP(C138,[2]REPUESTOS!$A:$D,4,FALSE)</f>
        <v>35287.989894233229</v>
      </c>
      <c r="F138" s="18">
        <f t="shared" si="2"/>
        <v>503181</v>
      </c>
      <c r="G138" s="11"/>
      <c r="N138" s="13"/>
    </row>
    <row r="139" spans="1:17" ht="15.6" x14ac:dyDescent="0.3">
      <c r="A139" s="7">
        <v>503175</v>
      </c>
      <c r="B139" s="4" t="s">
        <v>292</v>
      </c>
      <c r="C139" s="19" t="s">
        <v>293</v>
      </c>
      <c r="D139" s="7" t="str">
        <f>VLOOKUP(C139,[1]data!$W:$Z,4,FALSE)</f>
        <v>Si</v>
      </c>
      <c r="E139" s="5">
        <f>VLOOKUP(C139,[2]REPUESTOS!$A:$D,4,FALSE)</f>
        <v>105252.2806896347</v>
      </c>
      <c r="F139" s="18">
        <f t="shared" si="2"/>
        <v>503175</v>
      </c>
      <c r="G139" s="11"/>
      <c r="N139" s="13"/>
    </row>
    <row r="140" spans="1:17" ht="15.6" x14ac:dyDescent="0.3">
      <c r="A140" s="7">
        <v>503106</v>
      </c>
      <c r="B140" s="4" t="s">
        <v>262</v>
      </c>
      <c r="C140" s="19" t="s">
        <v>263</v>
      </c>
      <c r="D140" s="7" t="str">
        <f>VLOOKUP(C140,[1]data!$W:$Z,4,FALSE)</f>
        <v>Si</v>
      </c>
      <c r="E140" s="5">
        <f>VLOOKUP(C140,[2]REPUESTOS!$A:$D,4,FALSE)</f>
        <v>54188.682471817556</v>
      </c>
      <c r="F140" s="18">
        <f t="shared" si="2"/>
        <v>503106</v>
      </c>
      <c r="G140" s="11"/>
      <c r="N140" s="13"/>
    </row>
    <row r="141" spans="1:17" ht="15.6" x14ac:dyDescent="0.3">
      <c r="A141" s="7">
        <v>502407</v>
      </c>
      <c r="B141" s="4" t="s">
        <v>22</v>
      </c>
      <c r="C141" s="19" t="s">
        <v>23</v>
      </c>
      <c r="D141" s="7" t="str">
        <f>VLOOKUP(C141,[1]data!$W:$Z,4,FALSE)</f>
        <v>Si</v>
      </c>
      <c r="E141" s="5">
        <f>VLOOKUP(C141,[2]REPUESTOS!$A:$D,4,FALSE)</f>
        <v>3594.5431234747007</v>
      </c>
      <c r="F141" s="18">
        <f t="shared" si="2"/>
        <v>502407</v>
      </c>
      <c r="G141" s="11"/>
      <c r="N141" s="13"/>
    </row>
    <row r="142" spans="1:17" ht="15.6" x14ac:dyDescent="0.3">
      <c r="A142" s="7">
        <v>502755</v>
      </c>
      <c r="B142" s="4" t="s">
        <v>168</v>
      </c>
      <c r="C142" s="19" t="s">
        <v>169</v>
      </c>
      <c r="D142" s="7" t="str">
        <f>VLOOKUP(C142,[1]data!$W:$Z,4,FALSE)</f>
        <v>Si</v>
      </c>
      <c r="E142" s="5">
        <f>VLOOKUP(C142,[2]REPUESTOS!$A:$D,4,FALSE)</f>
        <v>4666.7394397740163</v>
      </c>
      <c r="F142" s="18">
        <f t="shared" si="2"/>
        <v>502755</v>
      </c>
      <c r="G142" s="11"/>
      <c r="N142" s="13"/>
    </row>
    <row r="143" spans="1:17" ht="15.6" x14ac:dyDescent="0.3">
      <c r="A143" s="7">
        <v>502404</v>
      </c>
      <c r="B143" s="4" t="s">
        <v>20</v>
      </c>
      <c r="C143" s="19" t="s">
        <v>21</v>
      </c>
      <c r="D143" s="7" t="str">
        <f>VLOOKUP(C143,[1]data!$W:$Z,4,FALSE)</f>
        <v>Si</v>
      </c>
      <c r="E143" s="5">
        <f>VLOOKUP(C143,[2]REPUESTOS!$A:$D,4,FALSE)</f>
        <v>6850.9167223280956</v>
      </c>
      <c r="F143" s="18">
        <f t="shared" si="2"/>
        <v>502404</v>
      </c>
      <c r="G143" s="11"/>
      <c r="N143" s="13"/>
    </row>
    <row r="144" spans="1:17" ht="15.6" x14ac:dyDescent="0.3">
      <c r="A144" s="7">
        <v>504262</v>
      </c>
      <c r="B144" s="4" t="s">
        <v>498</v>
      </c>
      <c r="C144" s="19" t="s">
        <v>499</v>
      </c>
      <c r="D144" s="7" t="str">
        <f>VLOOKUP(C144,[1]data!$W:$Z,4,FALSE)</f>
        <v>Si</v>
      </c>
      <c r="E144" s="5">
        <f>VLOOKUP(C144,[2]REPUESTOS!$A:$D,4,FALSE)</f>
        <v>13631.215690985273</v>
      </c>
      <c r="F144" s="18">
        <f t="shared" si="2"/>
        <v>504262</v>
      </c>
      <c r="G144" s="11"/>
      <c r="N144" s="13"/>
    </row>
    <row r="145" spans="1:14" ht="15.6" x14ac:dyDescent="0.3">
      <c r="A145" s="7">
        <v>503346</v>
      </c>
      <c r="B145" s="4" t="s">
        <v>350</v>
      </c>
      <c r="C145" s="19" t="s">
        <v>351</v>
      </c>
      <c r="D145" s="7" t="str">
        <f>VLOOKUP(C145,[1]data!$W:$Z,4,FALSE)</f>
        <v>Si</v>
      </c>
      <c r="E145" s="5">
        <f>VLOOKUP(C145,[2]REPUESTOS!$A:$D,4,FALSE)</f>
        <v>933066.41155636846</v>
      </c>
      <c r="F145" s="18">
        <f t="shared" si="2"/>
        <v>503346</v>
      </c>
      <c r="G145" s="11"/>
      <c r="N145" s="13"/>
    </row>
    <row r="146" spans="1:14" ht="15.6" x14ac:dyDescent="0.3">
      <c r="A146" s="7">
        <v>504263</v>
      </c>
      <c r="B146" s="4" t="s">
        <v>500</v>
      </c>
      <c r="C146" s="19" t="s">
        <v>501</v>
      </c>
      <c r="D146" s="7" t="str">
        <f>VLOOKUP(C146,[1]data!$W:$Z,4,FALSE)</f>
        <v>Si</v>
      </c>
      <c r="E146" s="5">
        <f>VLOOKUP(C146,[2]REPUESTOS!$A:$D,4,FALSE)</f>
        <v>19298.539077138797</v>
      </c>
      <c r="F146" s="18">
        <f t="shared" si="2"/>
        <v>504263</v>
      </c>
      <c r="G146" s="11"/>
      <c r="N146" s="13"/>
    </row>
    <row r="147" spans="1:14" ht="15.6" x14ac:dyDescent="0.3">
      <c r="A147" s="7">
        <v>503286</v>
      </c>
      <c r="B147" s="4" t="s">
        <v>334</v>
      </c>
      <c r="C147" s="19" t="s">
        <v>335</v>
      </c>
      <c r="D147" s="7" t="str">
        <f>VLOOKUP(C147,[1]data!$W:$Z,4,FALSE)</f>
        <v>Si</v>
      </c>
      <c r="E147" s="5">
        <f>VLOOKUP(C147,[2]REPUESTOS!$A:$D,4,FALSE)</f>
        <v>72956.096472051111</v>
      </c>
      <c r="F147" s="18">
        <f t="shared" si="2"/>
        <v>503286</v>
      </c>
      <c r="G147" s="11"/>
      <c r="N147" s="13"/>
    </row>
    <row r="148" spans="1:14" ht="15.6" x14ac:dyDescent="0.3">
      <c r="A148" s="7">
        <v>503343</v>
      </c>
      <c r="B148" s="4" t="s">
        <v>348</v>
      </c>
      <c r="C148" s="19" t="s">
        <v>349</v>
      </c>
      <c r="D148" s="7" t="str">
        <f>VLOOKUP(C148,[1]data!$W:$Z,4,FALSE)</f>
        <v>Si</v>
      </c>
      <c r="E148" s="5">
        <f>VLOOKUP(C148,[2]REPUESTOS!$A:$D,4,FALSE)</f>
        <v>1018949.5354151935</v>
      </c>
      <c r="F148" s="18">
        <f t="shared" si="2"/>
        <v>503343</v>
      </c>
      <c r="G148" s="11"/>
      <c r="N148" s="13"/>
    </row>
    <row r="149" spans="1:14" ht="15.6" x14ac:dyDescent="0.3">
      <c r="A149" s="7">
        <v>503244</v>
      </c>
      <c r="B149" s="4" t="s">
        <v>316</v>
      </c>
      <c r="C149" s="19" t="s">
        <v>317</v>
      </c>
      <c r="D149" s="7" t="str">
        <f>VLOOKUP(C149,[1]data!$W:$Z,4,FALSE)</f>
        <v>Si</v>
      </c>
      <c r="E149" s="5">
        <f>VLOOKUP(C149,[2]REPUESTOS!$A:$D,4,FALSE)</f>
        <v>57302.82594708023</v>
      </c>
      <c r="F149" s="18">
        <f t="shared" si="2"/>
        <v>503244</v>
      </c>
      <c r="G149" s="11"/>
      <c r="N149" s="13"/>
    </row>
    <row r="150" spans="1:14" ht="15.6" x14ac:dyDescent="0.3">
      <c r="A150" s="7">
        <v>503097</v>
      </c>
      <c r="B150" s="4" t="s">
        <v>256</v>
      </c>
      <c r="C150" s="19" t="s">
        <v>257</v>
      </c>
      <c r="D150" s="7" t="str">
        <f>VLOOKUP(C150,[1]data!$W:$Z,4,FALSE)</f>
        <v>Si</v>
      </c>
      <c r="E150" s="5">
        <f>VLOOKUP(C150,[2]REPUESTOS!$A:$D,4,FALSE)</f>
        <v>10373.847475882991</v>
      </c>
      <c r="F150" s="18">
        <f t="shared" si="2"/>
        <v>503097</v>
      </c>
      <c r="G150" s="11"/>
      <c r="N150" s="13"/>
    </row>
    <row r="151" spans="1:14" ht="15.6" x14ac:dyDescent="0.3">
      <c r="A151" s="7">
        <v>503325</v>
      </c>
      <c r="B151" s="4" t="s">
        <v>344</v>
      </c>
      <c r="C151" s="19" t="s">
        <v>345</v>
      </c>
      <c r="D151" s="7" t="str">
        <f>VLOOKUP(C151,[1]data!$W:$Z,4,FALSE)</f>
        <v>Si</v>
      </c>
      <c r="E151" s="5">
        <f>VLOOKUP(C151,[2]REPUESTOS!$A:$D,4,FALSE)</f>
        <v>136476.26859091895</v>
      </c>
      <c r="F151" s="18">
        <f t="shared" si="2"/>
        <v>503325</v>
      </c>
      <c r="G151" s="11"/>
      <c r="N151" s="13"/>
    </row>
    <row r="152" spans="1:14" ht="15.6" x14ac:dyDescent="0.3">
      <c r="A152" s="7">
        <v>502470</v>
      </c>
      <c r="B152" s="4" t="s">
        <v>52</v>
      </c>
      <c r="C152" s="19" t="s">
        <v>53</v>
      </c>
      <c r="D152" s="7" t="str">
        <f>VLOOKUP(C152,[1]data!$W:$Z,4,FALSE)</f>
        <v>Si</v>
      </c>
      <c r="E152" s="5">
        <f>VLOOKUP(C152,[2]REPUESTOS!$A:$D,4,FALSE)</f>
        <v>31847.612289335892</v>
      </c>
      <c r="F152" s="18">
        <f t="shared" si="2"/>
        <v>502470</v>
      </c>
      <c r="G152" s="11"/>
      <c r="N152" s="13"/>
    </row>
    <row r="153" spans="1:14" ht="15.6" x14ac:dyDescent="0.3">
      <c r="A153" s="7">
        <v>503355</v>
      </c>
      <c r="B153" s="4" t="s">
        <v>354</v>
      </c>
      <c r="C153" s="19" t="s">
        <v>355</v>
      </c>
      <c r="D153" s="7" t="str">
        <f>VLOOKUP(C153,[1]data!$W:$Z,4,FALSE)</f>
        <v>Si</v>
      </c>
      <c r="E153" s="5">
        <f>VLOOKUP(C153,[2]REPUESTOS!$A:$D,4,FALSE)</f>
        <v>419334.18899541441</v>
      </c>
      <c r="F153" s="18">
        <f t="shared" si="2"/>
        <v>503355</v>
      </c>
      <c r="G153" s="11"/>
      <c r="N153" s="13"/>
    </row>
    <row r="154" spans="1:14" ht="15.6" x14ac:dyDescent="0.3">
      <c r="A154" s="7">
        <v>503190</v>
      </c>
      <c r="B154" s="4" t="s">
        <v>298</v>
      </c>
      <c r="C154" s="19" t="s">
        <v>299</v>
      </c>
      <c r="D154" s="7" t="str">
        <f>VLOOKUP(C154,[1]data!$W:$Z,4,FALSE)</f>
        <v>Si</v>
      </c>
      <c r="E154" s="5">
        <f>VLOOKUP(C154,[2]REPUESTOS!$A:$D,4,FALSE)</f>
        <v>203458.6998721596</v>
      </c>
      <c r="F154" s="18">
        <f t="shared" si="2"/>
        <v>503190</v>
      </c>
      <c r="G154" s="11"/>
      <c r="N154" s="13"/>
    </row>
    <row r="155" spans="1:14" ht="15.6" x14ac:dyDescent="0.3">
      <c r="A155" s="7">
        <v>502593</v>
      </c>
      <c r="B155" s="4" t="s">
        <v>110</v>
      </c>
      <c r="C155" s="19" t="s">
        <v>111</v>
      </c>
      <c r="D155" s="7" t="str">
        <f>VLOOKUP(C155,[1]data!$W:$Z,4,FALSE)</f>
        <v>Si</v>
      </c>
      <c r="E155" s="5">
        <f>VLOOKUP(C155,[2]REPUESTOS!$A:$D,4,FALSE)</f>
        <v>529323.82687849412</v>
      </c>
      <c r="F155" s="18">
        <f t="shared" si="2"/>
        <v>502593</v>
      </c>
      <c r="G155" s="11"/>
      <c r="N155" s="13"/>
    </row>
    <row r="156" spans="1:14" ht="15.6" x14ac:dyDescent="0.3">
      <c r="A156" s="7">
        <v>503157</v>
      </c>
      <c r="B156" s="4" t="s">
        <v>282</v>
      </c>
      <c r="C156" s="19" t="s">
        <v>283</v>
      </c>
      <c r="D156" s="7" t="str">
        <f>VLOOKUP(C156,[1]data!$W:$Z,4,FALSE)</f>
        <v>Si</v>
      </c>
      <c r="E156" s="5">
        <f>VLOOKUP(C156,[2]REPUESTOS!$A:$D,4,FALSE)</f>
        <v>11364.485259773639</v>
      </c>
      <c r="F156" s="18">
        <f t="shared" si="2"/>
        <v>503157</v>
      </c>
      <c r="G156" s="11"/>
      <c r="N156" s="13"/>
    </row>
    <row r="157" spans="1:14" ht="15.6" x14ac:dyDescent="0.3">
      <c r="A157" s="7">
        <v>503115</v>
      </c>
      <c r="B157" s="4" t="s">
        <v>266</v>
      </c>
      <c r="C157" s="19" t="s">
        <v>267</v>
      </c>
      <c r="D157" s="7" t="str">
        <f>VLOOKUP(C157,[1]data!$W:$Z,4,FALSE)</f>
        <v>Si</v>
      </c>
      <c r="E157" s="5">
        <f>VLOOKUP(C157,[2]REPUESTOS!$A:$D,4,FALSE)</f>
        <v>72598.034622452091</v>
      </c>
      <c r="F157" s="18">
        <f t="shared" si="2"/>
        <v>503115</v>
      </c>
      <c r="G157" s="11"/>
      <c r="N157" s="13"/>
    </row>
    <row r="158" spans="1:14" ht="15.6" x14ac:dyDescent="0.3">
      <c r="A158" s="7">
        <v>504264</v>
      </c>
      <c r="B158" s="4" t="s">
        <v>502</v>
      </c>
      <c r="C158" s="19" t="s">
        <v>503</v>
      </c>
      <c r="D158" s="7" t="str">
        <f>VLOOKUP(C158,[1]data!$W:$Z,4,FALSE)</f>
        <v>Si</v>
      </c>
      <c r="E158" s="5">
        <f>VLOOKUP(C158,[2]REPUESTOS!$A:$D,4,FALSE)</f>
        <v>77315.499490919305</v>
      </c>
      <c r="F158" s="18">
        <f t="shared" si="2"/>
        <v>504264</v>
      </c>
      <c r="G158" s="11"/>
      <c r="N158" s="13"/>
    </row>
    <row r="159" spans="1:14" ht="15.6" x14ac:dyDescent="0.3">
      <c r="A159" s="7">
        <v>504265</v>
      </c>
      <c r="B159" s="4" t="s">
        <v>504</v>
      </c>
      <c r="C159" s="19" t="s">
        <v>505</v>
      </c>
      <c r="D159" s="7" t="str">
        <f>VLOOKUP(C159,[1]data!$W:$Z,4,FALSE)</f>
        <v>Si</v>
      </c>
      <c r="E159" s="5">
        <f>VLOOKUP(C159,[2]REPUESTOS!$A:$D,4,FALSE)</f>
        <v>18440.185254350014</v>
      </c>
      <c r="F159" s="18">
        <f t="shared" si="2"/>
        <v>504265</v>
      </c>
      <c r="G159" s="11"/>
      <c r="N159" s="13"/>
    </row>
    <row r="160" spans="1:14" ht="15.6" x14ac:dyDescent="0.3">
      <c r="A160" s="7">
        <v>504266</v>
      </c>
      <c r="B160" s="4" t="s">
        <v>506</v>
      </c>
      <c r="C160" s="19" t="s">
        <v>507</v>
      </c>
      <c r="D160" s="7" t="str">
        <f>VLOOKUP(C160,[1]data!$W:$Z,4,FALSE)</f>
        <v>Si</v>
      </c>
      <c r="E160" s="5">
        <f>VLOOKUP(C160,[2]REPUESTOS!$A:$D,4,FALSE)</f>
        <v>1094140.5345984921</v>
      </c>
      <c r="F160" s="18">
        <f t="shared" si="2"/>
        <v>504266</v>
      </c>
      <c r="G160" s="11"/>
      <c r="N160" s="13"/>
    </row>
    <row r="161" spans="1:14" ht="15.6" x14ac:dyDescent="0.3">
      <c r="A161" s="7">
        <v>503307</v>
      </c>
      <c r="B161" s="4" t="s">
        <v>340</v>
      </c>
      <c r="C161" s="19" t="s">
        <v>341</v>
      </c>
      <c r="D161" s="7" t="str">
        <f>VLOOKUP(C161,[1]data!$W:$Z,4,FALSE)</f>
        <v>Si</v>
      </c>
      <c r="E161" s="5">
        <f>VLOOKUP(C161,[2]REPUESTOS!$A:$D,4,FALSE)</f>
        <v>102556.87065515312</v>
      </c>
      <c r="F161" s="18">
        <f t="shared" si="2"/>
        <v>503307</v>
      </c>
      <c r="G161" s="11"/>
      <c r="N161" s="13"/>
    </row>
    <row r="162" spans="1:14" ht="15.6" x14ac:dyDescent="0.3">
      <c r="A162" s="7">
        <v>504267</v>
      </c>
      <c r="B162" s="4" t="s">
        <v>508</v>
      </c>
      <c r="C162" s="19" t="s">
        <v>509</v>
      </c>
      <c r="D162" s="7" t="str">
        <f>VLOOKUP(C162,[1]data!$W:$Z,4,FALSE)</f>
        <v>Si</v>
      </c>
      <c r="E162" s="5">
        <f>VLOOKUP(C162,[2]REPUESTOS!$A:$D,4,FALSE)</f>
        <v>17354.064310566289</v>
      </c>
      <c r="F162" s="18">
        <f t="shared" si="2"/>
        <v>504267</v>
      </c>
      <c r="G162" s="11"/>
      <c r="N162" s="13"/>
    </row>
    <row r="163" spans="1:14" ht="15.6" x14ac:dyDescent="0.3">
      <c r="A163" s="7">
        <v>504269</v>
      </c>
      <c r="B163" s="4" t="s">
        <v>510</v>
      </c>
      <c r="C163" s="19" t="s">
        <v>511</v>
      </c>
      <c r="D163" s="7" t="str">
        <f>VLOOKUP(C163,[1]data!$W:$Z,4,FALSE)</f>
        <v>Si</v>
      </c>
      <c r="E163" s="5">
        <f>VLOOKUP(C163,[2]REPUESTOS!$A:$D,4,FALSE)</f>
        <v>8270.2341094886924</v>
      </c>
      <c r="F163" s="18">
        <f t="shared" si="2"/>
        <v>504269</v>
      </c>
      <c r="G163" s="11"/>
      <c r="N163" s="13"/>
    </row>
    <row r="164" spans="1:14" ht="15.6" x14ac:dyDescent="0.3">
      <c r="A164" s="7">
        <v>504270</v>
      </c>
      <c r="B164" s="4" t="s">
        <v>512</v>
      </c>
      <c r="C164" s="19" t="s">
        <v>513</v>
      </c>
      <c r="D164" s="7" t="str">
        <f>VLOOKUP(C164,[1]data!$W:$Z,4,FALSE)</f>
        <v>Si</v>
      </c>
      <c r="E164" s="5">
        <f>VLOOKUP(C164,[2]REPUESTOS!$A:$D,4,FALSE)</f>
        <v>17470.434411685979</v>
      </c>
      <c r="F164" s="18">
        <f t="shared" si="2"/>
        <v>504270</v>
      </c>
      <c r="G164" s="11"/>
      <c r="N164" s="13"/>
    </row>
    <row r="165" spans="1:14" ht="15.6" x14ac:dyDescent="0.3">
      <c r="A165" s="7">
        <v>502761</v>
      </c>
      <c r="B165" s="4" t="s">
        <v>454</v>
      </c>
      <c r="C165" s="19" t="s">
        <v>455</v>
      </c>
      <c r="D165" s="7" t="str">
        <f>VLOOKUP(C165,[1]data!$W:$Z,4,FALSE)</f>
        <v>Si</v>
      </c>
      <c r="E165" s="5">
        <f>VLOOKUP(C165,[2]REPUESTOS!$A:$D,4,FALSE)</f>
        <v>7709.2705451168804</v>
      </c>
      <c r="F165" s="18">
        <f t="shared" si="2"/>
        <v>502761</v>
      </c>
      <c r="G165" s="11"/>
      <c r="N165" s="13"/>
    </row>
    <row r="166" spans="1:14" ht="15.6" x14ac:dyDescent="0.3">
      <c r="A166" s="7">
        <v>503211</v>
      </c>
      <c r="B166" s="4" t="s">
        <v>304</v>
      </c>
      <c r="C166" s="19" t="s">
        <v>305</v>
      </c>
      <c r="D166" s="7" t="str">
        <f>VLOOKUP(C166,[1]data!$W:$Z,4,FALSE)</f>
        <v>Si</v>
      </c>
      <c r="E166" s="5">
        <f>VLOOKUP(C166,[2]REPUESTOS!$A:$D,4,FALSE)</f>
        <v>30.833103715471974</v>
      </c>
      <c r="F166" s="18">
        <f t="shared" si="2"/>
        <v>503211</v>
      </c>
      <c r="G166" s="11"/>
      <c r="N166" s="13"/>
    </row>
    <row r="167" spans="1:14" ht="15.6" x14ac:dyDescent="0.3">
      <c r="A167" s="7">
        <v>504271</v>
      </c>
      <c r="B167" s="4" t="s">
        <v>514</v>
      </c>
      <c r="C167" s="19" t="s">
        <v>515</v>
      </c>
      <c r="D167" s="7" t="str">
        <f>VLOOKUP(C167,[1]data!$W:$Z,4,FALSE)</f>
        <v>Si</v>
      </c>
      <c r="E167" s="5">
        <f>VLOOKUP(C167,[2]REPUESTOS!$A:$D,4,FALSE)</f>
        <v>4111.7977016213508</v>
      </c>
      <c r="F167" s="18">
        <f t="shared" si="2"/>
        <v>504271</v>
      </c>
      <c r="G167" s="11"/>
      <c r="N167" s="13"/>
    </row>
    <row r="168" spans="1:14" ht="15.6" x14ac:dyDescent="0.3">
      <c r="A168" s="7">
        <v>504272</v>
      </c>
      <c r="B168" s="4" t="s">
        <v>516</v>
      </c>
      <c r="C168" s="19" t="s">
        <v>517</v>
      </c>
      <c r="D168" s="7" t="str">
        <f>VLOOKUP(C168,[1]data!$W:$Z,4,FALSE)</f>
        <v>Si</v>
      </c>
      <c r="E168" s="5">
        <f>VLOOKUP(C168,[2]REPUESTOS!$A:$D,4,FALSE)</f>
        <v>13663.171098975865</v>
      </c>
      <c r="F168" s="18">
        <f t="shared" si="2"/>
        <v>504272</v>
      </c>
      <c r="G168" s="11"/>
      <c r="N168" s="13"/>
    </row>
    <row r="169" spans="1:14" ht="15.6" x14ac:dyDescent="0.3">
      <c r="A169" s="7">
        <v>504273</v>
      </c>
      <c r="B169" s="4" t="s">
        <v>518</v>
      </c>
      <c r="C169" s="19" t="s">
        <v>519</v>
      </c>
      <c r="D169" s="7" t="str">
        <f>VLOOKUP(C169,[1]data!$W:$Z,4,FALSE)</f>
        <v>Si</v>
      </c>
      <c r="E169" s="5">
        <f>VLOOKUP(C169,[2]REPUESTOS!$A:$D,4,FALSE)</f>
        <v>82511.096475972197</v>
      </c>
      <c r="F169" s="18">
        <f t="shared" si="2"/>
        <v>504273</v>
      </c>
      <c r="G169" s="11"/>
      <c r="N169" s="13"/>
    </row>
    <row r="170" spans="1:14" ht="15.6" x14ac:dyDescent="0.3">
      <c r="A170" s="7">
        <v>504274</v>
      </c>
      <c r="B170" s="4" t="s">
        <v>520</v>
      </c>
      <c r="C170" s="19" t="s">
        <v>521</v>
      </c>
      <c r="D170" s="7" t="str">
        <f>VLOOKUP(C170,[1]data!$W:$Z,4,FALSE)</f>
        <v>Si</v>
      </c>
      <c r="E170" s="5">
        <f>VLOOKUP(C170,[2]REPUESTOS!$A:$D,4,FALSE)</f>
        <v>4480.8912234502659</v>
      </c>
      <c r="F170" s="18">
        <f t="shared" si="2"/>
        <v>504274</v>
      </c>
      <c r="G170" s="11"/>
      <c r="N170" s="13"/>
    </row>
    <row r="171" spans="1:14" ht="15.6" x14ac:dyDescent="0.3">
      <c r="A171" s="7">
        <v>502884</v>
      </c>
      <c r="B171" s="4" t="s">
        <v>192</v>
      </c>
      <c r="C171" s="19" t="s">
        <v>193</v>
      </c>
      <c r="D171" s="7" t="str">
        <f>VLOOKUP(C171,[1]data!$W:$Z,4,FALSE)</f>
        <v>Si</v>
      </c>
      <c r="E171" s="5">
        <f>VLOOKUP(C171,[2]REPUESTOS!$A:$D,4,FALSE)</f>
        <v>69398.210264086723</v>
      </c>
      <c r="F171" s="18">
        <f t="shared" si="2"/>
        <v>502884</v>
      </c>
      <c r="G171" s="11"/>
      <c r="N171" s="13"/>
    </row>
    <row r="172" spans="1:14" ht="15.6" x14ac:dyDescent="0.3">
      <c r="A172" s="7">
        <v>502887</v>
      </c>
      <c r="B172" s="4" t="s">
        <v>194</v>
      </c>
      <c r="C172" s="19" t="s">
        <v>195</v>
      </c>
      <c r="D172" s="7" t="str">
        <f>VLOOKUP(C172,[1]data!$W:$Z,4,FALSE)</f>
        <v>Si</v>
      </c>
      <c r="E172" s="5">
        <f>VLOOKUP(C172,[2]REPUESTOS!$A:$D,4,FALSE)</f>
        <v>91306.067824695507</v>
      </c>
      <c r="F172" s="18">
        <f t="shared" si="2"/>
        <v>502887</v>
      </c>
      <c r="G172" s="11"/>
      <c r="N172" s="13"/>
    </row>
    <row r="173" spans="1:14" ht="15.6" x14ac:dyDescent="0.3">
      <c r="A173" s="7">
        <v>504275</v>
      </c>
      <c r="B173" s="4" t="s">
        <v>522</v>
      </c>
      <c r="C173" s="19" t="s">
        <v>523</v>
      </c>
      <c r="D173" s="7" t="str">
        <f>VLOOKUP(C173,[1]data!$W:$Z,4,FALSE)</f>
        <v>Si</v>
      </c>
      <c r="E173" s="5">
        <f>VLOOKUP(C173,[2]REPUESTOS!$A:$D,4,FALSE)</f>
        <v>4646.7436371552076</v>
      </c>
      <c r="F173" s="18">
        <f t="shared" si="2"/>
        <v>504275</v>
      </c>
      <c r="G173" s="11"/>
      <c r="N173" s="13"/>
    </row>
    <row r="174" spans="1:14" ht="15.6" x14ac:dyDescent="0.3">
      <c r="A174" s="7">
        <v>504277</v>
      </c>
      <c r="B174" s="4" t="s">
        <v>524</v>
      </c>
      <c r="C174" s="19" t="s">
        <v>525</v>
      </c>
      <c r="D174" s="7" t="str">
        <f>VLOOKUP(C174,[1]data!$W:$Z,4,FALSE)</f>
        <v>Si</v>
      </c>
      <c r="E174" s="5">
        <f>VLOOKUP(C174,[2]REPUESTOS!$A:$D,4,FALSE)</f>
        <v>6287.0527692312471</v>
      </c>
      <c r="F174" s="18">
        <f t="shared" si="2"/>
        <v>504277</v>
      </c>
      <c r="G174" s="11"/>
      <c r="N174" s="13"/>
    </row>
    <row r="175" spans="1:14" ht="15.6" x14ac:dyDescent="0.3">
      <c r="A175" s="7">
        <v>504278</v>
      </c>
      <c r="B175" s="4" t="s">
        <v>526</v>
      </c>
      <c r="C175" s="19" t="s">
        <v>527</v>
      </c>
      <c r="D175" s="7" t="str">
        <f>VLOOKUP(C175,[1]data!$W:$Z,4,FALSE)</f>
        <v>Si</v>
      </c>
      <c r="E175" s="5">
        <f>VLOOKUP(C175,[2]REPUESTOS!$A:$D,4,FALSE)</f>
        <v>3872.126583550626</v>
      </c>
      <c r="F175" s="18">
        <f t="shared" si="2"/>
        <v>504278</v>
      </c>
      <c r="G175" s="11"/>
      <c r="N175" s="13"/>
    </row>
    <row r="176" spans="1:14" ht="15.6" x14ac:dyDescent="0.3">
      <c r="A176" s="7">
        <v>504279</v>
      </c>
      <c r="B176" s="4" t="s">
        <v>528</v>
      </c>
      <c r="C176" s="19" t="s">
        <v>529</v>
      </c>
      <c r="D176" s="7" t="str">
        <f>VLOOKUP(C176,[1]data!$W:$Z,4,FALSE)</f>
        <v>Si</v>
      </c>
      <c r="E176" s="5">
        <f>VLOOKUP(C176,[2]REPUESTOS!$A:$D,4,FALSE)</f>
        <v>4840.3979005563533</v>
      </c>
      <c r="F176" s="18">
        <f t="shared" si="2"/>
        <v>504279</v>
      </c>
      <c r="G176" s="11"/>
      <c r="N176" s="13"/>
    </row>
    <row r="177" spans="1:14" ht="15.6" x14ac:dyDescent="0.3">
      <c r="A177" s="7">
        <v>504280</v>
      </c>
      <c r="B177" s="4" t="s">
        <v>530</v>
      </c>
      <c r="C177" s="19" t="s">
        <v>531</v>
      </c>
      <c r="D177" s="7" t="str">
        <f>VLOOKUP(C177,[1]data!$W:$Z,4,FALSE)</f>
        <v>Si</v>
      </c>
      <c r="E177" s="5">
        <f>VLOOKUP(C177,[2]REPUESTOS!$A:$D,4,FALSE)</f>
        <v>1004.7013269524774</v>
      </c>
      <c r="F177" s="18">
        <f t="shared" si="2"/>
        <v>504280</v>
      </c>
      <c r="G177" s="11"/>
      <c r="N177" s="13"/>
    </row>
    <row r="178" spans="1:14" ht="15.6" x14ac:dyDescent="0.3">
      <c r="A178" s="7">
        <v>504283</v>
      </c>
      <c r="B178" s="4" t="s">
        <v>532</v>
      </c>
      <c r="C178" s="19" t="s">
        <v>533</v>
      </c>
      <c r="D178" s="7" t="str">
        <f>VLOOKUP(C178,[1]data!$W:$Z,4,FALSE)</f>
        <v>Si</v>
      </c>
      <c r="E178" s="5">
        <f>VLOOKUP(C178,[2]REPUESTOS!$A:$D,4,FALSE)</f>
        <v>30976.053983932725</v>
      </c>
      <c r="F178" s="18">
        <f t="shared" si="2"/>
        <v>504283</v>
      </c>
      <c r="G178" s="11"/>
      <c r="N178" s="13"/>
    </row>
    <row r="179" spans="1:14" ht="15.6" x14ac:dyDescent="0.3">
      <c r="A179" s="7">
        <v>504284</v>
      </c>
      <c r="B179" s="4" t="s">
        <v>534</v>
      </c>
      <c r="C179" s="19" t="s">
        <v>535</v>
      </c>
      <c r="D179" s="7" t="str">
        <f>VLOOKUP(C179,[1]data!$W:$Z,4,FALSE)</f>
        <v>Si</v>
      </c>
      <c r="E179" s="5">
        <f>VLOOKUP(C179,[2]REPUESTOS!$A:$D,4,FALSE)</f>
        <v>32571.304945811466</v>
      </c>
      <c r="F179" s="18">
        <f t="shared" si="2"/>
        <v>504284</v>
      </c>
      <c r="G179" s="11"/>
      <c r="N179" s="13"/>
    </row>
    <row r="180" spans="1:14" ht="15.6" x14ac:dyDescent="0.3">
      <c r="A180" s="7">
        <v>504285</v>
      </c>
      <c r="B180" s="4" t="s">
        <v>536</v>
      </c>
      <c r="C180" s="19" t="s">
        <v>537</v>
      </c>
      <c r="D180" s="7" t="str">
        <f>VLOOKUP(C180,[1]data!$W:$Z,4,FALSE)</f>
        <v>Si</v>
      </c>
      <c r="E180" s="5">
        <f>VLOOKUP(C180,[2]REPUESTOS!$A:$D,4,FALSE)</f>
        <v>6720.3781507031163</v>
      </c>
      <c r="F180" s="18">
        <f t="shared" si="2"/>
        <v>504285</v>
      </c>
      <c r="G180" s="11"/>
      <c r="N180" s="13"/>
    </row>
    <row r="181" spans="1:14" ht="15.6" x14ac:dyDescent="0.3">
      <c r="A181" s="7">
        <v>504286</v>
      </c>
      <c r="B181" s="4" t="s">
        <v>538</v>
      </c>
      <c r="C181" s="19" t="s">
        <v>539</v>
      </c>
      <c r="D181" s="7" t="str">
        <f>VLOOKUP(C181,[1]data!$W:$Z,4,FALSE)</f>
        <v>Si</v>
      </c>
      <c r="E181" s="5">
        <f>VLOOKUP(C181,[2]REPUESTOS!$A:$D,4,FALSE)</f>
        <v>29040.470034393555</v>
      </c>
      <c r="F181" s="18">
        <f t="shared" si="2"/>
        <v>504286</v>
      </c>
      <c r="G181" s="11"/>
      <c r="N181" s="13"/>
    </row>
    <row r="182" spans="1:14" ht="15.6" x14ac:dyDescent="0.3">
      <c r="A182" s="7">
        <v>504287</v>
      </c>
      <c r="B182" s="4" t="s">
        <v>540</v>
      </c>
      <c r="C182" s="19" t="s">
        <v>541</v>
      </c>
      <c r="D182" s="7" t="str">
        <f>VLOOKUP(C182,[1]data!$W:$Z,4,FALSE)</f>
        <v>Si</v>
      </c>
      <c r="E182" s="5">
        <f>VLOOKUP(C182,[2]REPUESTOS!$A:$D,4,FALSE)</f>
        <v>11782.232164356821</v>
      </c>
      <c r="F182" s="18">
        <f t="shared" si="2"/>
        <v>504287</v>
      </c>
      <c r="G182" s="11"/>
      <c r="N182" s="13"/>
    </row>
    <row r="183" spans="1:14" ht="15.6" x14ac:dyDescent="0.3">
      <c r="A183" s="7">
        <v>502536</v>
      </c>
      <c r="B183" s="4" t="s">
        <v>86</v>
      </c>
      <c r="C183" s="19" t="s">
        <v>87</v>
      </c>
      <c r="D183" s="7" t="str">
        <f>VLOOKUP(C183,[1]data!$W:$Z,4,FALSE)</f>
        <v>Si</v>
      </c>
      <c r="E183" s="5">
        <f>VLOOKUP(C183,[2]REPUESTOS!$A:$D,4,FALSE)</f>
        <v>280721.02848940599</v>
      </c>
      <c r="F183" s="18">
        <f t="shared" si="2"/>
        <v>502536</v>
      </c>
      <c r="G183" s="11"/>
      <c r="N183" s="13"/>
    </row>
    <row r="184" spans="1:14" ht="15.6" x14ac:dyDescent="0.3">
      <c r="A184" s="7">
        <v>502698</v>
      </c>
      <c r="B184" s="4" t="s">
        <v>150</v>
      </c>
      <c r="C184" s="19" t="s">
        <v>151</v>
      </c>
      <c r="D184" s="7" t="str">
        <f>VLOOKUP(C184,[1]data!$W:$Z,4,FALSE)</f>
        <v>Si</v>
      </c>
      <c r="E184" s="5">
        <f>VLOOKUP(C184,[2]REPUESTOS!$A:$D,4,FALSE)</f>
        <v>3102</v>
      </c>
      <c r="F184" s="18">
        <f t="shared" si="2"/>
        <v>502698</v>
      </c>
      <c r="G184" s="11"/>
      <c r="N184" s="13"/>
    </row>
    <row r="185" spans="1:14" ht="15.6" x14ac:dyDescent="0.3">
      <c r="A185" s="7">
        <v>502701</v>
      </c>
      <c r="B185" s="4" t="s">
        <v>152</v>
      </c>
      <c r="C185" s="19" t="s">
        <v>153</v>
      </c>
      <c r="D185" s="7" t="str">
        <f>VLOOKUP(C185,[1]data!$W:$Z,4,FALSE)</f>
        <v>Si</v>
      </c>
      <c r="E185" s="5">
        <f>VLOOKUP(C185,[2]REPUESTOS!$A:$D,4,FALSE)</f>
        <v>9715.3991684767752</v>
      </c>
      <c r="F185" s="18">
        <f t="shared" si="2"/>
        <v>502701</v>
      </c>
      <c r="G185" s="11"/>
      <c r="N185" s="13"/>
    </row>
    <row r="186" spans="1:14" ht="15.6" x14ac:dyDescent="0.3">
      <c r="A186" s="7">
        <v>502947</v>
      </c>
      <c r="B186" s="4" t="s">
        <v>222</v>
      </c>
      <c r="C186" s="19" t="s">
        <v>223</v>
      </c>
      <c r="D186" s="7" t="str">
        <f>VLOOKUP(C186,[1]data!$W:$Z,4,FALSE)</f>
        <v>Si</v>
      </c>
      <c r="E186" s="5">
        <f>VLOOKUP(C186,[2]REPUESTOS!$A:$D,4,FALSE)</f>
        <v>12975</v>
      </c>
      <c r="F186" s="18">
        <f t="shared" si="2"/>
        <v>502947</v>
      </c>
      <c r="G186" s="11"/>
      <c r="N186" s="13"/>
    </row>
    <row r="187" spans="1:14" ht="15.6" x14ac:dyDescent="0.3">
      <c r="A187" s="7">
        <v>502950</v>
      </c>
      <c r="B187" s="4" t="s">
        <v>224</v>
      </c>
      <c r="C187" s="19" t="s">
        <v>225</v>
      </c>
      <c r="D187" s="7" t="str">
        <f>VLOOKUP(C187,[1]data!$W:$Z,4,FALSE)</f>
        <v>Si</v>
      </c>
      <c r="E187" s="5">
        <f>VLOOKUP(C187,[2]REPUESTOS!$A:$D,4,FALSE)</f>
        <v>4245.3085492845212</v>
      </c>
      <c r="F187" s="18">
        <f t="shared" si="2"/>
        <v>502950</v>
      </c>
      <c r="G187" s="11"/>
      <c r="N187" s="13"/>
    </row>
    <row r="188" spans="1:14" ht="15.6" x14ac:dyDescent="0.3">
      <c r="A188" s="7">
        <v>502941</v>
      </c>
      <c r="B188" s="4" t="s">
        <v>220</v>
      </c>
      <c r="C188" s="19" t="s">
        <v>221</v>
      </c>
      <c r="D188" s="7" t="str">
        <f>VLOOKUP(C188,[1]data!$W:$Z,4,FALSE)</f>
        <v>Si</v>
      </c>
      <c r="E188" s="5">
        <f>VLOOKUP(C188,[2]REPUESTOS!$A:$D,4,FALSE)</f>
        <v>5002.4956312064278</v>
      </c>
      <c r="F188" s="18">
        <f t="shared" si="2"/>
        <v>502941</v>
      </c>
      <c r="G188" s="11"/>
      <c r="N188" s="13"/>
    </row>
    <row r="189" spans="1:14" ht="15.6" x14ac:dyDescent="0.3">
      <c r="A189" s="7">
        <v>504034</v>
      </c>
      <c r="B189" s="4" t="s">
        <v>388</v>
      </c>
      <c r="C189" s="19" t="s">
        <v>389</v>
      </c>
      <c r="D189" s="7" t="str">
        <f>VLOOKUP(C189,[1]data!$W:$Z,4,FALSE)</f>
        <v>Si</v>
      </c>
      <c r="E189" s="5">
        <f>VLOOKUP(C189,[2]REPUESTOS!$A:$D,4,FALSE)</f>
        <v>12548.088749639002</v>
      </c>
      <c r="F189" s="18">
        <f t="shared" si="2"/>
        <v>504034</v>
      </c>
      <c r="G189" s="11"/>
      <c r="N189" s="13"/>
    </row>
    <row r="190" spans="1:14" ht="15.6" x14ac:dyDescent="0.3">
      <c r="A190" s="7">
        <v>504035</v>
      </c>
      <c r="B190" s="4" t="s">
        <v>390</v>
      </c>
      <c r="C190" s="19" t="s">
        <v>391</v>
      </c>
      <c r="D190" s="7" t="str">
        <f>VLOOKUP(C190,[1]data!$W:$Z,4,FALSE)</f>
        <v>Si</v>
      </c>
      <c r="E190" s="5">
        <f>VLOOKUP(C190,[2]REPUESTOS!$A:$D,4,FALSE)</f>
        <v>10243</v>
      </c>
      <c r="F190" s="18">
        <f t="shared" si="2"/>
        <v>504035</v>
      </c>
      <c r="G190" s="11"/>
      <c r="N190" s="13"/>
    </row>
    <row r="191" spans="1:14" ht="15.6" x14ac:dyDescent="0.3">
      <c r="A191" s="7">
        <v>504036</v>
      </c>
      <c r="B191" s="4" t="s">
        <v>392</v>
      </c>
      <c r="C191" s="19" t="s">
        <v>393</v>
      </c>
      <c r="D191" s="7" t="str">
        <f>VLOOKUP(C191,[1]data!$W:$Z,4,FALSE)</f>
        <v>Si</v>
      </c>
      <c r="E191" s="5">
        <f>VLOOKUP(C191,[2]REPUESTOS!$A:$D,4,FALSE)</f>
        <v>10242</v>
      </c>
      <c r="F191" s="18">
        <f t="shared" si="2"/>
        <v>504036</v>
      </c>
      <c r="G191" s="11"/>
      <c r="N191" s="13"/>
    </row>
    <row r="192" spans="1:14" ht="15.6" x14ac:dyDescent="0.3">
      <c r="A192" s="7">
        <v>502461</v>
      </c>
      <c r="B192" s="4" t="s">
        <v>48</v>
      </c>
      <c r="C192" s="19" t="s">
        <v>49</v>
      </c>
      <c r="D192" s="7" t="str">
        <f>VLOOKUP(C192,[1]data!$W:$Z,4,FALSE)</f>
        <v>Si</v>
      </c>
      <c r="E192" s="5">
        <f>VLOOKUP(C192,[2]REPUESTOS!$A:$D,4,FALSE)</f>
        <v>36750</v>
      </c>
      <c r="F192" s="18">
        <f t="shared" si="2"/>
        <v>502461</v>
      </c>
      <c r="G192" s="11"/>
      <c r="N192" s="13"/>
    </row>
    <row r="193" spans="1:14" ht="15.6" x14ac:dyDescent="0.3">
      <c r="A193" s="7">
        <v>502902</v>
      </c>
      <c r="B193" s="4" t="s">
        <v>204</v>
      </c>
      <c r="C193" s="19" t="s">
        <v>205</v>
      </c>
      <c r="D193" s="7" t="str">
        <f>VLOOKUP(C193,[1]data!$W:$Z,4,FALSE)</f>
        <v>Si</v>
      </c>
      <c r="E193" s="5">
        <f>VLOOKUP(C193,[2]REPUESTOS!$A:$D,4,FALSE)</f>
        <v>229000</v>
      </c>
      <c r="F193" s="18">
        <f t="shared" si="2"/>
        <v>502902</v>
      </c>
      <c r="G193" s="11"/>
      <c r="N193" s="13"/>
    </row>
    <row r="194" spans="1:14" ht="15.6" x14ac:dyDescent="0.3">
      <c r="A194" s="7">
        <v>502905</v>
      </c>
      <c r="B194" s="4" t="s">
        <v>206</v>
      </c>
      <c r="C194" s="19" t="s">
        <v>207</v>
      </c>
      <c r="D194" s="7" t="str">
        <f>VLOOKUP(C194,[1]data!$W:$Z,4,FALSE)</f>
        <v>Si</v>
      </c>
      <c r="E194" s="5">
        <f>VLOOKUP(C194,[2]REPUESTOS!$A:$D,4,FALSE)</f>
        <v>15636</v>
      </c>
      <c r="F194" s="18">
        <f t="shared" si="2"/>
        <v>502905</v>
      </c>
      <c r="G194" s="11"/>
      <c r="N194" s="13"/>
    </row>
    <row r="195" spans="1:14" ht="15.6" x14ac:dyDescent="0.3">
      <c r="A195" s="7">
        <v>502911</v>
      </c>
      <c r="B195" s="4" t="s">
        <v>210</v>
      </c>
      <c r="C195" s="19" t="s">
        <v>211</v>
      </c>
      <c r="D195" s="7" t="str">
        <f>VLOOKUP(C195,[1]data!$W:$Z,4,FALSE)</f>
        <v>Si</v>
      </c>
      <c r="E195" s="5">
        <f>VLOOKUP(C195,[2]REPUESTOS!$A:$D,4,FALSE)</f>
        <v>18900</v>
      </c>
      <c r="F195" s="18">
        <f t="shared" ref="F195:F258" si="3">+A195</f>
        <v>502911</v>
      </c>
      <c r="G195" s="11"/>
      <c r="N195" s="14"/>
    </row>
    <row r="196" spans="1:14" ht="15.6" x14ac:dyDescent="0.3">
      <c r="A196" s="7">
        <v>502920</v>
      </c>
      <c r="B196" s="4" t="s">
        <v>214</v>
      </c>
      <c r="C196" s="19" t="s">
        <v>215</v>
      </c>
      <c r="D196" s="7" t="str">
        <f>VLOOKUP(C196,[1]data!$W:$Z,4,FALSE)</f>
        <v>Si</v>
      </c>
      <c r="E196" s="5">
        <f>VLOOKUP(C196,[2]REPUESTOS!$A:$D,4,FALSE)</f>
        <v>61583.333333333336</v>
      </c>
      <c r="F196" s="18">
        <f t="shared" si="3"/>
        <v>502920</v>
      </c>
      <c r="G196" s="11"/>
      <c r="N196" s="14"/>
    </row>
    <row r="197" spans="1:14" ht="15.6" x14ac:dyDescent="0.3">
      <c r="A197" s="7">
        <v>502923</v>
      </c>
      <c r="B197" s="4" t="s">
        <v>216</v>
      </c>
      <c r="C197" s="19" t="s">
        <v>217</v>
      </c>
      <c r="D197" s="7" t="str">
        <f>VLOOKUP(C197,[1]data!$W:$Z,4,FALSE)</f>
        <v>Si</v>
      </c>
      <c r="E197" s="5">
        <f>VLOOKUP(C197,[2]REPUESTOS!$A:$D,4,FALSE)</f>
        <v>1866</v>
      </c>
      <c r="F197" s="18">
        <f t="shared" si="3"/>
        <v>502923</v>
      </c>
      <c r="G197" s="11"/>
      <c r="N197" s="13"/>
    </row>
    <row r="198" spans="1:14" ht="15.6" x14ac:dyDescent="0.3">
      <c r="A198" s="7">
        <v>502926</v>
      </c>
      <c r="B198" s="4" t="s">
        <v>218</v>
      </c>
      <c r="C198" s="19" t="s">
        <v>219</v>
      </c>
      <c r="D198" s="7" t="str">
        <f>VLOOKUP(C198,[1]data!$W:$Z,4,FALSE)</f>
        <v>Si</v>
      </c>
      <c r="E198" s="5">
        <f>VLOOKUP(C198,[2]REPUESTOS!$A:$D,4,FALSE)</f>
        <v>9274</v>
      </c>
      <c r="F198" s="18">
        <f t="shared" si="3"/>
        <v>502926</v>
      </c>
      <c r="G198" s="11"/>
      <c r="N198" s="13"/>
    </row>
    <row r="199" spans="1:14" ht="15.6" x14ac:dyDescent="0.3">
      <c r="A199" s="7">
        <v>502914</v>
      </c>
      <c r="B199" s="4" t="s">
        <v>212</v>
      </c>
      <c r="C199" s="19" t="s">
        <v>213</v>
      </c>
      <c r="D199" s="7" t="str">
        <f>VLOOKUP(C199,[1]data!$W:$Z,4,FALSE)</f>
        <v>Si</v>
      </c>
      <c r="E199" s="5">
        <f>VLOOKUP(C199,[2]REPUESTOS!$A:$D,4,FALSE)</f>
        <v>37787</v>
      </c>
      <c r="F199" s="18">
        <f t="shared" si="3"/>
        <v>502914</v>
      </c>
      <c r="G199" s="11"/>
      <c r="N199" s="13"/>
    </row>
    <row r="200" spans="1:14" ht="15.6" x14ac:dyDescent="0.3">
      <c r="A200" s="7">
        <v>503049</v>
      </c>
      <c r="B200" s="4" t="s">
        <v>250</v>
      </c>
      <c r="C200" s="19" t="s">
        <v>251</v>
      </c>
      <c r="D200" s="7" t="str">
        <f>VLOOKUP(C200,[1]data!$W:$Z,4,FALSE)</f>
        <v>Si</v>
      </c>
      <c r="E200" s="5">
        <f>VLOOKUP(C200,[2]REPUESTOS!$A:$D,4,FALSE)</f>
        <v>6300</v>
      </c>
      <c r="F200" s="18">
        <f t="shared" si="3"/>
        <v>503049</v>
      </c>
      <c r="G200" s="11"/>
      <c r="N200" s="13"/>
    </row>
    <row r="201" spans="1:14" ht="15.6" x14ac:dyDescent="0.3">
      <c r="A201" s="7">
        <v>503052</v>
      </c>
      <c r="B201" s="4" t="s">
        <v>252</v>
      </c>
      <c r="C201" s="19" t="s">
        <v>253</v>
      </c>
      <c r="D201" s="7" t="str">
        <f>VLOOKUP(C201,[1]data!$W:$Z,4,FALSE)</f>
        <v>Si</v>
      </c>
      <c r="E201" s="5">
        <f>VLOOKUP(C201,[2]REPUESTOS!$A:$D,4,FALSE)</f>
        <v>10000</v>
      </c>
      <c r="F201" s="18">
        <f t="shared" si="3"/>
        <v>503052</v>
      </c>
      <c r="G201" s="11"/>
      <c r="N201" s="13"/>
    </row>
    <row r="202" spans="1:14" ht="15.6" x14ac:dyDescent="0.3">
      <c r="A202" s="7">
        <v>502953</v>
      </c>
      <c r="B202" s="4" t="s">
        <v>226</v>
      </c>
      <c r="C202" s="19" t="s">
        <v>227</v>
      </c>
      <c r="D202" s="7" t="str">
        <f>VLOOKUP(C202,[1]data!$W:$Z,4,FALSE)</f>
        <v>Si</v>
      </c>
      <c r="E202" s="5">
        <f>VLOOKUP(C202,[2]REPUESTOS!$A:$D,4,FALSE)</f>
        <v>38864</v>
      </c>
      <c r="F202" s="18">
        <f t="shared" si="3"/>
        <v>502953</v>
      </c>
      <c r="G202" s="11"/>
      <c r="N202" s="13"/>
    </row>
    <row r="203" spans="1:14" ht="15.6" x14ac:dyDescent="0.3">
      <c r="A203" s="7">
        <v>502959</v>
      </c>
      <c r="B203" s="4" t="s">
        <v>228</v>
      </c>
      <c r="C203" s="19" t="s">
        <v>229</v>
      </c>
      <c r="D203" s="7" t="str">
        <f>VLOOKUP(C203,[1]data!$W:$Z,4,FALSE)</f>
        <v>Si</v>
      </c>
      <c r="E203" s="5">
        <f>VLOOKUP(C203,[2]REPUESTOS!$A:$D,4,FALSE)</f>
        <v>2520</v>
      </c>
      <c r="F203" s="18">
        <f t="shared" si="3"/>
        <v>502959</v>
      </c>
      <c r="G203" s="11"/>
      <c r="N203" s="13"/>
    </row>
    <row r="204" spans="1:14" ht="15.6" x14ac:dyDescent="0.3">
      <c r="A204" s="7">
        <v>502962</v>
      </c>
      <c r="B204" s="4" t="s">
        <v>230</v>
      </c>
      <c r="C204" s="19" t="s">
        <v>231</v>
      </c>
      <c r="D204" s="7" t="str">
        <f>VLOOKUP(C204,[1]data!$W:$Z,4,FALSE)</f>
        <v>Si</v>
      </c>
      <c r="E204" s="5">
        <f>VLOOKUP(C204,[2]REPUESTOS!$A:$D,4,FALSE)</f>
        <v>38430</v>
      </c>
      <c r="F204" s="18">
        <f t="shared" si="3"/>
        <v>502962</v>
      </c>
      <c r="G204" s="11"/>
      <c r="N204" s="13"/>
    </row>
    <row r="205" spans="1:14" ht="15.6" x14ac:dyDescent="0.3">
      <c r="A205" s="7">
        <v>502980</v>
      </c>
      <c r="B205" s="4" t="s">
        <v>236</v>
      </c>
      <c r="C205" s="19" t="s">
        <v>237</v>
      </c>
      <c r="D205" s="7" t="str">
        <f>VLOOKUP(C205,[1]data!$W:$Z,4,FALSE)</f>
        <v>Si</v>
      </c>
      <c r="E205" s="5">
        <f>VLOOKUP(C205,[2]REPUESTOS!$A:$D,4,FALSE)</f>
        <v>803830</v>
      </c>
      <c r="F205" s="18">
        <f t="shared" si="3"/>
        <v>502980</v>
      </c>
      <c r="G205" s="11"/>
      <c r="N205" s="13"/>
    </row>
    <row r="206" spans="1:14" ht="15.6" x14ac:dyDescent="0.3">
      <c r="A206" s="7">
        <v>503037</v>
      </c>
      <c r="B206" s="4" t="s">
        <v>244</v>
      </c>
      <c r="C206" s="19" t="s">
        <v>245</v>
      </c>
      <c r="D206" s="7" t="str">
        <f>VLOOKUP(C206,[1]data!$W:$Z,4,FALSE)</f>
        <v>Si</v>
      </c>
      <c r="E206" s="5">
        <f>VLOOKUP(C206,[2]REPUESTOS!$A:$D,4,FALSE)</f>
        <v>22176</v>
      </c>
      <c r="F206" s="18">
        <f t="shared" si="3"/>
        <v>503037</v>
      </c>
      <c r="G206" s="11"/>
      <c r="N206" s="13"/>
    </row>
    <row r="207" spans="1:14" ht="15.6" x14ac:dyDescent="0.3">
      <c r="A207" s="7">
        <v>503043</v>
      </c>
      <c r="B207" s="4" t="s">
        <v>246</v>
      </c>
      <c r="C207" s="19" t="s">
        <v>247</v>
      </c>
      <c r="D207" s="7" t="str">
        <f>VLOOKUP(C207,[1]data!$W:$Z,4,FALSE)</f>
        <v>Si</v>
      </c>
      <c r="E207" s="5">
        <f>VLOOKUP(C207,[2]REPUESTOS!$A:$D,4,FALSE)</f>
        <v>79940</v>
      </c>
      <c r="F207" s="18">
        <f t="shared" si="3"/>
        <v>503043</v>
      </c>
      <c r="G207" s="11"/>
      <c r="N207" s="13"/>
    </row>
    <row r="208" spans="1:14" ht="15.6" x14ac:dyDescent="0.3">
      <c r="A208" s="7">
        <v>502986</v>
      </c>
      <c r="B208" s="4" t="s">
        <v>238</v>
      </c>
      <c r="C208" s="19" t="s">
        <v>239</v>
      </c>
      <c r="D208" s="7" t="str">
        <f>VLOOKUP(C208,[1]data!$W:$Z,4,FALSE)</f>
        <v>Si</v>
      </c>
      <c r="E208" s="5">
        <f>VLOOKUP(C208,[2]REPUESTOS!$A:$D,4,FALSE)</f>
        <v>57460</v>
      </c>
      <c r="F208" s="18">
        <f t="shared" si="3"/>
        <v>502986</v>
      </c>
      <c r="G208" s="11"/>
      <c r="N208" s="13"/>
    </row>
    <row r="209" spans="1:14" ht="15.6" x14ac:dyDescent="0.3">
      <c r="A209" s="7">
        <v>504289</v>
      </c>
      <c r="B209" s="4" t="s">
        <v>542</v>
      </c>
      <c r="C209" s="19" t="s">
        <v>543</v>
      </c>
      <c r="D209" s="7" t="str">
        <f>VLOOKUP(C209,[1]data!$W:$Z,4,FALSE)</f>
        <v>Si</v>
      </c>
      <c r="E209" s="5">
        <f>VLOOKUP(C209,[2]REPUESTOS!$A:$D,4,FALSE)</f>
        <v>646.48627343556291</v>
      </c>
      <c r="F209" s="18">
        <f t="shared" si="3"/>
        <v>504289</v>
      </c>
      <c r="G209" s="11"/>
      <c r="N209" s="13"/>
    </row>
    <row r="210" spans="1:14" ht="15.6" x14ac:dyDescent="0.3">
      <c r="A210" s="7">
        <v>503358</v>
      </c>
      <c r="B210" s="4" t="s">
        <v>356</v>
      </c>
      <c r="C210" s="19" t="s">
        <v>357</v>
      </c>
      <c r="D210" s="7" t="str">
        <f>VLOOKUP(C210,[1]data!$W:$Z,4,FALSE)</f>
        <v>Si</v>
      </c>
      <c r="E210" s="5">
        <f>VLOOKUP(C210,[2]REPUESTOS!$A:$D,4,FALSE)</f>
        <v>837279.89370738366</v>
      </c>
      <c r="F210" s="18">
        <f t="shared" si="3"/>
        <v>503358</v>
      </c>
      <c r="G210" s="11"/>
      <c r="N210" s="13"/>
    </row>
    <row r="211" spans="1:14" ht="15.6" x14ac:dyDescent="0.3">
      <c r="A211" s="7">
        <v>503361</v>
      </c>
      <c r="B211" s="4" t="s">
        <v>358</v>
      </c>
      <c r="C211" s="19" t="s">
        <v>359</v>
      </c>
      <c r="D211" s="7" t="str">
        <f>VLOOKUP(C211,[1]data!$W:$Z,4,FALSE)</f>
        <v>Si</v>
      </c>
      <c r="E211" s="5">
        <f>VLOOKUP(C211,[2]REPUESTOS!$A:$D,4,FALSE)</f>
        <v>44661.253423736722</v>
      </c>
      <c r="F211" s="18">
        <f t="shared" si="3"/>
        <v>503361</v>
      </c>
      <c r="G211" s="11"/>
      <c r="N211" s="13"/>
    </row>
    <row r="212" spans="1:14" ht="15.6" x14ac:dyDescent="0.3">
      <c r="A212" s="7">
        <v>503364</v>
      </c>
      <c r="B212" s="4" t="s">
        <v>360</v>
      </c>
      <c r="C212" s="19" t="s">
        <v>361</v>
      </c>
      <c r="D212" s="7" t="str">
        <f>VLOOKUP(C212,[1]data!$W:$Z,4,FALSE)</f>
        <v>Si</v>
      </c>
      <c r="E212" s="5">
        <f>VLOOKUP(C212,[2]REPUESTOS!$A:$D,4,FALSE)</f>
        <v>90314.139247612955</v>
      </c>
      <c r="F212" s="18">
        <f t="shared" si="3"/>
        <v>503364</v>
      </c>
      <c r="G212" s="11"/>
      <c r="N212" s="13"/>
    </row>
    <row r="213" spans="1:14" ht="15.6" x14ac:dyDescent="0.3">
      <c r="A213" s="7">
        <v>503370</v>
      </c>
      <c r="B213" s="4" t="s">
        <v>364</v>
      </c>
      <c r="C213" s="19" t="s">
        <v>365</v>
      </c>
      <c r="D213" s="7" t="str">
        <f>VLOOKUP(C213,[1]data!$W:$Z,4,FALSE)</f>
        <v>Si</v>
      </c>
      <c r="E213" s="5">
        <f>VLOOKUP(C213,[2]REPUESTOS!$A:$D,4,FALSE)</f>
        <v>48511.412923175165</v>
      </c>
      <c r="F213" s="18">
        <f t="shared" si="3"/>
        <v>503370</v>
      </c>
      <c r="G213" s="11"/>
      <c r="N213" s="13"/>
    </row>
    <row r="214" spans="1:14" ht="15.6" x14ac:dyDescent="0.3">
      <c r="A214" s="7">
        <v>503367</v>
      </c>
      <c r="B214" s="4" t="s">
        <v>362</v>
      </c>
      <c r="C214" s="19" t="s">
        <v>363</v>
      </c>
      <c r="D214" s="7" t="str">
        <f>VLOOKUP(C214,[1]data!$W:$Z,4,FALSE)</f>
        <v>Si</v>
      </c>
      <c r="E214" s="5">
        <f>VLOOKUP(C214,[2]REPUESTOS!$A:$D,4,FALSE)</f>
        <v>57394.330641977751</v>
      </c>
      <c r="F214" s="18">
        <f t="shared" si="3"/>
        <v>503367</v>
      </c>
      <c r="G214" s="11"/>
      <c r="N214" s="13"/>
    </row>
    <row r="215" spans="1:14" ht="15.6" x14ac:dyDescent="0.3">
      <c r="A215" s="7">
        <v>503373</v>
      </c>
      <c r="B215" s="4" t="s">
        <v>366</v>
      </c>
      <c r="C215" s="19" t="s">
        <v>367</v>
      </c>
      <c r="D215" s="7" t="str">
        <f>VLOOKUP(C215,[1]data!$W:$Z,4,FALSE)</f>
        <v>Si</v>
      </c>
      <c r="E215" s="5">
        <f>VLOOKUP(C215,[2]REPUESTOS!$A:$D,4,FALSE)</f>
        <v>40026.341703927057</v>
      </c>
      <c r="F215" s="18">
        <f t="shared" si="3"/>
        <v>503373</v>
      </c>
      <c r="G215" s="11"/>
      <c r="N215" s="13"/>
    </row>
    <row r="216" spans="1:14" ht="15.6" x14ac:dyDescent="0.3">
      <c r="A216" s="7">
        <v>504290</v>
      </c>
      <c r="B216" s="4" t="s">
        <v>544</v>
      </c>
      <c r="C216" s="19" t="s">
        <v>545</v>
      </c>
      <c r="D216" s="7" t="str">
        <f>VLOOKUP(C216,[1]data!$W:$Z,4,FALSE)</f>
        <v>Si</v>
      </c>
      <c r="E216" s="5">
        <f>VLOOKUP(C216,[2]REPUESTOS!$A:$D,4,FALSE)</f>
        <v>398218.48603156052</v>
      </c>
      <c r="F216" s="18">
        <f t="shared" si="3"/>
        <v>504290</v>
      </c>
      <c r="G216" s="11"/>
      <c r="N216" s="13"/>
    </row>
    <row r="217" spans="1:14" ht="15.6" x14ac:dyDescent="0.3">
      <c r="A217" s="7">
        <v>504291</v>
      </c>
      <c r="B217" s="4" t="s">
        <v>546</v>
      </c>
      <c r="C217" s="19" t="s">
        <v>547</v>
      </c>
      <c r="D217" s="7" t="str">
        <f>VLOOKUP(C217,[1]data!$W:$Z,4,FALSE)</f>
        <v>Si</v>
      </c>
      <c r="E217" s="5">
        <f>VLOOKUP(C217,[2]REPUESTOS!$A:$D,4,FALSE)</f>
        <v>17256.591918175443</v>
      </c>
      <c r="F217" s="18">
        <f t="shared" si="3"/>
        <v>504291</v>
      </c>
      <c r="G217" s="11"/>
      <c r="N217" s="13"/>
    </row>
    <row r="218" spans="1:14" ht="15.6" x14ac:dyDescent="0.3">
      <c r="A218" s="7">
        <v>503996</v>
      </c>
      <c r="B218" s="4" t="s">
        <v>374</v>
      </c>
      <c r="C218" s="19" t="s">
        <v>375</v>
      </c>
      <c r="D218" s="7" t="str">
        <f>VLOOKUP(C218,[1]data!$W:$Z,4,FALSE)</f>
        <v>Si</v>
      </c>
      <c r="E218" s="5">
        <f>VLOOKUP(C218,[2]REPUESTOS!$A:$D,4,FALSE)</f>
        <v>37494.048734262811</v>
      </c>
      <c r="F218" s="18">
        <f t="shared" si="3"/>
        <v>503996</v>
      </c>
      <c r="G218" s="11"/>
      <c r="N218" s="13"/>
    </row>
    <row r="219" spans="1:14" ht="15.6" x14ac:dyDescent="0.3">
      <c r="A219" s="7">
        <v>503994</v>
      </c>
      <c r="B219" s="4" t="s">
        <v>372</v>
      </c>
      <c r="C219" s="19" t="s">
        <v>373</v>
      </c>
      <c r="D219" s="7" t="str">
        <f>VLOOKUP(C219,[1]data!$W:$Z,4,FALSE)</f>
        <v>Si</v>
      </c>
      <c r="E219" s="5">
        <f>VLOOKUP(C219,[2]REPUESTOS!$A:$D,4,FALSE)</f>
        <v>41353.159779941241</v>
      </c>
      <c r="F219" s="18">
        <f t="shared" si="3"/>
        <v>503994</v>
      </c>
      <c r="G219" s="11"/>
      <c r="N219" s="13"/>
    </row>
    <row r="220" spans="1:14" ht="15.6" x14ac:dyDescent="0.3">
      <c r="A220" s="7">
        <v>503999</v>
      </c>
      <c r="B220" s="4" t="s">
        <v>380</v>
      </c>
      <c r="C220" s="19" t="s">
        <v>381</v>
      </c>
      <c r="D220" s="7" t="str">
        <f>VLOOKUP(C220,[1]data!$W:$Z,4,FALSE)</f>
        <v>Si</v>
      </c>
      <c r="E220" s="5">
        <f>VLOOKUP(C220,[2]REPUESTOS!$A:$D,4,FALSE)</f>
        <v>211729.92859789717</v>
      </c>
      <c r="F220" s="18">
        <f t="shared" si="3"/>
        <v>503999</v>
      </c>
      <c r="G220" s="11"/>
      <c r="N220" s="13"/>
    </row>
    <row r="221" spans="1:14" ht="15.6" x14ac:dyDescent="0.3">
      <c r="A221" s="7">
        <v>504296</v>
      </c>
      <c r="B221" s="4" t="s">
        <v>552</v>
      </c>
      <c r="C221" s="19" t="s">
        <v>553</v>
      </c>
      <c r="D221" s="7" t="str">
        <f>VLOOKUP(C221,[1]data!$W:$Z,4,FALSE)</f>
        <v>Si</v>
      </c>
      <c r="E221" s="5">
        <f>VLOOKUP(C221,[2]REPUESTOS!$A:$D,4,FALSE)</f>
        <v>37500</v>
      </c>
      <c r="F221" s="18">
        <f t="shared" si="3"/>
        <v>504296</v>
      </c>
      <c r="G221" s="11"/>
      <c r="N221" s="13"/>
    </row>
    <row r="222" spans="1:14" ht="15.6" x14ac:dyDescent="0.3">
      <c r="A222" s="7">
        <v>504297</v>
      </c>
      <c r="B222" s="4" t="s">
        <v>554</v>
      </c>
      <c r="C222" s="19" t="s">
        <v>555</v>
      </c>
      <c r="D222" s="7" t="str">
        <f>VLOOKUP(C222,[1]data!$W:$Z,4,FALSE)</f>
        <v>Si</v>
      </c>
      <c r="E222" s="5">
        <f>VLOOKUP(C222,[2]REPUESTOS!$A:$D,4,FALSE)</f>
        <v>3900</v>
      </c>
      <c r="F222" s="18">
        <f t="shared" si="3"/>
        <v>504297</v>
      </c>
      <c r="G222" s="11"/>
      <c r="N222" s="13"/>
    </row>
    <row r="223" spans="1:14" ht="15.6" x14ac:dyDescent="0.3">
      <c r="A223" s="7">
        <v>504298</v>
      </c>
      <c r="B223" s="4" t="s">
        <v>556</v>
      </c>
      <c r="C223" s="19" t="s">
        <v>557</v>
      </c>
      <c r="D223" s="7" t="str">
        <f>VLOOKUP(C223,[1]data!$W:$Z,4,FALSE)</f>
        <v>Si</v>
      </c>
      <c r="E223" s="5">
        <f>VLOOKUP(C223,[2]REPUESTOS!$A:$D,4,FALSE)</f>
        <v>1939</v>
      </c>
      <c r="F223" s="18">
        <f t="shared" si="3"/>
        <v>504298</v>
      </c>
      <c r="G223" s="11"/>
      <c r="N223" s="13"/>
    </row>
    <row r="224" spans="1:14" ht="15.6" x14ac:dyDescent="0.3">
      <c r="A224" s="7">
        <v>504299</v>
      </c>
      <c r="B224" s="4" t="s">
        <v>558</v>
      </c>
      <c r="C224" s="19" t="s">
        <v>559</v>
      </c>
      <c r="D224" s="7" t="str">
        <f>VLOOKUP(C224,[1]data!$W:$Z,4,FALSE)</f>
        <v>Si</v>
      </c>
      <c r="E224" s="5">
        <f>VLOOKUP(C224,[2]REPUESTOS!$A:$D,4,FALSE)</f>
        <v>65372</v>
      </c>
      <c r="F224" s="18">
        <f t="shared" si="3"/>
        <v>504299</v>
      </c>
      <c r="G224" s="11"/>
      <c r="N224" s="13"/>
    </row>
    <row r="225" spans="1:14" ht="15.6" x14ac:dyDescent="0.3">
      <c r="A225" s="7">
        <v>504300</v>
      </c>
      <c r="B225" s="4" t="s">
        <v>560</v>
      </c>
      <c r="C225" s="19" t="s">
        <v>561</v>
      </c>
      <c r="D225" s="7" t="str">
        <f>VLOOKUP(C225,[1]data!$W:$Z,4,FALSE)</f>
        <v>Si</v>
      </c>
      <c r="E225" s="5">
        <f>VLOOKUP(C225,[2]REPUESTOS!$A:$D,4,FALSE)</f>
        <v>10535</v>
      </c>
      <c r="F225" s="18">
        <f t="shared" si="3"/>
        <v>504300</v>
      </c>
      <c r="G225" s="11"/>
      <c r="N225" s="13"/>
    </row>
    <row r="226" spans="1:14" ht="15.6" x14ac:dyDescent="0.3">
      <c r="A226" s="7">
        <v>504301</v>
      </c>
      <c r="B226" s="4" t="s">
        <v>562</v>
      </c>
      <c r="C226" s="19" t="s">
        <v>563</v>
      </c>
      <c r="D226" s="7" t="str">
        <f>VLOOKUP(C226,[1]data!$W:$Z,4,FALSE)</f>
        <v>Si</v>
      </c>
      <c r="E226" s="5">
        <f>VLOOKUP(C226,[2]REPUESTOS!$A:$D,4,FALSE)</f>
        <v>55944</v>
      </c>
      <c r="F226" s="18">
        <f t="shared" si="3"/>
        <v>504301</v>
      </c>
      <c r="G226" s="11"/>
      <c r="N226" s="13"/>
    </row>
    <row r="227" spans="1:14" ht="15.6" x14ac:dyDescent="0.3">
      <c r="A227" s="7">
        <v>503997</v>
      </c>
      <c r="B227" s="4" t="s">
        <v>376</v>
      </c>
      <c r="C227" s="19" t="s">
        <v>377</v>
      </c>
      <c r="D227" s="7" t="str">
        <f>VLOOKUP(C227,[1]data!$W:$Z,4,FALSE)</f>
        <v>Si</v>
      </c>
      <c r="E227" s="5">
        <f>VLOOKUP(C227,[2]REPUESTOS!$A:$D,4,FALSE)</f>
        <v>463036.63235522492</v>
      </c>
      <c r="F227" s="18">
        <f t="shared" si="3"/>
        <v>503997</v>
      </c>
      <c r="G227" s="11"/>
      <c r="N227" s="13"/>
    </row>
    <row r="228" spans="1:14" ht="15.6" x14ac:dyDescent="0.3">
      <c r="A228" s="7">
        <v>502977</v>
      </c>
      <c r="B228" s="4" t="s">
        <v>234</v>
      </c>
      <c r="C228" s="19" t="s">
        <v>235</v>
      </c>
      <c r="D228" s="7" t="str">
        <f>VLOOKUP(C228,[1]data!$W:$Z,4,FALSE)</f>
        <v>Si</v>
      </c>
      <c r="E228" s="5">
        <f>VLOOKUP(C228,[2]REPUESTOS!$A:$D,4,FALSE)</f>
        <v>1270000</v>
      </c>
      <c r="F228" s="18">
        <f t="shared" si="3"/>
        <v>502977</v>
      </c>
      <c r="G228" s="11"/>
      <c r="N228" s="13"/>
    </row>
    <row r="229" spans="1:14" ht="15.6" x14ac:dyDescent="0.3">
      <c r="A229" s="7">
        <v>504302</v>
      </c>
      <c r="B229" s="4" t="s">
        <v>564</v>
      </c>
      <c r="C229" s="19" t="s">
        <v>565</v>
      </c>
      <c r="D229" s="7" t="str">
        <f>VLOOKUP(C229,[1]data!$W:$Z,4,FALSE)</f>
        <v>Si</v>
      </c>
      <c r="E229" s="5">
        <f>VLOOKUP(C229,[2]REPUESTOS!$A:$D,4,FALSE)</f>
        <v>16546</v>
      </c>
      <c r="F229" s="18">
        <f t="shared" si="3"/>
        <v>504302</v>
      </c>
      <c r="G229" s="11"/>
      <c r="N229" s="13"/>
    </row>
    <row r="230" spans="1:14" ht="15.6" x14ac:dyDescent="0.3">
      <c r="A230" s="7">
        <v>504303</v>
      </c>
      <c r="B230" s="4" t="s">
        <v>566</v>
      </c>
      <c r="C230" s="19" t="s">
        <v>567</v>
      </c>
      <c r="D230" s="7" t="str">
        <f>VLOOKUP(C230,[1]data!$W:$Z,4,FALSE)</f>
        <v>Si</v>
      </c>
      <c r="E230" s="5">
        <f>VLOOKUP(C230,[2]REPUESTOS!$A:$D,4,FALSE)</f>
        <v>19817.728759057391</v>
      </c>
      <c r="F230" s="18">
        <f t="shared" si="3"/>
        <v>504303</v>
      </c>
      <c r="G230" s="11"/>
      <c r="N230" s="13"/>
    </row>
    <row r="231" spans="1:14" ht="15.6" x14ac:dyDescent="0.3">
      <c r="A231" s="7">
        <v>504304</v>
      </c>
      <c r="B231" s="4" t="s">
        <v>568</v>
      </c>
      <c r="C231" s="19" t="s">
        <v>569</v>
      </c>
      <c r="D231" s="7" t="str">
        <f>VLOOKUP(C231,[1]data!$W:$Z,4,FALSE)</f>
        <v>Si</v>
      </c>
      <c r="E231" s="5">
        <f>VLOOKUP(C231,[2]REPUESTOS!$A:$D,4,FALSE)</f>
        <v>898198.14971916529</v>
      </c>
      <c r="F231" s="18">
        <f t="shared" si="3"/>
        <v>504304</v>
      </c>
      <c r="G231" s="11"/>
      <c r="N231" s="13"/>
    </row>
    <row r="232" spans="1:14" ht="15.6" x14ac:dyDescent="0.3">
      <c r="A232" s="7">
        <v>504032</v>
      </c>
      <c r="B232" s="4" t="s">
        <v>384</v>
      </c>
      <c r="C232" s="19" t="s">
        <v>385</v>
      </c>
      <c r="D232" s="7" t="str">
        <f>VLOOKUP(C232,[1]data!$W:$Z,4,FALSE)</f>
        <v>Si</v>
      </c>
      <c r="E232" s="5">
        <f>VLOOKUP(C232,[2]REPUESTOS!$A:$D,4,FALSE)</f>
        <v>68054.627597539977</v>
      </c>
      <c r="F232" s="18">
        <f t="shared" si="3"/>
        <v>504032</v>
      </c>
      <c r="G232" s="11"/>
      <c r="N232" s="13"/>
    </row>
    <row r="233" spans="1:14" ht="15.6" x14ac:dyDescent="0.3">
      <c r="A233" s="7">
        <v>504033</v>
      </c>
      <c r="B233" s="4" t="s">
        <v>386</v>
      </c>
      <c r="C233" s="19" t="s">
        <v>387</v>
      </c>
      <c r="D233" s="7" t="str">
        <f>VLOOKUP(C233,[1]data!$W:$Z,4,FALSE)</f>
        <v>Si</v>
      </c>
      <c r="E233" s="5">
        <f>VLOOKUP(C233,[2]REPUESTOS!$A:$D,4,FALSE)</f>
        <v>106087.34295952004</v>
      </c>
      <c r="F233" s="18">
        <f t="shared" si="3"/>
        <v>504033</v>
      </c>
      <c r="G233" s="11"/>
      <c r="N233" s="13"/>
    </row>
    <row r="234" spans="1:14" ht="15.6" x14ac:dyDescent="0.3">
      <c r="A234" s="7">
        <v>504031</v>
      </c>
      <c r="B234" s="4" t="s">
        <v>382</v>
      </c>
      <c r="C234" s="19" t="s">
        <v>383</v>
      </c>
      <c r="D234" s="7" t="str">
        <f>VLOOKUP(C234,[1]data!$W:$Z,4,FALSE)</f>
        <v>Si</v>
      </c>
      <c r="E234" s="5">
        <f>VLOOKUP(C234,[2]REPUESTOS!$A:$D,4,FALSE)</f>
        <v>71454.225936232979</v>
      </c>
      <c r="F234" s="18">
        <f t="shared" si="3"/>
        <v>504031</v>
      </c>
      <c r="G234" s="11"/>
      <c r="N234" s="13"/>
    </row>
    <row r="235" spans="1:14" ht="15.6" x14ac:dyDescent="0.3">
      <c r="A235" s="7">
        <v>503142</v>
      </c>
      <c r="B235" s="4" t="s">
        <v>272</v>
      </c>
      <c r="C235" s="19" t="s">
        <v>273</v>
      </c>
      <c r="D235" s="7" t="str">
        <f>VLOOKUP(C235,[1]data!$W:$Z,4,FALSE)</f>
        <v>Si</v>
      </c>
      <c r="E235" s="5">
        <f>VLOOKUP(C235,[2]REPUESTOS!$A:$D,4,FALSE)</f>
        <v>295095.10887650267</v>
      </c>
      <c r="F235" s="18">
        <f t="shared" si="3"/>
        <v>503142</v>
      </c>
      <c r="G235" s="11"/>
      <c r="N235" s="13"/>
    </row>
    <row r="236" spans="1:14" ht="15.6" x14ac:dyDescent="0.3">
      <c r="A236" s="7">
        <v>504306</v>
      </c>
      <c r="B236" s="4" t="s">
        <v>570</v>
      </c>
      <c r="C236" s="19" t="s">
        <v>571</v>
      </c>
      <c r="D236" s="7" t="str">
        <f>VLOOKUP(C236,[1]data!$W:$Z,4,FALSE)</f>
        <v>Si</v>
      </c>
      <c r="E236" s="5">
        <f>VLOOKUP(C236,[2]REPUESTOS!$A:$D,4,FALSE)</f>
        <v>4906.285436417329</v>
      </c>
      <c r="F236" s="18">
        <f t="shared" si="3"/>
        <v>504306</v>
      </c>
      <c r="G236" s="11"/>
      <c r="N236" s="13"/>
    </row>
    <row r="237" spans="1:14" ht="15.6" x14ac:dyDescent="0.3">
      <c r="A237" s="7">
        <v>504307</v>
      </c>
      <c r="B237" s="4" t="s">
        <v>572</v>
      </c>
      <c r="C237" s="19" t="s">
        <v>573</v>
      </c>
      <c r="D237" s="7" t="str">
        <f>VLOOKUP(C237,[1]data!$W:$Z,4,FALSE)</f>
        <v>Si</v>
      </c>
      <c r="E237" s="5">
        <f>VLOOKUP(C237,[2]REPUESTOS!$A:$D,4,FALSE)</f>
        <v>1632</v>
      </c>
      <c r="F237" s="18">
        <f t="shared" si="3"/>
        <v>504307</v>
      </c>
      <c r="G237" s="11"/>
      <c r="N237" s="13"/>
    </row>
    <row r="238" spans="1:14" ht="15.6" x14ac:dyDescent="0.3">
      <c r="A238" s="7">
        <v>504308</v>
      </c>
      <c r="B238" s="4" t="s">
        <v>574</v>
      </c>
      <c r="C238" s="19" t="s">
        <v>575</v>
      </c>
      <c r="D238" s="7" t="str">
        <f>VLOOKUP(C238,[1]data!$W:$Z,4,FALSE)</f>
        <v>Si</v>
      </c>
      <c r="E238" s="5">
        <f>VLOOKUP(C238,[2]REPUESTOS!$A:$D,4,FALSE)</f>
        <v>69912.570750459374</v>
      </c>
      <c r="F238" s="18">
        <f t="shared" si="3"/>
        <v>504308</v>
      </c>
      <c r="G238" s="11"/>
      <c r="N238" s="13"/>
    </row>
    <row r="239" spans="1:14" ht="15.6" x14ac:dyDescent="0.3">
      <c r="A239" s="7">
        <v>504309</v>
      </c>
      <c r="B239" s="4" t="s">
        <v>576</v>
      </c>
      <c r="C239" s="19" t="s">
        <v>577</v>
      </c>
      <c r="D239" s="7" t="str">
        <f>VLOOKUP(C239,[1]data!$W:$Z,4,FALSE)</f>
        <v>Si</v>
      </c>
      <c r="E239" s="5">
        <f>VLOOKUP(C239,[2]REPUESTOS!$A:$D,4,FALSE)</f>
        <v>332399.75576151669</v>
      </c>
      <c r="F239" s="18">
        <f t="shared" si="3"/>
        <v>504309</v>
      </c>
      <c r="G239" s="11"/>
      <c r="N239" s="13"/>
    </row>
    <row r="240" spans="1:14" ht="15.6" x14ac:dyDescent="0.3">
      <c r="A240" s="7">
        <v>504310</v>
      </c>
      <c r="B240" s="4" t="s">
        <v>578</v>
      </c>
      <c r="C240" s="19" t="s">
        <v>579</v>
      </c>
      <c r="D240" s="7" t="str">
        <f>VLOOKUP(C240,[1]data!$W:$Z,4,FALSE)</f>
        <v>Si</v>
      </c>
      <c r="E240" s="5">
        <f>VLOOKUP(C240,[2]REPUESTOS!$A:$D,4,FALSE)</f>
        <v>148821.44547209438</v>
      </c>
      <c r="F240" s="18">
        <f t="shared" si="3"/>
        <v>504310</v>
      </c>
      <c r="G240" s="11"/>
      <c r="N240" s="13"/>
    </row>
    <row r="241" spans="1:14" ht="15.6" x14ac:dyDescent="0.3">
      <c r="A241" s="7">
        <v>504311</v>
      </c>
      <c r="B241" s="4" t="s">
        <v>580</v>
      </c>
      <c r="C241" s="19" t="s">
        <v>581</v>
      </c>
      <c r="D241" s="7" t="str">
        <f>VLOOKUP(C241,[1]data!$W:$Z,4,FALSE)</f>
        <v>Si</v>
      </c>
      <c r="E241" s="5">
        <f>VLOOKUP(C241,[2]REPUESTOS!$A:$D,4,FALSE)</f>
        <v>241228.25730736388</v>
      </c>
      <c r="F241" s="18">
        <f t="shared" si="3"/>
        <v>504311</v>
      </c>
      <c r="G241" s="11"/>
      <c r="N241" s="13"/>
    </row>
    <row r="242" spans="1:14" ht="15.6" x14ac:dyDescent="0.3">
      <c r="A242" s="7">
        <v>504312</v>
      </c>
      <c r="B242" s="4" t="s">
        <v>582</v>
      </c>
      <c r="C242" s="19" t="s">
        <v>583</v>
      </c>
      <c r="D242" s="7" t="str">
        <f>VLOOKUP(C242,[1]data!$W:$Z,4,FALSE)</f>
        <v>Si</v>
      </c>
      <c r="E242" s="5">
        <f>VLOOKUP(C242,[2]REPUESTOS!$A:$D,4,FALSE)</f>
        <v>403323.85123709339</v>
      </c>
      <c r="F242" s="18">
        <f t="shared" si="3"/>
        <v>504312</v>
      </c>
      <c r="G242" s="11"/>
      <c r="N242" s="13"/>
    </row>
    <row r="243" spans="1:14" ht="15.6" x14ac:dyDescent="0.3">
      <c r="A243" s="7">
        <v>504313</v>
      </c>
      <c r="B243" s="4" t="s">
        <v>584</v>
      </c>
      <c r="C243" s="19" t="s">
        <v>585</v>
      </c>
      <c r="D243" s="7" t="str">
        <f>VLOOKUP(C243,[1]data!$W:$Z,4,FALSE)</f>
        <v>Si</v>
      </c>
      <c r="E243" s="5">
        <f>VLOOKUP(C243,[2]REPUESTOS!$A:$D,4,FALSE)</f>
        <v>36400.965476736885</v>
      </c>
      <c r="F243" s="18">
        <f t="shared" si="3"/>
        <v>504313</v>
      </c>
      <c r="G243" s="11"/>
      <c r="N243" s="13"/>
    </row>
    <row r="244" spans="1:14" ht="15.6" x14ac:dyDescent="0.3">
      <c r="A244" s="7">
        <v>504314</v>
      </c>
      <c r="B244" s="4" t="s">
        <v>586</v>
      </c>
      <c r="C244" s="19" t="s">
        <v>587</v>
      </c>
      <c r="D244" s="7" t="str">
        <f>VLOOKUP(C244,[1]data!$W:$Z,4,FALSE)</f>
        <v>Si</v>
      </c>
      <c r="E244" s="5">
        <f>VLOOKUP(C244,[2]REPUESTOS!$A:$D,4,FALSE)</f>
        <v>3044</v>
      </c>
      <c r="F244" s="18">
        <f t="shared" si="3"/>
        <v>504314</v>
      </c>
      <c r="G244" s="11"/>
      <c r="N244" s="13"/>
    </row>
    <row r="245" spans="1:14" ht="15.6" x14ac:dyDescent="0.3">
      <c r="A245" s="7">
        <v>504315</v>
      </c>
      <c r="B245" s="4" t="s">
        <v>588</v>
      </c>
      <c r="C245" s="19" t="s">
        <v>589</v>
      </c>
      <c r="D245" s="7" t="str">
        <f>VLOOKUP(C245,[1]data!$W:$Z,4,FALSE)</f>
        <v>Si</v>
      </c>
      <c r="E245" s="5">
        <f>VLOOKUP(C245,[2]REPUESTOS!$A:$D,4,FALSE)</f>
        <v>97704</v>
      </c>
      <c r="F245" s="18">
        <f t="shared" si="3"/>
        <v>504315</v>
      </c>
      <c r="G245" s="11"/>
      <c r="N245" s="13"/>
    </row>
    <row r="246" spans="1:14" ht="15.6" x14ac:dyDescent="0.3">
      <c r="A246" s="7">
        <v>504316</v>
      </c>
      <c r="B246" s="4" t="s">
        <v>590</v>
      </c>
      <c r="C246" s="19" t="s">
        <v>591</v>
      </c>
      <c r="D246" s="7" t="str">
        <f>VLOOKUP(C246,[1]data!$W:$Z,4,FALSE)</f>
        <v>Si</v>
      </c>
      <c r="E246" s="5">
        <f>VLOOKUP(C246,[2]REPUESTOS!$A:$D,4,FALSE)</f>
        <v>16560</v>
      </c>
      <c r="F246" s="18">
        <f t="shared" si="3"/>
        <v>504316</v>
      </c>
      <c r="G246" s="11"/>
      <c r="N246" s="13"/>
    </row>
    <row r="247" spans="1:14" ht="15.6" x14ac:dyDescent="0.3">
      <c r="A247" s="7">
        <v>504317</v>
      </c>
      <c r="B247" s="4" t="s">
        <v>592</v>
      </c>
      <c r="C247" s="19" t="s">
        <v>593</v>
      </c>
      <c r="D247" s="7" t="str">
        <f>VLOOKUP(C247,[1]data!$W:$Z,4,FALSE)</f>
        <v>Si</v>
      </c>
      <c r="E247" s="5">
        <f>VLOOKUP(C247,[2]REPUESTOS!$A:$D,4,FALSE)</f>
        <v>315450.61677888141</v>
      </c>
      <c r="F247" s="18">
        <f t="shared" si="3"/>
        <v>504317</v>
      </c>
      <c r="G247" s="11"/>
      <c r="N247" s="13"/>
    </row>
    <row r="248" spans="1:14" ht="15.6" x14ac:dyDescent="0.3">
      <c r="A248" s="7">
        <v>504318</v>
      </c>
      <c r="B248" s="4" t="s">
        <v>594</v>
      </c>
      <c r="C248" s="19" t="s">
        <v>595</v>
      </c>
      <c r="D248" s="7" t="str">
        <f>VLOOKUP(C248,[1]data!$W:$Z,4,FALSE)</f>
        <v>Si</v>
      </c>
      <c r="E248" s="5">
        <f>VLOOKUP(C248,[2]REPUESTOS!$A:$D,4,FALSE)</f>
        <v>336097.51966188301</v>
      </c>
      <c r="F248" s="18">
        <f t="shared" si="3"/>
        <v>504318</v>
      </c>
      <c r="G248" s="11"/>
      <c r="N248" s="13"/>
    </row>
    <row r="249" spans="1:14" ht="15.6" x14ac:dyDescent="0.3">
      <c r="A249" s="7">
        <v>504146</v>
      </c>
      <c r="B249" s="4" t="s">
        <v>452</v>
      </c>
      <c r="C249" s="19" t="s">
        <v>453</v>
      </c>
      <c r="D249" s="7" t="str">
        <f>VLOOKUP(C249,[1]data!$W:$Z,4,FALSE)</f>
        <v>Si</v>
      </c>
      <c r="E249" s="5">
        <f>VLOOKUP(C249,[2]REPUESTOS!$A:$D,4,FALSE)</f>
        <v>44661.253423736722</v>
      </c>
      <c r="F249" s="18">
        <f t="shared" si="3"/>
        <v>504146</v>
      </c>
      <c r="G249" s="11"/>
      <c r="N249" s="13"/>
    </row>
    <row r="250" spans="1:14" ht="15.6" x14ac:dyDescent="0.3">
      <c r="A250" s="7">
        <v>504144</v>
      </c>
      <c r="B250" s="4" t="s">
        <v>448</v>
      </c>
      <c r="C250" s="19" t="s">
        <v>449</v>
      </c>
      <c r="D250" s="7" t="str">
        <f>VLOOKUP(C250,[1]data!$W:$Z,4,FALSE)</f>
        <v>Si</v>
      </c>
      <c r="E250" s="5">
        <f>VLOOKUP(C250,[2]REPUESTOS!$A:$D,4,FALSE)</f>
        <v>317044.88865457429</v>
      </c>
      <c r="F250" s="18">
        <f t="shared" si="3"/>
        <v>504144</v>
      </c>
      <c r="G250" s="11"/>
      <c r="N250" s="13"/>
    </row>
    <row r="251" spans="1:14" ht="15.6" x14ac:dyDescent="0.3">
      <c r="A251" s="7">
        <v>504103</v>
      </c>
      <c r="B251" s="4" t="s">
        <v>396</v>
      </c>
      <c r="C251" s="19" t="s">
        <v>397</v>
      </c>
      <c r="D251" s="7" t="str">
        <f>VLOOKUP(C251,[1]data!$W:$Z,4,FALSE)</f>
        <v>Si</v>
      </c>
      <c r="E251" s="5">
        <f>VLOOKUP(C251,[2]REPUESTOS!$A:$D,4,FALSE)</f>
        <v>98789.26430437222</v>
      </c>
      <c r="F251" s="18">
        <f t="shared" si="3"/>
        <v>504103</v>
      </c>
      <c r="G251" s="11"/>
      <c r="N251" s="13"/>
    </row>
    <row r="252" spans="1:14" ht="15.6" x14ac:dyDescent="0.3">
      <c r="A252" s="7">
        <v>504153</v>
      </c>
      <c r="B252" s="4" t="s">
        <v>464</v>
      </c>
      <c r="C252" s="19" t="s">
        <v>465</v>
      </c>
      <c r="D252" s="7" t="str">
        <f>VLOOKUP(C252,[1]data!$W:$Z,4,FALSE)</f>
        <v>Si</v>
      </c>
      <c r="E252" s="5">
        <f>VLOOKUP(C252,[2]REPUESTOS!$A:$D,4,FALSE)</f>
        <v>73517.060036422932</v>
      </c>
      <c r="F252" s="18">
        <f t="shared" si="3"/>
        <v>504153</v>
      </c>
      <c r="G252" s="11"/>
      <c r="N252" s="13"/>
    </row>
    <row r="253" spans="1:14" ht="15.6" x14ac:dyDescent="0.3">
      <c r="A253" s="7">
        <v>504145</v>
      </c>
      <c r="B253" s="4" t="s">
        <v>450</v>
      </c>
      <c r="C253" s="19" t="s">
        <v>451</v>
      </c>
      <c r="D253" s="7" t="str">
        <f>VLOOKUP(C253,[1]data!$W:$Z,4,FALSE)</f>
        <v>Si</v>
      </c>
      <c r="E253" s="5">
        <f>VLOOKUP(C253,[2]REPUESTOS!$A:$D,4,FALSE)</f>
        <v>73517.060036422932</v>
      </c>
      <c r="F253" s="18">
        <f t="shared" si="3"/>
        <v>504145</v>
      </c>
      <c r="G253" s="11"/>
      <c r="N253" s="13"/>
    </row>
    <row r="254" spans="1:14" ht="15.6" x14ac:dyDescent="0.3">
      <c r="A254" s="7">
        <v>504106</v>
      </c>
      <c r="B254" s="4" t="s">
        <v>398</v>
      </c>
      <c r="C254" s="19" t="s">
        <v>399</v>
      </c>
      <c r="D254" s="7" t="str">
        <f>VLOOKUP(C254,[1]data!$W:$Z,4,FALSE)</f>
        <v>Si</v>
      </c>
      <c r="E254" s="5">
        <f>VLOOKUP(C254,[2]REPUESTOS!$A:$D,4,FALSE)</f>
        <v>99554.124199765705</v>
      </c>
      <c r="F254" s="18">
        <f t="shared" si="3"/>
        <v>504106</v>
      </c>
      <c r="G254" s="11"/>
      <c r="N254" s="13"/>
    </row>
    <row r="255" spans="1:14" ht="15.6" x14ac:dyDescent="0.3">
      <c r="A255" s="7">
        <v>504319</v>
      </c>
      <c r="B255" s="4" t="s">
        <v>596</v>
      </c>
      <c r="C255" s="19" t="s">
        <v>597</v>
      </c>
      <c r="D255" s="7" t="str">
        <f>VLOOKUP(C255,[1]data!$W:$Z,4,FALSE)</f>
        <v>Si</v>
      </c>
      <c r="E255" s="5">
        <f>VLOOKUP(C255,[2]REPUESTOS!$A:$D,4,FALSE)</f>
        <v>252715.08036575053</v>
      </c>
      <c r="F255" s="18">
        <f t="shared" si="3"/>
        <v>504319</v>
      </c>
      <c r="G255" s="11"/>
      <c r="N255" s="13"/>
    </row>
    <row r="256" spans="1:14" ht="15.6" x14ac:dyDescent="0.3">
      <c r="A256" s="7">
        <v>504108</v>
      </c>
      <c r="B256" s="4" t="s">
        <v>400</v>
      </c>
      <c r="C256" s="19" t="s">
        <v>401</v>
      </c>
      <c r="D256" s="7" t="str">
        <f>VLOOKUP(C256,[1]data!$W:$Z,4,FALSE)</f>
        <v>Si</v>
      </c>
      <c r="E256" s="5">
        <f>VLOOKUP(C256,[2]REPUESTOS!$A:$D,4,FALSE)</f>
        <v>252715.08036575053</v>
      </c>
      <c r="F256" s="18">
        <f t="shared" si="3"/>
        <v>504108</v>
      </c>
      <c r="G256" s="11"/>
      <c r="N256" s="13"/>
    </row>
    <row r="257" spans="1:14" ht="15.6" x14ac:dyDescent="0.3">
      <c r="A257" s="7">
        <v>504109</v>
      </c>
      <c r="B257" s="4" t="s">
        <v>402</v>
      </c>
      <c r="C257" s="19" t="s">
        <v>403</v>
      </c>
      <c r="D257" s="7" t="str">
        <f>VLOOKUP(C257,[1]data!$W:$Z,4,FALSE)</f>
        <v>Si</v>
      </c>
      <c r="E257" s="5">
        <f>VLOOKUP(C257,[2]REPUESTOS!$A:$D,4,FALSE)</f>
        <v>287176.54415715928</v>
      </c>
      <c r="F257" s="18">
        <f t="shared" si="3"/>
        <v>504109</v>
      </c>
      <c r="G257" s="11"/>
      <c r="N257" s="13"/>
    </row>
    <row r="258" spans="1:14" ht="15.6" x14ac:dyDescent="0.3">
      <c r="A258" s="7">
        <v>504110</v>
      </c>
      <c r="B258" s="4" t="s">
        <v>404</v>
      </c>
      <c r="C258" s="19" t="s">
        <v>405</v>
      </c>
      <c r="D258" s="7" t="str">
        <f>VLOOKUP(C258,[1]data!$W:$Z,4,FALSE)</f>
        <v>Si</v>
      </c>
      <c r="E258" s="5">
        <f>VLOOKUP(C258,[2]REPUESTOS!$A:$D,4,FALSE)</f>
        <v>28722.528035335476</v>
      </c>
      <c r="F258" s="18">
        <f t="shared" si="3"/>
        <v>504110</v>
      </c>
      <c r="G258" s="11"/>
      <c r="N258" s="14"/>
    </row>
    <row r="259" spans="1:14" ht="15.6" x14ac:dyDescent="0.3">
      <c r="A259" s="7">
        <v>504112</v>
      </c>
      <c r="B259" s="4" t="s">
        <v>406</v>
      </c>
      <c r="C259" s="19" t="s">
        <v>407</v>
      </c>
      <c r="D259" s="7" t="str">
        <f>VLOOKUP(C259,[1]data!$W:$Z,4,FALSE)</f>
        <v>Si</v>
      </c>
      <c r="E259" s="5">
        <f>VLOOKUP(C259,[2]REPUESTOS!$A:$D,4,FALSE)</f>
        <v>54832.882209525123</v>
      </c>
      <c r="F259" s="18">
        <f t="shared" ref="F259:F320" si="4">+A259</f>
        <v>504112</v>
      </c>
      <c r="G259" s="11"/>
      <c r="N259" s="14"/>
    </row>
    <row r="260" spans="1:14" ht="15.6" x14ac:dyDescent="0.3">
      <c r="A260" s="7">
        <v>504150</v>
      </c>
      <c r="B260" s="4" t="s">
        <v>460</v>
      </c>
      <c r="C260" s="19" t="s">
        <v>461</v>
      </c>
      <c r="D260" s="7" t="str">
        <f>VLOOKUP(C260,[1]data!$W:$Z,4,FALSE)</f>
        <v>Si</v>
      </c>
      <c r="E260" s="5">
        <f>VLOOKUP(C260,[2]REPUESTOS!$A:$D,4,FALSE)</f>
        <v>195682.06363132803</v>
      </c>
      <c r="F260" s="18">
        <f t="shared" si="4"/>
        <v>504150</v>
      </c>
      <c r="G260" s="11"/>
      <c r="N260" s="14"/>
    </row>
    <row r="261" spans="1:14" ht="15.6" x14ac:dyDescent="0.3">
      <c r="A261" s="7">
        <v>504149</v>
      </c>
      <c r="B261" s="4" t="s">
        <v>458</v>
      </c>
      <c r="C261" s="19" t="s">
        <v>459</v>
      </c>
      <c r="D261" s="7" t="str">
        <f>VLOOKUP(C261,[1]data!$W:$Z,4,FALSE)</f>
        <v>Si</v>
      </c>
      <c r="E261" s="5">
        <f>VLOOKUP(C261,[2]REPUESTOS!$A:$D,4,FALSE)</f>
        <v>74710.385298488414</v>
      </c>
      <c r="F261" s="18">
        <f t="shared" si="4"/>
        <v>504149</v>
      </c>
      <c r="G261" s="11"/>
      <c r="N261" s="14"/>
    </row>
    <row r="262" spans="1:14" ht="15.6" x14ac:dyDescent="0.3">
      <c r="A262" s="7">
        <v>504152</v>
      </c>
      <c r="B262" s="4" t="s">
        <v>462</v>
      </c>
      <c r="C262" s="19" t="s">
        <v>463</v>
      </c>
      <c r="D262" s="7" t="str">
        <f>VLOOKUP(C262,[1]data!$W:$Z,4,FALSE)</f>
        <v>Si</v>
      </c>
      <c r="E262" s="5">
        <f>VLOOKUP(C262,[2]REPUESTOS!$A:$D,4,FALSE)</f>
        <v>57435.109908182087</v>
      </c>
      <c r="F262" s="18">
        <f t="shared" si="4"/>
        <v>504152</v>
      </c>
      <c r="G262" s="11"/>
      <c r="N262" s="14"/>
    </row>
    <row r="263" spans="1:14" ht="15.6" x14ac:dyDescent="0.3">
      <c r="A263" s="7">
        <v>504116</v>
      </c>
      <c r="B263" s="4" t="s">
        <v>408</v>
      </c>
      <c r="C263" s="19" t="s">
        <v>409</v>
      </c>
      <c r="D263" s="7" t="str">
        <f>VLOOKUP(C263,[1]data!$W:$Z,4,FALSE)</f>
        <v>Si</v>
      </c>
      <c r="E263" s="5">
        <f>VLOOKUP(C263,[2]REPUESTOS!$A:$D,4,FALSE)</f>
        <v>536063.34658094693</v>
      </c>
      <c r="F263" s="18">
        <f t="shared" si="4"/>
        <v>504116</v>
      </c>
      <c r="G263" s="11"/>
      <c r="N263" s="14"/>
    </row>
    <row r="264" spans="1:14" ht="15.6" x14ac:dyDescent="0.3">
      <c r="A264" s="7">
        <v>504117</v>
      </c>
      <c r="B264" s="4" t="s">
        <v>410</v>
      </c>
      <c r="C264" s="19" t="s">
        <v>411</v>
      </c>
      <c r="D264" s="7" t="str">
        <f>VLOOKUP(C264,[1]data!$W:$Z,4,FALSE)</f>
        <v>Si</v>
      </c>
      <c r="E264" s="5">
        <f>VLOOKUP(C264,[2]REPUESTOS!$A:$D,4,FALSE)</f>
        <v>273678.73450015415</v>
      </c>
      <c r="F264" s="18">
        <f t="shared" si="4"/>
        <v>504117</v>
      </c>
      <c r="G264" s="11"/>
      <c r="N264" s="14"/>
    </row>
    <row r="265" spans="1:14" ht="15.6" x14ac:dyDescent="0.3">
      <c r="A265" s="7">
        <v>504143</v>
      </c>
      <c r="B265" s="4" t="s">
        <v>446</v>
      </c>
      <c r="C265" s="19" t="s">
        <v>447</v>
      </c>
      <c r="D265" s="7" t="str">
        <f>VLOOKUP(C265,[1]data!$W:$Z,4,FALSE)</f>
        <v>Si</v>
      </c>
      <c r="E265" s="5">
        <f>VLOOKUP(C265,[2]REPUESTOS!$A:$D,4,FALSE)</f>
        <v>12824.581913138571</v>
      </c>
      <c r="F265" s="18">
        <f t="shared" si="4"/>
        <v>504143</v>
      </c>
      <c r="G265" s="11"/>
      <c r="N265" s="14"/>
    </row>
    <row r="266" spans="1:14" ht="15.6" x14ac:dyDescent="0.3">
      <c r="A266" s="7">
        <v>504119</v>
      </c>
      <c r="B266" s="4" t="s">
        <v>412</v>
      </c>
      <c r="C266" s="19" t="s">
        <v>413</v>
      </c>
      <c r="D266" s="7" t="str">
        <f>VLOOKUP(C266,[1]data!$W:$Z,4,FALSE)</f>
        <v>Si</v>
      </c>
      <c r="E266" s="5">
        <f>VLOOKUP(C266,[2]REPUESTOS!$A:$D,4,FALSE)</f>
        <v>27568.773186627488</v>
      </c>
      <c r="F266" s="18">
        <f t="shared" si="4"/>
        <v>504119</v>
      </c>
      <c r="G266" s="11"/>
      <c r="N266" s="14"/>
    </row>
    <row r="267" spans="1:14" ht="15.6" x14ac:dyDescent="0.3">
      <c r="A267" s="7">
        <v>504120</v>
      </c>
      <c r="B267" s="4" t="s">
        <v>414</v>
      </c>
      <c r="C267" s="19" t="s">
        <v>415</v>
      </c>
      <c r="D267" s="7" t="str">
        <f>VLOOKUP(C267,[1]data!$W:$Z,4,FALSE)</f>
        <v>Si</v>
      </c>
      <c r="E267" s="5">
        <f>VLOOKUP(C267,[2]REPUESTOS!$A:$D,4,FALSE)</f>
        <v>6697.7458199996227</v>
      </c>
      <c r="F267" s="18">
        <f t="shared" si="4"/>
        <v>504120</v>
      </c>
      <c r="G267" s="11"/>
      <c r="N267" s="14"/>
    </row>
    <row r="268" spans="1:14" ht="15.6" x14ac:dyDescent="0.3">
      <c r="A268" s="7">
        <v>504121</v>
      </c>
      <c r="B268" s="4" t="s">
        <v>416</v>
      </c>
      <c r="C268" s="19" t="s">
        <v>417</v>
      </c>
      <c r="D268" s="7" t="str">
        <f>VLOOKUP(C268,[1]data!$W:$Z,4,FALSE)</f>
        <v>Si</v>
      </c>
      <c r="E268" s="5">
        <f>VLOOKUP(C268,[2]REPUESTOS!$A:$D,4,FALSE)</f>
        <v>143971.69664252529</v>
      </c>
      <c r="F268" s="18">
        <f t="shared" si="4"/>
        <v>504121</v>
      </c>
      <c r="G268" s="11"/>
      <c r="N268" s="14"/>
    </row>
    <row r="269" spans="1:14" ht="15.6" x14ac:dyDescent="0.3">
      <c r="A269" s="7">
        <v>504122</v>
      </c>
      <c r="B269" s="4" t="s">
        <v>418</v>
      </c>
      <c r="C269" s="19" t="s">
        <v>419</v>
      </c>
      <c r="D269" s="7" t="str">
        <f>VLOOKUP(C269,[1]data!$W:$Z,4,FALSE)</f>
        <v>Si</v>
      </c>
      <c r="E269" s="5">
        <f>VLOOKUP(C269,[2]REPUESTOS!$A:$D,4,FALSE)</f>
        <v>22013.841436598108</v>
      </c>
      <c r="F269" s="18">
        <f t="shared" si="4"/>
        <v>504122</v>
      </c>
      <c r="G269" s="11"/>
      <c r="N269" s="14"/>
    </row>
    <row r="270" spans="1:14" ht="15.6" x14ac:dyDescent="0.3">
      <c r="A270" s="7">
        <v>504123</v>
      </c>
      <c r="B270" s="4" t="s">
        <v>420</v>
      </c>
      <c r="C270" s="19" t="s">
        <v>421</v>
      </c>
      <c r="D270" s="7" t="str">
        <f>VLOOKUP(C270,[1]data!$W:$Z,4,FALSE)</f>
        <v>Si</v>
      </c>
      <c r="E270" s="5">
        <f>VLOOKUP(C270,[2]REPUESTOS!$A:$D,4,FALSE)</f>
        <v>9578.1544767740361</v>
      </c>
      <c r="F270" s="18">
        <f t="shared" si="4"/>
        <v>504123</v>
      </c>
      <c r="G270" s="11"/>
      <c r="N270" s="14"/>
    </row>
    <row r="271" spans="1:14" ht="15.6" x14ac:dyDescent="0.3">
      <c r="A271" s="7">
        <v>504124</v>
      </c>
      <c r="B271" s="4" t="s">
        <v>422</v>
      </c>
      <c r="C271" s="19" t="s">
        <v>423</v>
      </c>
      <c r="D271" s="7" t="str">
        <f>VLOOKUP(C271,[1]data!$W:$Z,4,FALSE)</f>
        <v>Si</v>
      </c>
      <c r="E271" s="5">
        <f>VLOOKUP(C271,[2]REPUESTOS!$A:$D,4,FALSE)</f>
        <v>78112.187106277153</v>
      </c>
      <c r="F271" s="18">
        <f t="shared" si="4"/>
        <v>504124</v>
      </c>
      <c r="G271" s="11"/>
      <c r="N271" s="14"/>
    </row>
    <row r="272" spans="1:14" ht="15.6" x14ac:dyDescent="0.3">
      <c r="A272" s="7">
        <v>504125</v>
      </c>
      <c r="B272" s="4" t="s">
        <v>424</v>
      </c>
      <c r="C272" s="19" t="s">
        <v>425</v>
      </c>
      <c r="D272" s="7" t="str">
        <f>VLOOKUP(C272,[1]data!$W:$Z,4,FALSE)</f>
        <v>Si</v>
      </c>
      <c r="E272" s="5">
        <f>VLOOKUP(C272,[2]REPUESTOS!$A:$D,4,FALSE)</f>
        <v>97257.55528108748</v>
      </c>
      <c r="F272" s="18">
        <f t="shared" si="4"/>
        <v>504125</v>
      </c>
      <c r="G272" s="11"/>
      <c r="N272" s="14"/>
    </row>
    <row r="273" spans="1:14" ht="15.6" x14ac:dyDescent="0.3">
      <c r="A273" s="7">
        <v>504147</v>
      </c>
      <c r="B273" s="4" t="s">
        <v>170</v>
      </c>
      <c r="C273" s="19" t="s">
        <v>171</v>
      </c>
      <c r="D273" s="7" t="str">
        <f>VLOOKUP(C273,[1]data!$W:$Z,4,FALSE)</f>
        <v>Si</v>
      </c>
      <c r="E273" s="5">
        <f>VLOOKUP(C273,[2]REPUESTOS!$A:$D,4,FALSE)</f>
        <v>15316.095616598483</v>
      </c>
      <c r="F273" s="18">
        <f t="shared" si="4"/>
        <v>504147</v>
      </c>
      <c r="G273" s="11"/>
      <c r="N273" s="13"/>
    </row>
    <row r="274" spans="1:14" ht="15.6" x14ac:dyDescent="0.3">
      <c r="A274" s="7">
        <v>504148</v>
      </c>
      <c r="B274" s="4" t="s">
        <v>456</v>
      </c>
      <c r="C274" s="19" t="s">
        <v>457</v>
      </c>
      <c r="D274" s="7" t="str">
        <f>VLOOKUP(C274,[1]data!$W:$Z,4,FALSE)</f>
        <v>Si</v>
      </c>
      <c r="E274" s="5">
        <f>VLOOKUP(C274,[2]REPUESTOS!$A:$D,4,FALSE)</f>
        <v>120997.05590950312</v>
      </c>
      <c r="F274" s="18">
        <f t="shared" si="4"/>
        <v>504148</v>
      </c>
      <c r="G274" s="11"/>
      <c r="N274" s="13"/>
    </row>
    <row r="275" spans="1:14" ht="15.6" x14ac:dyDescent="0.3">
      <c r="A275" s="7">
        <v>504128</v>
      </c>
      <c r="B275" s="4" t="s">
        <v>426</v>
      </c>
      <c r="C275" s="19" t="s">
        <v>427</v>
      </c>
      <c r="D275" s="7" t="str">
        <f>VLOOKUP(C275,[1]data!$W:$Z,4,FALSE)</f>
        <v>Si</v>
      </c>
      <c r="E275" s="5">
        <f>VLOOKUP(C275,[2]REPUESTOS!$A:$D,4,FALSE)</f>
        <v>59732.67344310919</v>
      </c>
      <c r="F275" s="18">
        <f t="shared" si="4"/>
        <v>504128</v>
      </c>
      <c r="G275" s="11"/>
      <c r="N275" s="14"/>
    </row>
    <row r="276" spans="1:14" ht="15.6" x14ac:dyDescent="0.3">
      <c r="A276" s="7">
        <v>504130</v>
      </c>
      <c r="B276" s="4" t="s">
        <v>428</v>
      </c>
      <c r="C276" s="19" t="s">
        <v>429</v>
      </c>
      <c r="D276" s="7" t="str">
        <f>VLOOKUP(C276,[1]data!$W:$Z,4,FALSE)</f>
        <v>Si</v>
      </c>
      <c r="E276" s="5">
        <f>VLOOKUP(C276,[2]REPUESTOS!$A:$D,4,FALSE)</f>
        <v>3612678.9561568918</v>
      </c>
      <c r="F276" s="18">
        <f t="shared" si="4"/>
        <v>504130</v>
      </c>
      <c r="G276" s="11"/>
      <c r="N276" s="13"/>
    </row>
    <row r="277" spans="1:14" ht="15.6" x14ac:dyDescent="0.3">
      <c r="A277" s="7">
        <v>504131</v>
      </c>
      <c r="B277" s="4" t="s">
        <v>430</v>
      </c>
      <c r="C277" s="19" t="s">
        <v>431</v>
      </c>
      <c r="D277" s="7" t="str">
        <f>VLOOKUP(C277,[1]data!$W:$Z,4,FALSE)</f>
        <v>Si</v>
      </c>
      <c r="E277" s="5">
        <f>VLOOKUP(C277,[2]REPUESTOS!$A:$D,4,FALSE)</f>
        <v>125214.22880478058</v>
      </c>
      <c r="F277" s="18">
        <f t="shared" si="4"/>
        <v>504131</v>
      </c>
      <c r="G277" s="11"/>
      <c r="N277" s="13"/>
    </row>
    <row r="278" spans="1:14" ht="15.6" x14ac:dyDescent="0.3">
      <c r="A278" s="7">
        <v>504132</v>
      </c>
      <c r="B278" s="4" t="s">
        <v>432</v>
      </c>
      <c r="C278" s="19" t="s">
        <v>433</v>
      </c>
      <c r="D278" s="7" t="str">
        <f>VLOOKUP(C278,[1]data!$W:$Z,4,FALSE)</f>
        <v>Si</v>
      </c>
      <c r="E278" s="5">
        <f>VLOOKUP(C278,[2]REPUESTOS!$A:$D,4,FALSE)</f>
        <v>2048527.5400659847</v>
      </c>
      <c r="F278" s="18">
        <f t="shared" si="4"/>
        <v>504132</v>
      </c>
      <c r="G278" s="11"/>
      <c r="N278" s="13"/>
    </row>
    <row r="279" spans="1:14" ht="15.6" x14ac:dyDescent="0.3">
      <c r="A279" s="7">
        <v>504133</v>
      </c>
      <c r="B279" s="4" t="s">
        <v>434</v>
      </c>
      <c r="C279" s="19" t="s">
        <v>435</v>
      </c>
      <c r="D279" s="7" t="str">
        <f>VLOOKUP(C279,[1]data!$W:$Z,4,FALSE)</f>
        <v>Si</v>
      </c>
      <c r="E279" s="5">
        <f>VLOOKUP(C279,[2]REPUESTOS!$A:$D,4,FALSE)</f>
        <v>9383.2096919923424</v>
      </c>
      <c r="F279" s="18">
        <f t="shared" si="4"/>
        <v>504133</v>
      </c>
      <c r="G279" s="11"/>
      <c r="N279" s="13"/>
    </row>
    <row r="280" spans="1:14" ht="15.6" x14ac:dyDescent="0.3">
      <c r="A280" s="7">
        <v>504157</v>
      </c>
      <c r="B280" s="4" t="s">
        <v>468</v>
      </c>
      <c r="C280" s="19" t="s">
        <v>469</v>
      </c>
      <c r="D280" s="7" t="str">
        <f>VLOOKUP(C280,[1]data!$W:$Z,4,FALSE)</f>
        <v>Si</v>
      </c>
      <c r="E280" s="5">
        <f>VLOOKUP(C280,[2]REPUESTOS!$A:$D,4,FALSE)</f>
        <v>10720.968546744272</v>
      </c>
      <c r="F280" s="18">
        <f t="shared" si="4"/>
        <v>504157</v>
      </c>
      <c r="G280" s="11"/>
      <c r="N280" s="13"/>
    </row>
    <row r="281" spans="1:14" ht="15.6" x14ac:dyDescent="0.3">
      <c r="A281" s="7">
        <v>504135</v>
      </c>
      <c r="B281" s="4" t="s">
        <v>436</v>
      </c>
      <c r="C281" s="19" t="s">
        <v>437</v>
      </c>
      <c r="D281" s="7" t="str">
        <f>VLOOKUP(C281,[1]data!$W:$Z,4,FALSE)</f>
        <v>Si</v>
      </c>
      <c r="E281" s="5">
        <f>VLOOKUP(C281,[2]REPUESTOS!$A:$D,4,FALSE)</f>
        <v>94766.041577627562</v>
      </c>
      <c r="F281" s="18">
        <f t="shared" si="4"/>
        <v>504135</v>
      </c>
      <c r="G281" s="11"/>
      <c r="N281" s="13"/>
    </row>
    <row r="282" spans="1:14" ht="15.6" x14ac:dyDescent="0.3">
      <c r="A282" s="7">
        <v>504136</v>
      </c>
      <c r="B282" s="4" t="s">
        <v>438</v>
      </c>
      <c r="C282" s="19" t="s">
        <v>439</v>
      </c>
      <c r="D282" s="7" t="str">
        <f>VLOOKUP(C282,[1]data!$W:$Z,4,FALSE)</f>
        <v>Si</v>
      </c>
      <c r="E282" s="5">
        <f>VLOOKUP(C282,[2]REPUESTOS!$A:$D,4,FALSE)</f>
        <v>1270092.1274914551</v>
      </c>
      <c r="F282" s="18">
        <f t="shared" si="4"/>
        <v>504136</v>
      </c>
      <c r="G282" s="11"/>
      <c r="N282" s="13"/>
    </row>
    <row r="283" spans="1:14" ht="15.6" x14ac:dyDescent="0.3">
      <c r="A283" s="7">
        <v>504161</v>
      </c>
      <c r="B283" s="4" t="s">
        <v>470</v>
      </c>
      <c r="C283" s="19" t="s">
        <v>471</v>
      </c>
      <c r="D283" s="7" t="str">
        <f>VLOOKUP(C283,[1]data!$W:$Z,4,FALSE)</f>
        <v>Si</v>
      </c>
      <c r="E283" s="5">
        <f>VLOOKUP(C283,[2]REPUESTOS!$A:$D,4,FALSE)</f>
        <v>49777.559408007284</v>
      </c>
      <c r="F283" s="18">
        <f t="shared" si="4"/>
        <v>504161</v>
      </c>
      <c r="G283" s="11"/>
      <c r="N283" s="13"/>
    </row>
    <row r="284" spans="1:14" ht="15.6" x14ac:dyDescent="0.3">
      <c r="A284" s="7">
        <v>504162</v>
      </c>
      <c r="B284" s="4" t="s">
        <v>472</v>
      </c>
      <c r="C284" s="19" t="s">
        <v>473</v>
      </c>
      <c r="D284" s="7" t="str">
        <f>VLOOKUP(C284,[1]data!$W:$Z,4,FALSE)</f>
        <v>Si</v>
      </c>
      <c r="E284" s="5">
        <f>VLOOKUP(C284,[2]REPUESTOS!$A:$D,4,FALSE)</f>
        <v>47867.896210145802</v>
      </c>
      <c r="F284" s="18">
        <f t="shared" si="4"/>
        <v>504162</v>
      </c>
      <c r="G284" s="11"/>
      <c r="N284" s="13"/>
    </row>
    <row r="285" spans="1:14" ht="15.6" x14ac:dyDescent="0.3">
      <c r="A285" s="7">
        <v>504140</v>
      </c>
      <c r="B285" s="4" t="s">
        <v>442</v>
      </c>
      <c r="C285" s="19" t="s">
        <v>443</v>
      </c>
      <c r="D285" s="7" t="str">
        <f>VLOOKUP(C285,[1]data!$W:$Z,4,FALSE)</f>
        <v>Si</v>
      </c>
      <c r="E285" s="5">
        <f>VLOOKUP(C285,[2]REPUESTOS!$A:$D,4,FALSE)</f>
        <v>274505.13314634928</v>
      </c>
      <c r="F285" s="18">
        <f t="shared" si="4"/>
        <v>504140</v>
      </c>
      <c r="G285" s="11"/>
      <c r="N285" s="13"/>
    </row>
    <row r="286" spans="1:14" ht="15.6" x14ac:dyDescent="0.3">
      <c r="A286" s="7">
        <v>504163</v>
      </c>
      <c r="B286" s="4" t="s">
        <v>474</v>
      </c>
      <c r="C286" s="19" t="s">
        <v>475</v>
      </c>
      <c r="D286" s="7" t="str">
        <f>VLOOKUP(C286,[1]data!$W:$Z,4,FALSE)</f>
        <v>Si</v>
      </c>
      <c r="E286" s="5">
        <f>VLOOKUP(C286,[2]REPUESTOS!$A:$D,4,FALSE)</f>
        <v>10935.80565650369</v>
      </c>
      <c r="F286" s="18">
        <f t="shared" si="4"/>
        <v>504163</v>
      </c>
      <c r="G286" s="11"/>
      <c r="N286" s="13"/>
    </row>
    <row r="287" spans="1:14" ht="15.6" x14ac:dyDescent="0.3">
      <c r="A287" s="7">
        <v>504142</v>
      </c>
      <c r="B287" s="4" t="s">
        <v>444</v>
      </c>
      <c r="C287" s="19" t="s">
        <v>445</v>
      </c>
      <c r="D287" s="7" t="str">
        <f>VLOOKUP(C287,[1]data!$W:$Z,4,FALSE)</f>
        <v>Si</v>
      </c>
      <c r="E287" s="5">
        <f>VLOOKUP(C287,[2]REPUESTOS!$A:$D,4,FALSE)</f>
        <v>344611.65406534146</v>
      </c>
      <c r="F287" s="18">
        <f t="shared" si="4"/>
        <v>504142</v>
      </c>
      <c r="G287" s="11"/>
      <c r="N287" s="13"/>
    </row>
    <row r="288" spans="1:14" ht="15.6" x14ac:dyDescent="0.3">
      <c r="A288" s="7">
        <v>504320</v>
      </c>
      <c r="B288" s="4" t="s">
        <v>598</v>
      </c>
      <c r="C288" s="19" t="s">
        <v>599</v>
      </c>
      <c r="D288" s="7" t="str">
        <f>VLOOKUP(C288,[1]data!$W:$Z,4,FALSE)</f>
        <v>Si</v>
      </c>
      <c r="E288" s="5">
        <f>VLOOKUP(C288,[2]REPUESTOS!$A:$D,4,FALSE)</f>
        <v>143021.83812483898</v>
      </c>
      <c r="F288" s="18">
        <f t="shared" si="4"/>
        <v>504320</v>
      </c>
      <c r="G288" s="11"/>
      <c r="N288" s="13"/>
    </row>
    <row r="289" spans="1:14" ht="15.6" x14ac:dyDescent="0.3">
      <c r="A289" s="7">
        <v>504321</v>
      </c>
      <c r="B289" s="4" t="s">
        <v>600</v>
      </c>
      <c r="C289" s="19" t="s">
        <v>601</v>
      </c>
      <c r="D289" s="7" t="str">
        <f>VLOOKUP(C289,[1]data!$W:$Z,4,FALSE)</f>
        <v>Si</v>
      </c>
      <c r="E289" s="5">
        <f>VLOOKUP(C289,[2]REPUESTOS!$A:$D,4,FALSE)</f>
        <v>44467.303255203908</v>
      </c>
      <c r="F289" s="18">
        <f t="shared" si="4"/>
        <v>504321</v>
      </c>
      <c r="G289" s="11"/>
      <c r="N289" s="13"/>
    </row>
    <row r="290" spans="1:14" ht="15.6" x14ac:dyDescent="0.3">
      <c r="A290" s="7">
        <v>504322</v>
      </c>
      <c r="B290" s="4" t="s">
        <v>602</v>
      </c>
      <c r="C290" s="19" t="s">
        <v>603</v>
      </c>
      <c r="D290" s="7" t="str">
        <f>VLOOKUP(C290,[1]data!$W:$Z,4,FALSE)</f>
        <v>Si</v>
      </c>
      <c r="E290" s="5">
        <f>VLOOKUP(C290,[2]REPUESTOS!$A:$D,4,FALSE)</f>
        <v>2969</v>
      </c>
      <c r="F290" s="18">
        <f t="shared" si="4"/>
        <v>504322</v>
      </c>
      <c r="G290" s="11"/>
      <c r="N290" s="13"/>
    </row>
    <row r="291" spans="1:14" ht="15.6" x14ac:dyDescent="0.3">
      <c r="A291" s="7">
        <v>504138</v>
      </c>
      <c r="B291" s="4" t="s">
        <v>440</v>
      </c>
      <c r="C291" s="19" t="s">
        <v>441</v>
      </c>
      <c r="D291" s="7" t="str">
        <f>VLOOKUP(C291,[1]data!$W:$Z,4,FALSE)</f>
        <v>Si</v>
      </c>
      <c r="E291" s="5">
        <f>VLOOKUP(C291,[2]REPUESTOS!$A:$D,4,FALSE)</f>
        <v>26424.964500408369</v>
      </c>
      <c r="F291" s="18">
        <f t="shared" si="4"/>
        <v>504138</v>
      </c>
      <c r="G291" s="11"/>
      <c r="N291" s="13"/>
    </row>
    <row r="292" spans="1:14" ht="15.6" x14ac:dyDescent="0.3">
      <c r="A292" s="7" t="s">
        <v>712</v>
      </c>
      <c r="B292" s="4" t="s">
        <v>713</v>
      </c>
      <c r="C292" s="19" t="s">
        <v>714</v>
      </c>
      <c r="D292" s="7" t="str">
        <f>VLOOKUP(C292,[1]data!$W:$Z,4,FALSE)</f>
        <v>Si</v>
      </c>
      <c r="E292" s="5">
        <f>VLOOKUP(C292,[2]REPUESTOS!$A:$D,4,FALSE)</f>
        <v>57006.430304912137</v>
      </c>
      <c r="F292" s="18" t="str">
        <f t="shared" si="4"/>
        <v xml:space="preserve"> 504950</v>
      </c>
      <c r="G292" s="11"/>
      <c r="N292" s="13"/>
    </row>
    <row r="293" spans="1:14" ht="15.6" x14ac:dyDescent="0.3">
      <c r="A293" s="7">
        <v>504326</v>
      </c>
      <c r="B293" s="4" t="s">
        <v>608</v>
      </c>
      <c r="C293" s="19" t="s">
        <v>609</v>
      </c>
      <c r="D293" s="7" t="str">
        <f>VLOOKUP(C293,[1]data!$W:$Z,4,FALSE)</f>
        <v>Si</v>
      </c>
      <c r="E293" s="5">
        <f>VLOOKUP(C293,[2]REPUESTOS!$A:$D,4,FALSE)</f>
        <v>6189</v>
      </c>
      <c r="F293" s="18">
        <f t="shared" si="4"/>
        <v>504326</v>
      </c>
      <c r="G293" s="11"/>
      <c r="N293" s="13"/>
    </row>
    <row r="294" spans="1:14" ht="15.6" x14ac:dyDescent="0.3">
      <c r="A294" s="7">
        <v>504327</v>
      </c>
      <c r="B294" s="4" t="s">
        <v>610</v>
      </c>
      <c r="C294" s="19" t="s">
        <v>611</v>
      </c>
      <c r="D294" s="7" t="str">
        <f>VLOOKUP(C294,[1]data!$W:$Z,4,FALSE)</f>
        <v>Si</v>
      </c>
      <c r="E294" s="5">
        <f>VLOOKUP(C294,[2]REPUESTOS!$A:$D,4,FALSE)</f>
        <v>17174.83232094812</v>
      </c>
      <c r="F294" s="18">
        <f t="shared" si="4"/>
        <v>504327</v>
      </c>
      <c r="G294" s="11"/>
      <c r="N294" s="13"/>
    </row>
    <row r="295" spans="1:14" ht="15.6" x14ac:dyDescent="0.3">
      <c r="A295" s="7">
        <v>504328</v>
      </c>
      <c r="B295" s="4" t="s">
        <v>612</v>
      </c>
      <c r="C295" s="19" t="s">
        <v>613</v>
      </c>
      <c r="D295" s="7" t="str">
        <f>VLOOKUP(C295,[1]data!$W:$Z,4,FALSE)</f>
        <v>Si</v>
      </c>
      <c r="E295" s="5">
        <f>VLOOKUP(C295,[2]REPUESTOS!$A:$D,4,FALSE)</f>
        <v>548056.90437679808</v>
      </c>
      <c r="F295" s="18">
        <f t="shared" si="4"/>
        <v>504328</v>
      </c>
      <c r="G295" s="11"/>
      <c r="N295" s="13"/>
    </row>
    <row r="296" spans="1:14" ht="15.6" x14ac:dyDescent="0.3">
      <c r="A296" s="7" t="s">
        <v>715</v>
      </c>
      <c r="B296" s="4" t="s">
        <v>716</v>
      </c>
      <c r="C296" s="19" t="s">
        <v>717</v>
      </c>
      <c r="D296" s="7" t="str">
        <f>VLOOKUP(C296,[1]data!$W:$Z,4,FALSE)</f>
        <v>Si</v>
      </c>
      <c r="E296" s="5">
        <f>VLOOKUP(C296,[2]REPUESTOS!$A:$D,4,FALSE)</f>
        <v>24000</v>
      </c>
      <c r="F296" s="18" t="str">
        <f t="shared" si="4"/>
        <v xml:space="preserve"> 504951</v>
      </c>
      <c r="G296" s="11"/>
      <c r="N296" s="13"/>
    </row>
    <row r="297" spans="1:14" ht="15.6" x14ac:dyDescent="0.3">
      <c r="A297" s="7">
        <v>504329</v>
      </c>
      <c r="B297" s="4" t="s">
        <v>614</v>
      </c>
      <c r="C297" s="19" t="s">
        <v>615</v>
      </c>
      <c r="D297" s="7" t="str">
        <f>VLOOKUP(C297,[1]data!$W:$Z,4,FALSE)</f>
        <v>Si</v>
      </c>
      <c r="E297" s="5">
        <f>VLOOKUP(C297,[2]REPUESTOS!$A:$D,4,FALSE)</f>
        <v>39060</v>
      </c>
      <c r="F297" s="18">
        <f t="shared" si="4"/>
        <v>504329</v>
      </c>
      <c r="G297" s="11"/>
      <c r="N297" s="13"/>
    </row>
    <row r="298" spans="1:14" ht="15.6" x14ac:dyDescent="0.3">
      <c r="A298" s="7" t="s">
        <v>718</v>
      </c>
      <c r="B298" s="4" t="s">
        <v>719</v>
      </c>
      <c r="C298" s="19" t="s">
        <v>720</v>
      </c>
      <c r="D298" s="7" t="str">
        <f>VLOOKUP(C298,[1]data!$W:$Z,4,FALSE)</f>
        <v>Si</v>
      </c>
      <c r="E298" s="5">
        <f>VLOOKUP(C298,[2]REPUESTOS!$A:$D,4,FALSE)</f>
        <v>5830.440450970862</v>
      </c>
      <c r="F298" s="18" t="str">
        <f t="shared" si="4"/>
        <v xml:space="preserve"> 504952</v>
      </c>
      <c r="G298" s="11"/>
      <c r="N298" s="14"/>
    </row>
    <row r="299" spans="1:14" ht="15.6" x14ac:dyDescent="0.3">
      <c r="A299" s="7">
        <v>504330</v>
      </c>
      <c r="B299" s="4" t="s">
        <v>616</v>
      </c>
      <c r="C299" s="19" t="s">
        <v>617</v>
      </c>
      <c r="D299" s="7" t="str">
        <f>VLOOKUP(C299,[1]data!$W:$Z,4,FALSE)</f>
        <v>Si</v>
      </c>
      <c r="E299" s="5">
        <f>VLOOKUP(C299,[2]REPUESTOS!$A:$D,4,FALSE)</f>
        <v>273004</v>
      </c>
      <c r="F299" s="18">
        <f t="shared" si="4"/>
        <v>504330</v>
      </c>
      <c r="G299" s="11"/>
      <c r="N299" s="13"/>
    </row>
    <row r="300" spans="1:14" ht="15.6" x14ac:dyDescent="0.3">
      <c r="A300" s="7" t="s">
        <v>721</v>
      </c>
      <c r="B300" s="4" t="s">
        <v>722</v>
      </c>
      <c r="C300" s="19" t="s">
        <v>723</v>
      </c>
      <c r="D300" s="7" t="str">
        <f>VLOOKUP(C300,[1]data!$W:$Z,4,FALSE)</f>
        <v>Si</v>
      </c>
      <c r="E300" s="5">
        <f>VLOOKUP(C300,[2]REPUESTOS!$A:$D,4,FALSE)</f>
        <v>622620.8202565168</v>
      </c>
      <c r="F300" s="18" t="str">
        <f t="shared" si="4"/>
        <v xml:space="preserve"> 504953</v>
      </c>
      <c r="G300" s="11"/>
      <c r="N300" s="13"/>
    </row>
    <row r="301" spans="1:14" ht="15.6" x14ac:dyDescent="0.3">
      <c r="A301" s="7" t="s">
        <v>724</v>
      </c>
      <c r="B301" s="4" t="s">
        <v>725</v>
      </c>
      <c r="C301" s="19" t="s">
        <v>726</v>
      </c>
      <c r="D301" s="7" t="str">
        <f>VLOOKUP(C301,[1]data!$W:$Z,4,FALSE)</f>
        <v>Si</v>
      </c>
      <c r="E301" s="5">
        <f>VLOOKUP(C301,[2]REPUESTOS!$A:$D,4,FALSE)</f>
        <v>392453.31495168339</v>
      </c>
      <c r="F301" s="18" t="str">
        <f t="shared" si="4"/>
        <v xml:space="preserve"> 504954</v>
      </c>
      <c r="G301" s="11"/>
      <c r="N301" s="13"/>
    </row>
    <row r="302" spans="1:14" ht="15.6" x14ac:dyDescent="0.3">
      <c r="A302" s="7">
        <v>504331</v>
      </c>
      <c r="B302" s="4" t="s">
        <v>618</v>
      </c>
      <c r="C302" s="19" t="s">
        <v>619</v>
      </c>
      <c r="D302" s="7" t="str">
        <f>VLOOKUP(C302,[1]data!$W:$Z,4,FALSE)</f>
        <v>Si</v>
      </c>
      <c r="E302" s="5">
        <f>VLOOKUP(C302,[2]REPUESTOS!$A:$D,4,FALSE)</f>
        <v>17503</v>
      </c>
      <c r="F302" s="18">
        <f t="shared" si="4"/>
        <v>504331</v>
      </c>
      <c r="G302" s="11"/>
      <c r="N302" s="13"/>
    </row>
    <row r="303" spans="1:14" ht="15.6" x14ac:dyDescent="0.3">
      <c r="A303" s="7">
        <v>504332</v>
      </c>
      <c r="B303" s="4" t="s">
        <v>620</v>
      </c>
      <c r="C303" s="19" t="s">
        <v>621</v>
      </c>
      <c r="D303" s="7" t="str">
        <f>VLOOKUP(C303,[1]data!$W:$Z,4,FALSE)</f>
        <v>Si</v>
      </c>
      <c r="E303" s="5">
        <f>VLOOKUP(C303,[2]REPUESTOS!$A:$D,4,FALSE)</f>
        <v>505247.15134170599</v>
      </c>
      <c r="F303" s="18">
        <f t="shared" si="4"/>
        <v>504332</v>
      </c>
      <c r="G303" s="11"/>
      <c r="N303" s="13"/>
    </row>
    <row r="304" spans="1:14" ht="15.6" x14ac:dyDescent="0.3">
      <c r="A304" s="7">
        <v>504333</v>
      </c>
      <c r="B304" s="4" t="s">
        <v>622</v>
      </c>
      <c r="C304" s="19" t="s">
        <v>623</v>
      </c>
      <c r="D304" s="7" t="str">
        <f>VLOOKUP(C304,[1]data!$W:$Z,4,FALSE)</f>
        <v>Si</v>
      </c>
      <c r="E304" s="5">
        <f>VLOOKUP(C304,[2]REPUESTOS!$A:$D,4,FALSE)</f>
        <v>16900</v>
      </c>
      <c r="F304" s="18">
        <f t="shared" si="4"/>
        <v>504333</v>
      </c>
      <c r="G304" s="11"/>
      <c r="N304" s="13"/>
    </row>
    <row r="305" spans="1:14" ht="15.6" x14ac:dyDescent="0.3">
      <c r="A305" s="7">
        <v>504334</v>
      </c>
      <c r="B305" s="4" t="s">
        <v>624</v>
      </c>
      <c r="C305" s="19" t="s">
        <v>625</v>
      </c>
      <c r="D305" s="7" t="str">
        <f>VLOOKUP(C305,[1]data!$W:$Z,4,FALSE)</f>
        <v>Si</v>
      </c>
      <c r="E305" s="5">
        <f>VLOOKUP(C305,[2]REPUESTOS!$A:$D,4,FALSE)</f>
        <v>15061</v>
      </c>
      <c r="F305" s="18">
        <f t="shared" si="4"/>
        <v>504334</v>
      </c>
      <c r="G305" s="11"/>
      <c r="N305" s="13"/>
    </row>
    <row r="306" spans="1:14" ht="15.6" x14ac:dyDescent="0.3">
      <c r="A306" s="7">
        <v>504335</v>
      </c>
      <c r="B306" s="4" t="s">
        <v>626</v>
      </c>
      <c r="C306" s="19" t="s">
        <v>627</v>
      </c>
      <c r="D306" s="7" t="str">
        <f>VLOOKUP(C306,[1]data!$W:$Z,4,FALSE)</f>
        <v>Si</v>
      </c>
      <c r="E306" s="5">
        <f>VLOOKUP(C306,[2]REPUESTOS!$A:$D,4,FALSE)</f>
        <v>39060</v>
      </c>
      <c r="F306" s="17">
        <f t="shared" si="4"/>
        <v>504335</v>
      </c>
      <c r="G306" s="11"/>
      <c r="N306" s="13"/>
    </row>
    <row r="307" spans="1:14" ht="15.6" x14ac:dyDescent="0.3">
      <c r="A307" s="7">
        <v>504336</v>
      </c>
      <c r="B307" s="4" t="s">
        <v>628</v>
      </c>
      <c r="C307" s="19" t="s">
        <v>629</v>
      </c>
      <c r="D307" s="7" t="str">
        <f>VLOOKUP(C307,[1]data!$W:$Z,4,FALSE)</f>
        <v>Si</v>
      </c>
      <c r="E307" s="5">
        <f>VLOOKUP(C307,[2]REPUESTOS!$A:$D,4,FALSE)</f>
        <v>2400</v>
      </c>
      <c r="F307" s="17">
        <f t="shared" si="4"/>
        <v>504336</v>
      </c>
      <c r="G307" s="11"/>
      <c r="N307" s="13"/>
    </row>
    <row r="308" spans="1:14" ht="15.6" x14ac:dyDescent="0.3">
      <c r="A308" s="7" t="s">
        <v>727</v>
      </c>
      <c r="B308" s="4" t="s">
        <v>728</v>
      </c>
      <c r="C308" s="19" t="s">
        <v>729</v>
      </c>
      <c r="D308" s="7" t="str">
        <f>VLOOKUP(C308,[1]data!$W:$Z,4,FALSE)</f>
        <v>Si</v>
      </c>
      <c r="E308" s="5">
        <f>VLOOKUP(C308,[2]REPUESTOS!$A:$D,4,FALSE)</f>
        <v>312.5</v>
      </c>
      <c r="F308" s="17" t="str">
        <f t="shared" si="4"/>
        <v xml:space="preserve"> 504955</v>
      </c>
      <c r="G308" s="11"/>
      <c r="N308" s="13"/>
    </row>
    <row r="309" spans="1:14" ht="15.6" x14ac:dyDescent="0.3">
      <c r="A309" s="7" t="s">
        <v>730</v>
      </c>
      <c r="B309" s="4" t="s">
        <v>731</v>
      </c>
      <c r="C309" s="19" t="s">
        <v>732</v>
      </c>
      <c r="D309" s="7" t="str">
        <f>VLOOKUP(C309,[1]data!$W:$Z,4,FALSE)</f>
        <v>Si</v>
      </c>
      <c r="E309" s="5">
        <f>VLOOKUP(C309,[2]REPUESTOS!$A:$D,4,FALSE)</f>
        <v>7823.4722222222217</v>
      </c>
      <c r="F309" s="17" t="str">
        <f t="shared" si="4"/>
        <v xml:space="preserve"> 504956</v>
      </c>
      <c r="G309" s="11"/>
      <c r="N309" s="13"/>
    </row>
    <row r="310" spans="1:14" ht="15.6" x14ac:dyDescent="0.3">
      <c r="A310" s="7">
        <v>503013</v>
      </c>
      <c r="B310" s="4" t="s">
        <v>240</v>
      </c>
      <c r="C310" s="19" t="s">
        <v>241</v>
      </c>
      <c r="D310" s="7" t="str">
        <f>VLOOKUP(C310,[1]data!$W:$Z,4,FALSE)</f>
        <v>Si</v>
      </c>
      <c r="E310" s="5">
        <f>VLOOKUP(C310,[2]REPUESTOS!$A:$D,4,FALSE)</f>
        <v>40000</v>
      </c>
      <c r="F310" s="17">
        <f t="shared" si="4"/>
        <v>503013</v>
      </c>
      <c r="G310" s="11"/>
      <c r="N310" s="13"/>
    </row>
    <row r="311" spans="1:14" ht="15.6" x14ac:dyDescent="0.3">
      <c r="A311" s="7">
        <v>502479</v>
      </c>
      <c r="B311" s="4" t="s">
        <v>56</v>
      </c>
      <c r="C311" s="19" t="s">
        <v>57</v>
      </c>
      <c r="D311" s="7" t="str">
        <f>VLOOKUP(C311,[1]data!$W:$Z,4,FALSE)</f>
        <v>Si</v>
      </c>
      <c r="E311" s="5">
        <f>VLOOKUP(C311,[2]REPUESTOS!$A:$D,4,FALSE)</f>
        <v>33185.371144087825</v>
      </c>
      <c r="F311" s="17">
        <f t="shared" si="4"/>
        <v>502479</v>
      </c>
      <c r="G311" s="11"/>
      <c r="N311" s="13"/>
    </row>
    <row r="312" spans="1:14" ht="15.6" x14ac:dyDescent="0.3">
      <c r="A312" s="7">
        <v>502662</v>
      </c>
      <c r="B312" s="4" t="s">
        <v>138</v>
      </c>
      <c r="C312" s="19" t="s">
        <v>139</v>
      </c>
      <c r="D312" s="7" t="str">
        <f>VLOOKUP(C312,[1]data!$W:$Z,4,FALSE)</f>
        <v>Si</v>
      </c>
      <c r="E312" s="5">
        <f>VLOOKUP(C312,[2]REPUESTOS!$A:$D,4,FALSE)</f>
        <v>40204.251949230456</v>
      </c>
      <c r="F312" s="17">
        <f t="shared" si="4"/>
        <v>502662</v>
      </c>
      <c r="G312" s="11"/>
      <c r="N312" s="13"/>
    </row>
    <row r="313" spans="1:14" ht="15.6" x14ac:dyDescent="0.3">
      <c r="A313" s="7" t="s">
        <v>733</v>
      </c>
      <c r="B313" s="4" t="s">
        <v>734</v>
      </c>
      <c r="C313" s="19" t="s">
        <v>735</v>
      </c>
      <c r="D313" s="7" t="str">
        <f>VLOOKUP(C313,[1]data!$W:$Z,4,FALSE)</f>
        <v>Si</v>
      </c>
      <c r="E313" s="5">
        <f>VLOOKUP(C313,[2]REPUESTOS!$A:$D,4,FALSE)</f>
        <v>28279</v>
      </c>
      <c r="F313" s="17" t="str">
        <f t="shared" si="4"/>
        <v xml:space="preserve"> 504957</v>
      </c>
      <c r="G313" s="11"/>
      <c r="N313" s="13"/>
    </row>
    <row r="314" spans="1:14" ht="15.6" x14ac:dyDescent="0.3">
      <c r="A314" s="7" t="s">
        <v>736</v>
      </c>
      <c r="B314" s="4" t="s">
        <v>737</v>
      </c>
      <c r="C314" s="19" t="s">
        <v>738</v>
      </c>
      <c r="D314" s="7" t="str">
        <f>VLOOKUP(C314,[1]data!$W:$Z,4,FALSE)</f>
        <v>Si</v>
      </c>
      <c r="E314" s="5">
        <f>VLOOKUP(C314,[2]REPUESTOS!$A:$D,4,FALSE)</f>
        <v>67515</v>
      </c>
      <c r="F314" s="17" t="str">
        <f t="shared" si="4"/>
        <v xml:space="preserve"> 504958</v>
      </c>
      <c r="G314" s="11"/>
      <c r="N314" s="13"/>
    </row>
    <row r="315" spans="1:14" ht="15.6" x14ac:dyDescent="0.3">
      <c r="A315" s="7" t="s">
        <v>739</v>
      </c>
      <c r="B315" s="4" t="s">
        <v>740</v>
      </c>
      <c r="C315" s="19" t="s">
        <v>741</v>
      </c>
      <c r="D315" s="7" t="str">
        <f>VLOOKUP(C315,[1]data!$W:$Z,4,FALSE)</f>
        <v>Si</v>
      </c>
      <c r="E315" s="5">
        <f>VLOOKUP(C315,[2]REPUESTOS!$A:$D,4,FALSE)</f>
        <v>14990</v>
      </c>
      <c r="F315" s="17" t="str">
        <f t="shared" si="4"/>
        <v xml:space="preserve"> 504959</v>
      </c>
      <c r="G315" s="11"/>
      <c r="N315" s="13"/>
    </row>
    <row r="316" spans="1:14" ht="15.6" x14ac:dyDescent="0.3">
      <c r="A316" s="7" t="s">
        <v>742</v>
      </c>
      <c r="B316" s="4" t="s">
        <v>743</v>
      </c>
      <c r="C316" s="19" t="s">
        <v>744</v>
      </c>
      <c r="D316" s="7" t="str">
        <f>VLOOKUP(C316,[1]data!$W:$Z,4,FALSE)</f>
        <v>Si</v>
      </c>
      <c r="E316" s="5">
        <f>VLOOKUP(C316,[2]REPUESTOS!$A:$D,4,FALSE)</f>
        <v>4200</v>
      </c>
      <c r="F316" s="17" t="str">
        <f t="shared" si="4"/>
        <v xml:space="preserve"> 504960</v>
      </c>
      <c r="G316" s="11"/>
      <c r="N316" s="13"/>
    </row>
    <row r="317" spans="1:14" ht="15.6" x14ac:dyDescent="0.3">
      <c r="A317" s="7" t="s">
        <v>745</v>
      </c>
      <c r="B317" s="4" t="s">
        <v>746</v>
      </c>
      <c r="C317" s="19" t="s">
        <v>747</v>
      </c>
      <c r="D317" s="7" t="str">
        <f>VLOOKUP(C317,[1]data!$W:$Z,4,FALSE)</f>
        <v>Si</v>
      </c>
      <c r="E317" s="5">
        <f>VLOOKUP(C317,[2]REPUESTOS!$A:$D,4,FALSE)</f>
        <v>1200</v>
      </c>
      <c r="F317" s="17" t="str">
        <f t="shared" si="4"/>
        <v xml:space="preserve"> 504961</v>
      </c>
      <c r="G317" s="11"/>
      <c r="N317" s="13"/>
    </row>
    <row r="318" spans="1:14" ht="15.6" x14ac:dyDescent="0.3">
      <c r="A318" s="7" t="s">
        <v>748</v>
      </c>
      <c r="B318" s="4" t="s">
        <v>749</v>
      </c>
      <c r="C318" s="19" t="s">
        <v>750</v>
      </c>
      <c r="D318" s="7" t="str">
        <f>VLOOKUP(C318,[1]data!$W:$Z,4,FALSE)</f>
        <v>Si</v>
      </c>
      <c r="E318" s="5">
        <f>VLOOKUP(C318,[2]REPUESTOS!$A:$D,4,FALSE)</f>
        <v>70651.874773112708</v>
      </c>
      <c r="F318" s="17" t="str">
        <f t="shared" si="4"/>
        <v xml:space="preserve"> 504962</v>
      </c>
      <c r="G318" s="11"/>
      <c r="N318" s="13"/>
    </row>
    <row r="319" spans="1:14" ht="15.6" x14ac:dyDescent="0.3">
      <c r="A319" s="7" t="s">
        <v>751</v>
      </c>
      <c r="B319" s="4" t="s">
        <v>752</v>
      </c>
      <c r="C319" s="19" t="s">
        <v>753</v>
      </c>
      <c r="D319" s="7" t="str">
        <f>VLOOKUP(C319,[1]data!$W:$Z,4,FALSE)</f>
        <v>Si</v>
      </c>
      <c r="E319" s="5">
        <f>VLOOKUP(C319,[2]REPUESTOS!$A:$D,4,FALSE)</f>
        <v>123998.80774864164</v>
      </c>
      <c r="F319" s="17" t="str">
        <f t="shared" si="4"/>
        <v xml:space="preserve"> 504963</v>
      </c>
      <c r="G319" s="11"/>
      <c r="N319" s="13"/>
    </row>
    <row r="320" spans="1:14" ht="15.6" x14ac:dyDescent="0.3">
      <c r="A320" s="7" t="s">
        <v>754</v>
      </c>
      <c r="B320" s="4" t="s">
        <v>755</v>
      </c>
      <c r="C320" s="19" t="s">
        <v>756</v>
      </c>
      <c r="D320" s="7" t="str">
        <f>VLOOKUP(C320,[1]data!$W:$Z,4,FALSE)</f>
        <v>Si</v>
      </c>
      <c r="E320" s="5">
        <f>VLOOKUP(C320,[2]REPUESTOS!$A:$D,4,FALSE)</f>
        <v>20900</v>
      </c>
      <c r="F320" s="17" t="str">
        <f t="shared" si="4"/>
        <v xml:space="preserve"> 504964</v>
      </c>
      <c r="G320" s="11"/>
      <c r="N320" s="13"/>
    </row>
    <row r="321" spans="7:14" x14ac:dyDescent="0.3">
      <c r="G321" s="11"/>
      <c r="N321" s="14"/>
    </row>
    <row r="322" spans="7:14" x14ac:dyDescent="0.3">
      <c r="G322" s="11"/>
      <c r="N322" s="13"/>
    </row>
    <row r="323" spans="7:14" x14ac:dyDescent="0.3">
      <c r="G323" s="11"/>
      <c r="N323" s="13"/>
    </row>
    <row r="324" spans="7:14" x14ac:dyDescent="0.3">
      <c r="G324" s="11"/>
      <c r="N324" s="13"/>
    </row>
    <row r="325" spans="7:14" x14ac:dyDescent="0.3">
      <c r="G325" s="11"/>
      <c r="N325" s="13"/>
    </row>
    <row r="326" spans="7:14" x14ac:dyDescent="0.3">
      <c r="G326" s="11"/>
      <c r="N326" s="13"/>
    </row>
    <row r="327" spans="7:14" x14ac:dyDescent="0.3">
      <c r="G327" s="11"/>
      <c r="N327" s="13"/>
    </row>
    <row r="328" spans="7:14" x14ac:dyDescent="0.3">
      <c r="G328" s="11"/>
      <c r="N328" s="14"/>
    </row>
    <row r="329" spans="7:14" x14ac:dyDescent="0.3">
      <c r="G329" s="11"/>
      <c r="N329" s="13"/>
    </row>
    <row r="330" spans="7:14" x14ac:dyDescent="0.3">
      <c r="G330" s="11"/>
      <c r="N330" s="13"/>
    </row>
    <row r="331" spans="7:14" x14ac:dyDescent="0.3">
      <c r="N331" s="13"/>
    </row>
  </sheetData>
  <autoFilter ref="A2:N330" xr:uid="{F877B6BC-0932-41FA-A822-87C5B1DDF618}"/>
  <sortState xmlns:xlrd2="http://schemas.microsoft.com/office/spreadsheetml/2017/richdata2" ref="A3:E320">
    <sortCondition ref="D3:D320"/>
    <sortCondition ref="C3:C320"/>
  </sortState>
  <conditionalFormatting sqref="C1:C320">
    <cfRule type="duplicateValues" dxfId="2" priority="6"/>
  </conditionalFormatting>
  <conditionalFormatting sqref="C1:C1048576">
    <cfRule type="duplicateValues" dxfId="1" priority="1"/>
  </conditionalFormatting>
  <conditionalFormatting sqref="J45:J5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Munoz</dc:creator>
  <cp:lastModifiedBy>Jesus Adolfo Gavidia</cp:lastModifiedBy>
  <dcterms:created xsi:type="dcterms:W3CDTF">2025-07-17T19:45:58Z</dcterms:created>
  <dcterms:modified xsi:type="dcterms:W3CDTF">2026-07-24T13:43:12Z</dcterms:modified>
</cp:coreProperties>
</file>