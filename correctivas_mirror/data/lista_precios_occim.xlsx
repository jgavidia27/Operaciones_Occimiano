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gavi\Desktop\"/>
    </mc:Choice>
  </mc:AlternateContent>
  <xr:revisionPtr revIDLastSave="0" documentId="8_{4CD2A886-2108-4827-A0A4-B0FD856FA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UESTOS" sheetId="1" r:id="rId1"/>
    <sheet name="SERVICIOS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REPUESTOS!$A$1:$H$527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8" i="1" l="1"/>
  <c r="G548" i="1"/>
  <c r="H548" i="1"/>
  <c r="J548" i="1"/>
  <c r="F549" i="1"/>
  <c r="G549" i="1"/>
  <c r="H549" i="1"/>
  <c r="J549" i="1"/>
  <c r="E549" i="1" l="1"/>
  <c r="I549" i="1" s="1"/>
  <c r="E548" i="1"/>
  <c r="I548" i="1" s="1"/>
  <c r="C3" i="2" l="1"/>
  <c r="C4" i="2"/>
  <c r="C5" i="2"/>
  <c r="C6" i="2"/>
  <c r="C7" i="2"/>
  <c r="C8" i="2"/>
  <c r="C9" i="2"/>
  <c r="D9" i="2" s="1"/>
  <c r="C10" i="2"/>
  <c r="C11" i="2"/>
  <c r="C12" i="2"/>
  <c r="C13" i="2"/>
  <c r="C14" i="2"/>
  <c r="D14" i="2" s="1"/>
  <c r="C15" i="2"/>
  <c r="C16" i="2"/>
  <c r="C17" i="2"/>
  <c r="C18" i="2"/>
  <c r="C19" i="2"/>
  <c r="C20" i="2"/>
  <c r="C21" i="2"/>
  <c r="D21" i="2" s="1"/>
  <c r="C22" i="2"/>
  <c r="C23" i="2"/>
  <c r="C24" i="2"/>
  <c r="C25" i="2"/>
  <c r="C26" i="2"/>
  <c r="D26" i="2" s="1"/>
  <c r="C27" i="2"/>
  <c r="C28" i="2"/>
  <c r="C29" i="2"/>
  <c r="C30" i="2"/>
  <c r="C31" i="2"/>
  <c r="C32" i="2"/>
  <c r="C33" i="2"/>
  <c r="D33" i="2" s="1"/>
  <c r="C34" i="2"/>
  <c r="C35" i="2"/>
  <c r="C36" i="2"/>
  <c r="C37" i="2"/>
  <c r="C38" i="2"/>
  <c r="D38" i="2" s="1"/>
  <c r="C39" i="2"/>
  <c r="C40" i="2"/>
  <c r="C41" i="2"/>
  <c r="C42" i="2"/>
  <c r="C43" i="2"/>
  <c r="C44" i="2"/>
  <c r="C45" i="2"/>
  <c r="D45" i="2" s="1"/>
  <c r="C46" i="2"/>
  <c r="C47" i="2"/>
  <c r="C48" i="2"/>
  <c r="C49" i="2"/>
  <c r="C2" i="2"/>
  <c r="C18" i="1"/>
  <c r="D18" i="1"/>
  <c r="E18" i="1" s="1"/>
  <c r="I18" i="1" s="1"/>
  <c r="F18" i="1"/>
  <c r="G18" i="1"/>
  <c r="H18" i="1"/>
  <c r="J18" i="1"/>
  <c r="C19" i="1"/>
  <c r="D19" i="1"/>
  <c r="E19" i="1"/>
  <c r="F19" i="1"/>
  <c r="G19" i="1"/>
  <c r="H19" i="1"/>
  <c r="I19" i="1" s="1"/>
  <c r="J19" i="1"/>
  <c r="C20" i="1"/>
  <c r="D20" i="1"/>
  <c r="E20" i="1" s="1"/>
  <c r="F20" i="1"/>
  <c r="G20" i="1"/>
  <c r="H20" i="1"/>
  <c r="I20" i="1" s="1"/>
  <c r="J20" i="1"/>
  <c r="C21" i="1"/>
  <c r="D21" i="1"/>
  <c r="E21" i="1" s="1"/>
  <c r="I21" i="1" s="1"/>
  <c r="F21" i="1"/>
  <c r="G21" i="1"/>
  <c r="H21" i="1"/>
  <c r="J21" i="1"/>
  <c r="D3" i="2"/>
  <c r="D4" i="2"/>
  <c r="D5" i="2"/>
  <c r="D6" i="2"/>
  <c r="D7" i="2"/>
  <c r="D8" i="2"/>
  <c r="D10" i="2"/>
  <c r="D11" i="2"/>
  <c r="D12" i="2"/>
  <c r="D13" i="2"/>
  <c r="D15" i="2"/>
  <c r="D16" i="2"/>
  <c r="D17" i="2"/>
  <c r="D18" i="2"/>
  <c r="D19" i="2"/>
  <c r="D20" i="2"/>
  <c r="D22" i="2"/>
  <c r="D23" i="2"/>
  <c r="D24" i="2"/>
  <c r="D25" i="2"/>
  <c r="D27" i="2"/>
  <c r="D28" i="2"/>
  <c r="D29" i="2"/>
  <c r="D30" i="2"/>
  <c r="D31" i="2"/>
  <c r="D32" i="2"/>
  <c r="D34" i="2"/>
  <c r="D35" i="2"/>
  <c r="D36" i="2"/>
  <c r="D37" i="2"/>
  <c r="D39" i="2"/>
  <c r="D40" i="2"/>
  <c r="D41" i="2"/>
  <c r="D42" i="2"/>
  <c r="D43" i="2"/>
  <c r="D44" i="2"/>
  <c r="D46" i="2"/>
  <c r="D47" i="2"/>
  <c r="D48" i="2"/>
  <c r="D49" i="2"/>
  <c r="D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I528" i="1" s="1"/>
  <c r="H529" i="1"/>
  <c r="H530" i="1"/>
  <c r="I530" i="1" s="1"/>
  <c r="H531" i="1"/>
  <c r="H532" i="1"/>
  <c r="I532" i="1" s="1"/>
  <c r="H533" i="1"/>
  <c r="H534" i="1"/>
  <c r="I534" i="1" s="1"/>
  <c r="H535" i="1"/>
  <c r="H536" i="1"/>
  <c r="I536" i="1" s="1"/>
  <c r="H537" i="1"/>
  <c r="H538" i="1"/>
  <c r="I538" i="1" s="1"/>
  <c r="H539" i="1"/>
  <c r="I539" i="1" s="1"/>
  <c r="H540" i="1"/>
  <c r="I540" i="1" s="1"/>
  <c r="H541" i="1"/>
  <c r="H542" i="1"/>
  <c r="I542" i="1" s="1"/>
  <c r="H543" i="1"/>
  <c r="H544" i="1"/>
  <c r="I544" i="1" s="1"/>
  <c r="H545" i="1"/>
  <c r="H546" i="1"/>
  <c r="H547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2" i="1"/>
  <c r="C528" i="1"/>
  <c r="D528" i="1"/>
  <c r="E528" i="1" s="1"/>
  <c r="F528" i="1"/>
  <c r="G528" i="1"/>
  <c r="C529" i="1"/>
  <c r="D529" i="1" s="1"/>
  <c r="E529" i="1" s="1"/>
  <c r="F529" i="1"/>
  <c r="G529" i="1"/>
  <c r="C530" i="1"/>
  <c r="D530" i="1"/>
  <c r="E530" i="1" s="1"/>
  <c r="F530" i="1"/>
  <c r="G530" i="1"/>
  <c r="C531" i="1"/>
  <c r="D531" i="1"/>
  <c r="E531" i="1" s="1"/>
  <c r="F531" i="1"/>
  <c r="G531" i="1"/>
  <c r="C532" i="1"/>
  <c r="D532" i="1"/>
  <c r="E532" i="1" s="1"/>
  <c r="F532" i="1"/>
  <c r="G532" i="1"/>
  <c r="C533" i="1"/>
  <c r="D533" i="1"/>
  <c r="E533" i="1" s="1"/>
  <c r="F533" i="1"/>
  <c r="G533" i="1"/>
  <c r="C534" i="1"/>
  <c r="D534" i="1"/>
  <c r="E534" i="1" s="1"/>
  <c r="F534" i="1"/>
  <c r="G534" i="1"/>
  <c r="C535" i="1"/>
  <c r="D535" i="1" s="1"/>
  <c r="E535" i="1" s="1"/>
  <c r="F535" i="1"/>
  <c r="G535" i="1"/>
  <c r="C536" i="1"/>
  <c r="D536" i="1"/>
  <c r="E536" i="1" s="1"/>
  <c r="F536" i="1"/>
  <c r="G536" i="1"/>
  <c r="C537" i="1"/>
  <c r="D537" i="1" s="1"/>
  <c r="E537" i="1" s="1"/>
  <c r="F537" i="1"/>
  <c r="G537" i="1"/>
  <c r="C538" i="1"/>
  <c r="D538" i="1"/>
  <c r="E538" i="1" s="1"/>
  <c r="F538" i="1"/>
  <c r="G538" i="1"/>
  <c r="C539" i="1"/>
  <c r="D539" i="1"/>
  <c r="E539" i="1" s="1"/>
  <c r="F539" i="1"/>
  <c r="G539" i="1"/>
  <c r="C540" i="1"/>
  <c r="D540" i="1"/>
  <c r="E540" i="1" s="1"/>
  <c r="F540" i="1"/>
  <c r="G540" i="1"/>
  <c r="C541" i="1"/>
  <c r="D541" i="1"/>
  <c r="E541" i="1" s="1"/>
  <c r="F541" i="1"/>
  <c r="G541" i="1"/>
  <c r="C542" i="1"/>
  <c r="D542" i="1"/>
  <c r="E542" i="1" s="1"/>
  <c r="F542" i="1"/>
  <c r="G542" i="1"/>
  <c r="C543" i="1"/>
  <c r="D543" i="1"/>
  <c r="E543" i="1" s="1"/>
  <c r="F543" i="1"/>
  <c r="G543" i="1"/>
  <c r="C544" i="1"/>
  <c r="D544" i="1"/>
  <c r="E544" i="1" s="1"/>
  <c r="F544" i="1"/>
  <c r="G544" i="1"/>
  <c r="F545" i="1"/>
  <c r="G545" i="1"/>
  <c r="E546" i="1"/>
  <c r="F546" i="1"/>
  <c r="G546" i="1"/>
  <c r="E547" i="1"/>
  <c r="F547" i="1"/>
  <c r="G54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2" i="1"/>
  <c r="E545" i="1" l="1"/>
  <c r="I545" i="1" s="1"/>
  <c r="I547" i="1"/>
  <c r="I533" i="1"/>
  <c r="I543" i="1"/>
  <c r="I531" i="1"/>
  <c r="I541" i="1"/>
  <c r="I529" i="1"/>
  <c r="I537" i="1"/>
  <c r="I535" i="1"/>
  <c r="I54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  <c r="E462" i="1" l="1"/>
  <c r="I462" i="1" s="1"/>
  <c r="G462" i="1"/>
  <c r="E463" i="1"/>
  <c r="I463" i="1" s="1"/>
  <c r="G463" i="1"/>
  <c r="E464" i="1"/>
  <c r="I464" i="1" s="1"/>
  <c r="G464" i="1"/>
  <c r="E465" i="1"/>
  <c r="I465" i="1" s="1"/>
  <c r="G465" i="1"/>
  <c r="E466" i="1"/>
  <c r="I466" i="1" s="1"/>
  <c r="G466" i="1"/>
  <c r="E467" i="1"/>
  <c r="I467" i="1" s="1"/>
  <c r="G467" i="1"/>
  <c r="E468" i="1"/>
  <c r="I468" i="1" s="1"/>
  <c r="G468" i="1"/>
  <c r="E469" i="1"/>
  <c r="I469" i="1" s="1"/>
  <c r="G469" i="1"/>
  <c r="E470" i="1"/>
  <c r="I470" i="1" s="1"/>
  <c r="G470" i="1"/>
  <c r="E471" i="1"/>
  <c r="I471" i="1" s="1"/>
  <c r="G471" i="1"/>
  <c r="E472" i="1"/>
  <c r="I472" i="1" s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E487" i="1"/>
  <c r="I487" i="1" s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461" i="1"/>
  <c r="E461" i="1"/>
  <c r="I461" i="1" s="1"/>
  <c r="F228" i="1" l="1"/>
  <c r="F240" i="1"/>
  <c r="F73" i="1"/>
  <c r="F495" i="1"/>
  <c r="F507" i="1"/>
  <c r="F170" i="1"/>
  <c r="F481" i="1"/>
  <c r="F284" i="1"/>
  <c r="F14" i="1"/>
  <c r="F34" i="1"/>
  <c r="F246" i="1"/>
  <c r="F270" i="1"/>
  <c r="F297" i="1"/>
  <c r="F201" i="1"/>
  <c r="F88" i="1"/>
  <c r="F123" i="1"/>
  <c r="F79" i="1"/>
  <c r="F346" i="1"/>
  <c r="F370" i="1"/>
  <c r="F476" i="1"/>
  <c r="F403" i="1" l="1"/>
  <c r="F96" i="1"/>
  <c r="F259" i="1"/>
  <c r="F377" i="1"/>
  <c r="F84" i="1"/>
  <c r="F325" i="1"/>
  <c r="F182" i="1"/>
  <c r="F452" i="1"/>
  <c r="F154" i="1"/>
  <c r="F380" i="1"/>
  <c r="F360" i="1"/>
  <c r="F502" i="1"/>
  <c r="F87" i="1"/>
  <c r="F364" i="1"/>
  <c r="F348" i="1"/>
  <c r="F100" i="1"/>
  <c r="F118" i="1"/>
  <c r="F41" i="1"/>
  <c r="F166" i="1"/>
  <c r="F243" i="1"/>
  <c r="F251" i="1"/>
  <c r="F126" i="1"/>
  <c r="F82" i="1"/>
  <c r="F3" i="1"/>
  <c r="F148" i="1"/>
  <c r="F223" i="1"/>
  <c r="F164" i="1"/>
  <c r="F239" i="1"/>
  <c r="F419" i="1"/>
  <c r="F257" i="1"/>
  <c r="F142" i="1"/>
  <c r="F94" i="1"/>
  <c r="F440" i="1"/>
  <c r="F12" i="1"/>
  <c r="F373" i="1"/>
  <c r="F107" i="1"/>
  <c r="F447" i="1"/>
  <c r="F184" i="1"/>
  <c r="F117" i="1"/>
  <c r="F57" i="1"/>
  <c r="F426" i="1"/>
  <c r="F524" i="1"/>
  <c r="F361" i="1"/>
  <c r="F95" i="1"/>
  <c r="F290" i="1"/>
  <c r="F436" i="1"/>
  <c r="F421" i="1"/>
  <c r="F391" i="1"/>
  <c r="F362" i="1"/>
  <c r="F176" i="1"/>
  <c r="F113" i="1"/>
  <c r="F114" i="1"/>
  <c r="F379" i="1"/>
  <c r="F229" i="1"/>
  <c r="F316" i="1"/>
  <c r="F279" i="1"/>
  <c r="F141" i="1"/>
  <c r="F15" i="1"/>
  <c r="F77" i="1"/>
  <c r="F365" i="1"/>
  <c r="F217" i="1"/>
  <c r="F233" i="1"/>
  <c r="F238" i="1"/>
  <c r="F236" i="1"/>
  <c r="F266" i="1"/>
  <c r="F304" i="1"/>
  <c r="F186" i="1"/>
  <c r="F85" i="1"/>
  <c r="F66" i="1"/>
  <c r="F294" i="1"/>
  <c r="F26" i="1"/>
  <c r="F355" i="1"/>
  <c r="F349" i="1"/>
  <c r="F511" i="1"/>
  <c r="F83" i="1"/>
  <c r="F220" i="1"/>
  <c r="F489" i="1"/>
  <c r="F328" i="1"/>
  <c r="F333" i="1"/>
  <c r="F393" i="1"/>
  <c r="F322" i="1"/>
  <c r="F60" i="1"/>
  <c r="F124" i="1"/>
  <c r="F30" i="1"/>
  <c r="F400" i="1"/>
  <c r="F271" i="1"/>
  <c r="F488" i="1"/>
  <c r="F78" i="1"/>
  <c r="F454" i="1"/>
  <c r="F188" i="1"/>
  <c r="F91" i="1"/>
  <c r="F366" i="1"/>
  <c r="F485" i="1"/>
  <c r="F458" i="1"/>
  <c r="F326" i="1"/>
  <c r="F48" i="1"/>
  <c r="F521" i="1"/>
  <c r="F315" i="1"/>
  <c r="F475" i="1"/>
  <c r="F343" i="1"/>
  <c r="F388" i="1"/>
  <c r="F175" i="1"/>
  <c r="F442" i="1"/>
  <c r="F415" i="1"/>
  <c r="F435" i="1"/>
  <c r="F505" i="1"/>
  <c r="F5" i="1"/>
  <c r="F104" i="1"/>
  <c r="F269" i="1"/>
  <c r="F412" i="1"/>
  <c r="F425" i="1"/>
  <c r="F438" i="1"/>
  <c r="F171" i="1"/>
  <c r="F480" i="1"/>
  <c r="F302" i="1"/>
  <c r="F74" i="1"/>
  <c r="F339" i="1"/>
  <c r="F482" i="1"/>
  <c r="F152" i="1"/>
  <c r="F319" i="1"/>
  <c r="F363" i="1"/>
  <c r="F147" i="1"/>
  <c r="F472" i="1"/>
  <c r="F307" i="1"/>
  <c r="F99" i="1"/>
  <c r="F446" i="1"/>
  <c r="F293" i="1"/>
  <c r="F101" i="1"/>
  <c r="F314" i="1"/>
  <c r="F169" i="1"/>
  <c r="F25" i="1"/>
  <c r="F180" i="1"/>
  <c r="F36" i="1"/>
  <c r="F191" i="1"/>
  <c r="F47" i="1"/>
  <c r="F255" i="1"/>
  <c r="F89" i="1"/>
  <c r="F106" i="1"/>
  <c r="F225" i="1"/>
  <c r="F424" i="1"/>
  <c r="F149" i="1"/>
  <c r="F474" i="1"/>
  <c r="F50" i="1"/>
  <c r="F44" i="1"/>
  <c r="F496" i="1"/>
  <c r="F526" i="1"/>
  <c r="F337" i="1"/>
  <c r="F193" i="1"/>
  <c r="F215" i="1"/>
  <c r="F501" i="1"/>
  <c r="F473" i="1"/>
  <c r="F461" i="1"/>
  <c r="F463" i="1"/>
  <c r="F506" i="1"/>
  <c r="F139" i="1"/>
  <c r="F453" i="1"/>
  <c r="F494" i="1"/>
  <c r="F353" i="1"/>
  <c r="F189" i="1"/>
  <c r="F378" i="1"/>
  <c r="F323" i="1"/>
  <c r="F308" i="1"/>
  <c r="F181" i="1"/>
  <c r="F192" i="1"/>
  <c r="F59" i="1"/>
  <c r="F160" i="1"/>
  <c r="F445" i="1"/>
  <c r="F402" i="1"/>
  <c r="F460" i="1"/>
  <c r="F428" i="1"/>
  <c r="F345" i="1"/>
  <c r="F376" i="1"/>
  <c r="F159" i="1"/>
  <c r="F354" i="1"/>
  <c r="F286" i="1"/>
  <c r="F258" i="1"/>
  <c r="F312" i="1"/>
  <c r="F310" i="1"/>
  <c r="F43" i="1"/>
  <c r="F390" i="1"/>
  <c r="F389" i="1"/>
  <c r="F414" i="1"/>
  <c r="F433" i="1"/>
  <c r="F486" i="1"/>
  <c r="F504" i="1"/>
  <c r="F69" i="1"/>
  <c r="F234" i="1"/>
  <c r="F368" i="1"/>
  <c r="F396" i="1"/>
  <c r="F409" i="1"/>
  <c r="F150" i="1"/>
  <c r="F465" i="1"/>
  <c r="F282" i="1"/>
  <c r="F54" i="1"/>
  <c r="F305" i="1"/>
  <c r="F468" i="1"/>
  <c r="F130" i="1"/>
  <c r="F522" i="1"/>
  <c r="F347" i="1"/>
  <c r="F127" i="1"/>
  <c r="F457" i="1"/>
  <c r="F291" i="1"/>
  <c r="F80" i="1"/>
  <c r="F434" i="1"/>
  <c r="F278" i="1"/>
  <c r="F86" i="1"/>
  <c r="F301" i="1"/>
  <c r="F157" i="1"/>
  <c r="F10" i="1"/>
  <c r="F168" i="1"/>
  <c r="F24" i="1"/>
  <c r="F179" i="1"/>
  <c r="F35" i="1"/>
  <c r="F125" i="1"/>
  <c r="F198" i="1"/>
  <c r="F16" i="1"/>
  <c r="F40" i="1"/>
  <c r="F151" i="1"/>
  <c r="F72" i="1"/>
  <c r="F162" i="1"/>
  <c r="F385" i="1"/>
  <c r="F200" i="1"/>
  <c r="F111" i="1"/>
  <c r="F185" i="1"/>
  <c r="F338" i="1"/>
  <c r="F71" i="1"/>
  <c r="F500" i="1"/>
  <c r="F372" i="1"/>
  <c r="F490" i="1"/>
  <c r="F462" i="1"/>
  <c r="F6" i="1"/>
  <c r="F296" i="1"/>
  <c r="F467" i="1"/>
  <c r="F318" i="1"/>
  <c r="F497" i="1"/>
  <c r="F165" i="1"/>
  <c r="F115" i="1"/>
  <c r="F116" i="1"/>
  <c r="F37" i="1"/>
  <c r="F203" i="1"/>
  <c r="F416" i="1"/>
  <c r="F232" i="1"/>
  <c r="F102" i="1"/>
  <c r="F324" i="1"/>
  <c r="F491" i="1"/>
  <c r="F292" i="1"/>
  <c r="F196" i="1"/>
  <c r="F194" i="1"/>
  <c r="F218" i="1"/>
  <c r="F177" i="1"/>
  <c r="F430" i="1"/>
  <c r="F369" i="1"/>
  <c r="F341" i="1"/>
  <c r="F359" i="1"/>
  <c r="F387" i="1"/>
  <c r="F432" i="1"/>
  <c r="F478" i="1"/>
  <c r="F42" i="1"/>
  <c r="F199" i="1"/>
  <c r="F321" i="1"/>
  <c r="F352" i="1"/>
  <c r="F381" i="1"/>
  <c r="F129" i="1"/>
  <c r="F451" i="1"/>
  <c r="F262" i="1"/>
  <c r="F33" i="1"/>
  <c r="F268" i="1"/>
  <c r="F439" i="1"/>
  <c r="F93" i="1"/>
  <c r="F508" i="1"/>
  <c r="F332" i="1"/>
  <c r="F110" i="1"/>
  <c r="F444" i="1"/>
  <c r="F272" i="1"/>
  <c r="F64" i="1"/>
  <c r="F422" i="1"/>
  <c r="F260" i="1"/>
  <c r="F68" i="1"/>
  <c r="F289" i="1"/>
  <c r="F145" i="1"/>
  <c r="F300" i="1"/>
  <c r="F156" i="1"/>
  <c r="F9" i="1"/>
  <c r="F167" i="1"/>
  <c r="F23" i="1"/>
  <c r="F63" i="1"/>
  <c r="F178" i="1"/>
  <c r="F140" i="1"/>
  <c r="F523" i="1"/>
  <c r="F407" i="1"/>
  <c r="F227" i="1"/>
  <c r="F27" i="1"/>
  <c r="F11" i="1"/>
  <c r="F208" i="1"/>
  <c r="F209" i="1"/>
  <c r="F471" i="1"/>
  <c r="F204" i="1"/>
  <c r="F62" i="1"/>
  <c r="F371" i="1"/>
  <c r="F517" i="1"/>
  <c r="F342" i="1"/>
  <c r="F358" i="1"/>
  <c r="F503" i="1"/>
  <c r="F320" i="1"/>
  <c r="F437" i="1"/>
  <c r="F411" i="1"/>
  <c r="F317" i="1"/>
  <c r="F45" i="1"/>
  <c r="F288" i="1"/>
  <c r="F195" i="1"/>
  <c r="F28" i="1"/>
  <c r="F487" i="1"/>
  <c r="F249" i="1"/>
  <c r="F357" i="1"/>
  <c r="F138" i="1"/>
  <c r="F92" i="1"/>
  <c r="F210" i="1"/>
  <c r="F298" i="1"/>
  <c r="F29" i="1"/>
  <c r="F265" i="1"/>
  <c r="F132" i="1"/>
  <c r="F143" i="1"/>
  <c r="F137" i="1"/>
  <c r="F518" i="1"/>
  <c r="F443" i="1"/>
  <c r="F222" i="1"/>
  <c r="F401" i="1"/>
  <c r="F399" i="1"/>
  <c r="F515" i="1"/>
  <c r="F413" i="1"/>
  <c r="F4" i="1"/>
  <c r="F250" i="1"/>
  <c r="F214" i="1"/>
  <c r="F242" i="1"/>
  <c r="F273" i="1"/>
  <c r="F330" i="1"/>
  <c r="F384" i="1"/>
  <c r="F455" i="1"/>
  <c r="F103" i="1"/>
  <c r="F190" i="1"/>
  <c r="F226" i="1"/>
  <c r="F303" i="1"/>
  <c r="F75" i="1"/>
  <c r="F408" i="1"/>
  <c r="F207" i="1"/>
  <c r="F499" i="1"/>
  <c r="F173" i="1"/>
  <c r="F367" i="1"/>
  <c r="F39" i="1"/>
  <c r="F464" i="1"/>
  <c r="F281" i="1"/>
  <c r="F52" i="1"/>
  <c r="F405" i="1"/>
  <c r="F221" i="1"/>
  <c r="F7" i="1"/>
  <c r="F386" i="1"/>
  <c r="F212" i="1"/>
  <c r="F17" i="1"/>
  <c r="F253" i="1"/>
  <c r="F109" i="1"/>
  <c r="F264" i="1"/>
  <c r="F120" i="1"/>
  <c r="F275" i="1"/>
  <c r="F131" i="1"/>
  <c r="F459" i="1"/>
  <c r="F51" i="1"/>
  <c r="F81" i="1"/>
  <c r="F235" i="1"/>
  <c r="F527" i="1"/>
  <c r="F525" i="1"/>
  <c r="F128" i="1"/>
  <c r="F397" i="1"/>
  <c r="F247" i="1"/>
  <c r="F206" i="1"/>
  <c r="F483" i="1"/>
  <c r="F335" i="1"/>
  <c r="F350" i="1"/>
  <c r="F205" i="1"/>
  <c r="F61" i="1"/>
  <c r="F216" i="1"/>
  <c r="F254" i="1"/>
  <c r="F492" i="1"/>
  <c r="F449" i="1"/>
  <c r="F58" i="1"/>
  <c r="F516" i="1"/>
  <c r="F514" i="1"/>
  <c r="F105" i="1"/>
  <c r="F484" i="1"/>
  <c r="F512" i="1"/>
  <c r="F509" i="1"/>
  <c r="F383" i="1"/>
  <c r="F395" i="1"/>
  <c r="F498" i="1"/>
  <c r="F135" i="1"/>
  <c r="F134" i="1"/>
  <c r="F49" i="1"/>
  <c r="F470" i="1"/>
  <c r="F161" i="1"/>
  <c r="F219" i="1"/>
  <c r="F466" i="1"/>
  <c r="F122" i="1"/>
  <c r="F46" i="1"/>
  <c r="F329" i="1"/>
  <c r="F311" i="1"/>
  <c r="F340" i="1"/>
  <c r="F406" i="1"/>
  <c r="F456" i="1"/>
  <c r="F163" i="1"/>
  <c r="F285" i="1"/>
  <c r="F351" i="1"/>
  <c r="F112" i="1"/>
  <c r="F244" i="1"/>
  <c r="F13" i="1"/>
  <c r="F248" i="1"/>
  <c r="F76" i="1"/>
  <c r="F493" i="1"/>
  <c r="F90" i="1"/>
  <c r="F431" i="1"/>
  <c r="F256" i="1"/>
  <c r="F410" i="1"/>
  <c r="F245" i="1"/>
  <c r="F53" i="1"/>
  <c r="F277" i="1"/>
  <c r="F133" i="1"/>
  <c r="F144" i="1"/>
  <c r="F299" i="1"/>
  <c r="F155" i="1"/>
  <c r="F8" i="1"/>
  <c r="F427" i="1"/>
  <c r="F65" i="1"/>
  <c r="F295" i="1"/>
  <c r="F520" i="1"/>
  <c r="F448" i="1"/>
  <c r="F22" i="1"/>
  <c r="F174" i="1"/>
  <c r="F280" i="1"/>
  <c r="F274" i="1"/>
  <c r="F309" i="1"/>
  <c r="F404" i="1"/>
  <c r="F477" i="1"/>
  <c r="F231" i="1"/>
  <c r="F267" i="1"/>
  <c r="F334" i="1"/>
  <c r="F423" i="1"/>
  <c r="F224" i="1"/>
  <c r="F513" i="1"/>
  <c r="F382" i="1"/>
  <c r="F56" i="1"/>
  <c r="F479" i="1"/>
  <c r="F70" i="1"/>
  <c r="F418" i="1"/>
  <c r="F237" i="1"/>
  <c r="F398" i="1"/>
  <c r="F230" i="1"/>
  <c r="F38" i="1"/>
  <c r="F121" i="1"/>
  <c r="F276" i="1"/>
  <c r="F287" i="1"/>
  <c r="F420" i="1"/>
  <c r="F98" i="1"/>
  <c r="F375" i="1"/>
  <c r="F31" i="1"/>
  <c r="F417" i="1"/>
  <c r="F344" i="1"/>
  <c r="F327" i="1"/>
  <c r="F441" i="1"/>
  <c r="F331" i="1"/>
  <c r="F158" i="1"/>
  <c r="F183" i="1"/>
  <c r="F146" i="1"/>
  <c r="F213" i="1"/>
  <c r="F211" i="1"/>
  <c r="F306" i="1"/>
  <c r="F356" i="1"/>
  <c r="F429" i="1"/>
  <c r="F67" i="1"/>
  <c r="F153" i="1"/>
  <c r="F172" i="1"/>
  <c r="F283" i="1"/>
  <c r="F55" i="1"/>
  <c r="F394" i="1"/>
  <c r="F187" i="1"/>
  <c r="F469" i="1"/>
  <c r="F136" i="1"/>
  <c r="F336" i="1"/>
  <c r="F510" i="1"/>
  <c r="F450" i="1"/>
  <c r="F261" i="1"/>
  <c r="F32" i="1"/>
  <c r="F392" i="1"/>
  <c r="F202" i="1"/>
  <c r="F519" i="1"/>
  <c r="F374" i="1"/>
  <c r="F197" i="1"/>
  <c r="F313" i="1"/>
  <c r="F241" i="1"/>
  <c r="F97" i="1"/>
  <c r="F252" i="1"/>
  <c r="F108" i="1"/>
  <c r="F263" i="1"/>
  <c r="F119" i="1"/>
  <c r="F2" i="1"/>
  <c r="E7" i="1"/>
  <c r="I7" i="1" s="1"/>
  <c r="E12" i="1"/>
  <c r="I12" i="1" s="1"/>
  <c r="E14" i="1"/>
  <c r="I14" i="1" s="1"/>
  <c r="E15" i="1"/>
  <c r="I15" i="1" s="1"/>
  <c r="E16" i="1"/>
  <c r="I16" i="1" s="1"/>
  <c r="E140" i="1"/>
  <c r="I140" i="1" s="1"/>
  <c r="E143" i="1"/>
  <c r="I143" i="1" s="1"/>
  <c r="E144" i="1"/>
  <c r="I144" i="1" s="1"/>
  <c r="E183" i="1"/>
  <c r="I183" i="1" s="1"/>
  <c r="E197" i="1"/>
  <c r="I197" i="1" s="1"/>
  <c r="E205" i="1"/>
  <c r="I205" i="1" s="1"/>
  <c r="E215" i="1"/>
  <c r="I215" i="1" s="1"/>
  <c r="E234" i="1"/>
  <c r="I234" i="1" s="1"/>
  <c r="E235" i="1"/>
  <c r="I235" i="1" s="1"/>
  <c r="E236" i="1"/>
  <c r="I236" i="1" s="1"/>
  <c r="E237" i="1"/>
  <c r="I237" i="1" s="1"/>
  <c r="E239" i="1"/>
  <c r="I239" i="1" s="1"/>
  <c r="E240" i="1"/>
  <c r="I240" i="1" s="1"/>
  <c r="E241" i="1"/>
  <c r="I241" i="1" s="1"/>
  <c r="E250" i="1"/>
  <c r="I250" i="1" s="1"/>
  <c r="E251" i="1"/>
  <c r="I251" i="1" s="1"/>
  <c r="E274" i="1"/>
  <c r="I274" i="1" s="1"/>
  <c r="E276" i="1"/>
  <c r="I276" i="1" s="1"/>
  <c r="E287" i="1"/>
  <c r="I287" i="1" s="1"/>
  <c r="E288" i="1"/>
  <c r="I288" i="1" s="1"/>
  <c r="E289" i="1"/>
  <c r="I289" i="1" s="1"/>
  <c r="E333" i="1"/>
  <c r="I333" i="1" s="1"/>
  <c r="E334" i="1"/>
  <c r="I334" i="1" s="1"/>
  <c r="E335" i="1"/>
  <c r="I335" i="1" s="1"/>
  <c r="E336" i="1"/>
  <c r="I336" i="1" s="1"/>
  <c r="E337" i="1"/>
  <c r="I337" i="1" s="1"/>
  <c r="E338" i="1"/>
  <c r="I338" i="1" s="1"/>
  <c r="E340" i="1"/>
  <c r="I340" i="1" s="1"/>
  <c r="E342" i="1"/>
  <c r="I342" i="1" s="1"/>
  <c r="E343" i="1"/>
  <c r="I343" i="1" s="1"/>
  <c r="E346" i="1"/>
  <c r="I346" i="1" s="1"/>
  <c r="E347" i="1"/>
  <c r="I347" i="1" s="1"/>
  <c r="E351" i="1"/>
  <c r="I351" i="1" s="1"/>
  <c r="E352" i="1"/>
  <c r="I352" i="1" s="1"/>
  <c r="E353" i="1"/>
  <c r="I353" i="1" s="1"/>
  <c r="E354" i="1"/>
  <c r="I354" i="1" s="1"/>
  <c r="E355" i="1"/>
  <c r="I355" i="1" s="1"/>
  <c r="E358" i="1"/>
  <c r="I358" i="1" s="1"/>
  <c r="E362" i="1"/>
  <c r="I362" i="1" s="1"/>
  <c r="E363" i="1"/>
  <c r="I363" i="1" s="1"/>
  <c r="E364" i="1"/>
  <c r="I364" i="1" s="1"/>
  <c r="E365" i="1"/>
  <c r="I365" i="1" s="1"/>
  <c r="E367" i="1"/>
  <c r="I367" i="1" s="1"/>
  <c r="E369" i="1"/>
  <c r="I369" i="1" s="1"/>
  <c r="E370" i="1"/>
  <c r="I370" i="1" s="1"/>
  <c r="E371" i="1"/>
  <c r="I371" i="1" s="1"/>
  <c r="E373" i="1"/>
  <c r="I373" i="1" s="1"/>
  <c r="E374" i="1"/>
  <c r="I374" i="1" s="1"/>
  <c r="E378" i="1"/>
  <c r="I378" i="1" s="1"/>
  <c r="E379" i="1"/>
  <c r="I379" i="1" s="1"/>
  <c r="E380" i="1"/>
  <c r="I380" i="1" s="1"/>
  <c r="E381" i="1"/>
  <c r="I381" i="1" s="1"/>
  <c r="E382" i="1"/>
  <c r="I382" i="1" s="1"/>
  <c r="E383" i="1"/>
  <c r="I383" i="1" s="1"/>
  <c r="E384" i="1"/>
  <c r="I384" i="1" s="1"/>
  <c r="E385" i="1"/>
  <c r="I385" i="1" s="1"/>
  <c r="E386" i="1"/>
  <c r="I386" i="1" s="1"/>
  <c r="E387" i="1"/>
  <c r="I387" i="1" s="1"/>
  <c r="E388" i="1"/>
  <c r="I388" i="1" s="1"/>
  <c r="E389" i="1"/>
  <c r="I389" i="1" s="1"/>
  <c r="E390" i="1"/>
  <c r="I390" i="1" s="1"/>
  <c r="E391" i="1"/>
  <c r="I391" i="1" s="1"/>
  <c r="E392" i="1"/>
  <c r="I392" i="1" s="1"/>
  <c r="E393" i="1"/>
  <c r="I393" i="1" s="1"/>
  <c r="E395" i="1"/>
  <c r="I395" i="1" s="1"/>
  <c r="E397" i="1"/>
  <c r="I397" i="1" s="1"/>
  <c r="E401" i="1"/>
  <c r="I401" i="1" s="1"/>
  <c r="E402" i="1"/>
  <c r="I402" i="1" s="1"/>
  <c r="E405" i="1"/>
  <c r="I405" i="1" s="1"/>
  <c r="E412" i="1"/>
  <c r="I412" i="1" s="1"/>
  <c r="E413" i="1"/>
  <c r="I413" i="1" s="1"/>
  <c r="E414" i="1"/>
  <c r="I414" i="1" s="1"/>
  <c r="E453" i="1"/>
  <c r="I453" i="1" s="1"/>
  <c r="E454" i="1"/>
  <c r="I454" i="1" s="1"/>
  <c r="E455" i="1"/>
  <c r="I455" i="1" s="1"/>
  <c r="E456" i="1"/>
  <c r="I456" i="1" s="1"/>
  <c r="E457" i="1"/>
  <c r="I457" i="1" s="1"/>
  <c r="E458" i="1"/>
  <c r="I458" i="1" s="1"/>
  <c r="E459" i="1"/>
  <c r="I459" i="1" s="1"/>
  <c r="E460" i="1"/>
  <c r="I460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2" i="1"/>
  <c r="E264" i="1" l="1"/>
  <c r="I264" i="1" s="1"/>
  <c r="E398" i="1"/>
  <c r="I398" i="1" s="1"/>
  <c r="E494" i="1" l="1"/>
  <c r="I494" i="1" s="1"/>
  <c r="E493" i="1"/>
  <c r="I493" i="1" s="1"/>
  <c r="E476" i="1"/>
  <c r="I476" i="1" s="1"/>
  <c r="E497" i="1"/>
  <c r="I497" i="1" s="1"/>
  <c r="E500" i="1"/>
  <c r="I500" i="1" s="1"/>
  <c r="E498" i="1"/>
  <c r="I498" i="1" s="1"/>
  <c r="E478" i="1"/>
  <c r="I478" i="1" s="1"/>
  <c r="E474" i="1"/>
  <c r="I474" i="1" s="1"/>
  <c r="E495" i="1"/>
  <c r="I495" i="1" s="1"/>
  <c r="E516" i="1"/>
  <c r="I516" i="1" s="1"/>
  <c r="E513" i="1"/>
  <c r="I513" i="1" s="1"/>
  <c r="E477" i="1"/>
  <c r="I477" i="1" s="1"/>
  <c r="E527" i="1"/>
  <c r="I527" i="1" s="1"/>
  <c r="E525" i="1"/>
  <c r="I525" i="1" s="1"/>
  <c r="E524" i="1"/>
  <c r="I524" i="1" s="1"/>
  <c r="E483" i="1"/>
  <c r="I483" i="1" s="1"/>
  <c r="E484" i="1"/>
  <c r="I484" i="1" s="1"/>
  <c r="E486" i="1"/>
  <c r="I486" i="1" s="1"/>
  <c r="E515" i="1"/>
  <c r="I515" i="1" s="1"/>
  <c r="E523" i="1"/>
  <c r="I523" i="1" s="1"/>
  <c r="E520" i="1"/>
  <c r="I520" i="1" s="1"/>
  <c r="E507" i="1"/>
  <c r="I507" i="1" s="1"/>
  <c r="E505" i="1"/>
  <c r="I505" i="1" s="1"/>
  <c r="E506" i="1"/>
  <c r="I506" i="1" s="1"/>
  <c r="E510" i="1"/>
  <c r="I510" i="1" s="1"/>
  <c r="E511" i="1"/>
  <c r="I511" i="1" s="1"/>
  <c r="E488" i="1"/>
  <c r="I488" i="1" s="1"/>
  <c r="E519" i="1"/>
  <c r="I519" i="1" s="1"/>
  <c r="E522" i="1"/>
  <c r="I522" i="1" s="1"/>
  <c r="E509" i="1"/>
  <c r="I509" i="1" s="1"/>
  <c r="E503" i="1"/>
  <c r="I503" i="1" s="1"/>
  <c r="E521" i="1"/>
  <c r="I521" i="1" s="1"/>
  <c r="E485" i="1"/>
  <c r="I485" i="1" s="1"/>
  <c r="E499" i="1"/>
  <c r="I499" i="1" s="1"/>
  <c r="E496" i="1"/>
  <c r="I496" i="1" s="1"/>
  <c r="E491" i="1"/>
  <c r="I491" i="1" s="1"/>
  <c r="E492" i="1"/>
  <c r="I492" i="1" s="1"/>
  <c r="E514" i="1"/>
  <c r="I514" i="1" s="1"/>
  <c r="E512" i="1"/>
  <c r="I512" i="1" s="1"/>
  <c r="E475" i="1"/>
  <c r="I475" i="1" s="1"/>
  <c r="E490" i="1"/>
  <c r="I490" i="1" s="1"/>
  <c r="E473" i="1"/>
  <c r="I473" i="1" s="1"/>
  <c r="E508" i="1"/>
  <c r="I508" i="1" s="1"/>
  <c r="E504" i="1"/>
  <c r="I504" i="1" s="1"/>
  <c r="E517" i="1"/>
  <c r="I517" i="1" s="1"/>
  <c r="E489" i="1"/>
  <c r="I489" i="1" s="1"/>
  <c r="E518" i="1"/>
  <c r="I518" i="1" s="1"/>
  <c r="E526" i="1"/>
  <c r="I526" i="1" s="1"/>
  <c r="E502" i="1"/>
  <c r="I502" i="1" s="1"/>
  <c r="E480" i="1"/>
  <c r="I480" i="1" s="1"/>
  <c r="E482" i="1"/>
  <c r="I482" i="1" s="1"/>
  <c r="E479" i="1"/>
  <c r="I479" i="1" s="1"/>
  <c r="E501" i="1"/>
  <c r="I501" i="1" s="1"/>
  <c r="E481" i="1"/>
  <c r="I481" i="1" s="1"/>
  <c r="E128" i="1"/>
  <c r="I128" i="1" s="1"/>
  <c r="E409" i="1" l="1"/>
  <c r="I409" i="1" s="1"/>
  <c r="E394" i="1"/>
  <c r="I394" i="1" s="1"/>
  <c r="E269" i="1"/>
  <c r="I269" i="1" s="1"/>
  <c r="E224" i="1"/>
  <c r="I224" i="1" s="1"/>
  <c r="E449" i="1" l="1"/>
  <c r="I449" i="1" s="1"/>
  <c r="E6" i="1"/>
  <c r="I6" i="1" s="1"/>
  <c r="E24" i="1"/>
  <c r="I24" i="1" s="1"/>
  <c r="E42" i="1"/>
  <c r="I42" i="1" s="1"/>
  <c r="E51" i="1"/>
  <c r="I51" i="1" s="1"/>
  <c r="E62" i="1"/>
  <c r="I62" i="1" s="1"/>
  <c r="E72" i="1"/>
  <c r="I72" i="1" s="1"/>
  <c r="E81" i="1"/>
  <c r="I81" i="1" s="1"/>
  <c r="E90" i="1"/>
  <c r="I90" i="1" s="1"/>
  <c r="E100" i="1"/>
  <c r="I100" i="1" s="1"/>
  <c r="E119" i="1"/>
  <c r="I119" i="1" s="1"/>
  <c r="E138" i="1"/>
  <c r="I138" i="1" s="1"/>
  <c r="E146" i="1"/>
  <c r="I146" i="1" s="1"/>
  <c r="E156" i="1"/>
  <c r="I156" i="1" s="1"/>
  <c r="E165" i="1"/>
  <c r="I165" i="1" s="1"/>
  <c r="E181" i="1"/>
  <c r="I181" i="1" s="1"/>
  <c r="E190" i="1"/>
  <c r="I190" i="1" s="1"/>
  <c r="E200" i="1"/>
  <c r="I200" i="1" s="1"/>
  <c r="E209" i="1"/>
  <c r="I209" i="1" s="1"/>
  <c r="E245" i="1"/>
  <c r="I245" i="1" s="1"/>
  <c r="E254" i="1"/>
  <c r="I254" i="1" s="1"/>
  <c r="E261" i="1"/>
  <c r="I261" i="1" s="1"/>
  <c r="E268" i="1"/>
  <c r="I268" i="1" s="1"/>
  <c r="E278" i="1"/>
  <c r="I278" i="1" s="1"/>
  <c r="E297" i="1"/>
  <c r="I297" i="1" s="1"/>
  <c r="E306" i="1"/>
  <c r="I306" i="1" s="1"/>
  <c r="E314" i="1"/>
  <c r="I314" i="1" s="1"/>
  <c r="E325" i="1"/>
  <c r="I325" i="1" s="1"/>
  <c r="E424" i="1"/>
  <c r="I424" i="1" s="1"/>
  <c r="E433" i="1"/>
  <c r="I433" i="1" s="1"/>
  <c r="E8" i="1"/>
  <c r="I8" i="1" s="1"/>
  <c r="E25" i="1"/>
  <c r="I25" i="1" s="1"/>
  <c r="E33" i="1"/>
  <c r="I33" i="1" s="1"/>
  <c r="E52" i="1"/>
  <c r="I52" i="1" s="1"/>
  <c r="E63" i="1"/>
  <c r="I63" i="1" s="1"/>
  <c r="E82" i="1"/>
  <c r="I82" i="1" s="1"/>
  <c r="E91" i="1"/>
  <c r="I91" i="1" s="1"/>
  <c r="E101" i="1"/>
  <c r="I101" i="1" s="1"/>
  <c r="E110" i="1"/>
  <c r="I110" i="1" s="1"/>
  <c r="E147" i="1"/>
  <c r="I147" i="1" s="1"/>
  <c r="E157" i="1"/>
  <c r="I157" i="1" s="1"/>
  <c r="E166" i="1"/>
  <c r="I166" i="1" s="1"/>
  <c r="E174" i="1"/>
  <c r="I174" i="1" s="1"/>
  <c r="E182" i="1"/>
  <c r="I182" i="1" s="1"/>
  <c r="E191" i="1"/>
  <c r="I191" i="1" s="1"/>
  <c r="E201" i="1"/>
  <c r="I201" i="1" s="1"/>
  <c r="E210" i="1"/>
  <c r="I210" i="1" s="1"/>
  <c r="E218" i="1"/>
  <c r="I218" i="1" s="1"/>
  <c r="E226" i="1"/>
  <c r="I226" i="1" s="1"/>
  <c r="E246" i="1"/>
  <c r="I246" i="1" s="1"/>
  <c r="E255" i="1"/>
  <c r="I255" i="1" s="1"/>
  <c r="E262" i="1"/>
  <c r="I262" i="1" s="1"/>
  <c r="E279" i="1"/>
  <c r="I279" i="1" s="1"/>
  <c r="E298" i="1"/>
  <c r="I298" i="1" s="1"/>
  <c r="E315" i="1"/>
  <c r="I315" i="1" s="1"/>
  <c r="E326" i="1"/>
  <c r="I326" i="1" s="1"/>
  <c r="E396" i="1"/>
  <c r="I396" i="1" s="1"/>
  <c r="E407" i="1"/>
  <c r="I407" i="1" s="1"/>
  <c r="E415" i="1"/>
  <c r="I415" i="1" s="1"/>
  <c r="E425" i="1"/>
  <c r="I425" i="1" s="1"/>
  <c r="E434" i="1"/>
  <c r="I434" i="1" s="1"/>
  <c r="E444" i="1"/>
  <c r="I444" i="1" s="1"/>
  <c r="E9" i="1"/>
  <c r="I9" i="1" s="1"/>
  <c r="E26" i="1"/>
  <c r="I26" i="1" s="1"/>
  <c r="E34" i="1"/>
  <c r="I34" i="1" s="1"/>
  <c r="E43" i="1"/>
  <c r="I43" i="1" s="1"/>
  <c r="E53" i="1"/>
  <c r="I53" i="1" s="1"/>
  <c r="E64" i="1"/>
  <c r="I64" i="1" s="1"/>
  <c r="E73" i="1"/>
  <c r="I73" i="1" s="1"/>
  <c r="E92" i="1"/>
  <c r="I92" i="1" s="1"/>
  <c r="E102" i="1"/>
  <c r="I102" i="1" s="1"/>
  <c r="E111" i="1"/>
  <c r="I111" i="1" s="1"/>
  <c r="E120" i="1"/>
  <c r="I120" i="1" s="1"/>
  <c r="E129" i="1"/>
  <c r="I129" i="1" s="1"/>
  <c r="E139" i="1"/>
  <c r="I139" i="1" s="1"/>
  <c r="E148" i="1"/>
  <c r="I148" i="1" s="1"/>
  <c r="E158" i="1"/>
  <c r="I158" i="1" s="1"/>
  <c r="E167" i="1"/>
  <c r="I167" i="1" s="1"/>
  <c r="E175" i="1"/>
  <c r="I175" i="1" s="1"/>
  <c r="E192" i="1"/>
  <c r="I192" i="1" s="1"/>
  <c r="E202" i="1"/>
  <c r="I202" i="1" s="1"/>
  <c r="E211" i="1"/>
  <c r="I211" i="1" s="1"/>
  <c r="E219" i="1"/>
  <c r="I219" i="1" s="1"/>
  <c r="E227" i="1"/>
  <c r="I227" i="1" s="1"/>
  <c r="E247" i="1"/>
  <c r="I247" i="1" s="1"/>
  <c r="E256" i="1"/>
  <c r="I256" i="1" s="1"/>
  <c r="E270" i="1"/>
  <c r="I270" i="1" s="1"/>
  <c r="E280" i="1"/>
  <c r="I280" i="1" s="1"/>
  <c r="E299" i="1"/>
  <c r="I299" i="1" s="1"/>
  <c r="E307" i="1"/>
  <c r="I307" i="1" s="1"/>
  <c r="E316" i="1"/>
  <c r="I316" i="1" s="1"/>
  <c r="E356" i="1"/>
  <c r="I356" i="1" s="1"/>
  <c r="E366" i="1"/>
  <c r="I366" i="1" s="1"/>
  <c r="E375" i="1"/>
  <c r="I375" i="1" s="1"/>
  <c r="E408" i="1"/>
  <c r="I408" i="1" s="1"/>
  <c r="E435" i="1"/>
  <c r="I435" i="1" s="1"/>
  <c r="E445" i="1"/>
  <c r="I445" i="1" s="1"/>
  <c r="E27" i="1"/>
  <c r="I27" i="1" s="1"/>
  <c r="E37" i="1"/>
  <c r="I37" i="1" s="1"/>
  <c r="E49" i="1"/>
  <c r="I49" i="1" s="1"/>
  <c r="E66" i="1"/>
  <c r="I66" i="1" s="1"/>
  <c r="E77" i="1"/>
  <c r="I77" i="1" s="1"/>
  <c r="E88" i="1"/>
  <c r="I88" i="1" s="1"/>
  <c r="E104" i="1"/>
  <c r="I104" i="1" s="1"/>
  <c r="E115" i="1"/>
  <c r="I115" i="1" s="1"/>
  <c r="E152" i="1"/>
  <c r="I152" i="1" s="1"/>
  <c r="E176" i="1"/>
  <c r="I176" i="1" s="1"/>
  <c r="E186" i="1"/>
  <c r="I186" i="1" s="1"/>
  <c r="E198" i="1"/>
  <c r="I198" i="1" s="1"/>
  <c r="E212" i="1"/>
  <c r="I212" i="1" s="1"/>
  <c r="E223" i="1"/>
  <c r="I223" i="1" s="1"/>
  <c r="E249" i="1"/>
  <c r="I249" i="1" s="1"/>
  <c r="E267" i="1"/>
  <c r="I267" i="1" s="1"/>
  <c r="E281" i="1"/>
  <c r="I281" i="1" s="1"/>
  <c r="E293" i="1"/>
  <c r="I293" i="1" s="1"/>
  <c r="E317" i="1"/>
  <c r="I317" i="1" s="1"/>
  <c r="E330" i="1"/>
  <c r="I330" i="1" s="1"/>
  <c r="E344" i="1"/>
  <c r="I344" i="1" s="1"/>
  <c r="E357" i="1"/>
  <c r="I357" i="1" s="1"/>
  <c r="E411" i="1"/>
  <c r="I411" i="1" s="1"/>
  <c r="E422" i="1"/>
  <c r="I422" i="1" s="1"/>
  <c r="E437" i="1"/>
  <c r="I437" i="1" s="1"/>
  <c r="E5" i="1"/>
  <c r="I5" i="1" s="1"/>
  <c r="E28" i="1"/>
  <c r="I28" i="1" s="1"/>
  <c r="E38" i="1"/>
  <c r="I38" i="1" s="1"/>
  <c r="E50" i="1"/>
  <c r="I50" i="1" s="1"/>
  <c r="E67" i="1"/>
  <c r="I67" i="1" s="1"/>
  <c r="E78" i="1"/>
  <c r="I78" i="1" s="1"/>
  <c r="E89" i="1"/>
  <c r="I89" i="1" s="1"/>
  <c r="E105" i="1"/>
  <c r="I105" i="1" s="1"/>
  <c r="E116" i="1"/>
  <c r="I116" i="1" s="1"/>
  <c r="E127" i="1"/>
  <c r="I127" i="1" s="1"/>
  <c r="E141" i="1"/>
  <c r="I141" i="1" s="1"/>
  <c r="E153" i="1"/>
  <c r="I153" i="1" s="1"/>
  <c r="E164" i="1"/>
  <c r="I164" i="1" s="1"/>
  <c r="E177" i="1"/>
  <c r="I177" i="1" s="1"/>
  <c r="E187" i="1"/>
  <c r="I187" i="1" s="1"/>
  <c r="E199" i="1"/>
  <c r="I199" i="1" s="1"/>
  <c r="E213" i="1"/>
  <c r="I213" i="1" s="1"/>
  <c r="E233" i="1"/>
  <c r="I233" i="1" s="1"/>
  <c r="E258" i="1"/>
  <c r="I258" i="1" s="1"/>
  <c r="E282" i="1"/>
  <c r="I282" i="1" s="1"/>
  <c r="E294" i="1"/>
  <c r="I294" i="1" s="1"/>
  <c r="E305" i="1"/>
  <c r="I305" i="1" s="1"/>
  <c r="E318" i="1"/>
  <c r="I318" i="1" s="1"/>
  <c r="E331" i="1"/>
  <c r="I331" i="1" s="1"/>
  <c r="E345" i="1"/>
  <c r="I345" i="1" s="1"/>
  <c r="E399" i="1"/>
  <c r="I399" i="1" s="1"/>
  <c r="E423" i="1"/>
  <c r="I423" i="1" s="1"/>
  <c r="E448" i="1"/>
  <c r="I448" i="1" s="1"/>
  <c r="E39" i="1"/>
  <c r="I39" i="1" s="1"/>
  <c r="E54" i="1"/>
  <c r="I54" i="1" s="1"/>
  <c r="E68" i="1"/>
  <c r="I68" i="1" s="1"/>
  <c r="E93" i="1"/>
  <c r="I93" i="1" s="1"/>
  <c r="E106" i="1"/>
  <c r="I106" i="1" s="1"/>
  <c r="E130" i="1"/>
  <c r="I130" i="1" s="1"/>
  <c r="E154" i="1"/>
  <c r="I154" i="1" s="1"/>
  <c r="E188" i="1"/>
  <c r="I188" i="1" s="1"/>
  <c r="E203" i="1"/>
  <c r="I203" i="1" s="1"/>
  <c r="E271" i="1"/>
  <c r="I271" i="1" s="1"/>
  <c r="E295" i="1"/>
  <c r="I295" i="1" s="1"/>
  <c r="E308" i="1"/>
  <c r="I308" i="1" s="1"/>
  <c r="E319" i="1"/>
  <c r="I319" i="1" s="1"/>
  <c r="E332" i="1"/>
  <c r="I332" i="1" s="1"/>
  <c r="E359" i="1"/>
  <c r="I359" i="1" s="1"/>
  <c r="E400" i="1"/>
  <c r="I400" i="1" s="1"/>
  <c r="E426" i="1"/>
  <c r="I426" i="1" s="1"/>
  <c r="E438" i="1"/>
  <c r="I438" i="1" s="1"/>
  <c r="E10" i="1"/>
  <c r="I10" i="1" s="1"/>
  <c r="E29" i="1"/>
  <c r="I29" i="1" s="1"/>
  <c r="E40" i="1"/>
  <c r="I40" i="1" s="1"/>
  <c r="E55" i="1"/>
  <c r="I55" i="1" s="1"/>
  <c r="E79" i="1"/>
  <c r="I79" i="1" s="1"/>
  <c r="E107" i="1"/>
  <c r="I107" i="1" s="1"/>
  <c r="E117" i="1"/>
  <c r="I117" i="1" s="1"/>
  <c r="E131" i="1"/>
  <c r="I131" i="1" s="1"/>
  <c r="E142" i="1"/>
  <c r="I142" i="1" s="1"/>
  <c r="E168" i="1"/>
  <c r="I168" i="1" s="1"/>
  <c r="E178" i="1"/>
  <c r="I178" i="1" s="1"/>
  <c r="E189" i="1"/>
  <c r="I189" i="1" s="1"/>
  <c r="E204" i="1"/>
  <c r="I204" i="1" s="1"/>
  <c r="E214" i="1"/>
  <c r="I214" i="1" s="1"/>
  <c r="E259" i="1"/>
  <c r="I259" i="1" s="1"/>
  <c r="E272" i="1"/>
  <c r="I272" i="1" s="1"/>
  <c r="E283" i="1"/>
  <c r="I283" i="1" s="1"/>
  <c r="E320" i="1"/>
  <c r="I320" i="1" s="1"/>
  <c r="E348" i="1"/>
  <c r="I348" i="1" s="1"/>
  <c r="E427" i="1"/>
  <c r="I427" i="1" s="1"/>
  <c r="E439" i="1"/>
  <c r="I439" i="1" s="1"/>
  <c r="E450" i="1"/>
  <c r="I450" i="1" s="1"/>
  <c r="E11" i="1"/>
  <c r="I11" i="1" s="1"/>
  <c r="E30" i="1"/>
  <c r="I30" i="1" s="1"/>
  <c r="E41" i="1"/>
  <c r="I41" i="1" s="1"/>
  <c r="E56" i="1"/>
  <c r="I56" i="1" s="1"/>
  <c r="E69" i="1"/>
  <c r="I69" i="1" s="1"/>
  <c r="E80" i="1"/>
  <c r="I80" i="1" s="1"/>
  <c r="E94" i="1"/>
  <c r="I94" i="1" s="1"/>
  <c r="E108" i="1"/>
  <c r="I108" i="1" s="1"/>
  <c r="E118" i="1"/>
  <c r="I118" i="1" s="1"/>
  <c r="E132" i="1"/>
  <c r="I132" i="1" s="1"/>
  <c r="E155" i="1"/>
  <c r="I155" i="1" s="1"/>
  <c r="E169" i="1"/>
  <c r="I169" i="1" s="1"/>
  <c r="E179" i="1"/>
  <c r="I179" i="1" s="1"/>
  <c r="E225" i="1"/>
  <c r="I225" i="1" s="1"/>
  <c r="E238" i="1"/>
  <c r="I238" i="1" s="1"/>
  <c r="E260" i="1"/>
  <c r="I260" i="1" s="1"/>
  <c r="E296" i="1"/>
  <c r="I296" i="1" s="1"/>
  <c r="E309" i="1"/>
  <c r="I309" i="1" s="1"/>
  <c r="E321" i="1"/>
  <c r="I321" i="1" s="1"/>
  <c r="E349" i="1"/>
  <c r="I349" i="1" s="1"/>
  <c r="E360" i="1"/>
  <c r="I360" i="1" s="1"/>
  <c r="E372" i="1"/>
  <c r="I372" i="1" s="1"/>
  <c r="E403" i="1"/>
  <c r="I403" i="1" s="1"/>
  <c r="E440" i="1"/>
  <c r="I440" i="1" s="1"/>
  <c r="E451" i="1"/>
  <c r="I451" i="1" s="1"/>
  <c r="E13" i="1"/>
  <c r="I13" i="1" s="1"/>
  <c r="E44" i="1"/>
  <c r="I44" i="1" s="1"/>
  <c r="E57" i="1"/>
  <c r="I57" i="1" s="1"/>
  <c r="E83" i="1"/>
  <c r="I83" i="1" s="1"/>
  <c r="E95" i="1"/>
  <c r="I95" i="1" s="1"/>
  <c r="E228" i="1"/>
  <c r="I228" i="1" s="1"/>
  <c r="E273" i="1"/>
  <c r="I273" i="1" s="1"/>
  <c r="E284" i="1"/>
  <c r="I284" i="1" s="1"/>
  <c r="E310" i="1"/>
  <c r="I310" i="1" s="1"/>
  <c r="E322" i="1"/>
  <c r="I322" i="1" s="1"/>
  <c r="E350" i="1"/>
  <c r="I350" i="1" s="1"/>
  <c r="E361" i="1"/>
  <c r="I361" i="1" s="1"/>
  <c r="E376" i="1"/>
  <c r="I376" i="1" s="1"/>
  <c r="E404" i="1"/>
  <c r="I404" i="1" s="1"/>
  <c r="E416" i="1"/>
  <c r="I416" i="1" s="1"/>
  <c r="E428" i="1"/>
  <c r="I428" i="1" s="1"/>
  <c r="E441" i="1"/>
  <c r="I441" i="1" s="1"/>
  <c r="E452" i="1"/>
  <c r="I452" i="1" s="1"/>
  <c r="E17" i="1"/>
  <c r="I17" i="1" s="1"/>
  <c r="E31" i="1"/>
  <c r="I31" i="1" s="1"/>
  <c r="E45" i="1"/>
  <c r="I45" i="1" s="1"/>
  <c r="E58" i="1"/>
  <c r="I58" i="1" s="1"/>
  <c r="E70" i="1"/>
  <c r="I70" i="1" s="1"/>
  <c r="E84" i="1"/>
  <c r="I84" i="1" s="1"/>
  <c r="E96" i="1"/>
  <c r="I96" i="1" s="1"/>
  <c r="E109" i="1"/>
  <c r="I109" i="1" s="1"/>
  <c r="E121" i="1"/>
  <c r="I121" i="1" s="1"/>
  <c r="E133" i="1"/>
  <c r="I133" i="1" s="1"/>
  <c r="E145" i="1"/>
  <c r="I145" i="1" s="1"/>
  <c r="E159" i="1"/>
  <c r="I159" i="1" s="1"/>
  <c r="E170" i="1"/>
  <c r="I170" i="1" s="1"/>
  <c r="E180" i="1"/>
  <c r="I180" i="1" s="1"/>
  <c r="E193" i="1"/>
  <c r="I193" i="1" s="1"/>
  <c r="E216" i="1"/>
  <c r="I216" i="1" s="1"/>
  <c r="E229" i="1"/>
  <c r="I229" i="1" s="1"/>
  <c r="E252" i="1"/>
  <c r="I252" i="1" s="1"/>
  <c r="E285" i="1"/>
  <c r="I285" i="1" s="1"/>
  <c r="E300" i="1"/>
  <c r="I300" i="1" s="1"/>
  <c r="E323" i="1"/>
  <c r="I323" i="1" s="1"/>
  <c r="E377" i="1"/>
  <c r="I377" i="1" s="1"/>
  <c r="E417" i="1"/>
  <c r="I417" i="1" s="1"/>
  <c r="E2" i="1"/>
  <c r="I2" i="1" s="1"/>
  <c r="E32" i="1"/>
  <c r="I32" i="1" s="1"/>
  <c r="E59" i="1"/>
  <c r="I59" i="1" s="1"/>
  <c r="E71" i="1"/>
  <c r="I71" i="1" s="1"/>
  <c r="E97" i="1"/>
  <c r="I97" i="1" s="1"/>
  <c r="E122" i="1"/>
  <c r="I122" i="1" s="1"/>
  <c r="E134" i="1"/>
  <c r="I134" i="1" s="1"/>
  <c r="E171" i="1"/>
  <c r="I171" i="1" s="1"/>
  <c r="E194" i="1"/>
  <c r="I194" i="1" s="1"/>
  <c r="E206" i="1"/>
  <c r="I206" i="1" s="1"/>
  <c r="E217" i="1"/>
  <c r="I217" i="1" s="1"/>
  <c r="E253" i="1"/>
  <c r="I253" i="1" s="1"/>
  <c r="E263" i="1"/>
  <c r="I263" i="1" s="1"/>
  <c r="E275" i="1"/>
  <c r="I275" i="1" s="1"/>
  <c r="E286" i="1"/>
  <c r="I286" i="1" s="1"/>
  <c r="E301" i="1"/>
  <c r="I301" i="1" s="1"/>
  <c r="E311" i="1"/>
  <c r="I311" i="1" s="1"/>
  <c r="E324" i="1"/>
  <c r="I324" i="1" s="1"/>
  <c r="E339" i="1"/>
  <c r="I339" i="1" s="1"/>
  <c r="E406" i="1"/>
  <c r="I406" i="1" s="1"/>
  <c r="E418" i="1"/>
  <c r="I418" i="1" s="1"/>
  <c r="E429" i="1"/>
  <c r="I429" i="1" s="1"/>
  <c r="E442" i="1"/>
  <c r="I442" i="1" s="1"/>
  <c r="E22" i="1"/>
  <c r="I22" i="1" s="1"/>
  <c r="E46" i="1"/>
  <c r="I46" i="1" s="1"/>
  <c r="E60" i="1"/>
  <c r="I60" i="1" s="1"/>
  <c r="E74" i="1"/>
  <c r="I74" i="1" s="1"/>
  <c r="E85" i="1"/>
  <c r="I85" i="1" s="1"/>
  <c r="E112" i="1"/>
  <c r="I112" i="1" s="1"/>
  <c r="E123" i="1"/>
  <c r="I123" i="1" s="1"/>
  <c r="E135" i="1"/>
  <c r="I135" i="1" s="1"/>
  <c r="E149" i="1"/>
  <c r="I149" i="1" s="1"/>
  <c r="E160" i="1"/>
  <c r="I160" i="1" s="1"/>
  <c r="E195" i="1"/>
  <c r="I195" i="1" s="1"/>
  <c r="E207" i="1"/>
  <c r="I207" i="1" s="1"/>
  <c r="E230" i="1"/>
  <c r="I230" i="1" s="1"/>
  <c r="E242" i="1"/>
  <c r="I242" i="1" s="1"/>
  <c r="E302" i="1"/>
  <c r="I302" i="1" s="1"/>
  <c r="E312" i="1"/>
  <c r="I312" i="1" s="1"/>
  <c r="E327" i="1"/>
  <c r="I327" i="1" s="1"/>
  <c r="E419" i="1"/>
  <c r="I419" i="1" s="1"/>
  <c r="E430" i="1"/>
  <c r="I430" i="1" s="1"/>
  <c r="E443" i="1"/>
  <c r="I443" i="1" s="1"/>
  <c r="E35" i="1"/>
  <c r="I35" i="1" s="1"/>
  <c r="E47" i="1"/>
  <c r="I47" i="1" s="1"/>
  <c r="E61" i="1"/>
  <c r="I61" i="1" s="1"/>
  <c r="E98" i="1"/>
  <c r="I98" i="1" s="1"/>
  <c r="E113" i="1"/>
  <c r="I113" i="1" s="1"/>
  <c r="E124" i="1"/>
  <c r="I124" i="1" s="1"/>
  <c r="E136" i="1"/>
  <c r="I136" i="1" s="1"/>
  <c r="E150" i="1"/>
  <c r="I150" i="1" s="1"/>
  <c r="E161" i="1"/>
  <c r="I161" i="1" s="1"/>
  <c r="E172" i="1"/>
  <c r="I172" i="1" s="1"/>
  <c r="E184" i="1"/>
  <c r="I184" i="1" s="1"/>
  <c r="E196" i="1"/>
  <c r="I196" i="1" s="1"/>
  <c r="E220" i="1"/>
  <c r="I220" i="1" s="1"/>
  <c r="E231" i="1"/>
  <c r="I231" i="1" s="1"/>
  <c r="E243" i="1"/>
  <c r="I243" i="1" s="1"/>
  <c r="E265" i="1"/>
  <c r="I265" i="1" s="1"/>
  <c r="E290" i="1"/>
  <c r="I290" i="1" s="1"/>
  <c r="E328" i="1"/>
  <c r="I328" i="1" s="1"/>
  <c r="E341" i="1"/>
  <c r="I341" i="1" s="1"/>
  <c r="E420" i="1"/>
  <c r="I420" i="1" s="1"/>
  <c r="E431" i="1"/>
  <c r="I431" i="1" s="1"/>
  <c r="E3" i="1"/>
  <c r="I3" i="1" s="1"/>
  <c r="E23" i="1"/>
  <c r="I23" i="1" s="1"/>
  <c r="E36" i="1"/>
  <c r="I36" i="1" s="1"/>
  <c r="E48" i="1"/>
  <c r="I48" i="1" s="1"/>
  <c r="E75" i="1"/>
  <c r="I75" i="1" s="1"/>
  <c r="E86" i="1"/>
  <c r="I86" i="1" s="1"/>
  <c r="E99" i="1"/>
  <c r="I99" i="1" s="1"/>
  <c r="E125" i="1"/>
  <c r="I125" i="1" s="1"/>
  <c r="E137" i="1"/>
  <c r="I137" i="1" s="1"/>
  <c r="E151" i="1"/>
  <c r="I151" i="1" s="1"/>
  <c r="E162" i="1"/>
  <c r="I162" i="1" s="1"/>
  <c r="E173" i="1"/>
  <c r="I173" i="1" s="1"/>
  <c r="E208" i="1"/>
  <c r="I208" i="1" s="1"/>
  <c r="E221" i="1"/>
  <c r="I221" i="1" s="1"/>
  <c r="E244" i="1"/>
  <c r="I244" i="1" s="1"/>
  <c r="E277" i="1"/>
  <c r="I277" i="1" s="1"/>
  <c r="E291" i="1"/>
  <c r="I291" i="1" s="1"/>
  <c r="E303" i="1"/>
  <c r="I303" i="1" s="1"/>
  <c r="E313" i="1"/>
  <c r="I313" i="1" s="1"/>
  <c r="E368" i="1"/>
  <c r="I368" i="1" s="1"/>
  <c r="E421" i="1"/>
  <c r="I421" i="1" s="1"/>
  <c r="E432" i="1"/>
  <c r="I432" i="1" s="1"/>
  <c r="E446" i="1"/>
  <c r="I446" i="1" s="1"/>
  <c r="E4" i="1"/>
  <c r="I4" i="1" s="1"/>
  <c r="E65" i="1"/>
  <c r="I65" i="1" s="1"/>
  <c r="E76" i="1"/>
  <c r="I76" i="1" s="1"/>
  <c r="E87" i="1"/>
  <c r="I87" i="1" s="1"/>
  <c r="E103" i="1"/>
  <c r="I103" i="1" s="1"/>
  <c r="E114" i="1"/>
  <c r="I114" i="1" s="1"/>
  <c r="E126" i="1"/>
  <c r="I126" i="1" s="1"/>
  <c r="E163" i="1"/>
  <c r="I163" i="1" s="1"/>
  <c r="E185" i="1"/>
  <c r="I185" i="1" s="1"/>
  <c r="E222" i="1"/>
  <c r="I222" i="1" s="1"/>
  <c r="E232" i="1"/>
  <c r="I232" i="1" s="1"/>
  <c r="E248" i="1"/>
  <c r="I248" i="1" s="1"/>
  <c r="E257" i="1"/>
  <c r="I257" i="1" s="1"/>
  <c r="E266" i="1"/>
  <c r="I266" i="1" s="1"/>
  <c r="E292" i="1"/>
  <c r="I292" i="1" s="1"/>
  <c r="E304" i="1"/>
  <c r="I304" i="1" s="1"/>
  <c r="E329" i="1"/>
  <c r="I329" i="1" s="1"/>
  <c r="E410" i="1"/>
  <c r="I410" i="1" s="1"/>
  <c r="E436" i="1"/>
  <c r="I436" i="1" s="1"/>
  <c r="E447" i="1"/>
  <c r="I447" i="1" s="1"/>
</calcChain>
</file>

<file path=xl/sharedStrings.xml><?xml version="1.0" encoding="utf-8"?>
<sst xmlns="http://schemas.openxmlformats.org/spreadsheetml/2006/main" count="1213" uniqueCount="1209">
  <si>
    <t>Descripción</t>
  </si>
  <si>
    <t>Código</t>
  </si>
  <si>
    <t>{ INS-0001 }  Shampoo ev14 (22 kg)</t>
  </si>
  <si>
    <t>INS-0001</t>
  </si>
  <si>
    <t>{ INS-0006 }  Abrillantador de gomas</t>
  </si>
  <si>
    <t>INS-0006</t>
  </si>
  <si>
    <t>{ INS-0009 }  Rollo de 500 paños politex (5kg)</t>
  </si>
  <si>
    <t>INS-0009</t>
  </si>
  <si>
    <t>{ INS-0015 }  Lavallantas r7 (22KG)</t>
  </si>
  <si>
    <t>INS-0015</t>
  </si>
  <si>
    <t>{ INS-0017 }  Espuma activa super ev17 (22KG)</t>
  </si>
  <si>
    <t>INS-0017</t>
  </si>
  <si>
    <t>{ INS-0024 }  Cera E48 (20lt) mix</t>
  </si>
  <si>
    <t>INS-0024</t>
  </si>
  <si>
    <t>{ INS-0026 }   ( Shampoo tapiz) textil cleaner I1-5</t>
  </si>
  <si>
    <t>INS-0026</t>
  </si>
  <si>
    <t>{ INS-0027 }   ( Renovador de tableros) cockpit cleaner c4-5</t>
  </si>
  <si>
    <t>INS-0027</t>
  </si>
  <si>
    <t>{ INS-0029 }  Renovador de tableros alt.</t>
  </si>
  <si>
    <t>INS-0029</t>
  </si>
  <si>
    <t>{ INS-0030 }  Perfume citrico alt.</t>
  </si>
  <si>
    <t>INS-0030</t>
  </si>
  <si>
    <t>{ INS-0031 }  Lavatapiz A.</t>
  </si>
  <si>
    <t>INS-0031</t>
  </si>
  <si>
    <t>{ INS-0032 }  R8 Lavallantas  5 litros</t>
  </si>
  <si>
    <t>INS-0032</t>
  </si>
  <si>
    <t>{ INS-0033 }  X5 Process traffic hp 25 litros</t>
  </si>
  <si>
    <t>INS-0033</t>
  </si>
  <si>
    <t>{ INS-0034 }  X8 Process pre wash 25 litros</t>
  </si>
  <si>
    <t>INS-0034</t>
  </si>
  <si>
    <t>{ INS-0035 }  X46 Coatinium 25 litros</t>
  </si>
  <si>
    <t>INS-0035</t>
  </si>
  <si>
    <t>{ INS-0036 }  Ev11-25 brillant wax</t>
  </si>
  <si>
    <t>INS-0036</t>
  </si>
  <si>
    <t>{ REP-0001 }  Lanza con pistola perdente larga</t>
  </si>
  <si>
    <t>REP-0001</t>
  </si>
  <si>
    <t>{ REP-0007 }  Manguera 4,0 mts color azul</t>
  </si>
  <si>
    <t>REP-0007</t>
  </si>
  <si>
    <t>{ REP-0008 }  Manguera 3,5 mts color azul</t>
  </si>
  <si>
    <t>REP-0008</t>
  </si>
  <si>
    <t>{ REP-0009 }  Manguera 4,7 mts color azul</t>
  </si>
  <si>
    <t>REP-0009</t>
  </si>
  <si>
    <t>{ REP-0010 }  Niple recto bronce con PVC</t>
  </si>
  <si>
    <t>REP-0010</t>
  </si>
  <si>
    <t>{ REP-0011 }  Tee he 1/4 salida Cat</t>
  </si>
  <si>
    <t>REP-0011</t>
  </si>
  <si>
    <t>{ REP-0012 }  Codo PVC bronce 1/2</t>
  </si>
  <si>
    <t>REP-0012</t>
  </si>
  <si>
    <t>{ REP-0013 }  Tubo PVC diam 15 accoron</t>
  </si>
  <si>
    <t>REP-0013</t>
  </si>
  <si>
    <t>{ REP-0014 }  Lanza 1200mm por cepillo</t>
  </si>
  <si>
    <t>REP-0014</t>
  </si>
  <si>
    <t>{ REP-0015 }  Bomba de osmosis</t>
  </si>
  <si>
    <t>REP-0015</t>
  </si>
  <si>
    <t>{ REP-0016 }  Golilla 1/2</t>
  </si>
  <si>
    <t>REP-0016</t>
  </si>
  <si>
    <t>{ REP-0017 }  Junta bomba de osmosis</t>
  </si>
  <si>
    <t>REP-0017</t>
  </si>
  <si>
    <t>{ REP-0018 }  Manguera blanda aspirado shampoo mt RILSAN</t>
  </si>
  <si>
    <t>REP-0018</t>
  </si>
  <si>
    <t>{ REP-0019 }  Golilla 3/8</t>
  </si>
  <si>
    <t>REP-0019</t>
  </si>
  <si>
    <t>{ REP-0020 }  Bomba 3CP 1140 CAT</t>
  </si>
  <si>
    <t>REP-0020</t>
  </si>
  <si>
    <t>{ REP-0021 }  EV Burkert 287 1/2</t>
  </si>
  <si>
    <t>REP-0021</t>
  </si>
  <si>
    <t>{ REP-0022 }  Inyector Burket</t>
  </si>
  <si>
    <t>REP-0022</t>
  </si>
  <si>
    <t>{ REP-0023 }  Bomba dosificadora de shampoo</t>
  </si>
  <si>
    <t>REP-0023</t>
  </si>
  <si>
    <t>{ REP-0024 }  Bomba dosificadora de  cera</t>
  </si>
  <si>
    <t>REP-0024</t>
  </si>
  <si>
    <t>{ REP-0025 }  Tuerca inox para cubre fichero</t>
  </si>
  <si>
    <t>REP-0025</t>
  </si>
  <si>
    <t>{ REP-0026 }  Tornillo cubrefichero</t>
  </si>
  <si>
    <t>REP-0026</t>
  </si>
  <si>
    <t>{ REP-0027 }  Niple recto 1/2 HEX20</t>
  </si>
  <si>
    <t>REP-0027</t>
  </si>
  <si>
    <t>{ REP-0028 }  Unión americana 90° 1/2</t>
  </si>
  <si>
    <t>REP-0028</t>
  </si>
  <si>
    <t>{ REP-0029 }  Display de 3 cifras</t>
  </si>
  <si>
    <t>REP-0029</t>
  </si>
  <si>
    <t>{ REP-0030 }  Lanza alta presión</t>
  </si>
  <si>
    <t>REP-0030</t>
  </si>
  <si>
    <t>{ REP-0031 }  Tee inox 1/2 HEHEHI central</t>
  </si>
  <si>
    <t>REP-0031</t>
  </si>
  <si>
    <t>{ REP-0032 }  Portafichero</t>
  </si>
  <si>
    <t>REP-0032</t>
  </si>
  <si>
    <t>{ REP-0033 }  Extension EM 223</t>
  </si>
  <si>
    <t>REP-0033</t>
  </si>
  <si>
    <t>{ REP-0034 }  PLC simatic S7-200</t>
  </si>
  <si>
    <t>REP-0034</t>
  </si>
  <si>
    <t>{ REP-0035 }  Codo 90° 1/2 HEX20</t>
  </si>
  <si>
    <t>REP-0035</t>
  </si>
  <si>
    <t>{ REP-0036 }  Motor cat trifásico doble bobinado</t>
  </si>
  <si>
    <t>REP-0036</t>
  </si>
  <si>
    <t>{ REP-0037 }  Válvula Robex 1/2 entrada mself</t>
  </si>
  <si>
    <t>REP-0037</t>
  </si>
  <si>
    <t>{ REP-0038 }  Inyector 1/4\ espuma cepillo</t>
  </si>
  <si>
    <t>REP-0038</t>
  </si>
  <si>
    <t>{ REP-0039 }  Tee 1/4'' 6 mm inoxidable</t>
  </si>
  <si>
    <t>REP-0039</t>
  </si>
  <si>
    <t>{ REP-0040 }  Membrana electroválvula Burkert</t>
  </si>
  <si>
    <t>REP-0040</t>
  </si>
  <si>
    <t>{ REP-0041 }  Junta giratoria centro MTM 1/4</t>
  </si>
  <si>
    <t>REP-0041</t>
  </si>
  <si>
    <t>{ REP-0042 }  Junta giratoria extremo MTM 1/4</t>
  </si>
  <si>
    <t>REP-0042</t>
  </si>
  <si>
    <t>{ REP-0043 }  soporte superior fichero G20</t>
  </si>
  <si>
    <t>REP-0043</t>
  </si>
  <si>
    <t>{ REP-0044 }  Niple mango cepillo 3/8" he * 1/4" hi bronce</t>
  </si>
  <si>
    <t>REP-0044</t>
  </si>
  <si>
    <t>{ REP-0045 }  Pistón (Kit  reparación EV Burket 1/4\)</t>
  </si>
  <si>
    <t>REP-0045</t>
  </si>
  <si>
    <t>{ REP-0046 }  Kit válvulas esf aspir/entrega</t>
  </si>
  <si>
    <t>REP-0046</t>
  </si>
  <si>
    <t>{ REP-0047 }  Cable fichero 1,50 cm</t>
  </si>
  <si>
    <t>REP-0047</t>
  </si>
  <si>
    <t>{ REP-0048 }  Cerradura nueva Mself</t>
  </si>
  <si>
    <t>REP-0048</t>
  </si>
  <si>
    <t>{ REP-0049 }  Niple pvc conexión rápida 8 mm terminal polip.  1/4x8 mm</t>
  </si>
  <si>
    <t>REP-0049</t>
  </si>
  <si>
    <t>{ REP-0050 }  Tee 1/4x6mm PVC</t>
  </si>
  <si>
    <t>REP-0050</t>
  </si>
  <si>
    <t>{ REP-0051 }  Vaso portafiltro Mself</t>
  </si>
  <si>
    <t>REP-0051</t>
  </si>
  <si>
    <t>{ REP-0052 }  Bisagras centro puerta Mself</t>
  </si>
  <si>
    <t>REP-0052</t>
  </si>
  <si>
    <t>{ REP-0053 }  Boquilla manguera soplado Twister&amp;Dry</t>
  </si>
  <si>
    <t>REP-0053</t>
  </si>
  <si>
    <t>{ REP-0054 }  Manguera soplado Twister&amp;Dry</t>
  </si>
  <si>
    <t>REP-0054</t>
  </si>
  <si>
    <t>{ REP-0055 }  Filtro aspiradora tambor metálico</t>
  </si>
  <si>
    <t>REP-0055</t>
  </si>
  <si>
    <t>{ REP-0056 }  Cerradura aspiradora Twister &amp; Dry</t>
  </si>
  <si>
    <t>REP-0056</t>
  </si>
  <si>
    <t>{ REP-0057 }  Bisagras extremos puerta Mself</t>
  </si>
  <si>
    <t>REP-0057</t>
  </si>
  <si>
    <t>{ REP-0058 }  Adaptador parada de emergencia 09.01.915</t>
  </si>
  <si>
    <t>REP-0058</t>
  </si>
  <si>
    <t>{ REP-0059 }  Contacto auxiliar NC para parada de emergencia</t>
  </si>
  <si>
    <t>REP-0059</t>
  </si>
  <si>
    <t>{ REP-0060 }  Parada de emergencia rasante</t>
  </si>
  <si>
    <t>REP-0060</t>
  </si>
  <si>
    <t>{ REP-0061 }  Indicador luminoso BLU tabla 21- pos 9</t>
  </si>
  <si>
    <t>REP-0061</t>
  </si>
  <si>
    <t>{ REP-0062 }  Sensor de nivel de 2 contactos</t>
  </si>
  <si>
    <t>REP-0062</t>
  </si>
  <si>
    <t>{ REP-0063 }  Placa electróncia  twister reforzada  (tambor metálico 2010-11-12-14)</t>
  </si>
  <si>
    <t>REP-0063</t>
  </si>
  <si>
    <t>{ REP-0064 }  Cepillo completo italiano</t>
  </si>
  <si>
    <t>REP-0064</t>
  </si>
  <si>
    <t>{ REP-0065 }  Placa de aspirado Twister&amp;Dry M2 (tambor plástico-2013)</t>
  </si>
  <si>
    <t>REP-0065</t>
  </si>
  <si>
    <t>{ REP-0066 }  Plc S7-1200 cpu 1214C</t>
  </si>
  <si>
    <t>REP-0066</t>
  </si>
  <si>
    <t>{ REP-0067 }  Transformador Twister M2</t>
  </si>
  <si>
    <t>REP-0067</t>
  </si>
  <si>
    <t>{ REP-0068 }  Codo 45° para manguera de cepillo</t>
  </si>
  <si>
    <t>REP-0068</t>
  </si>
  <si>
    <t>{ REP-0069 }  Codo cepillo 90° inoxidable</t>
  </si>
  <si>
    <t>REP-0069</t>
  </si>
  <si>
    <t>{ REP-0070 }  Motor soplado twister tambor metálico</t>
  </si>
  <si>
    <t>REP-0070</t>
  </si>
  <si>
    <t>{ REP-0071 }  Mango goma asp S2 diam 38/60</t>
  </si>
  <si>
    <t>REP-0071</t>
  </si>
  <si>
    <t>{ REP-0072 }  Guarnición tubo aspirado y soplado TW S2</t>
  </si>
  <si>
    <t>REP-0072</t>
  </si>
  <si>
    <t>{ REP-0073 }  Manguera negra 9m 1/4</t>
  </si>
  <si>
    <t>REP-0073</t>
  </si>
  <si>
    <t>{ REP-0074 }  Fusible rápido 5x20 2A</t>
  </si>
  <si>
    <t>REP-0074</t>
  </si>
  <si>
    <t>{ REP-0075 }  Contador 24V 55x55mm (horometro)</t>
  </si>
  <si>
    <t>REP-0075</t>
  </si>
  <si>
    <t>{ REP-0076 }  Presóstato osmosis KP1</t>
  </si>
  <si>
    <t>REP-0076</t>
  </si>
  <si>
    <t>{ REP-0077 }  Válvula pulsar</t>
  </si>
  <si>
    <t>REP-0077</t>
  </si>
  <si>
    <t>{ REP-0081 }  Manguera conexión CAT</t>
  </si>
  <si>
    <t>REP-0081</t>
  </si>
  <si>
    <t>{ REP-0084 }  Perno distribución racco 1/2</t>
  </si>
  <si>
    <t>REP-0084</t>
  </si>
  <si>
    <t>{ REP-0085 }  Junta giratoria centro 3/8</t>
  </si>
  <si>
    <t>REP-0085</t>
  </si>
  <si>
    <t>{ REP-0086 }  Junta giratoria extremo 3/8</t>
  </si>
  <si>
    <t>REP-0086</t>
  </si>
  <si>
    <t>{ REP-0087 }  Boquilla plana aspiradora</t>
  </si>
  <si>
    <t>REP-0087</t>
  </si>
  <si>
    <t>{ REP-0088 }  Válv retencion 1/4 inoxidable conexión viton</t>
  </si>
  <si>
    <t>REP-0088</t>
  </si>
  <si>
    <t>{ REP-0089 }  Válvula europa bronce 1/2</t>
  </si>
  <si>
    <t>REP-0089</t>
  </si>
  <si>
    <t>{ REP-0090 }  reducción 1/2\-1/4\, inox uso cepillo USA</t>
  </si>
  <si>
    <t>REP-0090</t>
  </si>
  <si>
    <t>{ REP-0091 }  Perno distribución racco 3/8</t>
  </si>
  <si>
    <t>REP-0091</t>
  </si>
  <si>
    <t>{ REP-0092 }  Perno conector 3/8 CAT</t>
  </si>
  <si>
    <t>REP-0092</t>
  </si>
  <si>
    <t>{ REP-0093 }  Manguito giratorio FL 38M Asp</t>
  </si>
  <si>
    <t>REP-0093</t>
  </si>
  <si>
    <t>{ REP-0094 }  Niple inox HEHE 1/2</t>
  </si>
  <si>
    <t>REP-0094</t>
  </si>
  <si>
    <t>{ REP-0095 }  Tee inox 1/2 HIHEHI central</t>
  </si>
  <si>
    <t>REP-0095</t>
  </si>
  <si>
    <t>{ REP-0096 }  Codo 1/4 * 6mm  inoxidable</t>
  </si>
  <si>
    <t>REP-0096</t>
  </si>
  <si>
    <t>{ REP-0097 }  Protector boquilla lanza</t>
  </si>
  <si>
    <t>REP-0097</t>
  </si>
  <si>
    <t>{ REP-0098 }  Boquilla lanza 1/8</t>
  </si>
  <si>
    <t>REP-0098</t>
  </si>
  <si>
    <t>{ REP-0099 }  Manómetro glic. 0-12 bar</t>
  </si>
  <si>
    <t>REP-0099</t>
  </si>
  <si>
    <t>{ REP-0101 }  Caja electrica aspirado Twister&amp;Dry</t>
  </si>
  <si>
    <t>REP-0101</t>
  </si>
  <si>
    <t>{ REP-0102 }  Lanza mousse ST-75</t>
  </si>
  <si>
    <t>REP-0102</t>
  </si>
  <si>
    <t>{ REP-0103 }  Manómetro seco 0-6 bar</t>
  </si>
  <si>
    <t>REP-0103</t>
  </si>
  <si>
    <t>{ REP-0104 }  Display 4 cifras</t>
  </si>
  <si>
    <t>REP-0104</t>
  </si>
  <si>
    <t>{ REP-0105 }  Cable interfaz serial 9/25 para programación ficheros</t>
  </si>
  <si>
    <t>REP-0105</t>
  </si>
  <si>
    <t>{ REP-0109 }  Lexan para cubrefichero</t>
  </si>
  <si>
    <t>REP-0109</t>
  </si>
  <si>
    <t>{ REP-0110 }  Grifos Osmosis 1/2 AP</t>
  </si>
  <si>
    <t>REP-0110</t>
  </si>
  <si>
    <t>{ REP-0111 }  Niples girantes 1/2\F-1/2\M</t>
  </si>
  <si>
    <t>REP-0111</t>
  </si>
  <si>
    <t>{ REP-0112 }  Manguera rilsan 6x4 dura</t>
  </si>
  <si>
    <t>REP-0112</t>
  </si>
  <si>
    <t>{ REP-0113 }  Pulsador de tacto programas</t>
  </si>
  <si>
    <t>REP-0113</t>
  </si>
  <si>
    <t>{ REP-0114 }  Guarnizione filtro tabla 23 - pos.1 (sello poliuretano)</t>
  </si>
  <si>
    <t>REP-0114</t>
  </si>
  <si>
    <t>{ REP-0115 }  Cable fichero (40 cm)</t>
  </si>
  <si>
    <t>REP-0115</t>
  </si>
  <si>
    <t>{ REP-0116 }  EV 1/2 salida filtros L180</t>
  </si>
  <si>
    <t>REP-0116</t>
  </si>
  <si>
    <t>{ REP-0117 }  Numeral de aspirado tabla 21- pos.3</t>
  </si>
  <si>
    <t>REP-0117</t>
  </si>
  <si>
    <t>{ REP-0118 }  Manómetro ABS 0-250 bar</t>
  </si>
  <si>
    <t>REP-0118</t>
  </si>
  <si>
    <t>{ REP-0119 }  Junta (bomba 3cp) CAT</t>
  </si>
  <si>
    <t>REP-0119</t>
  </si>
  <si>
    <t>{ REP-0120 }  Schedino RM 927 (placa fichero pequeña)</t>
  </si>
  <si>
    <t>REP-0120</t>
  </si>
  <si>
    <t>{ REP-0121 }  Presóstato G1/4</t>
  </si>
  <si>
    <t>REP-0121</t>
  </si>
  <si>
    <t>{ REP-0122 }  Tee inox 1/4\x6mm</t>
  </si>
  <si>
    <t>REP-0122</t>
  </si>
  <si>
    <t>{ REP-0123 }  Manguera shampoo Rilsan 6x4 (lavallantas)</t>
  </si>
  <si>
    <t>REP-0123</t>
  </si>
  <si>
    <t>{ REP-0124 }  Campana (bomba 3p) CAT</t>
  </si>
  <si>
    <t>REP-0124</t>
  </si>
  <si>
    <t>{ REP-0125 }  Válvula no retorno Inoxidable 1/4''</t>
  </si>
  <si>
    <t>REP-0125</t>
  </si>
  <si>
    <t>{ REP-0126 }  Válvula de fondo para bidón shampoo</t>
  </si>
  <si>
    <t>REP-0126</t>
  </si>
  <si>
    <t>{ REP-0127 }  Golillas aislantes pulsadores</t>
  </si>
  <si>
    <t>REP-0127</t>
  </si>
  <si>
    <t>{ REP-0128 }  Kit EV sirai 3/4\ L131 (membrana electroválvula verde)</t>
  </si>
  <si>
    <t>REP-0128</t>
  </si>
  <si>
    <t>{ REP-0129 }  Kit filtro twister M2 (tambor plástico 2013)</t>
  </si>
  <si>
    <t>REP-0129</t>
  </si>
  <si>
    <t>{ REP-0132 }  Pistola renovador de neumático punta inoxidable</t>
  </si>
  <si>
    <t>REP-0132</t>
  </si>
  <si>
    <t>{ REP-0134 }  Válvula retención europa 3/4</t>
  </si>
  <si>
    <t>REP-0134</t>
  </si>
  <si>
    <t>{ REP-0135 }  Resorte de sistema vibración (conico)</t>
  </si>
  <si>
    <t>REP-0135</t>
  </si>
  <si>
    <t>{ REP-0136 }  Manómetro glic. 25 bar</t>
  </si>
  <si>
    <t>REP-0136</t>
  </si>
  <si>
    <t>{ REP-0137 }  Kit bidone Twister M2 (tambor aspiradora Plástico)</t>
  </si>
  <si>
    <t>REP-0137</t>
  </si>
  <si>
    <t>{ REP-0138 }  Contactor 24V</t>
  </si>
  <si>
    <t>REP-0138</t>
  </si>
  <si>
    <t>{ REP-0144 }  EV 1/4\ burket cod 125302w</t>
  </si>
  <si>
    <t>REP-0144</t>
  </si>
  <si>
    <t>{ REP-0145 }  Manguera lavallantas 8mm</t>
  </si>
  <si>
    <t>REP-0145</t>
  </si>
  <si>
    <t>{ REP-0147 }  Pistón cerámico Interpump</t>
  </si>
  <si>
    <t>REP-0147</t>
  </si>
  <si>
    <t>{ REP-0149 }  Kit de sellos de agua interpump</t>
  </si>
  <si>
    <t>REP-0149</t>
  </si>
  <si>
    <t>{ REP-0151 }  Motor trifásico de osmosis</t>
  </si>
  <si>
    <t>REP-0151</t>
  </si>
  <si>
    <t>{ REP-0152 }  EV sirai 3/4 bajada osmosis</t>
  </si>
  <si>
    <t>REP-0152</t>
  </si>
  <si>
    <t>{ REP-0153 }  Motor cat trifásico inverter</t>
  </si>
  <si>
    <t>REP-0153</t>
  </si>
  <si>
    <t>{ REP-0154 }  Conductivímetro c901</t>
  </si>
  <si>
    <t>REP-0154</t>
  </si>
  <si>
    <t>{ REP-0155 }  Campana lateral (bomba 3cp) CAT</t>
  </si>
  <si>
    <t>REP-0155</t>
  </si>
  <si>
    <t>{ REP-0156 }  Inyector colector pvc (blanco o negro)</t>
  </si>
  <si>
    <t>REP-0156</t>
  </si>
  <si>
    <t>{ REP-0157 }  O-ring separacion E/V</t>
  </si>
  <si>
    <t>REP-0157</t>
  </si>
  <si>
    <t>{ REP-0158 }  Conector recto 1/4 HI X 6mm</t>
  </si>
  <si>
    <t>REP-0158</t>
  </si>
  <si>
    <t>{ REP-0159 }  Flujometro 250 lt</t>
  </si>
  <si>
    <t>REP-0159</t>
  </si>
  <si>
    <t>{ REP-0160 }  Kit EV Burkert</t>
  </si>
  <si>
    <t>REP-0160</t>
  </si>
  <si>
    <t>{ REP-0161 }  Relé mini 24VCC finder</t>
  </si>
  <si>
    <t>REP-0161</t>
  </si>
  <si>
    <t>{ REP-0162 }  Contaimpulsos (numeral Mself)</t>
  </si>
  <si>
    <t>REP-0162</t>
  </si>
  <si>
    <t>{ REP-0164 }  Electroválvula L 180 Burket 3/4´´</t>
  </si>
  <si>
    <t>REP-0164</t>
  </si>
  <si>
    <t>{ REP-0165 }  Ingreso lateral Burket</t>
  </si>
  <si>
    <t>REP-0165</t>
  </si>
  <si>
    <t>{ REP-0168 }  Conexión rápida 1/4\ niple</t>
  </si>
  <si>
    <t>REP-0168</t>
  </si>
  <si>
    <t>{ REP-0169 }  Niple galvanizado1/2”</t>
  </si>
  <si>
    <t>REP-0169</t>
  </si>
  <si>
    <t>{ REP-0172 }  Conexión  rápida codo 1/4"</t>
  </si>
  <si>
    <t>REP-0172</t>
  </si>
  <si>
    <t>{ REP-0173 }  kit turbina twister m2 (motor aspiradora t. plástico)</t>
  </si>
  <si>
    <t>REP-0173</t>
  </si>
  <si>
    <t>{ REP-0175 }  Rele mini 24V DC 8A 250V azul</t>
  </si>
  <si>
    <t>REP-0175</t>
  </si>
  <si>
    <t>{ REP-0176 }  Motor mix dry 220v 7A (motor secado)</t>
  </si>
  <si>
    <t>REP-0176</t>
  </si>
  <si>
    <t>{ REP-0178 }  Pieza cierre lateral Burket</t>
  </si>
  <si>
    <t>REP-0178</t>
  </si>
  <si>
    <t>{ REP-0179 }  Transformador 400/220 twister</t>
  </si>
  <si>
    <t>REP-0179</t>
  </si>
  <si>
    <t>{ REP-0180 }  Lanza para MIX dry completa</t>
  </si>
  <si>
    <t>REP-0180</t>
  </si>
  <si>
    <t>{ REP-0181 }  Contactor 10 24V</t>
  </si>
  <si>
    <t>REP-0181</t>
  </si>
  <si>
    <t>{ REP-0182 }  Relé mini 24VCA finder</t>
  </si>
  <si>
    <t>REP-0182</t>
  </si>
  <si>
    <t>{ REP-0183 }  Ugello pos 23 - boquilla y pistola perfume</t>
  </si>
  <si>
    <t>REP-0183</t>
  </si>
  <si>
    <t>{ REP-0184 }  Relé auxiliar 10A</t>
  </si>
  <si>
    <t>REP-0184</t>
  </si>
  <si>
    <t>{ REP-0185 }  Rodillo lavatapete LTS400</t>
  </si>
  <si>
    <t>REP-0185</t>
  </si>
  <si>
    <t>{ REP-0187 }  Sensor conductivímetro</t>
  </si>
  <si>
    <t>REP-0187</t>
  </si>
  <si>
    <t>{ REP-0191 }  Extensión 8+8 Siemens</t>
  </si>
  <si>
    <t>REP-0191</t>
  </si>
  <si>
    <t>{ REP-0192 }  Microinterruptor contactor motor trifásico</t>
  </si>
  <si>
    <t>REP-0192</t>
  </si>
  <si>
    <t>{ REP-0198 }  Válvula robex con válvula retención 3/4\</t>
  </si>
  <si>
    <t>REP-0198</t>
  </si>
  <si>
    <t>{ REP-0202 }  Transformador 380 / 18 - 24 V</t>
  </si>
  <si>
    <t>REP-0202</t>
  </si>
  <si>
    <t>{ REP-0203 }  Recuadro Burket</t>
  </si>
  <si>
    <t>REP-0203</t>
  </si>
  <si>
    <t>{ REP-0204 }  Bomba cat 5 cp</t>
  </si>
  <si>
    <t>REP-0204</t>
  </si>
  <si>
    <t>{ REP-0205 }  Chapa aspirado tambor plástico (TW2013)</t>
  </si>
  <si>
    <t>REP-0205</t>
  </si>
  <si>
    <t>{ REP-0208 }  Válvula fondo de bidones dispens de producto</t>
  </si>
  <si>
    <t>REP-0208</t>
  </si>
  <si>
    <t>{ REP-0209 }  Motor 4Kw/2,8 Kw (Camiones)</t>
  </si>
  <si>
    <t>REP-0209</t>
  </si>
  <si>
    <t>{ REP-0219 }  Zocalo finder 2S</t>
  </si>
  <si>
    <t>REP-0219</t>
  </si>
  <si>
    <t>{ REP-0223 }  Tee de acople rapido x3 1/4</t>
  </si>
  <si>
    <t>REP-0223</t>
  </si>
  <si>
    <t>{ REP-0234 }  sujetador manguera aspiradora</t>
  </si>
  <si>
    <t>REP-0234</t>
  </si>
  <si>
    <t>{ REP-0236 }  Tuerca inoxidable protector fichero</t>
  </si>
  <si>
    <t>REP-0236</t>
  </si>
  <si>
    <t>{ REP-0237 }  Separador pvc (bomba 3cp) CAT</t>
  </si>
  <si>
    <t>REP-0237</t>
  </si>
  <si>
    <t>{ REP-0238 }  Sello de aceite (bomba 3cp) CAT</t>
  </si>
  <si>
    <t>REP-0238</t>
  </si>
  <si>
    <t>{ REP-0239 }  Pistón cerámicos (bomba 3cp) CAT</t>
  </si>
  <si>
    <t>REP-0239</t>
  </si>
  <si>
    <t>{ REP-0240 }  Perno culatín m8x65 (bomba 3cp) CAT</t>
  </si>
  <si>
    <t>REP-0240</t>
  </si>
  <si>
    <t>{ REP-0241 }  Kit de válvulas 33062 (bomba 3cp) CAT</t>
  </si>
  <si>
    <t>REP-0241</t>
  </si>
  <si>
    <t>{ REP-0242 }  Kit sellos de agua 33983 (bomba 3cp) CAT</t>
  </si>
  <si>
    <t>REP-0242</t>
  </si>
  <si>
    <t>{ REP-0243 }  Golilla cóncava pistón (bomba 3cp) CAT</t>
  </si>
  <si>
    <t>REP-0243</t>
  </si>
  <si>
    <t>{ REP-0245 }  O-ring tapa (bomba 3cp) CAT</t>
  </si>
  <si>
    <t>REP-0245</t>
  </si>
  <si>
    <t>{ REP-0246 }  Golilla pistón ranurada (bomba 3cp) CAT</t>
  </si>
  <si>
    <t>REP-0246</t>
  </si>
  <si>
    <t>{ REP-0247 }  O-ring tapa rodamiento (bomba 3cp) CAT</t>
  </si>
  <si>
    <t>REP-0247</t>
  </si>
  <si>
    <t>{ REP-0248 }  Retainer, plunger w/stud3/5cp</t>
  </si>
  <si>
    <t>REP-0248</t>
  </si>
  <si>
    <t>{ REP-0249 }  O-ring tapón inferior aceite (bomba 3cp) CAT</t>
  </si>
  <si>
    <t>REP-0249</t>
  </si>
  <si>
    <t>{ REP-0252 }  Portasello (bomba 3cp) CAT</t>
  </si>
  <si>
    <t>REP-0252</t>
  </si>
  <si>
    <t>{ REP-0253 }  Rodamiento (bomba 3cp) CAT</t>
  </si>
  <si>
    <t>REP-0253</t>
  </si>
  <si>
    <t>{ REP-0254 }  Tapón inferior aceite (bomba 3cp) CAT</t>
  </si>
  <si>
    <t>REP-0254</t>
  </si>
  <si>
    <t>{ REP-0255 }  Tapa válvula (bomba 3cp) CAT</t>
  </si>
  <si>
    <t>REP-0255</t>
  </si>
  <si>
    <t>{ REP-0256 }  Visor nivel de aceite (bomba 3cp) CAT</t>
  </si>
  <si>
    <t>REP-0256</t>
  </si>
  <si>
    <t>{ REP-0260 }  Ablandador en fibra, modelo HAF 1800 DA, operación automática.</t>
  </si>
  <si>
    <t>REP-0260</t>
  </si>
  <si>
    <t>{ REP-0262 }  Membrana de osmosis para nueva Mself</t>
  </si>
  <si>
    <t>REP-0262</t>
  </si>
  <si>
    <t>{ REP-0263 }  Filtro sedimentos</t>
  </si>
  <si>
    <t>REP-0263</t>
  </si>
  <si>
    <t>{ REP-0264 }  Filtro carbón activo</t>
  </si>
  <si>
    <t>REP-0264</t>
  </si>
  <si>
    <t>{ REP-0266 }  Limpiador spray acero inoxidable 3M</t>
  </si>
  <si>
    <t>REP-0266</t>
  </si>
  <si>
    <t>{ REP-0267 }  Paños pulidores extra finos (10 unidades)</t>
  </si>
  <si>
    <t>REP-0267</t>
  </si>
  <si>
    <t>{ REP-0268 }  Paños pulidores</t>
  </si>
  <si>
    <t>REP-0268</t>
  </si>
  <si>
    <t>{ REP-0269 }  Pulsador armado doble 1NA+1NC- LAY5- EL8325</t>
  </si>
  <si>
    <t>REP-0269</t>
  </si>
  <si>
    <t>{ REP-0270 }  Pulsador armadoverde 1NA+1NC- LAY5- EA31</t>
  </si>
  <si>
    <t>REP-0270</t>
  </si>
  <si>
    <t>{ REP-0271 }  Pulsador armado rojo 1NA+1NC - LAY5- EA42</t>
  </si>
  <si>
    <t>REP-0271</t>
  </si>
  <si>
    <t>{ REP-0273 }  Cepillo largo (USA)</t>
  </si>
  <si>
    <t>REP-0273</t>
  </si>
  <si>
    <t>{ REP-0274 }  Manguera brazo giratorio 1,55 mt</t>
  </si>
  <si>
    <t>REP-0274</t>
  </si>
  <si>
    <t>{ REP-0276 }  Electrobomba Espa 15,5M</t>
  </si>
  <si>
    <t>REP-0276</t>
  </si>
  <si>
    <t>{ REP-0277 }  Presóstato Italtécnica PM/5-1Bar</t>
  </si>
  <si>
    <t>REP-0277</t>
  </si>
  <si>
    <t>{ REP-0278 }  Válvula de pié estanque</t>
  </si>
  <si>
    <t>REP-0278</t>
  </si>
  <si>
    <t>{ REP-0280 }  Esfera kit hidropack</t>
  </si>
  <si>
    <t>REP-0280</t>
  </si>
  <si>
    <t>{ REP-0281 }  Filtro para válvula pie de estanque 1\</t>
  </si>
  <si>
    <t>REP-0281</t>
  </si>
  <si>
    <t>{ REP-0282 }  Válvula 5 vías bronce</t>
  </si>
  <si>
    <t>REP-0282</t>
  </si>
  <si>
    <t>{ REP-0283 }  Guardamotor electrobba</t>
  </si>
  <si>
    <t>REP-0283</t>
  </si>
  <si>
    <t>{ REP-0287 }  Gravilla Inquinat 25kg</t>
  </si>
  <si>
    <t>REP-0287</t>
  </si>
  <si>
    <t>{ REP-0289 }  Resorte filtro de aspirado</t>
  </si>
  <si>
    <t>REP-0289</t>
  </si>
  <si>
    <t>{ REP-0290 }  Golilla filtro aspirado</t>
  </si>
  <si>
    <t>REP-0290</t>
  </si>
  <si>
    <t>{ REP-0294 }  Ánodo magnesio frontal</t>
  </si>
  <si>
    <t>REP-0294</t>
  </si>
  <si>
    <t>{ REP-0295 }  Arosello para ánodo</t>
  </si>
  <si>
    <t>REP-0295</t>
  </si>
  <si>
    <t>{ REP-0296 }  Calefactor 3 Kw -220V (Resistencia)</t>
  </si>
  <si>
    <t>REP-0296</t>
  </si>
  <si>
    <t>{ REP-0298 }  Termo 100 Lt Trotter cincado 6 Kw</t>
  </si>
  <si>
    <t>REP-0298</t>
  </si>
  <si>
    <t>{ REP-0299 }  Bornera de conexión ceramica 3 polos Trotter</t>
  </si>
  <si>
    <t>REP-0299</t>
  </si>
  <si>
    <t>{ REP-0300 }  Calefactor CU 6KW flang (3x2) tipo L ( resistencia termo trifásico)</t>
  </si>
  <si>
    <t>REP-0300</t>
  </si>
  <si>
    <t>{ REP-0301 }  Termostato termo Trotter</t>
  </si>
  <si>
    <t>REP-0301</t>
  </si>
  <si>
    <t>{ REP-0304 }  Ficha aspirado vacuum token/vacuum token dorada (Abast, Socobar, Recabarren, Biec)</t>
  </si>
  <si>
    <t>REP-0304</t>
  </si>
  <si>
    <t>{ REP-0305 }  Ficha lavado ESMAX save water save the world/car wash dorada</t>
  </si>
  <si>
    <t>REP-0305</t>
  </si>
  <si>
    <t>{ REP-0307 }  Ficha aspirado COPEC mod \C\ personalizadas Lavamax</t>
  </si>
  <si>
    <t>REP-0307</t>
  </si>
  <si>
    <t>{ REP-0308 }  Ficha lavado autos/crown dorada (Recabarren-Bascuñan)</t>
  </si>
  <si>
    <t>REP-0308</t>
  </si>
  <si>
    <t>{ REP-0309 }  Ficha lavado COPEC mod \A\ personalizadas Lavamax</t>
  </si>
  <si>
    <t>REP-0309</t>
  </si>
  <si>
    <t>{ REP-0311 }  Ficha lavado part auto chico/no cash value red brass (Zambra, Socobar)</t>
  </si>
  <si>
    <t>REP-0311</t>
  </si>
  <si>
    <t>{ REP-0312 }  Ficha aspirado ESMAX vacuum token/aguila estrellas plateada</t>
  </si>
  <si>
    <t>REP-0312</t>
  </si>
  <si>
    <t>{ REP-0313 }  Ficha lavado corona/escudo Dorada PANATT/EING</t>
  </si>
  <si>
    <t>REP-0313</t>
  </si>
  <si>
    <t>{ REP-0314 }  Inverter 2,2 KW 3AC380-480V</t>
  </si>
  <si>
    <t>REP-0314</t>
  </si>
  <si>
    <t>{ REP-0315 }  Ventilador 80x80 24V AC</t>
  </si>
  <si>
    <t>REP-0315</t>
  </si>
  <si>
    <t>{ REP-0316 }  Int. Aut. C60N 3P 16A</t>
  </si>
  <si>
    <t>REP-0316</t>
  </si>
  <si>
    <t>{ REP-0317 }  Int. MT 6KA 1N 1MOD 2A C</t>
  </si>
  <si>
    <t>REP-0317</t>
  </si>
  <si>
    <t>{ REP-0318 }  Int. MT 10 KA 1P+1N D 2A</t>
  </si>
  <si>
    <t>REP-0318</t>
  </si>
  <si>
    <t>{ REP-0319 }  Int. mt 6KA 1N 1MOD 6A C</t>
  </si>
  <si>
    <t>REP-0319</t>
  </si>
  <si>
    <t>{ REP-0320 }  kit pistola+ manguera+soporte para sanitizado</t>
  </si>
  <si>
    <t>REP-0320</t>
  </si>
  <si>
    <t>{ REP-0321 }  Filtro pistola mousse</t>
  </si>
  <si>
    <t>REP-0321</t>
  </si>
  <si>
    <t>{ REP-0324 }  Ficha lavado part autos/rueda (La Serena Florida, Llolleo part)</t>
  </si>
  <si>
    <t>REP-0324</t>
  </si>
  <si>
    <t>{ REP-0325 }  Ficha asp part estrella-winner</t>
  </si>
  <si>
    <t>REP-0325</t>
  </si>
  <si>
    <t>{ REP-0326 }  Válvula de inyección verde</t>
  </si>
  <si>
    <t>REP-0326</t>
  </si>
  <si>
    <t>{ REP-0327 }  Válvula de inyección blanca</t>
  </si>
  <si>
    <t>REP-0327</t>
  </si>
  <si>
    <t>{ REP-0328 }  Resina sunresin SC 130</t>
  </si>
  <si>
    <t>REP-0328</t>
  </si>
  <si>
    <t>{ REP-0329 }  Manguera espiral + terminales para sanitizado</t>
  </si>
  <si>
    <t>REP-0329</t>
  </si>
  <si>
    <t>{ REP-0333 }  Filtro de sedimento texpro</t>
  </si>
  <si>
    <t>REP-0333</t>
  </si>
  <si>
    <t>{ REP-0336 }  Visera para display de 4 cifras</t>
  </si>
  <si>
    <t>REP-0336</t>
  </si>
  <si>
    <t>{ REP-0337 }  Válvula bola paso total 1/2 ( Bonomi Italiana)</t>
  </si>
  <si>
    <t>REP-0337</t>
  </si>
  <si>
    <t>{ REP-0338 }  Copla bronce  HI-HI 1/2 x 1/2 nacional</t>
  </si>
  <si>
    <t>REP-0338</t>
  </si>
  <si>
    <t>{ REP-0339 }  Kit analizador de durezas de alto rango 100 determinaciones</t>
  </si>
  <si>
    <t>REP-0339</t>
  </si>
  <si>
    <t>{ REP-0340 }  Pulsador armado azul contacto NO</t>
  </si>
  <si>
    <t>REP-0340</t>
  </si>
  <si>
    <t>{ REP-0341 }  Kit analizador de durezas bajo rango 100 determinaciones</t>
  </si>
  <si>
    <t>REP-0341</t>
  </si>
  <si>
    <t>{ REP-0344 }  EV 1/2 100 bar mousse</t>
  </si>
  <si>
    <t>REP-0344</t>
  </si>
  <si>
    <t>{ REP-0345 }  Termo 100lt Trotter inoxidable 6 kw</t>
  </si>
  <si>
    <t>REP-0345</t>
  </si>
  <si>
    <t>{ REP-0346 }   Soporte de plástico para manguera de soplado</t>
  </si>
  <si>
    <t>REP-0346</t>
  </si>
  <si>
    <t>{ REP-0347 }  Contactor 4KW DILEM 10 24V 50/60</t>
  </si>
  <si>
    <t>REP-0347</t>
  </si>
  <si>
    <t>{ REP-0348 }  Diferencial tipo B SIEMENE 5SV3342-4</t>
  </si>
  <si>
    <t>REP-0348</t>
  </si>
  <si>
    <t>{ REP-0350 }  Manguera 3,5 mts color rojo</t>
  </si>
  <si>
    <t>REP-0350</t>
  </si>
  <si>
    <t>{ REP-0351 }  Manguera 4,7 mts color gris</t>
  </si>
  <si>
    <t>REP-0351</t>
  </si>
  <si>
    <t>{ REP-0352 }  Manguera 4,0 mts color gris</t>
  </si>
  <si>
    <t>REP-0352</t>
  </si>
  <si>
    <t>{ REP-0353 }  Fichero nuevo RM5 evo</t>
  </si>
  <si>
    <t>REP-0353</t>
  </si>
  <si>
    <t>{ REP-0354 }  Reducción 1/2 A 1/4" bronce (bushing)</t>
  </si>
  <si>
    <t>REP-0354</t>
  </si>
  <si>
    <t>{ REP-0355 }   Oring para boquilla pistola mousse</t>
  </si>
  <si>
    <t>REP-0355</t>
  </si>
  <si>
    <t>{ REP-0356 }  Ficha lavado Abastible self service car wash/tu lavas tu brillas</t>
  </si>
  <si>
    <t>REP-0356</t>
  </si>
  <si>
    <t>{ REP-0357 }  Manguera 4,0 mts color rojo</t>
  </si>
  <si>
    <t>REP-0357</t>
  </si>
  <si>
    <t>{ REP-0360 }  Ficha dorada lava interni Lavamax multifunción</t>
  </si>
  <si>
    <t>REP-0360</t>
  </si>
  <si>
    <t>{ REP-0361 }  Carcasa de membrana de osmosis</t>
  </si>
  <si>
    <t>REP-0361</t>
  </si>
  <si>
    <t>{ REP-0362 }  Mango pistola mousse</t>
  </si>
  <si>
    <t>REP-0362</t>
  </si>
  <si>
    <t>{ REP-0363 }  Boquilla y cuerpo lanza mousse</t>
  </si>
  <si>
    <t>REP-0363</t>
  </si>
  <si>
    <t>{ REP-0364 }  Bomba dosificadora de mousse</t>
  </si>
  <si>
    <t>REP-0364</t>
  </si>
  <si>
    <t>{ REP-0365 }  Manguera 1/4" 1 mt color rojo ext. HE-HI 3/8</t>
  </si>
  <si>
    <t>REP-0365</t>
  </si>
  <si>
    <t>{ REP-0366 }  Codo bronce 1/4 HE- HI</t>
  </si>
  <si>
    <t>REP-0366</t>
  </si>
  <si>
    <t>{ REP-0367 }  Resina catiónica G8 CG8 saco de 28,32L</t>
  </si>
  <si>
    <t>REP-0367</t>
  </si>
  <si>
    <t>{ REP-0368 }  Gravilla silica malla 4"-8" saco</t>
  </si>
  <si>
    <t>REP-0368</t>
  </si>
  <si>
    <t>{ REP-0369 }  HF1 membrana de osmosis para MSELF</t>
  </si>
  <si>
    <t>REP-0369</t>
  </si>
  <si>
    <t>{ REP-0370 }  HR3 membrana de osmosis para MSELF</t>
  </si>
  <si>
    <t>REP-0370</t>
  </si>
  <si>
    <t>{ REP-0371 }  Ficha mod "B" no personalizadas (ex Abastible)</t>
  </si>
  <si>
    <t>REP-0371</t>
  </si>
  <si>
    <t>{ REP-0372 }  Ficha vacuum plateada (aspiradora)</t>
  </si>
  <si>
    <t>REP-0372</t>
  </si>
  <si>
    <t>{ REP-0373 }  Ficha carwash dorada (auto covertible)</t>
  </si>
  <si>
    <t>REP-0373</t>
  </si>
  <si>
    <t>{ REP-0374 }  Cubre fichero (lava interior)</t>
  </si>
  <si>
    <t>REP-0374</t>
  </si>
  <si>
    <t>{ REP-0375 }  Tarjeta electrónica lavainterior (lava interior)</t>
  </si>
  <si>
    <t>REP-0375</t>
  </si>
  <si>
    <t>{ REP-0376 }  Alimentador para tarjeta electrónica (lava interior)</t>
  </si>
  <si>
    <t>REP-0376</t>
  </si>
  <si>
    <t>{ REP-0377 }  Pulsador azul luminoso (lava interior)</t>
  </si>
  <si>
    <t>REP-0377</t>
  </si>
  <si>
    <t>{ REP-0378 }  Pulsador rojo luminoso (lava interior)</t>
  </si>
  <si>
    <t>REP-0378</t>
  </si>
  <si>
    <t>{ REP-0379 }  Bomba producto electromagnética (lava interior)</t>
  </si>
  <si>
    <t>REP-0379</t>
  </si>
  <si>
    <t>{ REP-0380 }  Espiral + pistola perfume (lava interior)</t>
  </si>
  <si>
    <t>REP-0380</t>
  </si>
  <si>
    <t>{ REP-0381 }  Espiral + pistola renovador (lava interior)</t>
  </si>
  <si>
    <t>REP-0381</t>
  </si>
  <si>
    <t>{ REP-0382 }  Filtro metálico aspirado (lava interior)</t>
  </si>
  <si>
    <t>REP-0382</t>
  </si>
  <si>
    <t>{ REP-0383 }  Kit aspiradora, boquilla, manguito y sujetador (lava interior)</t>
  </si>
  <si>
    <t>REP-0383</t>
  </si>
  <si>
    <t>{ REP-0385 }  Boquilla lavainteriores dry (lava interior)</t>
  </si>
  <si>
    <t>REP-0385</t>
  </si>
  <si>
    <t>{ REP-0386 }  Cepillo completo lavainteriores (lava interior)</t>
  </si>
  <si>
    <t>REP-0386</t>
  </si>
  <si>
    <t>{ REP-0387 }  Espiral lavainteriores dry (lava interior)</t>
  </si>
  <si>
    <t>REP-0387</t>
  </si>
  <si>
    <t>{ REP-0388 }  Manguera aspiración agua delgada (lava interior)</t>
  </si>
  <si>
    <t>REP-0388</t>
  </si>
  <si>
    <t>{ REP-0389 }  Motor modulo aspiración agua (lava interior)</t>
  </si>
  <si>
    <t>REP-0389</t>
  </si>
  <si>
    <t>{ REP-0390 }  Bomba modulo lavainteriores dry (lava interior)</t>
  </si>
  <si>
    <t>REP-0390</t>
  </si>
  <si>
    <t>{ REP-0391 }  Bisagra (lava interior)</t>
  </si>
  <si>
    <t>REP-0391</t>
  </si>
  <si>
    <t>{ REP-0392 }  Cerradura (lava interior)</t>
  </si>
  <si>
    <t>REP-0392</t>
  </si>
  <si>
    <t>{ REP-0393 }  Palanca interior cerradura (lava interior)</t>
  </si>
  <si>
    <t>REP-0393</t>
  </si>
  <si>
    <t>{ REP-0394 }  Interruptor ON/OFF (lava interior)</t>
  </si>
  <si>
    <t>REP-0394</t>
  </si>
  <si>
    <t>{ REP-0395 }  Cable (lava interior)</t>
  </si>
  <si>
    <t>REP-0395</t>
  </si>
  <si>
    <t>{ REP-0396 }  Perilla timer de programas (lava interior)</t>
  </si>
  <si>
    <t>REP-0396</t>
  </si>
  <si>
    <t>{ REP-0397 }  Contactor 24V NO (lava interior)</t>
  </si>
  <si>
    <t>REP-0397</t>
  </si>
  <si>
    <t>{ REP-0398 }  Interruptor térmico 4.2-5.7A (lava interior)</t>
  </si>
  <si>
    <t>REP-0398</t>
  </si>
  <si>
    <t>{ REP-0399 }  Mango sujetador aspirado interior(lava interior)</t>
  </si>
  <si>
    <t>REP-0399</t>
  </si>
  <si>
    <t>{ REP-0400 }  Electroválvula 230V 50HZ 1/4 (lava interior)</t>
  </si>
  <si>
    <t>REP-0400</t>
  </si>
  <si>
    <t>{ REP-0401 }  Gancho (lava interior)</t>
  </si>
  <si>
    <t>REP-0401</t>
  </si>
  <si>
    <t>{ REP-0403 }  Módulo regulador y mezcla producto (lava interior)</t>
  </si>
  <si>
    <t>REP-0403</t>
  </si>
  <si>
    <t>{ REP-0404 }  Contactor 230V NO (lava interior)</t>
  </si>
  <si>
    <t>REP-0404</t>
  </si>
  <si>
    <t>{ REP-0405 }  Motor aspirado con turbina (lava interior)</t>
  </si>
  <si>
    <t>REP-0405</t>
  </si>
  <si>
    <t>{ REP-0406 }  Codo 45° entrada tambor aspirado (lava interior)</t>
  </si>
  <si>
    <t>REP-0406</t>
  </si>
  <si>
    <t>{ REP-0407 }  Acople rápido de bombas (lava interior)</t>
  </si>
  <si>
    <t>REP-0407</t>
  </si>
  <si>
    <t>{ REP-0408 }  Tubo a espiral para perfume (lava interior)</t>
  </si>
  <si>
    <t>REP-0408</t>
  </si>
  <si>
    <t>{ REP-0409 }  Telaio SD/TI (lava interior)</t>
  </si>
  <si>
    <t>REP-0409</t>
  </si>
  <si>
    <t>{ REP-0410 }  Boquilla bronce para pistola (lava interior)</t>
  </si>
  <si>
    <t>REP-0410</t>
  </si>
  <si>
    <t>{ REP-0412 }  Boquilla verde para pistola (lava interior)</t>
  </si>
  <si>
    <t>REP-0412</t>
  </si>
  <si>
    <t>{ REP-0413 }  Tambor cilíndrico filtro aspirado</t>
  </si>
  <si>
    <t>REP-0413</t>
  </si>
  <si>
    <t>{ REP-0414 }   Manguito boquilla aspirado lava tapiz (lava interior)</t>
  </si>
  <si>
    <t>REP-0414</t>
  </si>
  <si>
    <t>{ REP-0415 }  Display (lava interior)</t>
  </si>
  <si>
    <t>REP-0415</t>
  </si>
  <si>
    <t>{ REP-0416 } 2022 Cubrefichero inox plus 2022</t>
  </si>
  <si>
    <t>REP-0416</t>
  </si>
  <si>
    <t>{ REP-0417 }  Lexan para cubrefichero plus 2022</t>
  </si>
  <si>
    <t>REP-0417</t>
  </si>
  <si>
    <t>{ REP-0418 }  Unión americana inoxidable de 1/2"</t>
  </si>
  <si>
    <t>REP-0418</t>
  </si>
  <si>
    <t>{ REP-0419 }  Manguera silicona D8/D5 150cm (lava interior)</t>
  </si>
  <si>
    <t>REP-0419</t>
  </si>
  <si>
    <t>{ REP-0424 }  Niple bronce 1/4 x 3/8 HE-HE</t>
  </si>
  <si>
    <t>REP-0424</t>
  </si>
  <si>
    <t>{ REP-0425 }  Niple bronce 1/4 HE HE</t>
  </si>
  <si>
    <t>REP-0425</t>
  </si>
  <si>
    <t>{ REP-0426 }  Niple bronce 3/4 x 1/2 HE HI</t>
  </si>
  <si>
    <t>REP-0426</t>
  </si>
  <si>
    <t>{ REP-0427 }  Niple bronce 3/4 x 1/2 HI HE</t>
  </si>
  <si>
    <t>REP-0427</t>
  </si>
  <si>
    <t>{ REP-0428 }  Terminal cachimba 1/2 HI</t>
  </si>
  <si>
    <t>REP-0428</t>
  </si>
  <si>
    <t>{ REP-0429 }  Terminal cachimba 1/2 HE</t>
  </si>
  <si>
    <t>REP-0429</t>
  </si>
  <si>
    <t>{ REP-0430 }  membranas de osmosis de CSM RE4021-BLN-K</t>
  </si>
  <si>
    <t>REP-0430</t>
  </si>
  <si>
    <t>{ REP-0431 }  Cabezal ablandador down flow válvula cleck</t>
  </si>
  <si>
    <t>REP-0431</t>
  </si>
  <si>
    <t>{ REP-0432 }  Codo inox 1/2 HE HI</t>
  </si>
  <si>
    <t>REP-0432</t>
  </si>
  <si>
    <t>{ REP-0433 }  Kit 269 Interpump</t>
  </si>
  <si>
    <t>REP-0433</t>
  </si>
  <si>
    <t>{ REP-0434 }  Kit 271 Interpump</t>
  </si>
  <si>
    <t>REP-0434</t>
  </si>
  <si>
    <t>{ REP-0435 }  Tapa carcasa osmosis</t>
  </si>
  <si>
    <t>REP-0435</t>
  </si>
  <si>
    <t>{ REP-0436 }  O´rings tapa carcasa de osmosis</t>
  </si>
  <si>
    <t>REP-0436</t>
  </si>
  <si>
    <t>{ REP-0437 }  Kit 343 bomba CAT</t>
  </si>
  <si>
    <t>REP-0437</t>
  </si>
  <si>
    <t>{ REP-0439 }  Bomba espa prisma 25 5M.</t>
  </si>
  <si>
    <t>REP-0439</t>
  </si>
  <si>
    <t>{ REP-0440 }  Tapón rojo (bomba 3cp) CAT</t>
  </si>
  <si>
    <t>REP-0440</t>
  </si>
  <si>
    <t>{ REP-0441 }  Culatín (bomba 3cp) CAT</t>
  </si>
  <si>
    <t>REP-0441</t>
  </si>
  <si>
    <t>{ REP-0442 }  Válvula rompe vacío</t>
  </si>
  <si>
    <t>REP-0442</t>
  </si>
  <si>
    <t>{ REP-0443 }  Manguera espiral 8MM sin terminales color rojo</t>
  </si>
  <si>
    <t>REP-0443</t>
  </si>
  <si>
    <t>{ REP-0445 }  Kit mousse mix</t>
  </si>
  <si>
    <t>REP-0445</t>
  </si>
  <si>
    <t>{ REP-0446 }  Resistencia termo Rheem 3200W</t>
  </si>
  <si>
    <t>REP-0446</t>
  </si>
  <si>
    <t>{ REP-0447 }  Cabezal ablandador Aguasin HAF-1200</t>
  </si>
  <si>
    <t>REP-0447</t>
  </si>
  <si>
    <t>{ REP-0448 }  Sello para separador tambor aspirado</t>
  </si>
  <si>
    <t>REP-0448</t>
  </si>
  <si>
    <t>{ REP-0450 }  Ánodo magnesio delgado</t>
  </si>
  <si>
    <t>REP-0450</t>
  </si>
  <si>
    <t>{ REP-0451 }  Tee acople rápido</t>
  </si>
  <si>
    <t>REP-0451</t>
  </si>
  <si>
    <t>{ REP-0452 }  Motor trifásico</t>
  </si>
  <si>
    <t>REP-0452</t>
  </si>
  <si>
    <t>{ REP-0453 }  Compresor lavainteriores</t>
  </si>
  <si>
    <t>REP-0453</t>
  </si>
  <si>
    <t>{ REP-0454 }  Bomba dosificadora de producto</t>
  </si>
  <si>
    <t>REP-0454</t>
  </si>
  <si>
    <t>{ REP-0455 }  Cabezal multifunción ROHS</t>
  </si>
  <si>
    <t>REP-0455</t>
  </si>
  <si>
    <t>{ REP-0456 }  Punto de control</t>
  </si>
  <si>
    <t>REP-0456</t>
  </si>
  <si>
    <t>{ REP-0457 }  Cuerpo de válvula 2000PF2</t>
  </si>
  <si>
    <t>REP-0457</t>
  </si>
  <si>
    <t>{ REP-0458 }  Disyuntor automático 4 polos</t>
  </si>
  <si>
    <t>REP-0458</t>
  </si>
  <si>
    <t>{ REP-0459 }  Bomba Interpump W-150</t>
  </si>
  <si>
    <t>REP-0459</t>
  </si>
  <si>
    <t>{ REP-0460 }  Mariposa para aspirado</t>
  </si>
  <si>
    <t>REP-0460</t>
  </si>
  <si>
    <t>{ REP-0462 }  Motor Hp3 M100 200/380B3</t>
  </si>
  <si>
    <t>REP-0462</t>
  </si>
  <si>
    <t>{ REP-0463 }  Membrana 4040</t>
  </si>
  <si>
    <t>REP-0463</t>
  </si>
  <si>
    <t>{ REP-0464 }  Kit anello tenutadi 18 bomba C2W2012</t>
  </si>
  <si>
    <t>REP-0464</t>
  </si>
  <si>
    <t>{ REP-0465 }  Kit anello radialed 15 bomba C2W2012</t>
  </si>
  <si>
    <t>REP-0465</t>
  </si>
  <si>
    <t>{ REP-0466 }  Kit válvula a/m bomba C2W2012</t>
  </si>
  <si>
    <t>REP-0466</t>
  </si>
  <si>
    <t>{ REP-0467 }  Válvula sobre presión 8 BAR</t>
  </si>
  <si>
    <t>REP-0467</t>
  </si>
  <si>
    <t>{ REP-0468 }  Interruptor luminoso termo Trotter</t>
  </si>
  <si>
    <t>REP-0468</t>
  </si>
  <si>
    <t>{ REP-0469 }  Válvula Seg 1/2 10 BAR termo Trotter</t>
  </si>
  <si>
    <t>REP-0469</t>
  </si>
  <si>
    <t>{ REP-0470 }  Porta filtro con elemento para compresor lavainterior</t>
  </si>
  <si>
    <t>REP-0470</t>
  </si>
  <si>
    <t>{ REP-0472 }  Ánodo grueso frontal 4 pernos</t>
  </si>
  <si>
    <t>REP-0472</t>
  </si>
  <si>
    <t>{ REP-0473 }  Orin´g ánodo grueso</t>
  </si>
  <si>
    <t>REP-0473</t>
  </si>
  <si>
    <t>{ REP-0475 }  Bomba dosificadora de cera Smart pro</t>
  </si>
  <si>
    <t>REP-0475</t>
  </si>
  <si>
    <t>{ REP-0476 }  Bomba dosificadora de shampoo/lava llantas Smart pro</t>
  </si>
  <si>
    <t>REP-0476</t>
  </si>
  <si>
    <t>{ REP-0477 }  Cuerpo reparación bomba Smart pro</t>
  </si>
  <si>
    <t>REP-0477</t>
  </si>
  <si>
    <t>{ REP-0478 }  Cuerpo reparación de bomba cera Smart pro</t>
  </si>
  <si>
    <t>REP-0478</t>
  </si>
  <si>
    <t>{ REP-0479 }  Válvula de fondo shampoo/lava llantas Smart pro</t>
  </si>
  <si>
    <t>REP-0479</t>
  </si>
  <si>
    <t>{ REP-0480 }  Válvula de fondo bidón cera Smart pro</t>
  </si>
  <si>
    <t>REP-0480</t>
  </si>
  <si>
    <t>{ REP-0481 }  Contenedor membrana osmosis Smart pro</t>
  </si>
  <si>
    <t>REP-0481</t>
  </si>
  <si>
    <t>{ REP-0482 }  Adaptador grifo Smart pro</t>
  </si>
  <si>
    <t>REP-0482</t>
  </si>
  <si>
    <t>{ REP-0483 }  Grifo 1/4 Smart pro</t>
  </si>
  <si>
    <t>REP-0483</t>
  </si>
  <si>
    <t>{ REP-0484 }  Válvula retención inox 1/2</t>
  </si>
  <si>
    <t>REP-0484</t>
  </si>
  <si>
    <t>{ REP-0485 }  Tee 1/2 HI,HI,HI, Inox Smart pro</t>
  </si>
  <si>
    <t>REP-0485</t>
  </si>
  <si>
    <t>{ REP-0486 }  Salida estanque agua desmineralizada</t>
  </si>
  <si>
    <t>REP-0486</t>
  </si>
  <si>
    <t>{ REP-0487 }  Foco esquina exterior Smart pro</t>
  </si>
  <si>
    <t>REP-0487</t>
  </si>
  <si>
    <t>{ REP-0488 }  Ampolleta led foco exterior Smart pro</t>
  </si>
  <si>
    <t>REP-0488</t>
  </si>
  <si>
    <t>{ REP-0489 }  Bisagra puerta frontal</t>
  </si>
  <si>
    <t>REP-0489</t>
  </si>
  <si>
    <t>{ REP-0490 }  Placa mini protección entrada fichero Smart pro</t>
  </si>
  <si>
    <t>REP-0490</t>
  </si>
  <si>
    <t>{ REP-0491 }  Perno largo Allen electroválvula de 1/2 (442)</t>
  </si>
  <si>
    <t>REP-0491</t>
  </si>
  <si>
    <t>{ REP-0492 }  Perno corto Allen electroválvula (442)</t>
  </si>
  <si>
    <t>REP-0492</t>
  </si>
  <si>
    <t>{ REP-0493 }  Filtro tipo Y</t>
  </si>
  <si>
    <t>REP-0493</t>
  </si>
  <si>
    <t>{ REP-0494 }  Contactor ABB para termo trifásico</t>
  </si>
  <si>
    <t>REP-0494</t>
  </si>
  <si>
    <t>{ REP-0495 }  Espiral de protección 10m</t>
  </si>
  <si>
    <t>REP-0495</t>
  </si>
  <si>
    <t>{ REP-0496 }  Manguera baja presión poliuretano 10M</t>
  </si>
  <si>
    <t>REP-0496</t>
  </si>
  <si>
    <t>{ REP-0497 }  Flexible aspiradora D.38</t>
  </si>
  <si>
    <t>REP-0497</t>
  </si>
  <si>
    <t>{ REP-0498 }  Válvula fondo bidón (lava interior)</t>
  </si>
  <si>
    <t>REP-0498</t>
  </si>
  <si>
    <t>{ REP-0499 }  Mango lanza AP</t>
  </si>
  <si>
    <t>REP-0499</t>
  </si>
  <si>
    <t>{ REP-0500 }  Boquilla metálica pistola mousse</t>
  </si>
  <si>
    <t>REP-0500</t>
  </si>
  <si>
    <t>{ REP-0501 }  Punta pistola de mousse</t>
  </si>
  <si>
    <t>REP-0501</t>
  </si>
  <si>
    <t>{ REP-0502 }  Termo eléctrico 200L 6kw.380v. ac. inox</t>
  </si>
  <si>
    <t>REP-0502</t>
  </si>
  <si>
    <t>{ REP-0503 }  Manguera entrada EV alta presión</t>
  </si>
  <si>
    <t>REP-0503</t>
  </si>
  <si>
    <t>{ REP-0504 }  Fusible placa de aspirado</t>
  </si>
  <si>
    <t>REP-0504</t>
  </si>
  <si>
    <t>{ REP-0505 }  Oring pequeño EV alta presión</t>
  </si>
  <si>
    <t>REP-0505</t>
  </si>
  <si>
    <t>{ REP-0506 }  Cuerpo cepillo (lava interior)</t>
  </si>
  <si>
    <t>REP-0506</t>
  </si>
  <si>
    <t>{ REP-0508 }  Lanza pistola perdente corta</t>
  </si>
  <si>
    <t>REP-0508</t>
  </si>
  <si>
    <t>{ REP-0509 }  Boquilla dry lavainterior alternativa</t>
  </si>
  <si>
    <t>REP-0509</t>
  </si>
  <si>
    <t>{ REP-0510 }  Ablandador twin 1600 kit completo</t>
  </si>
  <si>
    <t>REP-0510</t>
  </si>
  <si>
    <t>{ REP-0511 }  BIPASS CABEZAL 1"</t>
  </si>
  <si>
    <t>REP-0511</t>
  </si>
  <si>
    <t>{ REP-0512 }  CANASTILLO CABEZAL CON ORING.</t>
  </si>
  <si>
    <t>REP-0512</t>
  </si>
  <si>
    <t>{ REP-0513 }  RELE FINDER ZOCALO (KIT MOUSSE ECO)</t>
  </si>
  <si>
    <t>REP-0513</t>
  </si>
  <si>
    <t>{ REP-0514 }  BOUILLA PISTOLA MOUSSE ST-75 05 (KIT MOUSSE ECO )</t>
  </si>
  <si>
    <t>REP-0514</t>
  </si>
  <si>
    <t>{ REP-0515 }  PASADOR PUNTA PISTOLA DE MOUSSE</t>
  </si>
  <si>
    <t>REP-0515</t>
  </si>
  <si>
    <t>{ REP-0516 }  Sensor flotante de nivel ON / OFF</t>
  </si>
  <si>
    <t>REP-0516</t>
  </si>
  <si>
    <t>{ REP-0517 }  RELE ULTRADELGADO 24V</t>
  </si>
  <si>
    <t>REP-0517</t>
  </si>
  <si>
    <t>{ REP-0518 }  TUBO INOXIDABLE MANGO DE LANZA AP</t>
  </si>
  <si>
    <t>REP-0518</t>
  </si>
  <si>
    <t>{ REP-0519 }  TAPA INTERIOR LAVAINTERIOR</t>
  </si>
  <si>
    <t>REP-0519</t>
  </si>
  <si>
    <t>{ REP-0520 }  GATILLO PISTOLA NO PERDENTE AZUL</t>
  </si>
  <si>
    <t>REP-0520</t>
  </si>
  <si>
    <t>{ REP-0521 }  GATILLO PISTOLA PERDENTE CELESTE</t>
  </si>
  <si>
    <t>REP-0521</t>
  </si>
  <si>
    <t>{ REP-0522 }  CODO 3/8 HIHI</t>
  </si>
  <si>
    <t>REP-0522</t>
  </si>
  <si>
    <t>{ REP-0523 }  CERRADURA TUBULAR</t>
  </si>
  <si>
    <t>REP-0523</t>
  </si>
  <si>
    <t>{ REP-0524 }  CODO 3/8 HE 1/4HI BROCE</t>
  </si>
  <si>
    <t>REP-0524</t>
  </si>
  <si>
    <t>REP-0525</t>
  </si>
  <si>
    <t>{ REP-0526 }  KIT 127 ANILLOS AGUA BOMBA INTER SHELL</t>
  </si>
  <si>
    <t>REP-0526</t>
  </si>
  <si>
    <t>{ REP-0527 }  KIT 129 ANILLO EXPANSOR BOMBA INTER SHELL</t>
  </si>
  <si>
    <t>REP-0527</t>
  </si>
  <si>
    <t>{ REP-0528 }  KIT 123 VALVULAS ASPIRACION BOMBA INTER SHELL</t>
  </si>
  <si>
    <t>REP-0528</t>
  </si>
  <si>
    <t>{ REP-0529 }  KIT 23 SELLOS BOMBA INTER SHELL</t>
  </si>
  <si>
    <t>REP-0529</t>
  </si>
  <si>
    <t>{ REP-0530 }  LANZA CURVA 600MM</t>
  </si>
  <si>
    <t>REP-0530</t>
  </si>
  <si>
    <t>{ REP-0531 }  GUIA ASTA MSELF</t>
  </si>
  <si>
    <t>REP-0531</t>
  </si>
  <si>
    <t>{ REP-0532 }  ASTA MSELF</t>
  </si>
  <si>
    <t>REP-0532</t>
  </si>
  <si>
    <t>{ REP-0533 }  UNION CENTRAL MSELF</t>
  </si>
  <si>
    <t>REP-0533</t>
  </si>
  <si>
    <t>{ REP-0534 }  BOQUILLA RECTA DE LATON 1/2</t>
  </si>
  <si>
    <t>REP-0534</t>
  </si>
  <si>
    <t>{ REP-0535 }  VALVULA 3/4 RECTA</t>
  </si>
  <si>
    <t>REP-0535</t>
  </si>
  <si>
    <t>{ REP-0536 }  BOQUILLA CROMADA RECTA 3/4</t>
  </si>
  <si>
    <t>REP-0536</t>
  </si>
  <si>
    <t>{ REP-0537 }  MANGUEA ROJA 4.7 METROS</t>
  </si>
  <si>
    <t>REP-0537</t>
  </si>
  <si>
    <t>{ REP-0538 }  BISAGRA DE ASPIRADO</t>
  </si>
  <si>
    <t>REP-0538</t>
  </si>
  <si>
    <t>{ REP-0539 }  MARCO NEGRO DE PUERTA DE ASPIRADO</t>
  </si>
  <si>
    <t>REP-0539</t>
  </si>
  <si>
    <t>{ REP-0540 }  ASTA SUPERIOR E INFERIOR ASPIRADO</t>
  </si>
  <si>
    <t>REP-0540</t>
  </si>
  <si>
    <t>{ REP-0541 }  STIKER PARADA EMERGENCIA ASPIRADO</t>
  </si>
  <si>
    <t>REP-0541</t>
  </si>
  <si>
    <t>{ REP-0542 }  FICHERO ELECTRONICO SHELL</t>
  </si>
  <si>
    <t>REP-0542</t>
  </si>
  <si>
    <t>{ REP-0543 }  CAPUCHA SILICONA PULSADOR 22MM</t>
  </si>
  <si>
    <t>REP-0543</t>
  </si>
  <si>
    <t>{ REP-0544 }  TAPA PULSADORES 22 MM</t>
  </si>
  <si>
    <t>REP-0544</t>
  </si>
  <si>
    <t>{ REP-0545 }  VALVULA PULSAR BYPASS INCLUIDO</t>
  </si>
  <si>
    <t>REP-0545</t>
  </si>
  <si>
    <t>{ REP-0546 }  NIPLE RECTO 3/8 3/8 BRONCE</t>
  </si>
  <si>
    <t>REP-0546</t>
  </si>
  <si>
    <t>{ REP-0547 }  FICHA DORADA LAVADO SHELL</t>
  </si>
  <si>
    <t>REP-0547</t>
  </si>
  <si>
    <t>{ REP-0548 }  FICHA DE ASPIRADO SHELL</t>
  </si>
  <si>
    <t>REP-0548</t>
  </si>
  <si>
    <t>{ REP-0549 }  FICHERO COMPARACION PUNTO ROJO</t>
  </si>
  <si>
    <t>REP-0549</t>
  </si>
  <si>
    <t>{ REP-0550 }  FILTRO ASPIRADORA SHELL</t>
  </si>
  <si>
    <t>REP-0550</t>
  </si>
  <si>
    <t>{ REP-0551 }  Ablandador completo 13x54" (cabezal clack estanques e insumos)</t>
  </si>
  <si>
    <t>REP-0551</t>
  </si>
  <si>
    <t>{ REP-0552 }  Numeral (nacional)</t>
  </si>
  <si>
    <t>REP-0552</t>
  </si>
  <si>
    <t>{ REP-0553 }  Tee 3/8 HE X 3/8 HE X 3/8 HI</t>
  </si>
  <si>
    <t>REP-0553</t>
  </si>
  <si>
    <t>{ REP-0554 }  Junta nacional inter</t>
  </si>
  <si>
    <t>REP-0554</t>
  </si>
  <si>
    <t>{ REP-0555 }  Union tipo Y 14 MM</t>
  </si>
  <si>
    <t>REP-0555</t>
  </si>
  <si>
    <t>{ REP-0556 }  Reduccion 1/2x3/8</t>
  </si>
  <si>
    <t>REP-0556</t>
  </si>
  <si>
    <t>{ REP-0557 }  Niple conexion rapida 14MM</t>
  </si>
  <si>
    <t>REP-0557</t>
  </si>
  <si>
    <t>{ REP-0558 }  Kit porta fichero N</t>
  </si>
  <si>
    <t>REP-0558</t>
  </si>
  <si>
    <t>{ REP-0525 }  BOMBA INTER W154</t>
  </si>
  <si>
    <t>Precio 1S 2026</t>
  </si>
  <si>
    <t>REP-0559</t>
  </si>
  <si>
    <t>REP-0560</t>
  </si>
  <si>
    <t>REP-0561</t>
  </si>
  <si>
    <t>REP-0562</t>
  </si>
  <si>
    <t>REP-0563</t>
  </si>
  <si>
    <t>REP-0564</t>
  </si>
  <si>
    <t>REP-0565</t>
  </si>
  <si>
    <t>REP-0566</t>
  </si>
  <si>
    <t>REP-0567</t>
  </si>
  <si>
    <t>REP-0568</t>
  </si>
  <si>
    <t>REP-0569</t>
  </si>
  <si>
    <t>REP-0570</t>
  </si>
  <si>
    <t>REP-0571</t>
  </si>
  <si>
    <t>REP-0572</t>
  </si>
  <si>
    <t>REP-0573</t>
  </si>
  <si>
    <t>REP-0574</t>
  </si>
  <si>
    <t>REP-0575</t>
  </si>
  <si>
    <t>REP-0576</t>
  </si>
  <si>
    <t>REP-0577</t>
  </si>
  <si>
    <t>REP-0578</t>
  </si>
  <si>
    <t>REP-0579</t>
  </si>
  <si>
    <t>REP-0580</t>
  </si>
  <si>
    <t>REP-0581</t>
  </si>
  <si>
    <t>REP-0582</t>
  </si>
  <si>
    <t>REP-0583</t>
  </si>
  <si>
    <t>REP-0584</t>
  </si>
  <si>
    <t>REP-0585</t>
  </si>
  <si>
    <t>REP-0586</t>
  </si>
  <si>
    <t>REP-0587</t>
  </si>
  <si>
    <t>REP-0588</t>
  </si>
  <si>
    <t>REP-0589</t>
  </si>
  <si>
    <t>REP-0590</t>
  </si>
  <si>
    <t>REP-0591</t>
  </si>
  <si>
    <t>REP-0592</t>
  </si>
  <si>
    <t>REP-0593</t>
  </si>
  <si>
    <t>REP-0594</t>
  </si>
  <si>
    <t>REP-0595</t>
  </si>
  <si>
    <t>REP-0596</t>
  </si>
  <si>
    <t>REP-0597</t>
  </si>
  <si>
    <t>REP-0598</t>
  </si>
  <si>
    <t>REP-0599</t>
  </si>
  <si>
    <t>REP-0600</t>
  </si>
  <si>
    <t>REP-0601</t>
  </si>
  <si>
    <t>REP-0602</t>
  </si>
  <si>
    <t>REP-0603</t>
  </si>
  <si>
    <t>REP-0604</t>
  </si>
  <si>
    <t>REP-0605</t>
  </si>
  <si>
    <t>REP-0606</t>
  </si>
  <si>
    <t>REP-0607</t>
  </si>
  <si>
    <t>REP-0608</t>
  </si>
  <si>
    <t>REP-0609</t>
  </si>
  <si>
    <t>REP-0610</t>
  </si>
  <si>
    <t>REP-0611</t>
  </si>
  <si>
    <t>REP-0612</t>
  </si>
  <si>
    <t>REP-0613</t>
  </si>
  <si>
    <t>REP-0614</t>
  </si>
  <si>
    <t>REP-0615</t>
  </si>
  <si>
    <t>REP-0616</t>
  </si>
  <si>
    <t>REP-0617</t>
  </si>
  <si>
    <t>REP-0618</t>
  </si>
  <si>
    <t>REP-0619</t>
  </si>
  <si>
    <t>REP-0620</t>
  </si>
  <si>
    <t>REP-0621</t>
  </si>
  <si>
    <t>REP-0622</t>
  </si>
  <si>
    <t>REP-0623</t>
  </si>
  <si>
    <t>REP-0624</t>
  </si>
  <si>
    <t>REP-0625</t>
  </si>
  <si>
    <t>{ REP-0559 }  Pulsador 22 mm luz azul</t>
  </si>
  <si>
    <t>{ REP-0560 }  Zocalo 5 pines pulsador 22</t>
  </si>
  <si>
    <t>{ REP-0561 }  Brazo doble MTM</t>
  </si>
  <si>
    <t>{ REP-0562 }  Brazo giratorio tipo Z</t>
  </si>
  <si>
    <t>{ REP-0563 }  Controlador de agua</t>
  </si>
  <si>
    <t>{ REP-0564 }  Sistema kit invierno</t>
  </si>
  <si>
    <t>{ REP-0565 }  Boquilla lanza shell 1/8</t>
  </si>
  <si>
    <t>{ REP-0566 }  Manguera 1.63 hehe 1/4 recta y codo 90° brazo doble</t>
  </si>
  <si>
    <t>{ REP-0567 }  Manguera 1.77 hehe 1/4 recta y codo 90° brazo doble</t>
  </si>
  <si>
    <t>{ REP-0568 }  Aspiradora Luster</t>
  </si>
  <si>
    <t>{ REP-0569 }  Motor 5.5 hp 1450rpm</t>
  </si>
  <si>
    <t>{ REP-0571 }  Fuente de alimentacion 220 ac/24dc puente lavado</t>
  </si>
  <si>
    <t>{ REP-0572 }  Reductor de traslacion cepillo vertical puente lavado</t>
  </si>
  <si>
    <t>{ REP-0573 }  Inversor 1, 1KW-230V 1ph schneider puente lavado</t>
  </si>
  <si>
    <t>{ REP-0574 }  Motor de cepillo horizontal KW0.5 puente lavado</t>
  </si>
  <si>
    <t>{ REP-0575 }  Motor de giro lavallantas puente lavado</t>
  </si>
  <si>
    <t>{ REP-0576 }  Motor de traslacion cepillo vertical puente lavado</t>
  </si>
  <si>
    <t>{ REP-0577 }  Eletrobomba de acero inoxidable je 120T 0.9KW puente lavado</t>
  </si>
  <si>
    <t>{ REP-0578 }  Correa cinta pes azul 25mm puente lavado</t>
  </si>
  <si>
    <t>{ REP-0579 }  Reductor de traslacion puente derecho puente lavado</t>
  </si>
  <si>
    <t>{ REP-0580 }  Indicador luminoso led diamante izquierda L puente lavado</t>
  </si>
  <si>
    <t>{ REP-0581 }  Bomba dosificadora champu/llantas puente lavado</t>
  </si>
  <si>
    <t>{ REP-0582 }  Bomba dosificadora WAX 3L/H cera puente lavado</t>
  </si>
  <si>
    <t>{ REP-0583 }  Boquilla de espuma 1.2 1/4F puente lavado</t>
  </si>
  <si>
    <t>{ REP-0584 }  Bomba dosificadora EPDM 12L/H puente lavado</t>
  </si>
  <si>
    <t>{ REP-0585 }  Electrovalvula 90 de agua puente lavado</t>
  </si>
  <si>
    <t>{ REP-0586 }  Base modular plana para EV de aire puente lavado</t>
  </si>
  <si>
    <t>{ REP-0587 }  Modulo de absorcion de cepillos puente lavado</t>
  </si>
  <si>
    <t>{ REP-0588 }  Inversor schneider de 0.75KW-230V 1PH puente lavado</t>
  </si>
  <si>
    <t>{ REP-0589 }  Cilindro de inclinacion cepillo vertical puente lavado</t>
  </si>
  <si>
    <t>{ REP-0590 }  Expansion PL schneider 16 puente lavado</t>
  </si>
  <si>
    <t>{ REP-0591 }  Motor del reductor de traslacion 0.75KW puente lavado</t>
  </si>
  <si>
    <t>{ REP-0592 }  Reductor de traslacion puente de lavado izquierdo puente lavado</t>
  </si>
  <si>
    <t>{ REP-0593 }  Reductor para lavallantas puente lavado</t>
  </si>
  <si>
    <t>{ REP-0594 }  Bomba de alta presion puente lavado</t>
  </si>
  <si>
    <t>{ REP-0595 }  Motor KW0. 37 puente lavado</t>
  </si>
  <si>
    <t>{ REP-0596 }  Motor de secado con ventilacion trasera puente lavado</t>
  </si>
  <si>
    <t>{ REP-0597 }  Motor trifasico bomba de AP 8.5HP 4P 400/230 eje hueco puente lavado</t>
  </si>
  <si>
    <t>{ REP-0598 }  Motor secado horizontal puente lavado</t>
  </si>
  <si>
    <t>{ REP-0599 }  Caudalimetro pulsador de 1" 53IMP/L puente lavado</t>
  </si>
  <si>
    <t>{ REP-0601 }  Colector EV de agua puente lavado</t>
  </si>
  <si>
    <t>{ REP-0602 }  Conexion RJ45 CAN-OPEN puente lavado</t>
  </si>
  <si>
    <t>{ REP-0603 }  Regulador de presion 1/4 tuerca anular con monom puente lavado</t>
  </si>
  <si>
    <t>{ REP-0604 }  Admision de aire 1/4 puente lavado</t>
  </si>
  <si>
    <t>{ REP-0605 }  Unidad de filtro de aire manometro1/4 fil. librar puente lavado</t>
  </si>
  <si>
    <t>{ REP-0606 }  Modulo de seguridad 8DI puente lavado</t>
  </si>
  <si>
    <t>{ REP-0607 }  Valvula pulsar para interpmps VBX puente lavado</t>
  </si>
  <si>
    <t>{ REP-0608 }  Electrovalvula plano 5/2 puente lavado</t>
  </si>
  <si>
    <t>{ REP-0609 }  Electrovalvula flat 5/3 1/4 casol puente lavado</t>
  </si>
  <si>
    <t>{ REP-0610 }  PLC schneirder TMC241CECT 24R puente lavado</t>
  </si>
  <si>
    <t>{ REP-0611 }  Soporte de boquilla giratoria fil. 3/8 sin tuerca anular puente lavado</t>
  </si>
  <si>
    <t>{ REP-0612 }  Expansion de PLC sche 16DO puente lavado</t>
  </si>
  <si>
    <t>{ REP-0613 }  Boquilla metalica para tuercas rojas puente lavado</t>
  </si>
  <si>
    <t>{ REP-0614 }  Porta boquillas de emoliente puente lavado</t>
  </si>
  <si>
    <t>{ REP-0615 }  Adaptador de tarjeta rj45 de apertura de lata puente lavado</t>
  </si>
  <si>
    <t>{ REP-0616 }  Mnguera de conexon estanque cumulador de bombas de alta presion puente lavado</t>
  </si>
  <si>
    <t>{ REP-0617 }  Electrovalvula de aire 2 vias 1/8 NC 24VDC puente lavado</t>
  </si>
  <si>
    <t>{ REP-0618 }  Horquilla cilindro nuematico puente lavado</t>
  </si>
  <si>
    <t>{ REP-0619 }  Rueda de percha 80x25 puente lavado</t>
  </si>
  <si>
    <t>{ REP-0620 }  Boquilla fbl 686 1/4 4003 acero inox  puente lavado</t>
  </si>
  <si>
    <t>{ REP-0621 }  Clindro neumatico para inclinacion de lavaruedas y deflector puente lavado</t>
  </si>
  <si>
    <t>{ REP-0622 }  Interrptor remoto proximidad D18-5M-NO puente lavado</t>
  </si>
  <si>
    <t>{ REP-0623 }  Interruptor remoto proximidad omron 5mt-no puente lavado</t>
  </si>
  <si>
    <t>{ REP-0624 }  Boquilla giratoria 1/4-030-26° puente lavado</t>
  </si>
  <si>
    <t>{ REP-0625 }  Receptor de fotocelula md mt 30 puente lavado</t>
  </si>
  <si>
    <t>Vigente</t>
  </si>
  <si>
    <t>CÓDIGO</t>
  </si>
  <si>
    <t>ITEM</t>
  </si>
  <si>
    <t>S-02</t>
  </si>
  <si>
    <t>Mantención hidropack (trimestral)</t>
  </si>
  <si>
    <t>S-06</t>
  </si>
  <si>
    <t>Día mecánico local (día de semana)</t>
  </si>
  <si>
    <t>S-07</t>
  </si>
  <si>
    <t>Limpieza y reprogramación ficheros (en taller)</t>
  </si>
  <si>
    <t>S-08</t>
  </si>
  <si>
    <t>M. obra reparación bombas Cat (en taller)</t>
  </si>
  <si>
    <t>S-09</t>
  </si>
  <si>
    <t>M. obra cambio porta brazos inox (solo en día de semana)</t>
  </si>
  <si>
    <t>S-16</t>
  </si>
  <si>
    <t>Mantención termo monofásico (semestral)</t>
  </si>
  <si>
    <t>S-18</t>
  </si>
  <si>
    <t>M. obra carga completa ablandador (solo en día de semana)</t>
  </si>
  <si>
    <t>S-19</t>
  </si>
  <si>
    <t>Mantención cabezal ablandador (solo en día de semana)</t>
  </si>
  <si>
    <t>S-21</t>
  </si>
  <si>
    <t>M. obra cambio manguera interior brazo (no usar)</t>
  </si>
  <si>
    <t>S-22</t>
  </si>
  <si>
    <t>Visita técnica local (día de semana)</t>
  </si>
  <si>
    <t>S-23</t>
  </si>
  <si>
    <t>Visita técnica regiones (día de semana)</t>
  </si>
  <si>
    <t>S-25</t>
  </si>
  <si>
    <t>M. obra reparación/cambio mangueras externas</t>
  </si>
  <si>
    <t>S-26</t>
  </si>
  <si>
    <t>M. obra limpieza filtro de aspirado (responsabilidad del cliente)</t>
  </si>
  <si>
    <t>S-30</t>
  </si>
  <si>
    <t>Mantención termo trifásico (semestral)</t>
  </si>
  <si>
    <t>S-31</t>
  </si>
  <si>
    <t>Reparación motor de osmosis (en taller)</t>
  </si>
  <si>
    <t>S-32</t>
  </si>
  <si>
    <t>Reparación porta lanza (en taller)</t>
  </si>
  <si>
    <t>S-33</t>
  </si>
  <si>
    <t>Reparación portacepillo (en taller)</t>
  </si>
  <si>
    <t>S-34</t>
  </si>
  <si>
    <t>Reparación motor de soplado (en taller)</t>
  </si>
  <si>
    <t>S-35</t>
  </si>
  <si>
    <t>Reparación motor trifásico aspirado (en taller)</t>
  </si>
  <si>
    <t>S-36</t>
  </si>
  <si>
    <t>Reparación motor trifásico de lavado (en taller)</t>
  </si>
  <si>
    <t>S-37</t>
  </si>
  <si>
    <t>Mantención ablandador (semestral)</t>
  </si>
  <si>
    <t>S-38</t>
  </si>
  <si>
    <t>Día mecánico local (fin de semana)</t>
  </si>
  <si>
    <t>S-39</t>
  </si>
  <si>
    <t>Visita técnica local (fin de semana)</t>
  </si>
  <si>
    <t>S-40</t>
  </si>
  <si>
    <t>Visita técnica regiones (fin de semana)</t>
  </si>
  <si>
    <t>S-41</t>
  </si>
  <si>
    <t>Día mecánico regiones (día de semana)</t>
  </si>
  <si>
    <t>S-42</t>
  </si>
  <si>
    <t>Día mecánico regiones (fin de semana)</t>
  </si>
  <si>
    <t>S-43</t>
  </si>
  <si>
    <t>Instalación kit aldabas sin candados</t>
  </si>
  <si>
    <t>S-44</t>
  </si>
  <si>
    <t>Instalación kit aldabas con candados</t>
  </si>
  <si>
    <t>S-45</t>
  </si>
  <si>
    <t>Cambio válvula llenado ¾” estanque 500 lts</t>
  </si>
  <si>
    <t>S-46</t>
  </si>
  <si>
    <t xml:space="preserve">Cambio válvula fondo 1" estanque 500 lts </t>
  </si>
  <si>
    <t>S-47</t>
  </si>
  <si>
    <t>Cambio cúpula aspiradora reparada (no incluye stickers imagen)</t>
  </si>
  <si>
    <t>S-48</t>
  </si>
  <si>
    <t>Cambio cúpula lavadora reparada (no incluye stickers imagen)</t>
  </si>
  <si>
    <t>S-49</t>
  </si>
  <si>
    <t xml:space="preserve">Limpieza con pulido especial Mself sin mampara imagen </t>
  </si>
  <si>
    <t>S-50</t>
  </si>
  <si>
    <t>Limpieza con pulido especial Mself con mampara imagen</t>
  </si>
  <si>
    <t>S-51</t>
  </si>
  <si>
    <t>Cambio de base hidropack por base Inox.</t>
  </si>
  <si>
    <t>S-52</t>
  </si>
  <si>
    <t>Reparación porta brazo</t>
  </si>
  <si>
    <t>S-53</t>
  </si>
  <si>
    <t>Instalación Termo</t>
  </si>
  <si>
    <t>S-54</t>
  </si>
  <si>
    <t>Arriendo Bomba Cat (semanal)</t>
  </si>
  <si>
    <t>S-55</t>
  </si>
  <si>
    <t>Rectificación EV</t>
  </si>
  <si>
    <t>S-56</t>
  </si>
  <si>
    <t>M. obra adicional local</t>
  </si>
  <si>
    <t>S-57</t>
  </si>
  <si>
    <t>M. de obra adicional regional</t>
  </si>
  <si>
    <t>S-58</t>
  </si>
  <si>
    <t>Acondicionamiento brazo giratorio</t>
  </si>
  <si>
    <t>S-59</t>
  </si>
  <si>
    <t>Portalanza, Portacepillo nuevo</t>
  </si>
  <si>
    <t>S-60</t>
  </si>
  <si>
    <t>Visita Técnica Innecesaria o Rechaza</t>
  </si>
  <si>
    <t>S-61</t>
  </si>
  <si>
    <t>Rectificación EV AP</t>
  </si>
  <si>
    <t>S-62</t>
  </si>
  <si>
    <t>Cambio de Aceite</t>
  </si>
  <si>
    <t>S-90</t>
  </si>
  <si>
    <t>Conversión Portalanza en Portacepillo</t>
  </si>
  <si>
    <t>S-91</t>
  </si>
  <si>
    <t>Servicio de transporte e instalación proyecto.</t>
  </si>
  <si>
    <t>PRECIO 1S 2026</t>
  </si>
  <si>
    <t>% VARIACIÓN</t>
  </si>
  <si>
    <t>%Variación</t>
  </si>
  <si>
    <t>Nombre</t>
  </si>
  <si>
    <t>{ REP-0570 }  Motor aspiración agua y polvo</t>
  </si>
  <si>
    <t>Precio 2S 2026</t>
  </si>
  <si>
    <t>DIFERENCIA REPORTADA POR COMERCIAL</t>
  </si>
  <si>
    <t>REP-0626</t>
  </si>
  <si>
    <t>{ REP-0626 }  Kit instalacion manómetros</t>
  </si>
  <si>
    <t>REP-0627</t>
  </si>
  <si>
    <t>{ REP-0627 }  Presostato 1/4 puente lavado</t>
  </si>
  <si>
    <t>REP-0628</t>
  </si>
  <si>
    <t>{ REP-0628 }  Presostato 1/8 puente lavado</t>
  </si>
  <si>
    <t>REP-0631</t>
  </si>
  <si>
    <t>{ REP-0631 }  Cilindro neumatico de inclinacion de cepillos puente lavado</t>
  </si>
  <si>
    <t>REP-0632</t>
  </si>
  <si>
    <t>{ REP-0633 }  Espaciador para rueda de soporte para cepillos verticales PUENTE LAVADO</t>
  </si>
  <si>
    <t>REP-0633</t>
  </si>
  <si>
    <t>{ REP-0634 }  Rueda de soporte para cepillos verticales puente lavado</t>
  </si>
  <si>
    <t>REP-0634</t>
  </si>
  <si>
    <t>{ REP-0635 }  Rótula externa rueda de soporte para cepillos verticales puente lavado</t>
  </si>
  <si>
    <t>REP-0635</t>
  </si>
  <si>
    <t>{ REP-0636 }  Perno superior para Rueda de Soporte excéntrica para cepillos verticales PUENTE AVADO</t>
  </si>
  <si>
    <t>REP-0636</t>
  </si>
  <si>
    <t>{ REP-0637 }  Espaciador para rueda de soporte excentrica para cepillos verticales</t>
  </si>
  <si>
    <t>REP-0637</t>
  </si>
  <si>
    <t>{ REP-0638 }  Rueda de soporte excéntrica para cepillos verticales</t>
  </si>
  <si>
    <t>REP-0638</t>
  </si>
  <si>
    <t>{ REP-0639 }  Rótula externa rueda de soporte excéntrica para cepillos verticales</t>
  </si>
  <si>
    <t>REP-0639</t>
  </si>
  <si>
    <t>{ REP-0640 }  Guía plástica de anillos de seguridad</t>
  </si>
  <si>
    <t>REP-0640</t>
  </si>
  <si>
    <t>{ REP-0641 }  Electroválvula de alimentación de estanque de bombas de alta presión</t>
  </si>
  <si>
    <t>REP-0641</t>
  </si>
  <si>
    <t>{ REP-0642 }  Micro Switch de pie de seguridad</t>
  </si>
  <si>
    <t>REP-0642</t>
  </si>
  <si>
    <t>{ REP-0643 }  Borde amarillo de seguridad</t>
  </si>
  <si>
    <t>REP-0643</t>
  </si>
  <si>
    <t>{ REP-0632 }  Perno exentrico para rueda de soporte puente lavado</t>
  </si>
  <si>
    <t>REP-0644</t>
  </si>
  <si>
    <t>{ REP-0644 }  Estanque de resina para ablandador</t>
  </si>
  <si>
    <t>REP-0645</t>
  </si>
  <si>
    <t>{ REP-0645 }  Display Touch EX 205 MSELF</t>
  </si>
  <si>
    <t>REP-0646</t>
  </si>
  <si>
    <t xml:space="preserve">{ REP-0646 }  Ficha lavado personalizada Espinoza </t>
  </si>
  <si>
    <t>REP-0647</t>
  </si>
  <si>
    <t>{ REP-0647 }  Ficha aspirado personalizada Espinoza</t>
  </si>
  <si>
    <t>VIGENCIA</t>
  </si>
  <si>
    <t>{ REP-0600 }  Correa dentada de kevlar para cepillo horizontal puente lavado 5 mt</t>
  </si>
  <si>
    <t>CAMBIO DE FORMATO</t>
  </si>
  <si>
    <t>PRECIO 2S 2026</t>
  </si>
  <si>
    <t>NO HAY CAMBIO POR DECISIÓN GERENCIAL DH-PG</t>
  </si>
  <si>
    <t>INS-0037</t>
  </si>
  <si>
    <t>{ INS-0037 }  Espuma EV32 bidón 25 litros</t>
  </si>
  <si>
    <t>INS-0038</t>
  </si>
  <si>
    <t>{ INS-0038 }  Shampoo ev14 (27 kg)</t>
  </si>
  <si>
    <t>INS-0039</t>
  </si>
  <si>
    <t>{ INS-0039 }  Lavallantas r7 (27 KG)</t>
  </si>
  <si>
    <t>{ REP-0648 }  Tapa visor cámara de producto multifunción</t>
  </si>
  <si>
    <t>{ REP-0649 }  Sello para aspirado multifunción</t>
  </si>
  <si>
    <t>REP-0648</t>
  </si>
  <si>
    <t>REP-0649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</si>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</sst>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_ * #,##0_ ;_ * \-#,##0_ ;_ * &quot;-&quot;_ ;_ @_ 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9" fontId="3" fillId="0" borderId="1" xfId="2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2" borderId="1" xfId="1" applyFont="1" applyFill="1" applyBorder="1" applyAlignment="1">
      <alignment horizontal="center"/>
    </xf>
    <xf numFmtId="10" fontId="3" fillId="0" borderId="1" xfId="2" applyNumberFormat="1" applyFont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BASTECIMIENTO%20Y%20LOGISTICA\PRECIOS\LISTAS%20OFICIALES\2026-05-26%20Lista%20de%20Precios%20Vigente%20Primer%20Semestre%202026.xlsx" TargetMode="External"/><Relationship Id="rId1" Type="http://schemas.openxmlformats.org/officeDocument/2006/relationships/externalLinkPath" Target="file:///G:\Unidades%20compartidas\ABASTECIMIENTO%20Y%20LOGISTICA\PRECIOS\LISTAS%20OFICIALES\2026-05-26%20Lista%20de%20Precios%20Vigente%20Primer%20Semest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BASTECIMIENTO%20Y%20LOGISTICA\PRECIOS\LISTAS%20OFICIALES\2026.06.10.%20Matriz%20lista%20de%20precios.xlsx" TargetMode="External"/><Relationship Id="rId1" Type="http://schemas.openxmlformats.org/officeDocument/2006/relationships/externalLinkPath" Target="file:///G:\Unidades%20compartidas\ABASTECIMIENTO%20Y%20LOGISTICA\PRECIOS\LISTAS%20OFICIALES\2026.06.10.%20Matriz%20lista%20de%20preci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BASTECIMIENTO%20Y%20LOGISTICA\COBROS\LIQ%202025\LIQ%202025-12\2025-12%20REP.xlsx" TargetMode="External"/><Relationship Id="rId1" Type="http://schemas.openxmlformats.org/officeDocument/2006/relationships/externalLinkPath" Target="file:///G:\Unidades%20compartidas\ABASTECIMIENTO%20Y%20LOGISTICA\COBROS\LIQ%202025\LIQ%202025-12\2025-12%20RE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BASTECIMIENTO%20Y%20LOGISTICA\COMPRAS\2026-07-01%20NUEVO%20FORMATO\2026-07-01%20ANALISIS%20COMPRAS.xlsx" TargetMode="External"/><Relationship Id="rId1" Type="http://schemas.openxmlformats.org/officeDocument/2006/relationships/externalLinkPath" Target="file:///G:\Unidades%20compartidas\ABASTECIMIENTO%20Y%20LOGISTICA\COMPRAS\2026-07-01%20NUEVO%20FORMATO\2026-07-01%20ANALISIS%20COMP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UESTOS"/>
      <sheetName val="SERVICIOS"/>
    </sheetNames>
    <sheetDataSet>
      <sheetData sheetId="0">
        <row r="1">
          <cell r="A1" t="str">
            <v>Código</v>
          </cell>
          <cell r="B1" t="str">
            <v>Descripción</v>
          </cell>
          <cell r="C1" t="str">
            <v>Precio 2S 2025</v>
          </cell>
          <cell r="D1" t="str">
            <v>Precio 1S 2026</v>
          </cell>
        </row>
        <row r="2">
          <cell r="A2" t="str">
            <v>INS-0001</v>
          </cell>
          <cell r="B2" t="str">
            <v>{ INS-0001 }  Shampoo ev14 (22 kg)</v>
          </cell>
          <cell r="C2">
            <v>72630</v>
          </cell>
          <cell r="D2">
            <v>72630</v>
          </cell>
        </row>
        <row r="3">
          <cell r="A3" t="str">
            <v>INS-0006</v>
          </cell>
          <cell r="B3" t="str">
            <v>{ INS-0006 }  Abrillantador de gomas</v>
          </cell>
          <cell r="C3">
            <v>33197</v>
          </cell>
          <cell r="D3">
            <v>31785</v>
          </cell>
        </row>
        <row r="4">
          <cell r="A4" t="str">
            <v>INS-0009</v>
          </cell>
          <cell r="B4" t="str">
            <v>{ INS-0009 }  Rollo de 500 paños politex (5kg)</v>
          </cell>
          <cell r="C4">
            <v>126807</v>
          </cell>
          <cell r="D4">
            <v>121413</v>
          </cell>
        </row>
        <row r="5">
          <cell r="A5" t="str">
            <v>INS-0015</v>
          </cell>
          <cell r="B5" t="str">
            <v>{ INS-0015 }  Lavallantas r7 (22KG)</v>
          </cell>
          <cell r="C5">
            <v>92850</v>
          </cell>
          <cell r="D5">
            <v>92850</v>
          </cell>
        </row>
        <row r="6">
          <cell r="A6" t="str">
            <v>INS-0017</v>
          </cell>
          <cell r="B6" t="str">
            <v>{ INS-0017 }  Espuma activa super ev17 (22KG)</v>
          </cell>
          <cell r="C6">
            <v>80630</v>
          </cell>
          <cell r="D6">
            <v>80630</v>
          </cell>
        </row>
        <row r="7">
          <cell r="A7" t="str">
            <v>INS-0024</v>
          </cell>
          <cell r="B7" t="str">
            <v>{ INS-0024 }  Cera E48 (20lt) mix</v>
          </cell>
          <cell r="C7">
            <v>76139</v>
          </cell>
          <cell r="D7">
            <v>76139</v>
          </cell>
        </row>
        <row r="8">
          <cell r="A8" t="str">
            <v>INS-0026</v>
          </cell>
          <cell r="B8" t="str">
            <v>{ INS-0026 }   ( Shampoo tapiz) textil cleaner I1-5</v>
          </cell>
          <cell r="C8">
            <v>22506</v>
          </cell>
          <cell r="D8">
            <v>22879</v>
          </cell>
        </row>
        <row r="9">
          <cell r="A9" t="str">
            <v>INS-0027</v>
          </cell>
          <cell r="B9" t="str">
            <v>{ INS-0027 }   ( Renovador de tableros) cockpit cleaner c4-5</v>
          </cell>
          <cell r="C9">
            <v>27092</v>
          </cell>
          <cell r="D9">
            <v>27541</v>
          </cell>
        </row>
        <row r="10">
          <cell r="A10" t="str">
            <v>INS-0029</v>
          </cell>
          <cell r="B10" t="str">
            <v>{ INS-0029 }  Renovador de tableros alt.</v>
          </cell>
          <cell r="C10">
            <v>20000</v>
          </cell>
          <cell r="D10">
            <v>20000</v>
          </cell>
        </row>
        <row r="11">
          <cell r="A11" t="str">
            <v>INS-0030</v>
          </cell>
          <cell r="B11" t="str">
            <v>{ INS-0030 }  Perfume citrico alt.</v>
          </cell>
          <cell r="C11">
            <v>18001</v>
          </cell>
          <cell r="D11">
            <v>18001</v>
          </cell>
        </row>
        <row r="12">
          <cell r="A12" t="str">
            <v>INS-0031</v>
          </cell>
          <cell r="B12" t="str">
            <v>{ INS-0031 }  Lavatapiz A.</v>
          </cell>
          <cell r="C12">
            <v>15000</v>
          </cell>
          <cell r="D12">
            <v>15000</v>
          </cell>
        </row>
        <row r="13">
          <cell r="A13" t="str">
            <v>INS-0032</v>
          </cell>
          <cell r="B13" t="str">
            <v>{ INS-0032 }  R8 Lavallantas  5 litros</v>
          </cell>
          <cell r="C13">
            <v>50010</v>
          </cell>
          <cell r="D13">
            <v>50838</v>
          </cell>
        </row>
        <row r="14">
          <cell r="A14" t="str">
            <v>INS-0033</v>
          </cell>
          <cell r="B14" t="str">
            <v>{ INS-0033 }  X5 Process traffic hp 25 litros</v>
          </cell>
          <cell r="C14">
            <v>135719</v>
          </cell>
          <cell r="D14">
            <v>135719</v>
          </cell>
        </row>
        <row r="15">
          <cell r="A15" t="str">
            <v>INS-0034</v>
          </cell>
          <cell r="B15" t="str">
            <v>{ INS-0034 }  X8 Process pre wash 25 litros</v>
          </cell>
          <cell r="C15">
            <v>216464</v>
          </cell>
          <cell r="D15">
            <v>216464</v>
          </cell>
        </row>
        <row r="16">
          <cell r="A16" t="str">
            <v>INS-0035</v>
          </cell>
          <cell r="B16" t="str">
            <v>{ INS-0035 }  X46 Coatinium 25 litros</v>
          </cell>
          <cell r="C16">
            <v>355131</v>
          </cell>
          <cell r="D16">
            <v>355131</v>
          </cell>
        </row>
        <row r="17">
          <cell r="A17" t="str">
            <v>INS-0036</v>
          </cell>
          <cell r="B17" t="str">
            <v>{ INS-0036 }  Ev11-25 brillant wax</v>
          </cell>
          <cell r="C17">
            <v>99566</v>
          </cell>
          <cell r="D17">
            <v>101215</v>
          </cell>
        </row>
        <row r="18">
          <cell r="A18" t="str">
            <v>INS-0037</v>
          </cell>
          <cell r="B18" t="str">
            <v>{ INS-0037 }  Espuma EV32 bidón 25 litros</v>
          </cell>
          <cell r="C18" t="str">
            <v>Nvo</v>
          </cell>
          <cell r="D18">
            <v>99000</v>
          </cell>
        </row>
        <row r="19">
          <cell r="A19" t="str">
            <v>INS-0038</v>
          </cell>
          <cell r="B19" t="str">
            <v>{ INS-0038 }  Shampoo ev14 (27 kg)</v>
          </cell>
          <cell r="C19" t="str">
            <v>Nvo</v>
          </cell>
          <cell r="D19">
            <v>90613</v>
          </cell>
        </row>
        <row r="20">
          <cell r="A20" t="str">
            <v>INS-0039</v>
          </cell>
          <cell r="B20" t="str">
            <v>{ INS-0039 }  Lavallantas r7 (27 KG)</v>
          </cell>
          <cell r="C20" t="str">
            <v>Nvo</v>
          </cell>
          <cell r="D20">
            <v>115839</v>
          </cell>
        </row>
        <row r="21">
          <cell r="A21" t="str">
            <v>REP-0001</v>
          </cell>
          <cell r="B21" t="str">
            <v>{ REP-0001 }  Lanza con pistola perdente larga</v>
          </cell>
          <cell r="C21">
            <v>138958</v>
          </cell>
          <cell r="D21">
            <v>141259</v>
          </cell>
        </row>
        <row r="22">
          <cell r="A22" t="str">
            <v>REP-0007</v>
          </cell>
          <cell r="B22" t="str">
            <v>{ REP-0007 }  Manguera 4,0 mts color azul</v>
          </cell>
          <cell r="C22">
            <v>75033</v>
          </cell>
          <cell r="D22">
            <v>76275</v>
          </cell>
        </row>
        <row r="23">
          <cell r="A23" t="str">
            <v>REP-0008</v>
          </cell>
          <cell r="B23" t="str">
            <v>{ REP-0008 }  Manguera 3,5 mts color azul</v>
          </cell>
          <cell r="C23">
            <v>69480</v>
          </cell>
          <cell r="D23">
            <v>70630</v>
          </cell>
        </row>
        <row r="24">
          <cell r="A24" t="str">
            <v>REP-0009</v>
          </cell>
          <cell r="B24" t="str">
            <v>{ REP-0009 }  Manguera 4,7 mts color azul</v>
          </cell>
          <cell r="C24">
            <v>80599</v>
          </cell>
          <cell r="D24">
            <v>81933</v>
          </cell>
        </row>
        <row r="25">
          <cell r="A25" t="str">
            <v>REP-0010</v>
          </cell>
          <cell r="B25" t="str">
            <v>{ REP-0010 }  Niple recto bronce con PVC</v>
          </cell>
          <cell r="C25">
            <v>10325</v>
          </cell>
          <cell r="D25">
            <v>10496</v>
          </cell>
        </row>
        <row r="26">
          <cell r="A26" t="str">
            <v>REP-0011</v>
          </cell>
          <cell r="B26" t="str">
            <v>{ REP-0011 }  Tee he 1/4 salida Cat</v>
          </cell>
          <cell r="C26">
            <v>9114</v>
          </cell>
          <cell r="D26">
            <v>9265</v>
          </cell>
        </row>
        <row r="27">
          <cell r="A27" t="str">
            <v>REP-0012</v>
          </cell>
          <cell r="B27" t="str">
            <v>{ REP-0012 }  Codo PVC bronce 1/2</v>
          </cell>
          <cell r="C27">
            <v>15118</v>
          </cell>
          <cell r="D27">
            <v>15368</v>
          </cell>
        </row>
        <row r="28">
          <cell r="A28" t="str">
            <v>REP-0013</v>
          </cell>
          <cell r="B28" t="str">
            <v>{ REP-0013 }  Tubo PVC diam 15 accoron</v>
          </cell>
          <cell r="C28">
            <v>9018</v>
          </cell>
          <cell r="D28">
            <v>9167</v>
          </cell>
        </row>
        <row r="29">
          <cell r="A29" t="str">
            <v>REP-0014</v>
          </cell>
          <cell r="B29" t="str">
            <v>{ REP-0014 }  Lanza 1200mm por cepillo</v>
          </cell>
          <cell r="C29">
            <v>22763</v>
          </cell>
          <cell r="D29">
            <v>23140</v>
          </cell>
        </row>
        <row r="30">
          <cell r="A30" t="str">
            <v>REP-0015</v>
          </cell>
          <cell r="B30" t="str">
            <v>{ REP-0015 }  Bomba de osmosis</v>
          </cell>
          <cell r="C30">
            <v>323078</v>
          </cell>
          <cell r="D30">
            <v>328428</v>
          </cell>
        </row>
        <row r="31">
          <cell r="A31" t="str">
            <v>REP-0016</v>
          </cell>
          <cell r="B31" t="str">
            <v>{ REP-0016 }  Golilla 1/2</v>
          </cell>
          <cell r="C31">
            <v>1137</v>
          </cell>
          <cell r="D31">
            <v>1156</v>
          </cell>
        </row>
        <row r="32">
          <cell r="A32" t="str">
            <v>REP-0017</v>
          </cell>
          <cell r="B32" t="str">
            <v>{ REP-0017 }  Junta bomba de osmosis</v>
          </cell>
          <cell r="C32">
            <v>58361</v>
          </cell>
          <cell r="D32">
            <v>59327</v>
          </cell>
        </row>
        <row r="33">
          <cell r="A33" t="str">
            <v>REP-0018</v>
          </cell>
          <cell r="B33" t="str">
            <v>{ REP-0018 }  Manguera blanda aspirado shampoo mt RILSAN</v>
          </cell>
          <cell r="C33">
            <v>1591</v>
          </cell>
          <cell r="D33">
            <v>1572</v>
          </cell>
        </row>
        <row r="34">
          <cell r="A34" t="str">
            <v>REP-0019</v>
          </cell>
          <cell r="B34" t="str">
            <v>{ REP-0019 }  Golilla 3/8</v>
          </cell>
          <cell r="C34">
            <v>1287</v>
          </cell>
          <cell r="D34">
            <v>1308</v>
          </cell>
        </row>
        <row r="35">
          <cell r="A35" t="str">
            <v>REP-0020</v>
          </cell>
          <cell r="B35" t="str">
            <v>{ REP-0020 }  Bomba 3CP 1140 CAT</v>
          </cell>
          <cell r="C35">
            <v>954740</v>
          </cell>
          <cell r="D35">
            <v>1029069</v>
          </cell>
        </row>
        <row r="36">
          <cell r="A36" t="str">
            <v>REP-0021</v>
          </cell>
          <cell r="B36" t="str">
            <v>{ REP-0021 }  EV Burkert 287 1/2</v>
          </cell>
          <cell r="C36">
            <v>223041</v>
          </cell>
          <cell r="D36">
            <v>226734</v>
          </cell>
        </row>
        <row r="37">
          <cell r="A37" t="str">
            <v>REP-0022</v>
          </cell>
          <cell r="B37" t="str">
            <v>{ REP-0022 }  Inyector Burket</v>
          </cell>
          <cell r="C37">
            <v>82378</v>
          </cell>
          <cell r="D37">
            <v>83742</v>
          </cell>
        </row>
        <row r="38">
          <cell r="A38" t="str">
            <v>REP-0023</v>
          </cell>
          <cell r="B38" t="str">
            <v>{ REP-0023 }  Bomba dosificadora de shampoo</v>
          </cell>
          <cell r="C38">
            <v>317868</v>
          </cell>
          <cell r="D38">
            <v>323131</v>
          </cell>
        </row>
        <row r="39">
          <cell r="A39" t="str">
            <v>REP-0024</v>
          </cell>
          <cell r="B39" t="str">
            <v>{ REP-0024 }  Bomba dosificadora de  cera</v>
          </cell>
          <cell r="C39">
            <v>317868</v>
          </cell>
          <cell r="D39">
            <v>323131</v>
          </cell>
        </row>
        <row r="40">
          <cell r="A40" t="str">
            <v>REP-0025</v>
          </cell>
          <cell r="B40" t="str">
            <v>{ REP-0025 }  Tuerca inox para cubre fichero</v>
          </cell>
          <cell r="C40">
            <v>16158</v>
          </cell>
          <cell r="D40">
            <v>16426</v>
          </cell>
        </row>
        <row r="41">
          <cell r="A41" t="str">
            <v>REP-0026</v>
          </cell>
          <cell r="B41" t="str">
            <v>{ REP-0026 }  Tornillo cubrefichero</v>
          </cell>
          <cell r="C41">
            <v>161</v>
          </cell>
          <cell r="D41">
            <v>164</v>
          </cell>
        </row>
        <row r="42">
          <cell r="A42" t="str">
            <v>REP-0027</v>
          </cell>
          <cell r="B42" t="str">
            <v>{ REP-0027 }  Niple recto 1/2 HEX20</v>
          </cell>
          <cell r="C42">
            <v>6004</v>
          </cell>
          <cell r="D42">
            <v>6104</v>
          </cell>
        </row>
        <row r="43">
          <cell r="A43" t="str">
            <v>REP-0028</v>
          </cell>
          <cell r="B43" t="str">
            <v>{ REP-0028 }  Unión americana 90° 1/2</v>
          </cell>
          <cell r="C43">
            <v>13285</v>
          </cell>
          <cell r="D43">
            <v>13505</v>
          </cell>
        </row>
        <row r="44">
          <cell r="A44" t="str">
            <v>REP-0029</v>
          </cell>
          <cell r="B44" t="str">
            <v>{ REP-0029 }  Display de 3 cifras</v>
          </cell>
          <cell r="C44">
            <v>325694</v>
          </cell>
          <cell r="D44">
            <v>331088</v>
          </cell>
        </row>
        <row r="45">
          <cell r="A45" t="str">
            <v>REP-0030</v>
          </cell>
          <cell r="B45" t="str">
            <v>{ REP-0030 }  Lanza alta presión</v>
          </cell>
          <cell r="C45">
            <v>136578</v>
          </cell>
          <cell r="D45">
            <v>138839</v>
          </cell>
        </row>
        <row r="46">
          <cell r="A46" t="str">
            <v>REP-0031</v>
          </cell>
          <cell r="B46" t="str">
            <v>{ REP-0031 }  Tee inox 1/2 HEHEHI central</v>
          </cell>
          <cell r="C46">
            <v>11365</v>
          </cell>
          <cell r="D46">
            <v>11554</v>
          </cell>
        </row>
        <row r="47">
          <cell r="A47" t="str">
            <v>REP-0032</v>
          </cell>
          <cell r="B47" t="str">
            <v>{ REP-0032 }  Portafichero</v>
          </cell>
          <cell r="C47">
            <v>24081</v>
          </cell>
          <cell r="D47">
            <v>24480</v>
          </cell>
        </row>
        <row r="48">
          <cell r="A48" t="str">
            <v>REP-0033</v>
          </cell>
          <cell r="B48" t="str">
            <v>{ REP-0033 }  Extension EM 223</v>
          </cell>
          <cell r="C48">
            <v>1157987</v>
          </cell>
          <cell r="D48">
            <v>1177163</v>
          </cell>
        </row>
        <row r="49">
          <cell r="A49" t="str">
            <v>REP-0034</v>
          </cell>
          <cell r="B49" t="str">
            <v>{ REP-0034 }  PLC simatic S7-200</v>
          </cell>
          <cell r="C49">
            <v>3473960</v>
          </cell>
          <cell r="D49">
            <v>3531488</v>
          </cell>
        </row>
        <row r="50">
          <cell r="A50" t="str">
            <v>REP-0035</v>
          </cell>
          <cell r="B50" t="str">
            <v>{ REP-0035 }  Codo 90° 1/2 HEX20</v>
          </cell>
          <cell r="C50">
            <v>12009</v>
          </cell>
          <cell r="D50">
            <v>12208</v>
          </cell>
        </row>
        <row r="51">
          <cell r="A51" t="str">
            <v>REP-0036</v>
          </cell>
          <cell r="B51" t="str">
            <v>{ REP-0036 }  Motor cat trifásico doble bobinado</v>
          </cell>
          <cell r="C51">
            <v>1431951</v>
          </cell>
          <cell r="D51">
            <v>1455663</v>
          </cell>
        </row>
        <row r="52">
          <cell r="A52" t="str">
            <v>REP-0037</v>
          </cell>
          <cell r="B52" t="str">
            <v>{ REP-0037 }  Válvula Robex 1/2 entrada mself</v>
          </cell>
          <cell r="C52">
            <v>58189</v>
          </cell>
          <cell r="D52">
            <v>59153</v>
          </cell>
        </row>
        <row r="53">
          <cell r="A53" t="str">
            <v>REP-0038</v>
          </cell>
          <cell r="B53" t="str">
            <v>{ REP-0038 }  Inyector 1/4\ espuma cepillo</v>
          </cell>
          <cell r="C53">
            <v>19450</v>
          </cell>
          <cell r="D53">
            <v>19772</v>
          </cell>
        </row>
        <row r="54">
          <cell r="A54" t="str">
            <v>REP-0039</v>
          </cell>
          <cell r="B54" t="str">
            <v>{ REP-0039 }  Tee 1/4'' 6 mm inoxidable</v>
          </cell>
          <cell r="C54">
            <v>7613</v>
          </cell>
          <cell r="D54">
            <v>7739</v>
          </cell>
        </row>
        <row r="55">
          <cell r="A55" t="str">
            <v>REP-0040</v>
          </cell>
          <cell r="B55" t="str">
            <v>{ REP-0040 }  Membrana electroválvula Burkert</v>
          </cell>
          <cell r="C55">
            <v>40485</v>
          </cell>
          <cell r="D55">
            <v>41156</v>
          </cell>
        </row>
        <row r="56">
          <cell r="A56" t="str">
            <v>REP-0041</v>
          </cell>
          <cell r="B56" t="str">
            <v>{ REP-0041 }  Junta giratoria centro MTM 1/4</v>
          </cell>
          <cell r="C56">
            <v>85638</v>
          </cell>
          <cell r="D56">
            <v>87056</v>
          </cell>
        </row>
        <row r="57">
          <cell r="A57" t="str">
            <v>REP-0042</v>
          </cell>
          <cell r="B57" t="str">
            <v>{ REP-0042 }  Junta giratoria extremo MTM 1/4</v>
          </cell>
          <cell r="C57">
            <v>96012</v>
          </cell>
          <cell r="D57">
            <v>97602</v>
          </cell>
        </row>
        <row r="58">
          <cell r="A58" t="str">
            <v>REP-0043</v>
          </cell>
          <cell r="B58" t="str">
            <v>{ REP-0043 }  soporte superior fichero G20</v>
          </cell>
          <cell r="C58">
            <v>8642</v>
          </cell>
          <cell r="D58">
            <v>8785</v>
          </cell>
        </row>
        <row r="59">
          <cell r="A59" t="str">
            <v>REP-0044</v>
          </cell>
          <cell r="B59" t="str">
            <v>{ REP-0044 }  Niple mango cepillo 3/8" he * 1/4" hi bronce</v>
          </cell>
          <cell r="C59">
            <v>4428</v>
          </cell>
          <cell r="D59">
            <v>4502</v>
          </cell>
        </row>
        <row r="60">
          <cell r="A60" t="str">
            <v>REP-0045</v>
          </cell>
          <cell r="B60" t="str">
            <v>{ REP-0045 }  Pistón (Kit  reparación EV Burket 1/4\)</v>
          </cell>
          <cell r="C60">
            <v>28456</v>
          </cell>
          <cell r="D60">
            <v>28928</v>
          </cell>
        </row>
        <row r="61">
          <cell r="A61" t="str">
            <v>REP-0046</v>
          </cell>
          <cell r="B61" t="str">
            <v>{ REP-0046 }  Kit válvulas esf aspir/entrega</v>
          </cell>
          <cell r="C61">
            <v>49762</v>
          </cell>
          <cell r="D61">
            <v>50586</v>
          </cell>
        </row>
        <row r="62">
          <cell r="A62" t="str">
            <v>REP-0047</v>
          </cell>
          <cell r="B62" t="str">
            <v>{ REP-0047 }  Cable fichero 1,50 cm</v>
          </cell>
          <cell r="C62">
            <v>13038</v>
          </cell>
          <cell r="D62">
            <v>13253</v>
          </cell>
        </row>
        <row r="63">
          <cell r="A63" t="str">
            <v>REP-0048</v>
          </cell>
          <cell r="B63" t="str">
            <v>{ REP-0048 }  Cerradura nueva Mself</v>
          </cell>
          <cell r="C63">
            <v>76127</v>
          </cell>
          <cell r="D63">
            <v>77388</v>
          </cell>
        </row>
        <row r="64">
          <cell r="A64" t="str">
            <v>REP-0049</v>
          </cell>
          <cell r="B64" t="str">
            <v>{ REP-0049 }  Niple pvc conexión rápida 8 mm terminal polip.  1/4x8 mm</v>
          </cell>
          <cell r="C64">
            <v>3656</v>
          </cell>
          <cell r="D64">
            <v>3717</v>
          </cell>
        </row>
        <row r="65">
          <cell r="A65" t="str">
            <v>REP-0050</v>
          </cell>
          <cell r="B65" t="str">
            <v>{ REP-0050 }  Tee 1/4x6mm PVC</v>
          </cell>
          <cell r="C65">
            <v>4943</v>
          </cell>
          <cell r="D65">
            <v>5025</v>
          </cell>
        </row>
        <row r="66">
          <cell r="A66" t="str">
            <v>REP-0051</v>
          </cell>
          <cell r="B66" t="str">
            <v>{ REP-0051 }  Vaso portafiltro Mself</v>
          </cell>
          <cell r="C66">
            <v>40015</v>
          </cell>
          <cell r="D66">
            <v>40678</v>
          </cell>
        </row>
        <row r="67">
          <cell r="A67" t="str">
            <v>REP-0052</v>
          </cell>
          <cell r="B67" t="str">
            <v>{ REP-0052 }  Bisagras centro puerta Mself</v>
          </cell>
          <cell r="C67">
            <v>26054</v>
          </cell>
          <cell r="D67">
            <v>26486</v>
          </cell>
        </row>
        <row r="68">
          <cell r="A68" t="str">
            <v>REP-0053</v>
          </cell>
          <cell r="B68" t="str">
            <v>{ REP-0053 }  Boquilla manguera soplado Twister&amp;Dry</v>
          </cell>
          <cell r="C68">
            <v>71206</v>
          </cell>
          <cell r="D68">
            <v>72385</v>
          </cell>
        </row>
        <row r="69">
          <cell r="A69" t="str">
            <v>REP-0054</v>
          </cell>
          <cell r="B69" t="str">
            <v>{ REP-0054 }  Manguera soplado Twister&amp;Dry</v>
          </cell>
          <cell r="C69">
            <v>114749</v>
          </cell>
          <cell r="D69">
            <v>116649</v>
          </cell>
        </row>
        <row r="70">
          <cell r="A70" t="str">
            <v>REP-0055</v>
          </cell>
          <cell r="B70" t="str">
            <v>{ REP-0055 }  Filtro aspiradora tambor metálico</v>
          </cell>
          <cell r="C70">
            <v>234814</v>
          </cell>
          <cell r="D70">
            <v>238702</v>
          </cell>
        </row>
        <row r="71">
          <cell r="A71" t="str">
            <v>REP-0056</v>
          </cell>
          <cell r="B71" t="str">
            <v>{ REP-0056 }  Cerradura aspiradora Twister &amp; Dry</v>
          </cell>
          <cell r="C71">
            <v>71978</v>
          </cell>
          <cell r="D71">
            <v>73170</v>
          </cell>
        </row>
        <row r="72">
          <cell r="A72" t="str">
            <v>REP-0057</v>
          </cell>
          <cell r="B72" t="str">
            <v>{ REP-0057 }  Bisagras extremos puerta Mself</v>
          </cell>
          <cell r="C72">
            <v>26054</v>
          </cell>
          <cell r="D72">
            <v>26486</v>
          </cell>
        </row>
        <row r="73">
          <cell r="A73" t="str">
            <v>REP-0058</v>
          </cell>
          <cell r="B73" t="str">
            <v>{ REP-0058 }  Adaptador parada de emergencia 09.01.915</v>
          </cell>
          <cell r="C73">
            <v>3131</v>
          </cell>
          <cell r="D73">
            <v>3183</v>
          </cell>
        </row>
        <row r="74">
          <cell r="A74" t="str">
            <v>REP-0059</v>
          </cell>
          <cell r="B74" t="str">
            <v>{ REP-0059 }  Contacto auxiliar NC para parada de emergencia</v>
          </cell>
          <cell r="C74">
            <v>6401</v>
          </cell>
          <cell r="D74">
            <v>6507</v>
          </cell>
        </row>
        <row r="75">
          <cell r="A75" t="str">
            <v>REP-0060</v>
          </cell>
          <cell r="B75" t="str">
            <v>{ REP-0060 }  Parada de emergencia rasante</v>
          </cell>
          <cell r="C75">
            <v>9800</v>
          </cell>
          <cell r="D75">
            <v>9962</v>
          </cell>
        </row>
        <row r="76">
          <cell r="A76" t="str">
            <v>REP-0061</v>
          </cell>
          <cell r="B76" t="str">
            <v>{ REP-0061 }  Indicador luminoso BLU tabla 21- pos 9</v>
          </cell>
          <cell r="C76">
            <v>19290</v>
          </cell>
          <cell r="D76">
            <v>19609</v>
          </cell>
        </row>
        <row r="77">
          <cell r="A77" t="str">
            <v>REP-0062</v>
          </cell>
          <cell r="B77" t="str">
            <v>{ REP-0062 }  Sensor de nivel de 2 contactos</v>
          </cell>
          <cell r="C77">
            <v>276180</v>
          </cell>
          <cell r="D77">
            <v>280754</v>
          </cell>
        </row>
        <row r="78">
          <cell r="A78" t="str">
            <v>REP-0063</v>
          </cell>
          <cell r="B78" t="str">
            <v>{ REP-0063 }  Placa electróncia  twister reforzada  (tambor metálico 2010-11-12-14)</v>
          </cell>
          <cell r="C78">
            <v>298064</v>
          </cell>
          <cell r="D78">
            <v>303000</v>
          </cell>
        </row>
        <row r="79">
          <cell r="A79" t="str">
            <v>REP-0064</v>
          </cell>
          <cell r="B79" t="str">
            <v>{ REP-0064 }  Cepillo completo italiano</v>
          </cell>
          <cell r="C79">
            <v>71913</v>
          </cell>
          <cell r="D79">
            <v>73104</v>
          </cell>
        </row>
        <row r="80">
          <cell r="A80" t="str">
            <v>REP-0065</v>
          </cell>
          <cell r="B80" t="str">
            <v>{ REP-0065 }  Placa de aspirado Twister&amp;Dry M2 (tambor plástico-2013)</v>
          </cell>
          <cell r="C80">
            <v>307445</v>
          </cell>
          <cell r="D80">
            <v>312536</v>
          </cell>
        </row>
        <row r="81">
          <cell r="A81" t="str">
            <v>REP-0066</v>
          </cell>
          <cell r="B81" t="str">
            <v>{ REP-0066 }  Plc S7-1200 cpu 1214C</v>
          </cell>
          <cell r="C81">
            <v>1208938</v>
          </cell>
          <cell r="D81">
            <v>1228958</v>
          </cell>
        </row>
        <row r="82">
          <cell r="A82" t="str">
            <v>REP-0067</v>
          </cell>
          <cell r="B82" t="str">
            <v>{ REP-0067 }  Transformador Twister M2</v>
          </cell>
          <cell r="C82">
            <v>102139</v>
          </cell>
          <cell r="D82">
            <v>103830</v>
          </cell>
        </row>
        <row r="83">
          <cell r="A83" t="str">
            <v>REP-0068</v>
          </cell>
          <cell r="B83" t="str">
            <v>{ REP-0068 }  Codo 45° para manguera de cepillo</v>
          </cell>
          <cell r="C83">
            <v>40048</v>
          </cell>
          <cell r="D83">
            <v>40711</v>
          </cell>
        </row>
        <row r="84">
          <cell r="A84" t="str">
            <v>REP-0069</v>
          </cell>
          <cell r="B84" t="str">
            <v>{ REP-0069 }  Codo cepillo 90° inoxidable</v>
          </cell>
          <cell r="C84">
            <v>32574</v>
          </cell>
          <cell r="D84">
            <v>33113</v>
          </cell>
        </row>
        <row r="85">
          <cell r="A85" t="str">
            <v>REP-0070</v>
          </cell>
          <cell r="B85" t="str">
            <v>{ REP-0070 }  Motor soplado twister tambor metálico</v>
          </cell>
          <cell r="C85">
            <v>245676</v>
          </cell>
          <cell r="D85">
            <v>249744</v>
          </cell>
        </row>
        <row r="86">
          <cell r="A86" t="str">
            <v>REP-0071</v>
          </cell>
          <cell r="B86" t="str">
            <v>{ REP-0071 }  Mango goma asp S2 diam 38/60</v>
          </cell>
          <cell r="C86">
            <v>28371</v>
          </cell>
          <cell r="D86">
            <v>28841</v>
          </cell>
        </row>
        <row r="87">
          <cell r="A87" t="str">
            <v>REP-0072</v>
          </cell>
          <cell r="B87" t="str">
            <v>{ REP-0072 }  Guarnición tubo aspirado y soplado TW S2</v>
          </cell>
          <cell r="C87">
            <v>11891</v>
          </cell>
          <cell r="D87">
            <v>12088</v>
          </cell>
        </row>
        <row r="88">
          <cell r="A88" t="str">
            <v>REP-0073</v>
          </cell>
          <cell r="B88" t="str">
            <v>{ REP-0073 }  Manguera negra 9m 1/4</v>
          </cell>
          <cell r="C88">
            <v>106299</v>
          </cell>
          <cell r="D88">
            <v>108059</v>
          </cell>
        </row>
        <row r="89">
          <cell r="A89" t="str">
            <v>REP-0074</v>
          </cell>
          <cell r="B89" t="str">
            <v>{ REP-0074 }  Fusible rápido 5x20 2A</v>
          </cell>
          <cell r="C89">
            <v>375</v>
          </cell>
          <cell r="D89">
            <v>381</v>
          </cell>
        </row>
        <row r="90">
          <cell r="A90" t="str">
            <v>REP-0075</v>
          </cell>
          <cell r="B90" t="str">
            <v>{ REP-0075 }  Contador 24V 55x55mm (horometro)</v>
          </cell>
          <cell r="C90">
            <v>41752</v>
          </cell>
          <cell r="D90">
            <v>42443</v>
          </cell>
        </row>
        <row r="91">
          <cell r="A91" t="str">
            <v>REP-0076</v>
          </cell>
          <cell r="B91" t="str">
            <v>{ REP-0076 }  Presóstato osmosis KP1</v>
          </cell>
          <cell r="C91">
            <v>158677</v>
          </cell>
          <cell r="D91">
            <v>161304</v>
          </cell>
        </row>
        <row r="92">
          <cell r="A92" t="str">
            <v>REP-0077</v>
          </cell>
          <cell r="B92" t="str">
            <v>{ REP-0077 }  Válvula pulsar</v>
          </cell>
          <cell r="C92">
            <v>118544</v>
          </cell>
          <cell r="D92">
            <v>120507</v>
          </cell>
        </row>
        <row r="93">
          <cell r="A93" t="str">
            <v>REP-0081</v>
          </cell>
          <cell r="B93" t="str">
            <v>{ REP-0081 }  Manguera conexión CAT</v>
          </cell>
          <cell r="C93">
            <v>33528</v>
          </cell>
          <cell r="D93">
            <v>34083</v>
          </cell>
        </row>
        <row r="94">
          <cell r="A94" t="str">
            <v>REP-0084</v>
          </cell>
          <cell r="B94" t="str">
            <v>{ REP-0084 }  Perno distribución racco 1/2</v>
          </cell>
          <cell r="C94">
            <v>4428</v>
          </cell>
          <cell r="D94">
            <v>4502</v>
          </cell>
        </row>
        <row r="95">
          <cell r="A95" t="str">
            <v>REP-0085</v>
          </cell>
          <cell r="B95" t="str">
            <v>{ REP-0085 }  Junta giratoria centro 3/8</v>
          </cell>
          <cell r="C95">
            <v>151954</v>
          </cell>
          <cell r="D95">
            <v>154470</v>
          </cell>
        </row>
        <row r="96">
          <cell r="A96" t="str">
            <v>REP-0086</v>
          </cell>
          <cell r="B96" t="str">
            <v>{ REP-0086 }  Junta giratoria extremo 3/8</v>
          </cell>
          <cell r="C96">
            <v>161743</v>
          </cell>
          <cell r="D96">
            <v>164422</v>
          </cell>
        </row>
        <row r="97">
          <cell r="A97" t="str">
            <v>REP-0087</v>
          </cell>
          <cell r="B97" t="str">
            <v>{ REP-0087 }  Boquilla plana aspiradora</v>
          </cell>
          <cell r="C97">
            <v>3131</v>
          </cell>
          <cell r="D97">
            <v>3183</v>
          </cell>
        </row>
        <row r="98">
          <cell r="A98" t="str">
            <v>REP-0088</v>
          </cell>
          <cell r="B98" t="str">
            <v>{ REP-0088 }  Válv retencion 1/4 inoxidable conexión viton</v>
          </cell>
          <cell r="C98">
            <v>43585</v>
          </cell>
          <cell r="D98">
            <v>44307</v>
          </cell>
        </row>
        <row r="99">
          <cell r="A99" t="str">
            <v>REP-0089</v>
          </cell>
          <cell r="B99" t="str">
            <v>{ REP-0089 }  Válvula europa bronce 1/2</v>
          </cell>
          <cell r="C99">
            <v>18496</v>
          </cell>
          <cell r="D99">
            <v>18802</v>
          </cell>
        </row>
        <row r="100">
          <cell r="A100" t="str">
            <v>REP-0090</v>
          </cell>
          <cell r="B100" t="str">
            <v>{ REP-0090 }  reducción 1/2\-1/4\, inox uso cepillo USA</v>
          </cell>
          <cell r="C100">
            <v>3281</v>
          </cell>
          <cell r="D100">
            <v>3335</v>
          </cell>
        </row>
        <row r="101">
          <cell r="A101" t="str">
            <v>REP-0091</v>
          </cell>
          <cell r="B101" t="str">
            <v>{ REP-0091 }  Perno distribución racco 3/8</v>
          </cell>
          <cell r="C101">
            <v>8996</v>
          </cell>
          <cell r="D101">
            <v>9145</v>
          </cell>
        </row>
        <row r="102">
          <cell r="A102" t="str">
            <v>REP-0092</v>
          </cell>
          <cell r="B102" t="str">
            <v>{ REP-0092 }  Perno conector 3/8 CAT</v>
          </cell>
          <cell r="C102">
            <v>4728</v>
          </cell>
          <cell r="D102">
            <v>4806</v>
          </cell>
        </row>
        <row r="103">
          <cell r="A103" t="str">
            <v>REP-0093</v>
          </cell>
          <cell r="B103" t="str">
            <v>{ REP-0093 }  Manguito giratorio FL 38M Asp</v>
          </cell>
          <cell r="C103">
            <v>7758</v>
          </cell>
          <cell r="D103">
            <v>7886</v>
          </cell>
        </row>
        <row r="104">
          <cell r="A104" t="str">
            <v>REP-0094</v>
          </cell>
          <cell r="B104" t="str">
            <v>{ REP-0094 }  Niple inox HEHE 1/2</v>
          </cell>
          <cell r="C104">
            <v>5951</v>
          </cell>
          <cell r="D104">
            <v>6050</v>
          </cell>
        </row>
        <row r="105">
          <cell r="A105" t="str">
            <v>REP-0095</v>
          </cell>
          <cell r="B105" t="str">
            <v>{ REP-0095 }  Tee inox 1/2 HIHEHI central</v>
          </cell>
          <cell r="C105">
            <v>11408</v>
          </cell>
          <cell r="D105">
            <v>11597</v>
          </cell>
        </row>
        <row r="106">
          <cell r="A106" t="str">
            <v>REP-0096</v>
          </cell>
          <cell r="B106" t="str">
            <v>{ REP-0096 }  Codo 1/4 * 6mm  inoxidable</v>
          </cell>
          <cell r="C106">
            <v>4074</v>
          </cell>
          <cell r="D106">
            <v>4142</v>
          </cell>
        </row>
        <row r="107">
          <cell r="A107" t="str">
            <v>REP-0097</v>
          </cell>
          <cell r="B107" t="str">
            <v>{ REP-0097 }  Protector boquilla lanza</v>
          </cell>
          <cell r="C107">
            <v>16999</v>
          </cell>
          <cell r="D107">
            <v>17281</v>
          </cell>
        </row>
        <row r="108">
          <cell r="A108" t="str">
            <v>REP-0098</v>
          </cell>
          <cell r="B108" t="str">
            <v>{ REP-0098 }  Boquilla lanza 1/8</v>
          </cell>
          <cell r="C108">
            <v>8073</v>
          </cell>
          <cell r="D108">
            <v>8207</v>
          </cell>
        </row>
        <row r="109">
          <cell r="A109" t="str">
            <v>REP-0099</v>
          </cell>
          <cell r="B109" t="str">
            <v>{ REP-0099 }  Manómetro glic. 0-12 bar</v>
          </cell>
          <cell r="C109">
            <v>23917</v>
          </cell>
          <cell r="D109">
            <v>24313</v>
          </cell>
        </row>
        <row r="110">
          <cell r="A110" t="str">
            <v>REP-0101</v>
          </cell>
          <cell r="B110" t="str">
            <v>{ REP-0101 }  Caja electrica aspirado Twister&amp;Dry</v>
          </cell>
          <cell r="C110">
            <v>51102</v>
          </cell>
          <cell r="D110">
            <v>51948</v>
          </cell>
        </row>
        <row r="111">
          <cell r="A111" t="str">
            <v>REP-0102</v>
          </cell>
          <cell r="B111" t="str">
            <v>{ REP-0102 }  Lanza mousse ST-75</v>
          </cell>
          <cell r="C111">
            <v>447969</v>
          </cell>
          <cell r="D111">
            <v>455387</v>
          </cell>
        </row>
        <row r="112">
          <cell r="A112" t="str">
            <v>REP-0103</v>
          </cell>
          <cell r="B112" t="str">
            <v>{ REP-0103 }  Manómetro seco 0-6 bar</v>
          </cell>
          <cell r="C112">
            <v>12266</v>
          </cell>
          <cell r="D112">
            <v>12469</v>
          </cell>
        </row>
        <row r="113">
          <cell r="A113" t="str">
            <v>REP-0104</v>
          </cell>
          <cell r="B113" t="str">
            <v>{ REP-0104 }  Display 4 cifras</v>
          </cell>
          <cell r="C113">
            <v>396032</v>
          </cell>
          <cell r="D113">
            <v>402590</v>
          </cell>
        </row>
        <row r="114">
          <cell r="A114" t="str">
            <v>REP-0105</v>
          </cell>
          <cell r="B114" t="str">
            <v>{ REP-0105 }  Cable interfaz serial 9/25 para programación ficheros</v>
          </cell>
          <cell r="C114">
            <v>103898</v>
          </cell>
          <cell r="D114">
            <v>105618</v>
          </cell>
        </row>
        <row r="115">
          <cell r="A115" t="str">
            <v>REP-0109</v>
          </cell>
          <cell r="B115" t="str">
            <v>{ REP-0109 }  Lexan para cubrefichero</v>
          </cell>
          <cell r="C115">
            <v>11580</v>
          </cell>
          <cell r="D115">
            <v>11771</v>
          </cell>
        </row>
        <row r="116">
          <cell r="A116" t="str">
            <v>REP-0110</v>
          </cell>
          <cell r="B116" t="str">
            <v>{ REP-0110 }  Grifos Osmosis 1/2 AP</v>
          </cell>
          <cell r="C116">
            <v>114641</v>
          </cell>
          <cell r="D116">
            <v>116539</v>
          </cell>
        </row>
        <row r="117">
          <cell r="A117" t="str">
            <v>REP-0111</v>
          </cell>
          <cell r="B117" t="str">
            <v>{ REP-0111 }  Niples girantes 1/2\F-1/2\M</v>
          </cell>
          <cell r="C117">
            <v>7130</v>
          </cell>
          <cell r="D117">
            <v>7248</v>
          </cell>
        </row>
        <row r="118">
          <cell r="A118" t="str">
            <v>REP-0112</v>
          </cell>
          <cell r="B118" t="str">
            <v>{ REP-0112 }  Manguera rilsan 6x4 dura</v>
          </cell>
          <cell r="C118">
            <v>2445</v>
          </cell>
          <cell r="D118">
            <v>2485</v>
          </cell>
        </row>
        <row r="119">
          <cell r="A119" t="str">
            <v>REP-0113</v>
          </cell>
          <cell r="B119" t="str">
            <v>{ REP-0113 }  Pulsador de tacto programas</v>
          </cell>
          <cell r="C119">
            <v>59937</v>
          </cell>
          <cell r="D119">
            <v>60929</v>
          </cell>
        </row>
        <row r="120">
          <cell r="A120" t="str">
            <v>REP-0114</v>
          </cell>
          <cell r="B120" t="str">
            <v>{ REP-0114 }  Guarnizione filtro tabla 23 - pos.1 (sello poliuretano)</v>
          </cell>
          <cell r="C120">
            <v>17370</v>
          </cell>
          <cell r="D120">
            <v>17658</v>
          </cell>
        </row>
        <row r="121">
          <cell r="A121" t="str">
            <v>REP-0115</v>
          </cell>
          <cell r="B121" t="str">
            <v>{ REP-0115 }  Cable fichero (40 cm)</v>
          </cell>
          <cell r="C121">
            <v>13499</v>
          </cell>
          <cell r="D121">
            <v>13723</v>
          </cell>
        </row>
        <row r="122">
          <cell r="A122" t="str">
            <v>REP-0116</v>
          </cell>
          <cell r="B122" t="str">
            <v>{ REP-0116 }  EV 1/2 salida filtros L180</v>
          </cell>
          <cell r="C122">
            <v>98633</v>
          </cell>
          <cell r="D122">
            <v>100266</v>
          </cell>
        </row>
        <row r="123">
          <cell r="A123" t="str">
            <v>REP-0117</v>
          </cell>
          <cell r="B123" t="str">
            <v>{ REP-0117 }  Numeral de aspirado tabla 21- pos.3</v>
          </cell>
          <cell r="C123">
            <v>104219</v>
          </cell>
          <cell r="D123">
            <v>105945</v>
          </cell>
        </row>
        <row r="124">
          <cell r="A124" t="str">
            <v>REP-0118</v>
          </cell>
          <cell r="B124" t="str">
            <v>{ REP-0118 }  Manómetro ABS 0-250 bar</v>
          </cell>
          <cell r="C124">
            <v>18549</v>
          </cell>
          <cell r="D124">
            <v>18856</v>
          </cell>
        </row>
        <row r="125">
          <cell r="A125" t="str">
            <v>REP-0119</v>
          </cell>
          <cell r="B125" t="str">
            <v>{ REP-0119 }  Junta (bomba 3cp) CAT</v>
          </cell>
          <cell r="C125">
            <v>168776</v>
          </cell>
          <cell r="D125">
            <v>171571</v>
          </cell>
        </row>
        <row r="126">
          <cell r="A126" t="str">
            <v>REP-0120</v>
          </cell>
          <cell r="B126" t="str">
            <v>{ REP-0120 }  Schedino RM 927 (placa fichero pequeña)</v>
          </cell>
          <cell r="C126">
            <v>15633</v>
          </cell>
          <cell r="D126">
            <v>15892</v>
          </cell>
        </row>
        <row r="127">
          <cell r="A127" t="str">
            <v>REP-0121</v>
          </cell>
          <cell r="B127" t="str">
            <v>{ REP-0121 }  Presóstato G1/4</v>
          </cell>
          <cell r="C127">
            <v>33561</v>
          </cell>
          <cell r="D127">
            <v>34116</v>
          </cell>
        </row>
        <row r="128">
          <cell r="A128" t="str">
            <v>REP-0122</v>
          </cell>
          <cell r="B128" t="str">
            <v>{ REP-0122 }  Tee inox 1/4\x6mm</v>
          </cell>
          <cell r="C128">
            <v>8684</v>
          </cell>
          <cell r="D128">
            <v>8828</v>
          </cell>
        </row>
        <row r="129">
          <cell r="A129" t="str">
            <v>REP-0123</v>
          </cell>
          <cell r="B129" t="str">
            <v>{ REP-0123 }  Manguera shampoo Rilsan 6x4 (lavallantas)</v>
          </cell>
          <cell r="C129">
            <v>4589</v>
          </cell>
          <cell r="D129">
            <v>4665</v>
          </cell>
        </row>
        <row r="130">
          <cell r="A130" t="str">
            <v>REP-0124</v>
          </cell>
          <cell r="B130" t="str">
            <v>{ REP-0124 }  Campana (bomba 3p) CAT</v>
          </cell>
          <cell r="C130">
            <v>97700</v>
          </cell>
          <cell r="D130">
            <v>99318</v>
          </cell>
        </row>
        <row r="131">
          <cell r="A131" t="str">
            <v>REP-0125</v>
          </cell>
          <cell r="B131" t="str">
            <v>{ REP-0125 }  Válvula no retorno Inoxidable 1/4''</v>
          </cell>
          <cell r="C131">
            <v>41602</v>
          </cell>
          <cell r="D131">
            <v>42291</v>
          </cell>
        </row>
        <row r="132">
          <cell r="A132" t="str">
            <v>REP-0126</v>
          </cell>
          <cell r="B132" t="str">
            <v>{ REP-0126 }  Válvula de fondo para bidón shampoo</v>
          </cell>
          <cell r="C132">
            <v>45859</v>
          </cell>
          <cell r="D132">
            <v>46618</v>
          </cell>
        </row>
        <row r="133">
          <cell r="A133" t="str">
            <v>REP-0127</v>
          </cell>
          <cell r="B133" t="str">
            <v>{ REP-0127 }  Golillas aislantes pulsadores</v>
          </cell>
          <cell r="C133">
            <v>9382</v>
          </cell>
          <cell r="D133">
            <v>9537</v>
          </cell>
        </row>
        <row r="134">
          <cell r="A134" t="str">
            <v>REP-0128</v>
          </cell>
          <cell r="B134" t="str">
            <v>{ REP-0128 }  Kit EV sirai 3/4\ L131 (membrana electroválvula verde)</v>
          </cell>
          <cell r="C134">
            <v>50158</v>
          </cell>
          <cell r="D134">
            <v>50988</v>
          </cell>
        </row>
        <row r="135">
          <cell r="A135" t="str">
            <v>REP-0129</v>
          </cell>
          <cell r="B135" t="str">
            <v>{ REP-0129 }  Kit filtro twister M2 (tambor plástico 2013)</v>
          </cell>
          <cell r="C135">
            <v>294428</v>
          </cell>
          <cell r="D135">
            <v>299304</v>
          </cell>
        </row>
        <row r="136">
          <cell r="A136" t="str">
            <v>REP-0132</v>
          </cell>
          <cell r="B136" t="str">
            <v>{ REP-0132 }  Pistola renovador de neumático punta inoxidable</v>
          </cell>
          <cell r="C136">
            <v>103704</v>
          </cell>
          <cell r="D136">
            <v>105422</v>
          </cell>
        </row>
        <row r="137">
          <cell r="A137" t="str">
            <v>REP-0134</v>
          </cell>
          <cell r="B137" t="str">
            <v>{ REP-0134 }  Válvula retención europa 3/4</v>
          </cell>
          <cell r="C137">
            <v>20329</v>
          </cell>
          <cell r="D137">
            <v>20665</v>
          </cell>
        </row>
        <row r="138">
          <cell r="A138" t="str">
            <v>REP-0135</v>
          </cell>
          <cell r="B138" t="str">
            <v>{ REP-0135 }  Resorte de sistema vibración (conico)</v>
          </cell>
          <cell r="C138">
            <v>11152</v>
          </cell>
          <cell r="D138">
            <v>11337</v>
          </cell>
        </row>
        <row r="139">
          <cell r="A139" t="str">
            <v>REP-0136</v>
          </cell>
          <cell r="B139" t="str">
            <v>{ REP-0136 }  Manómetro glic. 25 bar</v>
          </cell>
          <cell r="C139">
            <v>23297</v>
          </cell>
          <cell r="D139">
            <v>23297</v>
          </cell>
        </row>
        <row r="140">
          <cell r="A140" t="str">
            <v>REP-0137</v>
          </cell>
          <cell r="B140" t="str">
            <v>{ REP-0137 }  Kit bidone Twister M2 (tambor aspiradora Plástico)</v>
          </cell>
          <cell r="C140">
            <v>589608</v>
          </cell>
          <cell r="D140">
            <v>589608</v>
          </cell>
        </row>
        <row r="141">
          <cell r="A141" t="str">
            <v>REP-0138</v>
          </cell>
          <cell r="B141" t="str">
            <v>{ REP-0138 }  Contactor 24V</v>
          </cell>
          <cell r="C141">
            <v>53203</v>
          </cell>
          <cell r="D141">
            <v>54084</v>
          </cell>
        </row>
        <row r="142">
          <cell r="A142" t="str">
            <v>REP-0144</v>
          </cell>
          <cell r="B142" t="str">
            <v>{ REP-0144 }  EV 1/4\ burket cod 125302w</v>
          </cell>
          <cell r="C142">
            <v>112121</v>
          </cell>
          <cell r="D142">
            <v>113978</v>
          </cell>
        </row>
        <row r="143">
          <cell r="A143" t="str">
            <v>REP-0145</v>
          </cell>
          <cell r="B143" t="str">
            <v>{ REP-0145 }  Manguera lavallantas 8mm</v>
          </cell>
          <cell r="C143">
            <v>3484</v>
          </cell>
          <cell r="D143">
            <v>3484</v>
          </cell>
        </row>
        <row r="144">
          <cell r="A144" t="str">
            <v>REP-0147</v>
          </cell>
          <cell r="B144" t="str">
            <v>{ REP-0147 }  Pistón cerámico Interpump</v>
          </cell>
          <cell r="C144">
            <v>37796</v>
          </cell>
          <cell r="D144">
            <v>37796</v>
          </cell>
        </row>
        <row r="145">
          <cell r="A145" t="str">
            <v>REP-0149</v>
          </cell>
          <cell r="B145" t="str">
            <v>{ REP-0149 }  Kit de sellos de agua interpump</v>
          </cell>
          <cell r="C145">
            <v>130767</v>
          </cell>
          <cell r="D145">
            <v>132932</v>
          </cell>
        </row>
        <row r="146">
          <cell r="A146" t="str">
            <v>REP-0151</v>
          </cell>
          <cell r="B146" t="str">
            <v>{ REP-0151 }  Motor trifásico de osmosis</v>
          </cell>
          <cell r="C146">
            <v>334540</v>
          </cell>
          <cell r="D146">
            <v>340080</v>
          </cell>
        </row>
        <row r="147">
          <cell r="A147" t="str">
            <v>REP-0152</v>
          </cell>
          <cell r="B147" t="str">
            <v>{ REP-0152 }  EV sirai 3/4 bajada osmosis</v>
          </cell>
          <cell r="C147">
            <v>191915</v>
          </cell>
          <cell r="D147">
            <v>195093</v>
          </cell>
        </row>
        <row r="148">
          <cell r="A148" t="str">
            <v>REP-0153</v>
          </cell>
          <cell r="B148" t="str">
            <v>{ REP-0153 }  Motor cat trifásico inverter</v>
          </cell>
          <cell r="C148">
            <v>552602</v>
          </cell>
          <cell r="D148">
            <v>561753</v>
          </cell>
        </row>
        <row r="149">
          <cell r="A149" t="str">
            <v>REP-0154</v>
          </cell>
          <cell r="B149" t="str">
            <v>{ REP-0154 }  Conductivímetro c901</v>
          </cell>
          <cell r="C149">
            <v>515883</v>
          </cell>
          <cell r="D149">
            <v>524426</v>
          </cell>
        </row>
        <row r="150">
          <cell r="A150" t="str">
            <v>REP-0155</v>
          </cell>
          <cell r="B150" t="str">
            <v>{ REP-0155 }  Campana lateral (bomba 3cp) CAT</v>
          </cell>
          <cell r="C150">
            <v>19954</v>
          </cell>
          <cell r="D150">
            <v>20284</v>
          </cell>
        </row>
        <row r="151">
          <cell r="A151" t="str">
            <v>REP-0156</v>
          </cell>
          <cell r="B151" t="str">
            <v>{ REP-0156 }  Inyector colector pvc (blanco o negro)</v>
          </cell>
          <cell r="C151">
            <v>62327</v>
          </cell>
          <cell r="D151">
            <v>63359</v>
          </cell>
        </row>
        <row r="152">
          <cell r="A152" t="str">
            <v>REP-0157</v>
          </cell>
          <cell r="B152" t="str">
            <v>{ REP-0157 }  O-ring separacion E/V</v>
          </cell>
          <cell r="C152">
            <v>5157</v>
          </cell>
          <cell r="D152">
            <v>5243</v>
          </cell>
        </row>
        <row r="153">
          <cell r="A153" t="str">
            <v>REP-0158</v>
          </cell>
          <cell r="B153" t="str">
            <v>{ REP-0158 }  Conector recto 1/4 HI X 6mm</v>
          </cell>
          <cell r="C153">
            <v>2767</v>
          </cell>
          <cell r="D153">
            <v>2813</v>
          </cell>
        </row>
        <row r="154">
          <cell r="A154" t="str">
            <v>REP-0159</v>
          </cell>
          <cell r="B154" t="str">
            <v>{ REP-0159 }  Flujometro 250 lt</v>
          </cell>
          <cell r="C154">
            <v>296477</v>
          </cell>
          <cell r="D154">
            <v>301386</v>
          </cell>
        </row>
        <row r="155">
          <cell r="A155" t="str">
            <v>REP-0160</v>
          </cell>
          <cell r="B155" t="str">
            <v>{ REP-0160 }  Kit EV Burkert</v>
          </cell>
          <cell r="C155">
            <v>59615</v>
          </cell>
          <cell r="D155">
            <v>60602</v>
          </cell>
        </row>
        <row r="156">
          <cell r="A156" t="str">
            <v>REP-0161</v>
          </cell>
          <cell r="B156" t="str">
            <v>{ REP-0161 }  Relé mini 24VCC finder</v>
          </cell>
          <cell r="C156">
            <v>34557</v>
          </cell>
          <cell r="D156">
            <v>35129</v>
          </cell>
        </row>
        <row r="157">
          <cell r="A157" t="str">
            <v>REP-0162</v>
          </cell>
          <cell r="B157" t="str">
            <v>{ REP-0162 }  Contaimpulsos (numeral Mself)</v>
          </cell>
          <cell r="C157">
            <v>37055</v>
          </cell>
          <cell r="D157">
            <v>37669</v>
          </cell>
        </row>
        <row r="158">
          <cell r="A158" t="str">
            <v>REP-0164</v>
          </cell>
          <cell r="B158" t="str">
            <v>{ REP-0164 }  Electroválvula L 180 Burket 3/4´´</v>
          </cell>
          <cell r="C158">
            <v>110523</v>
          </cell>
          <cell r="D158">
            <v>112354</v>
          </cell>
        </row>
        <row r="159">
          <cell r="A159" t="str">
            <v>REP-0165</v>
          </cell>
          <cell r="B159" t="str">
            <v>{ REP-0165 }  Ingreso lateral Burket</v>
          </cell>
          <cell r="C159">
            <v>56903</v>
          </cell>
          <cell r="D159">
            <v>57845</v>
          </cell>
        </row>
        <row r="160">
          <cell r="A160" t="str">
            <v>REP-0168</v>
          </cell>
          <cell r="B160" t="str">
            <v>{ REP-0168 }  Conexión rápida 1/4\ niple</v>
          </cell>
          <cell r="C160">
            <v>3775</v>
          </cell>
          <cell r="D160">
            <v>3837</v>
          </cell>
        </row>
        <row r="161">
          <cell r="A161" t="str">
            <v>REP-0169</v>
          </cell>
          <cell r="B161" t="str">
            <v>{ REP-0169 }  Niple galvanizado1/2”</v>
          </cell>
          <cell r="C161">
            <v>4900</v>
          </cell>
          <cell r="D161">
            <v>4982</v>
          </cell>
        </row>
        <row r="162">
          <cell r="A162" t="str">
            <v>REP-0172</v>
          </cell>
          <cell r="B162" t="str">
            <v>{ REP-0172 }  Conexión  rápida codo 1/4"</v>
          </cell>
          <cell r="C162">
            <v>7194</v>
          </cell>
          <cell r="D162">
            <v>7313</v>
          </cell>
        </row>
        <row r="163">
          <cell r="A163" t="str">
            <v>REP-0173</v>
          </cell>
          <cell r="B163" t="str">
            <v>{ REP-0173 }  kit turbina twister m2 (motor aspiradora t. plástico)</v>
          </cell>
          <cell r="C163">
            <v>2067435</v>
          </cell>
          <cell r="D163">
            <v>2101671</v>
          </cell>
        </row>
        <row r="164">
          <cell r="A164" t="str">
            <v>REP-0175</v>
          </cell>
          <cell r="B164" t="str">
            <v>{ REP-0175 }  Rele mini 24V DC 8A 250V azul</v>
          </cell>
          <cell r="C164">
            <v>14314</v>
          </cell>
          <cell r="D164">
            <v>14551</v>
          </cell>
        </row>
        <row r="165">
          <cell r="A165" t="str">
            <v>REP-0176</v>
          </cell>
          <cell r="B165" t="str">
            <v>{ REP-0176 }  Motor mix dry 220v 7A (motor secado)</v>
          </cell>
          <cell r="C165">
            <v>979796</v>
          </cell>
          <cell r="D165">
            <v>996021</v>
          </cell>
        </row>
        <row r="166">
          <cell r="A166" t="str">
            <v>REP-0178</v>
          </cell>
          <cell r="B166" t="str">
            <v>{ REP-0178 }  Pieza cierre lateral Burket</v>
          </cell>
          <cell r="C166">
            <v>20265</v>
          </cell>
          <cell r="D166">
            <v>20601</v>
          </cell>
        </row>
        <row r="167">
          <cell r="A167" t="str">
            <v>REP-0179</v>
          </cell>
          <cell r="B167" t="str">
            <v>{ REP-0179 }  Transformador 400/220 twister</v>
          </cell>
          <cell r="C167">
            <v>76610</v>
          </cell>
          <cell r="D167">
            <v>77878</v>
          </cell>
        </row>
        <row r="168">
          <cell r="A168" t="str">
            <v>REP-0180</v>
          </cell>
          <cell r="B168" t="str">
            <v>{ REP-0180 }  Lanza para MIX dry completa</v>
          </cell>
          <cell r="C168">
            <v>1069980</v>
          </cell>
          <cell r="D168">
            <v>1087699</v>
          </cell>
        </row>
        <row r="169">
          <cell r="A169" t="str">
            <v>REP-0181</v>
          </cell>
          <cell r="B169" t="str">
            <v>{ REP-0181 }  Contactor 10 24V</v>
          </cell>
          <cell r="C169">
            <v>60173</v>
          </cell>
          <cell r="D169">
            <v>61169</v>
          </cell>
        </row>
        <row r="170">
          <cell r="A170" t="str">
            <v>REP-0182</v>
          </cell>
          <cell r="B170" t="str">
            <v>{ REP-0182 }  Relé mini 24VCA finder</v>
          </cell>
          <cell r="C170">
            <v>10893</v>
          </cell>
          <cell r="D170">
            <v>11074</v>
          </cell>
        </row>
        <row r="171">
          <cell r="A171" t="str">
            <v>REP-0183</v>
          </cell>
          <cell r="B171" t="str">
            <v>{ REP-0183 }  Ugello pos 23 - boquilla y pistola perfume</v>
          </cell>
          <cell r="C171">
            <v>143311</v>
          </cell>
          <cell r="D171">
            <v>145684</v>
          </cell>
        </row>
        <row r="172">
          <cell r="A172" t="str">
            <v>REP-0184</v>
          </cell>
          <cell r="B172" t="str">
            <v>{ REP-0184 }  Relé auxiliar 10A</v>
          </cell>
          <cell r="C172">
            <v>33443</v>
          </cell>
          <cell r="D172">
            <v>33996</v>
          </cell>
        </row>
        <row r="173">
          <cell r="A173" t="str">
            <v>REP-0185</v>
          </cell>
          <cell r="B173" t="str">
            <v>{ REP-0185 }  Rodillo lavatapete LTS400</v>
          </cell>
          <cell r="C173">
            <v>440335</v>
          </cell>
          <cell r="D173">
            <v>447627</v>
          </cell>
        </row>
        <row r="174">
          <cell r="A174" t="str">
            <v>REP-0187</v>
          </cell>
          <cell r="B174" t="str">
            <v>{ REP-0187 }  Sensor conductivímetro</v>
          </cell>
          <cell r="C174">
            <v>213648</v>
          </cell>
          <cell r="D174">
            <v>217186</v>
          </cell>
        </row>
        <row r="175">
          <cell r="A175" t="str">
            <v>REP-0191</v>
          </cell>
          <cell r="B175" t="str">
            <v>{ REP-0191 }  Extensión 8+8 Siemens</v>
          </cell>
          <cell r="C175">
            <v>555833</v>
          </cell>
          <cell r="D175">
            <v>565038</v>
          </cell>
        </row>
        <row r="176">
          <cell r="A176" t="str">
            <v>REP-0192</v>
          </cell>
          <cell r="B176" t="str">
            <v>{ REP-0192 }  Microinterruptor contactor motor trifásico</v>
          </cell>
          <cell r="C176">
            <v>11934</v>
          </cell>
          <cell r="D176">
            <v>12131</v>
          </cell>
        </row>
        <row r="177">
          <cell r="A177" t="str">
            <v>REP-0198</v>
          </cell>
          <cell r="B177" t="str">
            <v>{ REP-0198 }  Válvula robex con válvula retención 3/4\</v>
          </cell>
          <cell r="C177">
            <v>76234</v>
          </cell>
          <cell r="D177">
            <v>77496</v>
          </cell>
        </row>
        <row r="178">
          <cell r="A178" t="str">
            <v>REP-0202</v>
          </cell>
          <cell r="B178" t="str">
            <v>{ REP-0202 }  Transformador 380 / 18 - 24 V</v>
          </cell>
          <cell r="C178">
            <v>81188</v>
          </cell>
          <cell r="D178">
            <v>82532</v>
          </cell>
        </row>
        <row r="179">
          <cell r="A179" t="str">
            <v>REP-0203</v>
          </cell>
          <cell r="B179" t="str">
            <v>{ REP-0203 }  Recuadro Burket</v>
          </cell>
          <cell r="C179">
            <v>19364</v>
          </cell>
          <cell r="D179">
            <v>19684</v>
          </cell>
        </row>
        <row r="180">
          <cell r="A180" t="str">
            <v>REP-0204</v>
          </cell>
          <cell r="B180" t="str">
            <v>{ REP-0204 }  Bomba cat 5 cp</v>
          </cell>
          <cell r="C180">
            <v>1148937</v>
          </cell>
          <cell r="D180">
            <v>1167963</v>
          </cell>
        </row>
        <row r="181">
          <cell r="A181" t="str">
            <v>REP-0205</v>
          </cell>
          <cell r="B181" t="str">
            <v>{ REP-0205 }  Chapa aspirado tambor plástico (TW2013)</v>
          </cell>
          <cell r="C181">
            <v>107693</v>
          </cell>
          <cell r="D181">
            <v>109476</v>
          </cell>
        </row>
        <row r="182">
          <cell r="A182" t="str">
            <v>REP-0208</v>
          </cell>
          <cell r="B182" t="str">
            <v>{ REP-0208 }  Válvula fondo de bidones dispens de producto</v>
          </cell>
          <cell r="C182">
            <v>18223</v>
          </cell>
          <cell r="D182">
            <v>18525</v>
          </cell>
        </row>
        <row r="183">
          <cell r="A183" t="str">
            <v>REP-0209</v>
          </cell>
          <cell r="B183" t="str">
            <v>{ REP-0209 }  Motor 4Kw/2,8 Kw (Camiones)</v>
          </cell>
          <cell r="C183">
            <v>740468</v>
          </cell>
          <cell r="D183">
            <v>740468</v>
          </cell>
        </row>
        <row r="184">
          <cell r="A184" t="str">
            <v>REP-0219</v>
          </cell>
          <cell r="B184" t="str">
            <v>{ REP-0219 }  Zocalo finder 2S</v>
          </cell>
          <cell r="C184">
            <v>8684</v>
          </cell>
          <cell r="D184">
            <v>8828</v>
          </cell>
        </row>
        <row r="185">
          <cell r="A185" t="str">
            <v>REP-0223</v>
          </cell>
          <cell r="B185" t="str">
            <v>{ REP-0223 }  Tee de acople rapido x3 1/4</v>
          </cell>
          <cell r="C185">
            <v>18345</v>
          </cell>
          <cell r="D185">
            <v>18649</v>
          </cell>
        </row>
        <row r="186">
          <cell r="A186" t="str">
            <v>REP-0234</v>
          </cell>
          <cell r="B186" t="str">
            <v>{ REP-0234 }  sujetador manguera aspiradora</v>
          </cell>
          <cell r="C186">
            <v>8095</v>
          </cell>
          <cell r="D186">
            <v>8229</v>
          </cell>
        </row>
        <row r="187">
          <cell r="A187" t="str">
            <v>REP-0236</v>
          </cell>
          <cell r="B187" t="str">
            <v>{ REP-0236 }  Tuerca inoxidable protector fichero</v>
          </cell>
          <cell r="C187">
            <v>32</v>
          </cell>
          <cell r="D187">
            <v>33</v>
          </cell>
        </row>
        <row r="188">
          <cell r="A188" t="str">
            <v>REP-0237</v>
          </cell>
          <cell r="B188" t="str">
            <v>{ REP-0237 }  Separador pvc (bomba 3cp) CAT</v>
          </cell>
          <cell r="C188">
            <v>4225</v>
          </cell>
          <cell r="D188">
            <v>4175</v>
          </cell>
        </row>
        <row r="189">
          <cell r="A189" t="str">
            <v>REP-0238</v>
          </cell>
          <cell r="B189" t="str">
            <v>{ REP-0238 }  Sello de aceite (bomba 3cp) CAT</v>
          </cell>
          <cell r="C189">
            <v>14039</v>
          </cell>
          <cell r="D189">
            <v>13873</v>
          </cell>
        </row>
        <row r="190">
          <cell r="A190" t="str">
            <v>REP-0239</v>
          </cell>
          <cell r="B190" t="str">
            <v>{ REP-0239 }  Pistón cerámicos (bomba 3cp) CAT</v>
          </cell>
          <cell r="C190">
            <v>84779</v>
          </cell>
          <cell r="D190">
            <v>83777</v>
          </cell>
        </row>
        <row r="191">
          <cell r="A191" t="str">
            <v>REP-0240</v>
          </cell>
          <cell r="B191" t="str">
            <v>{ REP-0240 }  Perno culatín m8x65 (bomba 3cp) CAT</v>
          </cell>
          <cell r="C191">
            <v>4604</v>
          </cell>
          <cell r="D191">
            <v>4550</v>
          </cell>
        </row>
        <row r="192">
          <cell r="A192" t="str">
            <v>REP-0241</v>
          </cell>
          <cell r="B192" t="str">
            <v>{ REP-0241 }  Kit de válvulas 33062 (bomba 3cp) CAT</v>
          </cell>
          <cell r="C192">
            <v>71306</v>
          </cell>
          <cell r="D192">
            <v>70463</v>
          </cell>
        </row>
        <row r="193">
          <cell r="A193" t="str">
            <v>REP-0242</v>
          </cell>
          <cell r="B193" t="str">
            <v>{ REP-0242 }  Kit sellos de agua 33983 (bomba 3cp) CAT</v>
          </cell>
          <cell r="C193">
            <v>93816</v>
          </cell>
          <cell r="D193">
            <v>92707</v>
          </cell>
        </row>
        <row r="194">
          <cell r="A194" t="str">
            <v>REP-0243</v>
          </cell>
          <cell r="B194" t="str">
            <v>{ REP-0243 }  Golilla cóncava pistón (bomba 3cp) CAT</v>
          </cell>
          <cell r="C194">
            <v>4774</v>
          </cell>
          <cell r="D194">
            <v>4718</v>
          </cell>
        </row>
        <row r="195">
          <cell r="A195" t="str">
            <v>REP-0245</v>
          </cell>
          <cell r="B195" t="str">
            <v>{ REP-0245 }  O-ring tapa (bomba 3cp) CAT</v>
          </cell>
          <cell r="C195">
            <v>6460</v>
          </cell>
          <cell r="D195">
            <v>6383</v>
          </cell>
        </row>
        <row r="196">
          <cell r="A196" t="str">
            <v>REP-0246</v>
          </cell>
          <cell r="B196" t="str">
            <v>{ REP-0246 }  Golilla pistón ranurada (bomba 3cp) CAT</v>
          </cell>
          <cell r="C196">
            <v>3979</v>
          </cell>
          <cell r="D196">
            <v>3932</v>
          </cell>
        </row>
        <row r="197">
          <cell r="A197" t="str">
            <v>REP-0247</v>
          </cell>
          <cell r="B197" t="str">
            <v>{ REP-0247 }  O-ring tapa rodamiento (bomba 3cp) CAT</v>
          </cell>
          <cell r="C197">
            <v>3193</v>
          </cell>
          <cell r="D197">
            <v>3193</v>
          </cell>
        </row>
        <row r="198">
          <cell r="A198" t="str">
            <v>REP-0248</v>
          </cell>
          <cell r="B198" t="str">
            <v>{ REP-0248 }  Retainer, plunger w/stud3/5cp</v>
          </cell>
          <cell r="C198">
            <v>4973</v>
          </cell>
          <cell r="D198">
            <v>4915</v>
          </cell>
        </row>
        <row r="199">
          <cell r="A199" t="str">
            <v>REP-0249</v>
          </cell>
          <cell r="B199" t="str">
            <v>{ REP-0249 }  O-ring tapón inferior aceite (bomba 3cp) CAT</v>
          </cell>
          <cell r="C199">
            <v>1032</v>
          </cell>
          <cell r="D199">
            <v>1020</v>
          </cell>
        </row>
        <row r="200">
          <cell r="A200" t="str">
            <v>REP-0252</v>
          </cell>
          <cell r="B200" t="str">
            <v>{ REP-0252 }  Portasello (bomba 3cp) CAT</v>
          </cell>
          <cell r="C200">
            <v>31827</v>
          </cell>
          <cell r="D200">
            <v>31451</v>
          </cell>
        </row>
        <row r="201">
          <cell r="A201" t="str">
            <v>REP-0253</v>
          </cell>
          <cell r="B201" t="str">
            <v>{ REP-0253 }  Rodamiento (bomba 3cp) CAT</v>
          </cell>
          <cell r="C201">
            <v>33467</v>
          </cell>
          <cell r="D201">
            <v>33071</v>
          </cell>
        </row>
        <row r="202">
          <cell r="A202" t="str">
            <v>REP-0254</v>
          </cell>
          <cell r="B202" t="str">
            <v>{ REP-0254 }  Tapón inferior aceite (bomba 3cp) CAT</v>
          </cell>
          <cell r="C202">
            <v>6905</v>
          </cell>
          <cell r="D202">
            <v>6823</v>
          </cell>
        </row>
        <row r="203">
          <cell r="A203" t="str">
            <v>REP-0255</v>
          </cell>
          <cell r="B203" t="str">
            <v>{ REP-0255 }  Tapa válvula (bomba 3cp) CAT</v>
          </cell>
          <cell r="C203">
            <v>29839</v>
          </cell>
          <cell r="D203">
            <v>29486</v>
          </cell>
        </row>
        <row r="204">
          <cell r="A204" t="str">
            <v>REP-0256</v>
          </cell>
          <cell r="B204" t="str">
            <v>{ REP-0256 }  Visor nivel de aceite (bomba 3cp) CAT</v>
          </cell>
          <cell r="C204">
            <v>12106</v>
          </cell>
          <cell r="D204">
            <v>11963</v>
          </cell>
        </row>
        <row r="205">
          <cell r="A205" t="str">
            <v>REP-0260</v>
          </cell>
          <cell r="B205" t="str">
            <v>{ REP-0260 }  Ablandador en fibra, modelo HAF 1800 DA, operación automática.</v>
          </cell>
          <cell r="C205">
            <v>0</v>
          </cell>
          <cell r="D205">
            <v>0</v>
          </cell>
        </row>
        <row r="206">
          <cell r="A206" t="str">
            <v>REP-0262</v>
          </cell>
          <cell r="B206" t="str">
            <v>{ REP-0262 }  Membrana de osmosis para nueva Mself</v>
          </cell>
          <cell r="C206">
            <v>288437</v>
          </cell>
          <cell r="D206">
            <v>285027</v>
          </cell>
        </row>
        <row r="207">
          <cell r="A207" t="str">
            <v>REP-0263</v>
          </cell>
          <cell r="B207" t="str">
            <v>{ REP-0263 }  Filtro sedimentos</v>
          </cell>
          <cell r="C207">
            <v>3056</v>
          </cell>
          <cell r="D207">
            <v>3102</v>
          </cell>
        </row>
        <row r="208">
          <cell r="A208" t="str">
            <v>REP-0264</v>
          </cell>
          <cell r="B208" t="str">
            <v>{ REP-0264 }  Filtro carbón activo</v>
          </cell>
          <cell r="C208">
            <v>9832</v>
          </cell>
          <cell r="D208">
            <v>9715</v>
          </cell>
        </row>
        <row r="209">
          <cell r="A209" t="str">
            <v>REP-0266</v>
          </cell>
          <cell r="B209" t="str">
            <v>{ REP-0266 }  Limpiador spray acero inoxidable 3M</v>
          </cell>
          <cell r="C209">
            <v>12975</v>
          </cell>
          <cell r="D209">
            <v>12975</v>
          </cell>
        </row>
        <row r="210">
          <cell r="A210" t="str">
            <v>REP-0267</v>
          </cell>
          <cell r="B210" t="str">
            <v>{ REP-0267 }  Paños pulidores extra finos (10 unidades)</v>
          </cell>
          <cell r="C210">
            <v>4362</v>
          </cell>
          <cell r="D210">
            <v>4310</v>
          </cell>
        </row>
        <row r="211">
          <cell r="A211" t="str">
            <v>REP-0268</v>
          </cell>
          <cell r="B211" t="str">
            <v>{ REP-0268 }  Paños pulidores</v>
          </cell>
          <cell r="C211">
            <v>5140</v>
          </cell>
          <cell r="D211">
            <v>5079</v>
          </cell>
        </row>
        <row r="212">
          <cell r="A212" t="str">
            <v>REP-0269</v>
          </cell>
          <cell r="B212" t="str">
            <v>{ REP-0269 }  Pulsador armado doble 1NA+1NC- LAY5- EL8325</v>
          </cell>
          <cell r="C212">
            <v>12893</v>
          </cell>
          <cell r="D212">
            <v>12741</v>
          </cell>
        </row>
        <row r="213">
          <cell r="A213" t="str">
            <v>REP-0270</v>
          </cell>
          <cell r="B213" t="str">
            <v>{ REP-0270 }  Pulsador armadoverde 1NA+1NC- LAY5- EA31</v>
          </cell>
          <cell r="C213">
            <v>10243</v>
          </cell>
          <cell r="D213">
            <v>10243</v>
          </cell>
        </row>
        <row r="214">
          <cell r="A214" t="str">
            <v>REP-0271</v>
          </cell>
          <cell r="B214" t="str">
            <v>{ REP-0271 }  Pulsador armado rojo 1NA+1NC - LAY5- EA42</v>
          </cell>
          <cell r="C214">
            <v>10242</v>
          </cell>
          <cell r="D214">
            <v>10242</v>
          </cell>
        </row>
        <row r="215">
          <cell r="A215" t="str">
            <v>REP-0273</v>
          </cell>
          <cell r="B215" t="str">
            <v>{ REP-0273 }  Cepillo largo (USA)</v>
          </cell>
          <cell r="C215">
            <v>89515</v>
          </cell>
          <cell r="D215">
            <v>89515</v>
          </cell>
        </row>
        <row r="216">
          <cell r="A216" t="str">
            <v>REP-0274</v>
          </cell>
          <cell r="B216" t="str">
            <v>{ REP-0274 }  Manguera brazo giratorio 1,55 mt</v>
          </cell>
          <cell r="C216">
            <v>36750</v>
          </cell>
          <cell r="D216">
            <v>36750</v>
          </cell>
        </row>
        <row r="217">
          <cell r="A217" t="str">
            <v>REP-0276</v>
          </cell>
          <cell r="B217" t="str">
            <v>{ REP-0276 }  Electrobomba Espa 15,5M</v>
          </cell>
          <cell r="C217">
            <v>229000</v>
          </cell>
          <cell r="D217">
            <v>229000</v>
          </cell>
        </row>
        <row r="218">
          <cell r="A218" t="str">
            <v>REP-0277</v>
          </cell>
          <cell r="B218" t="str">
            <v>{ REP-0277 }  Presóstato Italtécnica PM/5-1Bar</v>
          </cell>
          <cell r="C218">
            <v>15636</v>
          </cell>
          <cell r="D218">
            <v>15636</v>
          </cell>
        </row>
        <row r="219">
          <cell r="A219" t="str">
            <v>REP-0278</v>
          </cell>
          <cell r="B219" t="str">
            <v>{ REP-0278 }  Válvula de pié estanque</v>
          </cell>
          <cell r="C219">
            <v>18900</v>
          </cell>
          <cell r="D219">
            <v>18900</v>
          </cell>
        </row>
        <row r="220">
          <cell r="A220" t="str">
            <v>REP-0280</v>
          </cell>
          <cell r="B220" t="str">
            <v>{ REP-0280 }  Esfera kit hidropack</v>
          </cell>
          <cell r="C220">
            <v>54084</v>
          </cell>
          <cell r="D220">
            <v>54084</v>
          </cell>
        </row>
        <row r="221">
          <cell r="A221" t="str">
            <v>REP-0281</v>
          </cell>
          <cell r="B221" t="str">
            <v>{ REP-0281 }  Filtro para válvula pie de estanque 1\</v>
          </cell>
          <cell r="C221">
            <v>1866</v>
          </cell>
          <cell r="D221">
            <v>1866</v>
          </cell>
        </row>
        <row r="222">
          <cell r="A222" t="str">
            <v>REP-0282</v>
          </cell>
          <cell r="B222" t="str">
            <v>{ REP-0282 }  Válvula 5 vías bronce</v>
          </cell>
          <cell r="C222">
            <v>9274</v>
          </cell>
          <cell r="D222">
            <v>9274</v>
          </cell>
        </row>
        <row r="223">
          <cell r="A223" t="str">
            <v>REP-0283</v>
          </cell>
          <cell r="B223" t="str">
            <v>{ REP-0283 }  Guardamotor electrobba</v>
          </cell>
          <cell r="C223">
            <v>37787</v>
          </cell>
          <cell r="D223">
            <v>37787</v>
          </cell>
        </row>
        <row r="224">
          <cell r="A224" t="str">
            <v>REP-0287</v>
          </cell>
          <cell r="B224" t="str">
            <v>{ REP-0287 }  Gravilla Inquinat 25kg</v>
          </cell>
          <cell r="C224">
            <v>9563</v>
          </cell>
          <cell r="D224">
            <v>9688</v>
          </cell>
        </row>
        <row r="225">
          <cell r="A225" t="str">
            <v>REP-0289</v>
          </cell>
          <cell r="B225" t="str">
            <v>{ REP-0289 }  Resorte filtro de aspirado</v>
          </cell>
          <cell r="C225">
            <v>6300</v>
          </cell>
          <cell r="D225">
            <v>6300</v>
          </cell>
        </row>
        <row r="226">
          <cell r="A226" t="str">
            <v>REP-0290</v>
          </cell>
          <cell r="B226" t="str">
            <v>{ REP-0290 }  Golilla filtro aspirado</v>
          </cell>
          <cell r="C226">
            <v>10000</v>
          </cell>
          <cell r="D226">
            <v>10000</v>
          </cell>
        </row>
        <row r="227">
          <cell r="A227" t="str">
            <v>REP-0294</v>
          </cell>
          <cell r="B227" t="str">
            <v>{ REP-0294 }  Ánodo magnesio frontal</v>
          </cell>
          <cell r="C227">
            <v>38864</v>
          </cell>
          <cell r="D227">
            <v>38864</v>
          </cell>
        </row>
        <row r="228">
          <cell r="A228" t="str">
            <v>REP-0295</v>
          </cell>
          <cell r="B228" t="str">
            <v>{ REP-0295 }  Arosello para ánodo</v>
          </cell>
          <cell r="C228">
            <v>2520</v>
          </cell>
          <cell r="D228">
            <v>2520</v>
          </cell>
        </row>
        <row r="229">
          <cell r="A229" t="str">
            <v>REP-0296</v>
          </cell>
          <cell r="B229" t="str">
            <v>{ REP-0296 }  Calefactor 3 Kw -220V (Resistencia)</v>
          </cell>
          <cell r="C229">
            <v>38430</v>
          </cell>
          <cell r="D229">
            <v>38430</v>
          </cell>
        </row>
        <row r="230">
          <cell r="A230" t="str">
            <v>REP-0298</v>
          </cell>
          <cell r="B230" t="str">
            <v>{ REP-0298 }  Termo 100 Lt Trotter cincado 6 Kw</v>
          </cell>
          <cell r="C230">
            <v>803830</v>
          </cell>
          <cell r="D230">
            <v>803830</v>
          </cell>
        </row>
        <row r="231">
          <cell r="A231" t="str">
            <v>REP-0299</v>
          </cell>
          <cell r="B231" t="str">
            <v>{ REP-0299 }  Bornera de conexión ceramica 3 polos Trotter</v>
          </cell>
          <cell r="C231">
            <v>22176</v>
          </cell>
          <cell r="D231">
            <v>22176</v>
          </cell>
        </row>
        <row r="232">
          <cell r="A232" t="str">
            <v>REP-0300</v>
          </cell>
          <cell r="B232" t="str">
            <v>{ REP-0300 }  Calefactor CU 6KW flang (3x2) tipo L ( resistencia termo trifásico)</v>
          </cell>
          <cell r="C232">
            <v>79940</v>
          </cell>
          <cell r="D232">
            <v>79940</v>
          </cell>
        </row>
        <row r="233">
          <cell r="A233" t="str">
            <v>REP-0301</v>
          </cell>
          <cell r="B233" t="str">
            <v>{ REP-0301 }  Termostato termo Trotter</v>
          </cell>
          <cell r="C233">
            <v>57460</v>
          </cell>
          <cell r="D233">
            <v>57460</v>
          </cell>
        </row>
        <row r="234">
          <cell r="A234" t="str">
            <v>REP-0304</v>
          </cell>
          <cell r="B234" t="str">
            <v>{ REP-0304 }  Ficha aspirado vacuum token/vacuum token dorada (Abast, Socobar, Recabarren, Biec)</v>
          </cell>
          <cell r="C234">
            <v>687</v>
          </cell>
          <cell r="D234">
            <v>687</v>
          </cell>
        </row>
        <row r="235">
          <cell r="A235" t="str">
            <v>REP-0305</v>
          </cell>
          <cell r="B235" t="str">
            <v>{ REP-0305 }  Ficha lavado ESMAX save water save the world/car wash dorada</v>
          </cell>
          <cell r="C235">
            <v>470</v>
          </cell>
          <cell r="D235">
            <v>470</v>
          </cell>
        </row>
        <row r="236">
          <cell r="A236" t="str">
            <v>REP-0307</v>
          </cell>
          <cell r="B236" t="str">
            <v>{ REP-0307 }  Ficha aspirado COPEC mod \C\ personalizadas Lavamax</v>
          </cell>
          <cell r="C236">
            <v>664</v>
          </cell>
          <cell r="D236">
            <v>664</v>
          </cell>
        </row>
        <row r="237">
          <cell r="A237" t="str">
            <v>REP-0308</v>
          </cell>
          <cell r="B237" t="str">
            <v>{ REP-0308 }  Ficha lavado autos/crown dorada (Recabarren-Bascuñan)</v>
          </cell>
          <cell r="C237">
            <v>445</v>
          </cell>
          <cell r="D237">
            <v>445</v>
          </cell>
        </row>
        <row r="238">
          <cell r="A238" t="str">
            <v>REP-0309</v>
          </cell>
          <cell r="B238" t="str">
            <v>{ REP-0309 }  Ficha lavado COPEC mod \A\ personalizadas Lavamax</v>
          </cell>
          <cell r="C238">
            <v>664</v>
          </cell>
          <cell r="D238">
            <v>656</v>
          </cell>
        </row>
        <row r="239">
          <cell r="A239" t="str">
            <v>REP-0311</v>
          </cell>
          <cell r="B239" t="str">
            <v>{ REP-0311 }  Ficha lavado part auto chico/no cash value red brass (Zambra, Socobar)</v>
          </cell>
          <cell r="C239">
            <v>445</v>
          </cell>
          <cell r="D239">
            <v>445</v>
          </cell>
        </row>
        <row r="240">
          <cell r="A240" t="str">
            <v>REP-0312</v>
          </cell>
          <cell r="B240" t="str">
            <v>{ REP-0312 }  Ficha aspirado ESMAX vacuum token/aguila estrellas plateada</v>
          </cell>
          <cell r="C240">
            <v>654</v>
          </cell>
          <cell r="D240">
            <v>654</v>
          </cell>
        </row>
        <row r="241">
          <cell r="A241" t="str">
            <v>REP-0313</v>
          </cell>
          <cell r="B241" t="str">
            <v>{ REP-0313 }  Ficha lavado corona/escudo Dorada PANATT/EING</v>
          </cell>
          <cell r="C241">
            <v>483</v>
          </cell>
          <cell r="D241">
            <v>483</v>
          </cell>
        </row>
        <row r="242">
          <cell r="A242" t="str">
            <v>REP-0314</v>
          </cell>
          <cell r="B242" t="str">
            <v>{ REP-0314 }  Inverter 2,2 KW 3AC380-480V</v>
          </cell>
          <cell r="C242">
            <v>879212</v>
          </cell>
          <cell r="D242">
            <v>893772</v>
          </cell>
        </row>
        <row r="243">
          <cell r="A243" t="str">
            <v>REP-0315</v>
          </cell>
          <cell r="B243" t="str">
            <v>{ REP-0315 }  Ventilador 80x80 24V AC</v>
          </cell>
          <cell r="C243">
            <v>46898</v>
          </cell>
          <cell r="D243">
            <v>47675</v>
          </cell>
        </row>
        <row r="244">
          <cell r="A244" t="str">
            <v>REP-0316</v>
          </cell>
          <cell r="B244" t="str">
            <v>{ REP-0316 }  Int. Aut. C60N 3P 16A</v>
          </cell>
          <cell r="C244">
            <v>94837</v>
          </cell>
          <cell r="D244">
            <v>96408</v>
          </cell>
        </row>
        <row r="245">
          <cell r="A245" t="str">
            <v>REP-0317</v>
          </cell>
          <cell r="B245" t="str">
            <v>{ REP-0317 }  Int. MT 6KA 1N 1MOD 2A C</v>
          </cell>
          <cell r="C245">
            <v>50941</v>
          </cell>
          <cell r="D245">
            <v>51784</v>
          </cell>
        </row>
        <row r="246">
          <cell r="A246" t="str">
            <v>REP-0318</v>
          </cell>
          <cell r="B246" t="str">
            <v>{ REP-0318 }  Int. MT 10 KA 1P+1N D 2A</v>
          </cell>
          <cell r="C246">
            <v>60269</v>
          </cell>
          <cell r="D246">
            <v>61267</v>
          </cell>
        </row>
        <row r="247">
          <cell r="A247" t="str">
            <v>REP-0319</v>
          </cell>
          <cell r="B247" t="str">
            <v>{ REP-0319 }  Int. mt 6KA 1N 1MOD 6A C</v>
          </cell>
          <cell r="C247">
            <v>42031</v>
          </cell>
          <cell r="D247">
            <v>42727</v>
          </cell>
        </row>
        <row r="248">
          <cell r="A248" t="str">
            <v>REP-0320</v>
          </cell>
          <cell r="B248" t="str">
            <v>{ REP-0320 }  kit pistola+ manguera+soporte para sanitizado</v>
          </cell>
          <cell r="C248">
            <v>418162</v>
          </cell>
          <cell r="D248">
            <v>425086</v>
          </cell>
        </row>
        <row r="249">
          <cell r="A249" t="str">
            <v>REP-0321</v>
          </cell>
          <cell r="B249" t="str">
            <v>{ REP-0321 }  Filtro pistola mousse</v>
          </cell>
          <cell r="C249">
            <v>18121</v>
          </cell>
          <cell r="D249">
            <v>18421</v>
          </cell>
        </row>
        <row r="250">
          <cell r="A250" t="str">
            <v>REP-0324</v>
          </cell>
          <cell r="B250" t="str">
            <v>{ REP-0324 }  Ficha lavado part autos/rueda (La Serena Florida, Llolleo part)</v>
          </cell>
          <cell r="C250">
            <v>494</v>
          </cell>
          <cell r="D250">
            <v>494</v>
          </cell>
        </row>
        <row r="251">
          <cell r="A251" t="str">
            <v>REP-0325</v>
          </cell>
          <cell r="B251" t="str">
            <v>{ REP-0325 }  Ficha asp part estrella-winner</v>
          </cell>
          <cell r="C251">
            <v>326</v>
          </cell>
          <cell r="D251">
            <v>326</v>
          </cell>
        </row>
        <row r="252">
          <cell r="A252" t="str">
            <v>REP-0326</v>
          </cell>
          <cell r="B252" t="str">
            <v>{ REP-0326 }  Válvula de inyección verde</v>
          </cell>
          <cell r="C252">
            <v>39372</v>
          </cell>
          <cell r="D252">
            <v>40024</v>
          </cell>
        </row>
        <row r="253">
          <cell r="A253" t="str">
            <v>REP-0327</v>
          </cell>
          <cell r="B253" t="str">
            <v>{ REP-0327 }  Válvula de inyección blanca</v>
          </cell>
          <cell r="C253">
            <v>43424</v>
          </cell>
          <cell r="D253">
            <v>44143</v>
          </cell>
        </row>
        <row r="254">
          <cell r="A254" t="str">
            <v>REP-0328</v>
          </cell>
          <cell r="B254" t="str">
            <v>{ REP-0328 }  Resina sunresin SC 130</v>
          </cell>
          <cell r="C254">
            <v>67972</v>
          </cell>
          <cell r="D254">
            <v>67168</v>
          </cell>
        </row>
        <row r="255">
          <cell r="A255" t="str">
            <v>REP-0329</v>
          </cell>
          <cell r="B255" t="str">
            <v>{ REP-0329 }  Manguera espiral + terminales para sanitizado</v>
          </cell>
          <cell r="C255">
            <v>222334</v>
          </cell>
          <cell r="D255">
            <v>226015</v>
          </cell>
        </row>
        <row r="256">
          <cell r="A256" t="str">
            <v>REP-0333</v>
          </cell>
          <cell r="B256" t="str">
            <v>{ REP-0333 }  Filtro de sedimento texpro</v>
          </cell>
          <cell r="C256">
            <v>5678</v>
          </cell>
          <cell r="D256">
            <v>5772</v>
          </cell>
        </row>
        <row r="257">
          <cell r="A257" t="str">
            <v>REP-0336</v>
          </cell>
          <cell r="B257" t="str">
            <v>{ REP-0336 }  Visera para display de 4 cifras</v>
          </cell>
          <cell r="C257">
            <v>37500</v>
          </cell>
          <cell r="D257">
            <v>37500</v>
          </cell>
        </row>
        <row r="258">
          <cell r="A258" t="str">
            <v>REP-0337</v>
          </cell>
          <cell r="B258" t="str">
            <v>{ REP-0337 }  Válvula bola paso total 1/2 ( Bonomi Italiana)</v>
          </cell>
          <cell r="C258">
            <v>3900</v>
          </cell>
          <cell r="D258">
            <v>3900</v>
          </cell>
        </row>
        <row r="259">
          <cell r="A259" t="str">
            <v>REP-0338</v>
          </cell>
          <cell r="B259" t="str">
            <v>{ REP-0338 }  Copla bronce  HI-HI 1/2 x 1/2 nacional</v>
          </cell>
          <cell r="C259">
            <v>1939</v>
          </cell>
          <cell r="D259">
            <v>1939</v>
          </cell>
        </row>
        <row r="260">
          <cell r="A260" t="str">
            <v>REP-0339</v>
          </cell>
          <cell r="B260" t="str">
            <v>{ REP-0339 }  Kit analizador de durezas de alto rango 100 determinaciones</v>
          </cell>
          <cell r="C260">
            <v>65372</v>
          </cell>
          <cell r="D260">
            <v>65372</v>
          </cell>
        </row>
        <row r="261">
          <cell r="A261" t="str">
            <v>REP-0340</v>
          </cell>
          <cell r="B261" t="str">
            <v>{ REP-0340 }  Pulsador armado azul contacto NO</v>
          </cell>
          <cell r="C261">
            <v>10535</v>
          </cell>
          <cell r="D261">
            <v>10535</v>
          </cell>
        </row>
        <row r="262">
          <cell r="A262" t="str">
            <v>REP-0341</v>
          </cell>
          <cell r="B262" t="str">
            <v>{ REP-0341 }  Kit analizador de durezas bajo rango 100 determinaciones</v>
          </cell>
          <cell r="C262">
            <v>55944</v>
          </cell>
          <cell r="D262">
            <v>55944</v>
          </cell>
        </row>
        <row r="263">
          <cell r="A263" t="str">
            <v>REP-0344</v>
          </cell>
          <cell r="B263" t="str">
            <v>{ REP-0344 }  EV 1/2 100 bar mousse</v>
          </cell>
          <cell r="C263">
            <v>486226</v>
          </cell>
          <cell r="D263">
            <v>494278</v>
          </cell>
        </row>
        <row r="264">
          <cell r="A264" t="str">
            <v>REP-0345</v>
          </cell>
          <cell r="B264" t="str">
            <v>{ REP-0345 }  Termo 100lt Trotter inoxidable 6 kw</v>
          </cell>
          <cell r="C264">
            <v>1109900</v>
          </cell>
          <cell r="D264">
            <v>1270000</v>
          </cell>
        </row>
        <row r="265">
          <cell r="A265" t="str">
            <v>REP-0346</v>
          </cell>
          <cell r="B265" t="str">
            <v>{ REP-0346 }   Soporte de plástico para manguera de soplado</v>
          </cell>
          <cell r="C265">
            <v>16546</v>
          </cell>
          <cell r="D265">
            <v>16546</v>
          </cell>
        </row>
        <row r="266">
          <cell r="A266" t="str">
            <v>REP-0347</v>
          </cell>
          <cell r="B266" t="str">
            <v>{ REP-0347 }  Contactor 4KW DILEM 10 24V 50/60</v>
          </cell>
          <cell r="C266">
            <v>20810</v>
          </cell>
          <cell r="D266">
            <v>21155</v>
          </cell>
        </row>
        <row r="267">
          <cell r="A267" t="str">
            <v>REP-0348</v>
          </cell>
          <cell r="B267" t="str">
            <v>{ REP-0348 }  Diferencial tipo B SIEMENE 5SV3342-4</v>
          </cell>
          <cell r="C267">
            <v>943181</v>
          </cell>
          <cell r="D267">
            <v>958800</v>
          </cell>
        </row>
        <row r="268">
          <cell r="A268" t="str">
            <v>REP-0350</v>
          </cell>
          <cell r="B268" t="str">
            <v>{ REP-0350 }  Manguera 3,5 mts color rojo</v>
          </cell>
          <cell r="C268">
            <v>71463</v>
          </cell>
          <cell r="D268">
            <v>72646</v>
          </cell>
        </row>
        <row r="269">
          <cell r="A269" t="str">
            <v>REP-0351</v>
          </cell>
          <cell r="B269" t="str">
            <v>{ REP-0351 }  Manguera 4,7 mts color gris</v>
          </cell>
          <cell r="C269">
            <v>82979</v>
          </cell>
          <cell r="D269">
            <v>113245</v>
          </cell>
        </row>
        <row r="270">
          <cell r="A270" t="str">
            <v>REP-0352</v>
          </cell>
          <cell r="B270" t="str">
            <v>{ REP-0352 }  Manguera 4,0 mts color gris</v>
          </cell>
          <cell r="C270">
            <v>75033</v>
          </cell>
          <cell r="D270">
            <v>76275</v>
          </cell>
        </row>
        <row r="271">
          <cell r="A271" t="str">
            <v>REP-0353</v>
          </cell>
          <cell r="B271" t="str">
            <v>{ REP-0353 }  Fichero nuevo RM5 evo</v>
          </cell>
          <cell r="C271">
            <v>312888</v>
          </cell>
          <cell r="D271">
            <v>295095</v>
          </cell>
        </row>
        <row r="272">
          <cell r="A272" t="str">
            <v>REP-0354</v>
          </cell>
          <cell r="B272" t="str">
            <v>{ REP-0354 }  Reducción 1/2 A 1/4" bronce (bushing)</v>
          </cell>
          <cell r="C272">
            <v>5152</v>
          </cell>
          <cell r="D272">
            <v>5237</v>
          </cell>
        </row>
        <row r="273">
          <cell r="A273" t="str">
            <v>REP-0355</v>
          </cell>
          <cell r="B273" t="str">
            <v>{ REP-0355 }   Oring para boquilla pistola mousse</v>
          </cell>
          <cell r="C273">
            <v>1632</v>
          </cell>
          <cell r="D273">
            <v>1632</v>
          </cell>
        </row>
        <row r="274">
          <cell r="A274" t="str">
            <v>REP-0356</v>
          </cell>
          <cell r="B274" t="str">
            <v>{ REP-0356 }  Ficha lavado Abastible self service car wash/tu lavas tu brillas</v>
          </cell>
          <cell r="C274">
            <v>578</v>
          </cell>
          <cell r="D274">
            <v>578</v>
          </cell>
        </row>
        <row r="275">
          <cell r="A275" t="str">
            <v>REP-0357</v>
          </cell>
          <cell r="B275" t="str">
            <v>{ REP-0357 }  Manguera 4,0 mts color rojo</v>
          </cell>
          <cell r="C275">
            <v>73414</v>
          </cell>
          <cell r="D275">
            <v>74630</v>
          </cell>
        </row>
        <row r="276">
          <cell r="A276" t="str">
            <v>REP-0360</v>
          </cell>
          <cell r="B276" t="str">
            <v>{ REP-0360 }  Ficha dorada lava interni Lavamax multifunción</v>
          </cell>
          <cell r="C276">
            <v>741</v>
          </cell>
          <cell r="D276">
            <v>741</v>
          </cell>
        </row>
        <row r="277">
          <cell r="A277" t="str">
            <v>REP-0361</v>
          </cell>
          <cell r="B277" t="str">
            <v>{ REP-0361 }  Carcasa de membrana de osmosis</v>
          </cell>
          <cell r="C277">
            <v>349047</v>
          </cell>
          <cell r="D277">
            <v>354827</v>
          </cell>
        </row>
        <row r="278">
          <cell r="A278" t="str">
            <v>REP-0362</v>
          </cell>
          <cell r="B278" t="str">
            <v>{ REP-0362 }  Mango pistola mousse</v>
          </cell>
          <cell r="C278">
            <v>156275</v>
          </cell>
          <cell r="D278">
            <v>158862</v>
          </cell>
        </row>
        <row r="279">
          <cell r="A279" t="str">
            <v>REP-0363</v>
          </cell>
          <cell r="B279" t="str">
            <v>{ REP-0363 }  Boquilla y cuerpo lanza mousse</v>
          </cell>
          <cell r="C279">
            <v>253309</v>
          </cell>
          <cell r="D279">
            <v>257504</v>
          </cell>
        </row>
        <row r="280">
          <cell r="A280" t="str">
            <v>REP-0364</v>
          </cell>
          <cell r="B280" t="str">
            <v>{ REP-0364 }  Bomba dosificadora de mousse</v>
          </cell>
          <cell r="C280">
            <v>423523</v>
          </cell>
          <cell r="D280">
            <v>430536</v>
          </cell>
        </row>
        <row r="281">
          <cell r="A281" t="str">
            <v>REP-0365</v>
          </cell>
          <cell r="B281" t="str">
            <v>{ REP-0365 }  Manguera 1/4" 1 mt color rojo ext. HE-HI 3/8</v>
          </cell>
          <cell r="C281">
            <v>38224</v>
          </cell>
          <cell r="D281">
            <v>38857</v>
          </cell>
        </row>
        <row r="282">
          <cell r="A282" t="str">
            <v>REP-0366</v>
          </cell>
          <cell r="B282" t="str">
            <v>{ REP-0366 }  Codo bronce 1/4 HE- HI</v>
          </cell>
          <cell r="C282">
            <v>3044</v>
          </cell>
          <cell r="D282">
            <v>3044</v>
          </cell>
        </row>
        <row r="283">
          <cell r="A283" t="str">
            <v>REP-0367</v>
          </cell>
          <cell r="B283" t="str">
            <v>{ REP-0367 }  Resina catiónica G8 CG8 saco de 28,32L</v>
          </cell>
          <cell r="C283">
            <v>97704</v>
          </cell>
          <cell r="D283">
            <v>97704</v>
          </cell>
        </row>
        <row r="284">
          <cell r="A284" t="str">
            <v>REP-0368</v>
          </cell>
          <cell r="B284" t="str">
            <v>{ REP-0368 }  Gravilla silica malla 4"-8" saco</v>
          </cell>
          <cell r="C284">
            <v>16560</v>
          </cell>
          <cell r="D284">
            <v>16560</v>
          </cell>
        </row>
        <row r="285">
          <cell r="A285" t="str">
            <v>REP-0369</v>
          </cell>
          <cell r="B285" t="str">
            <v>{ REP-0369 }  HF1 membrana de osmosis para MSELF</v>
          </cell>
          <cell r="C285">
            <v>331249</v>
          </cell>
          <cell r="D285">
            <v>336734</v>
          </cell>
        </row>
        <row r="286">
          <cell r="A286" t="str">
            <v>REP-0370</v>
          </cell>
          <cell r="B286" t="str">
            <v>{ REP-0370 }  HR3 membrana de osmosis para MSELF</v>
          </cell>
          <cell r="C286">
            <v>345336</v>
          </cell>
          <cell r="D286">
            <v>341253</v>
          </cell>
        </row>
        <row r="287">
          <cell r="A287" t="str">
            <v>REP-0371</v>
          </cell>
          <cell r="B287" t="str">
            <v>{ REP-0371 }  Ficha mod "B" no personalizadas (ex Abastible)</v>
          </cell>
          <cell r="C287">
            <v>0</v>
          </cell>
          <cell r="D287">
            <v>0</v>
          </cell>
        </row>
        <row r="288">
          <cell r="A288" t="str">
            <v>REP-0372</v>
          </cell>
          <cell r="B288" t="str">
            <v>{ REP-0372 }  Ficha vacuum plateada (aspiradora)</v>
          </cell>
          <cell r="C288">
            <v>601</v>
          </cell>
          <cell r="D288">
            <v>601</v>
          </cell>
        </row>
        <row r="289">
          <cell r="A289" t="str">
            <v>REP-0373</v>
          </cell>
          <cell r="B289" t="str">
            <v>{ REP-0373 }  Ficha carwash dorada (auto covertible)</v>
          </cell>
          <cell r="C289">
            <v>0</v>
          </cell>
          <cell r="D289">
            <v>450</v>
          </cell>
        </row>
        <row r="290">
          <cell r="A290" t="str">
            <v>REP-0374</v>
          </cell>
          <cell r="B290" t="str">
            <v>{ REP-0374 }  Cubre fichero (lava interior)</v>
          </cell>
          <cell r="C290">
            <v>46898</v>
          </cell>
          <cell r="D290">
            <v>47675</v>
          </cell>
        </row>
        <row r="291">
          <cell r="A291" t="str">
            <v>REP-0375</v>
          </cell>
          <cell r="B291" t="str">
            <v>{ REP-0375 }  Tarjeta electrónica lavainterior (lava interior)</v>
          </cell>
          <cell r="C291">
            <v>332923</v>
          </cell>
          <cell r="D291">
            <v>338436</v>
          </cell>
        </row>
        <row r="292">
          <cell r="A292" t="str">
            <v>REP-0376</v>
          </cell>
          <cell r="B292" t="str">
            <v>{ REP-0376 }  Alimentador para tarjeta electrónica (lava interior)</v>
          </cell>
          <cell r="C292">
            <v>103737</v>
          </cell>
          <cell r="D292">
            <v>105455</v>
          </cell>
        </row>
        <row r="293">
          <cell r="A293" t="str">
            <v>REP-0377</v>
          </cell>
          <cell r="B293" t="str">
            <v>{ REP-0377 }  Pulsador azul luminoso (lava interior)</v>
          </cell>
          <cell r="C293">
            <v>77199</v>
          </cell>
          <cell r="D293">
            <v>78477</v>
          </cell>
        </row>
        <row r="294">
          <cell r="A294" t="str">
            <v>REP-0378</v>
          </cell>
          <cell r="B294" t="str">
            <v>{ REP-0378 }  Pulsador rojo luminoso (lava interior)</v>
          </cell>
          <cell r="C294">
            <v>77199</v>
          </cell>
          <cell r="D294">
            <v>78477</v>
          </cell>
        </row>
        <row r="295">
          <cell r="A295" t="str">
            <v>REP-0379</v>
          </cell>
          <cell r="B295" t="str">
            <v>{ REP-0379 }  Bomba producto electromagnética (lava interior)</v>
          </cell>
          <cell r="C295">
            <v>104540</v>
          </cell>
          <cell r="D295">
            <v>106271</v>
          </cell>
        </row>
        <row r="296">
          <cell r="A296" t="str">
            <v>REP-0380</v>
          </cell>
          <cell r="B296" t="str">
            <v>{ REP-0380 }  Espiral + pistola perfume (lava interior)</v>
          </cell>
          <cell r="C296">
            <v>265371</v>
          </cell>
          <cell r="D296">
            <v>269766</v>
          </cell>
        </row>
        <row r="297">
          <cell r="A297" t="str">
            <v>REP-0381</v>
          </cell>
          <cell r="B297" t="str">
            <v>{ REP-0381 }  Espiral + pistola renovador (lava interior)</v>
          </cell>
          <cell r="C297">
            <v>265371</v>
          </cell>
          <cell r="D297">
            <v>269766</v>
          </cell>
        </row>
        <row r="298">
          <cell r="A298" t="str">
            <v>REP-0382</v>
          </cell>
          <cell r="B298" t="str">
            <v>{ REP-0382 }  Filtro metálico aspirado (lava interior)</v>
          </cell>
          <cell r="C298">
            <v>301559</v>
          </cell>
          <cell r="D298">
            <v>306552</v>
          </cell>
        </row>
        <row r="299">
          <cell r="A299" t="str">
            <v>REP-0383</v>
          </cell>
          <cell r="B299" t="str">
            <v>{ REP-0383 }  Kit aspiradora, boquilla, manguito y sujetador (lava interior)</v>
          </cell>
          <cell r="C299">
            <v>30161</v>
          </cell>
          <cell r="D299">
            <v>30660</v>
          </cell>
        </row>
        <row r="300">
          <cell r="A300" t="str">
            <v>REP-0385</v>
          </cell>
          <cell r="B300" t="str">
            <v>{ REP-0385 }  Boquilla lavainteriores dry (lava interior)</v>
          </cell>
          <cell r="C300">
            <v>57579</v>
          </cell>
          <cell r="D300">
            <v>58532</v>
          </cell>
        </row>
        <row r="301">
          <cell r="A301" t="str">
            <v>REP-0386</v>
          </cell>
          <cell r="B301" t="str">
            <v>{ REP-0386 }  Cepillo completo lavainteriores (lava interior)</v>
          </cell>
          <cell r="C301">
            <v>227851</v>
          </cell>
          <cell r="D301">
            <v>231624</v>
          </cell>
        </row>
        <row r="302">
          <cell r="A302" t="str">
            <v>REP-0387</v>
          </cell>
          <cell r="B302" t="str">
            <v>{ REP-0387 }  Espiral lavainteriores dry (lava interior)</v>
          </cell>
          <cell r="C302">
            <v>78452</v>
          </cell>
          <cell r="D302">
            <v>79751</v>
          </cell>
        </row>
        <row r="303">
          <cell r="A303" t="str">
            <v>REP-0388</v>
          </cell>
          <cell r="B303" t="str">
            <v>{ REP-0388 }  Manguera aspiración agua delgada (lava interior)</v>
          </cell>
          <cell r="C303">
            <v>60312</v>
          </cell>
          <cell r="D303">
            <v>61310</v>
          </cell>
        </row>
        <row r="304">
          <cell r="A304" t="str">
            <v>REP-0389</v>
          </cell>
          <cell r="B304" t="str">
            <v>{ REP-0389 }  Motor modulo aspiración agua (lava interior)</v>
          </cell>
          <cell r="C304">
            <v>562910</v>
          </cell>
          <cell r="D304">
            <v>572232</v>
          </cell>
        </row>
        <row r="305">
          <cell r="A305" t="str">
            <v>REP-0390</v>
          </cell>
          <cell r="B305" t="str">
            <v>{ REP-0390 }  Bomba modulo lavainteriores dry (lava interior)</v>
          </cell>
          <cell r="C305">
            <v>287385</v>
          </cell>
          <cell r="D305">
            <v>292144</v>
          </cell>
        </row>
        <row r="306">
          <cell r="A306" t="str">
            <v>REP-0391</v>
          </cell>
          <cell r="B306" t="str">
            <v>{ REP-0391 }  Bisagra (lava interior)</v>
          </cell>
          <cell r="C306">
            <v>13467</v>
          </cell>
          <cell r="D306">
            <v>13690</v>
          </cell>
        </row>
        <row r="307">
          <cell r="A307" t="str">
            <v>REP-0392</v>
          </cell>
          <cell r="B307" t="str">
            <v>{ REP-0392 }  Cerradura (lava interior)</v>
          </cell>
          <cell r="C307">
            <v>28949</v>
          </cell>
          <cell r="D307">
            <v>29429</v>
          </cell>
        </row>
        <row r="308">
          <cell r="A308" t="str">
            <v>REP-0393</v>
          </cell>
          <cell r="B308" t="str">
            <v>{ REP-0393 }  Palanca interior cerradura (lava interior)</v>
          </cell>
          <cell r="C308">
            <v>7033</v>
          </cell>
          <cell r="D308">
            <v>7150</v>
          </cell>
        </row>
        <row r="309">
          <cell r="A309" t="str">
            <v>REP-0394</v>
          </cell>
          <cell r="B309" t="str">
            <v>{ REP-0394 }  Interruptor ON/OFF (lava interior)</v>
          </cell>
          <cell r="C309">
            <v>151182</v>
          </cell>
          <cell r="D309">
            <v>153686</v>
          </cell>
        </row>
        <row r="310">
          <cell r="A310" t="str">
            <v>REP-0395</v>
          </cell>
          <cell r="B310" t="str">
            <v>{ REP-0395 }  Cable (lava interior)</v>
          </cell>
          <cell r="C310">
            <v>23116</v>
          </cell>
          <cell r="D310">
            <v>23499</v>
          </cell>
        </row>
        <row r="311">
          <cell r="A311" t="str">
            <v>REP-0396</v>
          </cell>
          <cell r="B311" t="str">
            <v>{ REP-0396 }  Perilla timer de programas (lava interior)</v>
          </cell>
          <cell r="C311">
            <v>10058</v>
          </cell>
          <cell r="D311">
            <v>10224</v>
          </cell>
        </row>
        <row r="312">
          <cell r="A312" t="str">
            <v>REP-0397</v>
          </cell>
          <cell r="B312" t="str">
            <v>{ REP-0397 }  Contactor 24V NO (lava interior)</v>
          </cell>
          <cell r="C312">
            <v>82024</v>
          </cell>
          <cell r="D312">
            <v>83382</v>
          </cell>
        </row>
        <row r="313">
          <cell r="A313" t="str">
            <v>REP-0398</v>
          </cell>
          <cell r="B313" t="str">
            <v>{ REP-0398 }  Interruptor térmico 4.2-5.7A (lava interior)</v>
          </cell>
          <cell r="C313">
            <v>102128</v>
          </cell>
          <cell r="D313">
            <v>103820</v>
          </cell>
        </row>
        <row r="314">
          <cell r="A314" t="str">
            <v>REP-0399</v>
          </cell>
          <cell r="B314" t="str">
            <v>{ REP-0399 }  Mango sujetador aspirado interior(lava interior)</v>
          </cell>
          <cell r="C314">
            <v>16083</v>
          </cell>
          <cell r="D314">
            <v>16349</v>
          </cell>
        </row>
        <row r="315">
          <cell r="A315" t="str">
            <v>REP-0400</v>
          </cell>
          <cell r="B315" t="str">
            <v>{ REP-0400 }  Electroválvula 230V 50HZ 1/4 (lava interior)</v>
          </cell>
          <cell r="C315">
            <v>127057</v>
          </cell>
          <cell r="D315">
            <v>129161</v>
          </cell>
        </row>
        <row r="316">
          <cell r="A316" t="str">
            <v>REP-0401</v>
          </cell>
          <cell r="B316" t="str">
            <v>{ REP-0401 }  Gancho (lava interior)</v>
          </cell>
          <cell r="C316">
            <v>62724</v>
          </cell>
          <cell r="D316">
            <v>63763</v>
          </cell>
        </row>
        <row r="317">
          <cell r="A317" t="str">
            <v>REP-0403</v>
          </cell>
          <cell r="B317" t="str">
            <v>{ REP-0403 }  Módulo regulador y mezcla producto (lava interior)</v>
          </cell>
          <cell r="C317">
            <v>3793608</v>
          </cell>
          <cell r="D317">
            <v>3856428</v>
          </cell>
        </row>
        <row r="318">
          <cell r="A318" t="str">
            <v>REP-0404</v>
          </cell>
          <cell r="B318" t="str">
            <v>{ REP-0404 }  Contactor 230V NO (lava interior)</v>
          </cell>
          <cell r="C318">
            <v>131485</v>
          </cell>
          <cell r="D318">
            <v>133662</v>
          </cell>
        </row>
        <row r="319">
          <cell r="A319" t="str">
            <v>REP-0405</v>
          </cell>
          <cell r="B319" t="str">
            <v>{ REP-0405 }  Motor aspirado con turbina (lava interior)</v>
          </cell>
          <cell r="C319">
            <v>2151121</v>
          </cell>
          <cell r="D319">
            <v>2186743</v>
          </cell>
        </row>
        <row r="320">
          <cell r="A320" t="str">
            <v>REP-0406</v>
          </cell>
          <cell r="B320" t="str">
            <v>{ REP-0406 }  Codo 45° entrada tambor aspirado (lava interior)</v>
          </cell>
          <cell r="C320">
            <v>9853</v>
          </cell>
          <cell r="D320">
            <v>10016</v>
          </cell>
        </row>
        <row r="321">
          <cell r="A321" t="str">
            <v>REP-0407</v>
          </cell>
          <cell r="B321" t="str">
            <v>{ REP-0407 }  Acople rápido de bombas (lava interior)</v>
          </cell>
          <cell r="C321">
            <v>11258</v>
          </cell>
          <cell r="D321">
            <v>11444</v>
          </cell>
        </row>
        <row r="322">
          <cell r="A322" t="str">
            <v>REP-0408</v>
          </cell>
          <cell r="B322" t="str">
            <v>{ REP-0408 }  Tubo a espiral para perfume (lava interior)</v>
          </cell>
          <cell r="C322">
            <v>99512</v>
          </cell>
          <cell r="D322">
            <v>101160</v>
          </cell>
        </row>
        <row r="323">
          <cell r="A323" t="str">
            <v>REP-0409</v>
          </cell>
          <cell r="B323" t="str">
            <v>{ REP-0409 }  Telaio SD/TI (lava interior)</v>
          </cell>
          <cell r="C323">
            <v>1333700</v>
          </cell>
          <cell r="D323">
            <v>1355786</v>
          </cell>
        </row>
        <row r="324">
          <cell r="A324" t="str">
            <v>REP-0410</v>
          </cell>
          <cell r="B324" t="str">
            <v>{ REP-0410 }  Boquilla bronce para pistola (lava interior)</v>
          </cell>
          <cell r="C324">
            <v>52270</v>
          </cell>
          <cell r="D324">
            <v>53136</v>
          </cell>
        </row>
        <row r="325">
          <cell r="A325" t="str">
            <v>REP-0412</v>
          </cell>
          <cell r="B325" t="str">
            <v>{ REP-0412 }  Boquilla verde para pistola (lava interior)</v>
          </cell>
          <cell r="C325">
            <v>50265</v>
          </cell>
          <cell r="D325">
            <v>51098</v>
          </cell>
        </row>
        <row r="326">
          <cell r="A326" t="str">
            <v>REP-0413</v>
          </cell>
          <cell r="B326" t="str">
            <v>{ REP-0413 }  Tambor cilíndrico filtro aspirado</v>
          </cell>
          <cell r="C326">
            <v>288253</v>
          </cell>
          <cell r="D326">
            <v>293026</v>
          </cell>
        </row>
        <row r="327">
          <cell r="A327" t="str">
            <v>REP-0414</v>
          </cell>
          <cell r="B327" t="str">
            <v>{ REP-0414 }   Manguito boquilla aspirado lava tapiz (lava interior)</v>
          </cell>
          <cell r="C327">
            <v>11483</v>
          </cell>
          <cell r="D327">
            <v>11674</v>
          </cell>
        </row>
        <row r="328">
          <cell r="A328" t="str">
            <v>REP-0415</v>
          </cell>
          <cell r="B328" t="str">
            <v>{ REP-0415 }  Display (lava interior)</v>
          </cell>
          <cell r="C328">
            <v>361870</v>
          </cell>
          <cell r="D328">
            <v>367863</v>
          </cell>
        </row>
        <row r="329">
          <cell r="A329" t="str">
            <v>REP-0416</v>
          </cell>
          <cell r="B329" t="str">
            <v>{ REP-0416 } 2022 Cubrefichero inox plus 2022</v>
          </cell>
          <cell r="C329">
            <v>150185</v>
          </cell>
          <cell r="D329">
            <v>152672</v>
          </cell>
        </row>
        <row r="330">
          <cell r="A330" t="str">
            <v>REP-0417</v>
          </cell>
          <cell r="B330" t="str">
            <v>{ REP-0417 }  Lexan para cubrefichero plus 2022</v>
          </cell>
          <cell r="C330">
            <v>46694</v>
          </cell>
          <cell r="D330">
            <v>47468</v>
          </cell>
        </row>
        <row r="331">
          <cell r="A331" t="str">
            <v>REP-0418</v>
          </cell>
          <cell r="B331" t="str">
            <v>{ REP-0418 }  Unión americana inoxidable de 1/2"</v>
          </cell>
          <cell r="C331">
            <v>2969</v>
          </cell>
          <cell r="D331">
            <v>2969</v>
          </cell>
        </row>
        <row r="332">
          <cell r="A332" t="str">
            <v>REP-0419</v>
          </cell>
          <cell r="B332" t="str">
            <v>{ REP-0419 }  Manguera silicona D8/D5 150cm (lava interior)</v>
          </cell>
          <cell r="C332">
            <v>27748</v>
          </cell>
          <cell r="D332">
            <v>28208</v>
          </cell>
        </row>
        <row r="333">
          <cell r="A333" t="str">
            <v>REP-0424</v>
          </cell>
          <cell r="B333" t="str">
            <v>{ REP-0424 }  Niple bronce 1/4 x 3/8 HE-HE</v>
          </cell>
          <cell r="C333">
            <v>4985</v>
          </cell>
          <cell r="D333">
            <v>4985</v>
          </cell>
        </row>
        <row r="334">
          <cell r="A334" t="str">
            <v>REP-0425</v>
          </cell>
          <cell r="B334" t="str">
            <v>{ REP-0425 }  Niple bronce 1/4 HE HE</v>
          </cell>
          <cell r="C334">
            <v>3912</v>
          </cell>
          <cell r="D334">
            <v>3912</v>
          </cell>
        </row>
        <row r="335">
          <cell r="A335" t="str">
            <v>REP-0426</v>
          </cell>
          <cell r="B335" t="str">
            <v>{ REP-0426 }  Niple bronce 3/4 x 1/2 HE HI</v>
          </cell>
          <cell r="C335">
            <v>5662</v>
          </cell>
          <cell r="D335">
            <v>5662</v>
          </cell>
        </row>
        <row r="336">
          <cell r="A336" t="str">
            <v>REP-0427</v>
          </cell>
          <cell r="B336" t="str">
            <v>{ REP-0427 }  Niple bronce 3/4 x 1/2 HI HE</v>
          </cell>
          <cell r="C336">
            <v>5250</v>
          </cell>
          <cell r="D336">
            <v>5250</v>
          </cell>
        </row>
        <row r="337">
          <cell r="A337" t="str">
            <v>REP-0428</v>
          </cell>
          <cell r="B337" t="str">
            <v>{ REP-0428 }  Terminal cachimba 1/2 HI</v>
          </cell>
          <cell r="C337">
            <v>6000</v>
          </cell>
          <cell r="D337">
            <v>6000</v>
          </cell>
        </row>
        <row r="338">
          <cell r="A338" t="str">
            <v>REP-0429</v>
          </cell>
          <cell r="B338" t="str">
            <v>{ REP-0429 }  Terminal cachimba 1/2 HE</v>
          </cell>
          <cell r="C338">
            <v>6000</v>
          </cell>
          <cell r="D338">
            <v>6000</v>
          </cell>
        </row>
        <row r="339">
          <cell r="A339" t="str">
            <v>REP-0430</v>
          </cell>
          <cell r="B339" t="str">
            <v>{ REP-0430 }  membranas de osmosis de CSM RE4021-BLN-K</v>
          </cell>
          <cell r="C339">
            <v>303626</v>
          </cell>
          <cell r="D339">
            <v>303626</v>
          </cell>
        </row>
        <row r="340">
          <cell r="A340" t="str">
            <v>REP-0431</v>
          </cell>
          <cell r="B340" t="str">
            <v>{ REP-0431 }  Cabezal ablandador down flow válvula cleck</v>
          </cell>
          <cell r="C340">
            <v>550000</v>
          </cell>
          <cell r="D340">
            <v>550000</v>
          </cell>
        </row>
        <row r="341">
          <cell r="A341" t="str">
            <v>REP-0432</v>
          </cell>
          <cell r="B341" t="str">
            <v>{ REP-0432 }  Codo inox 1/2 HE HI</v>
          </cell>
          <cell r="C341">
            <v>9104</v>
          </cell>
          <cell r="D341">
            <v>9104</v>
          </cell>
        </row>
        <row r="342">
          <cell r="A342" t="str">
            <v>REP-0433</v>
          </cell>
          <cell r="B342" t="str">
            <v>{ REP-0433 }  Kit 269 Interpump</v>
          </cell>
          <cell r="C342">
            <v>63220</v>
          </cell>
          <cell r="D342">
            <v>63220</v>
          </cell>
        </row>
        <row r="343">
          <cell r="A343" t="str">
            <v>REP-0434</v>
          </cell>
          <cell r="B343" t="str">
            <v>{ REP-0434 }  Kit 271 Interpump</v>
          </cell>
          <cell r="C343">
            <v>22580</v>
          </cell>
          <cell r="D343">
            <v>22580</v>
          </cell>
        </row>
        <row r="344">
          <cell r="A344" t="str">
            <v>REP-0435</v>
          </cell>
          <cell r="B344" t="str">
            <v>{ REP-0435 }  Tapa carcasa osmosis</v>
          </cell>
          <cell r="C344">
            <v>59861</v>
          </cell>
          <cell r="D344">
            <v>60853</v>
          </cell>
        </row>
        <row r="345">
          <cell r="A345" t="str">
            <v>REP-0436</v>
          </cell>
          <cell r="B345" t="str">
            <v>{ REP-0436 }  O´rings tapa carcasa de osmosis</v>
          </cell>
          <cell r="C345">
            <v>6189</v>
          </cell>
          <cell r="D345">
            <v>6189</v>
          </cell>
        </row>
        <row r="346">
          <cell r="A346" t="str">
            <v>REP-0437</v>
          </cell>
          <cell r="B346" t="str">
            <v>{ REP-0437 }  Kit 343 bomba CAT</v>
          </cell>
          <cell r="C346">
            <v>234116</v>
          </cell>
          <cell r="D346">
            <v>234116</v>
          </cell>
        </row>
        <row r="347">
          <cell r="A347" t="str">
            <v>REP-0439</v>
          </cell>
          <cell r="B347" t="str">
            <v>{ REP-0439 }  Bomba espa prisma 25 5M.</v>
          </cell>
          <cell r="C347">
            <v>683240</v>
          </cell>
          <cell r="D347">
            <v>683240</v>
          </cell>
        </row>
        <row r="348">
          <cell r="A348" t="str">
            <v>REP-0440</v>
          </cell>
          <cell r="B348" t="str">
            <v>{ REP-0440 }  Tapón rojo (bomba 3cp) CAT</v>
          </cell>
          <cell r="C348">
            <v>17647</v>
          </cell>
          <cell r="D348">
            <v>17438</v>
          </cell>
        </row>
        <row r="349">
          <cell r="A349" t="str">
            <v>REP-0441</v>
          </cell>
          <cell r="B349" t="str">
            <v>{ REP-0441 }  Culatín (bomba 3cp) CAT</v>
          </cell>
          <cell r="C349">
            <v>563121</v>
          </cell>
          <cell r="D349">
            <v>556463</v>
          </cell>
        </row>
        <row r="350">
          <cell r="A350" t="str">
            <v>REP-0442</v>
          </cell>
          <cell r="B350" t="str">
            <v>{ REP-0442 }  Válvula rompe vacío</v>
          </cell>
          <cell r="C350">
            <v>24000</v>
          </cell>
          <cell r="D350">
            <v>24000</v>
          </cell>
        </row>
        <row r="351">
          <cell r="A351" t="str">
            <v>REP-0443</v>
          </cell>
          <cell r="B351" t="str">
            <v>{ REP-0443 }  Manguera espiral 8MM sin terminales color rojo</v>
          </cell>
          <cell r="C351">
            <v>0</v>
          </cell>
          <cell r="D351">
            <v>0</v>
          </cell>
        </row>
        <row r="352">
          <cell r="A352" t="str">
            <v>REP-0445</v>
          </cell>
          <cell r="B352" t="str">
            <v>{ REP-0445 }  Kit mousse mix</v>
          </cell>
          <cell r="C352">
            <v>4644878</v>
          </cell>
          <cell r="D352">
            <v>4644878</v>
          </cell>
        </row>
        <row r="353">
          <cell r="A353" t="str">
            <v>REP-0446</v>
          </cell>
          <cell r="B353" t="str">
            <v>{ REP-0446 }  Resistencia termo Rheem 3200W</v>
          </cell>
          <cell r="C353">
            <v>69900</v>
          </cell>
          <cell r="D353">
            <v>69900</v>
          </cell>
        </row>
        <row r="354">
          <cell r="A354" t="str">
            <v>REP-0447</v>
          </cell>
          <cell r="B354" t="str">
            <v>{ REP-0447 }  Cabezal ablandador Aguasin HAF-1200</v>
          </cell>
          <cell r="C354">
            <v>399154</v>
          </cell>
          <cell r="D354">
            <v>399154</v>
          </cell>
        </row>
        <row r="355">
          <cell r="A355" t="str">
            <v>REP-0448</v>
          </cell>
          <cell r="B355" t="str">
            <v>{ REP-0448 }  Sello para separador tambor aspirado</v>
          </cell>
          <cell r="C355">
            <v>0</v>
          </cell>
          <cell r="D355">
            <v>0</v>
          </cell>
        </row>
        <row r="356">
          <cell r="A356" t="str">
            <v>REP-0450</v>
          </cell>
          <cell r="B356" t="str">
            <v>{ REP-0450 }  Ánodo magnesio delgado</v>
          </cell>
          <cell r="C356">
            <v>39060</v>
          </cell>
          <cell r="D356">
            <v>39060</v>
          </cell>
        </row>
        <row r="357">
          <cell r="A357" t="str">
            <v>REP-0451</v>
          </cell>
          <cell r="B357" t="str">
            <v>{ REP-0451 }  Tee acople rápido</v>
          </cell>
          <cell r="C357">
            <v>6122</v>
          </cell>
          <cell r="D357">
            <v>6224</v>
          </cell>
        </row>
        <row r="358">
          <cell r="A358" t="str">
            <v>REP-0452</v>
          </cell>
          <cell r="B358" t="str">
            <v>{ REP-0452 }  Motor trifásico</v>
          </cell>
          <cell r="C358">
            <v>775551</v>
          </cell>
          <cell r="D358">
            <v>775551</v>
          </cell>
        </row>
        <row r="359">
          <cell r="A359" t="str">
            <v>REP-0453</v>
          </cell>
          <cell r="B359" t="str">
            <v>{ REP-0453 }  Compresor lavainteriores</v>
          </cell>
          <cell r="C359">
            <v>273004</v>
          </cell>
          <cell r="D359">
            <v>273004</v>
          </cell>
        </row>
        <row r="360">
          <cell r="A360" t="str">
            <v>REP-0454</v>
          </cell>
          <cell r="B360" t="str">
            <v>{ REP-0454 }  Bomba dosificadora de producto</v>
          </cell>
          <cell r="C360">
            <v>653803</v>
          </cell>
          <cell r="D360">
            <v>664629</v>
          </cell>
        </row>
        <row r="361">
          <cell r="A361" t="str">
            <v>REP-0455</v>
          </cell>
          <cell r="B361" t="str">
            <v>{ REP-0455 }  Cabezal multifunción ROHS</v>
          </cell>
          <cell r="C361">
            <v>412108</v>
          </cell>
          <cell r="D361">
            <v>418932</v>
          </cell>
        </row>
        <row r="362">
          <cell r="A362" t="str">
            <v>REP-0456</v>
          </cell>
          <cell r="B362" t="str">
            <v>{ REP-0456 }  Punto de control</v>
          </cell>
          <cell r="C362">
            <v>466808</v>
          </cell>
          <cell r="D362">
            <v>466808</v>
          </cell>
        </row>
        <row r="363">
          <cell r="A363" t="str">
            <v>REP-0457</v>
          </cell>
          <cell r="B363" t="str">
            <v>{ REP-0457 }  Cuerpo de válvula 2000PF2</v>
          </cell>
          <cell r="C363">
            <v>326027</v>
          </cell>
          <cell r="D363">
            <v>326027</v>
          </cell>
        </row>
        <row r="364">
          <cell r="A364" t="str">
            <v>REP-0458</v>
          </cell>
          <cell r="B364" t="str">
            <v>{ REP-0458 }  Disyuntor automático 4 polos</v>
          </cell>
          <cell r="C364">
            <v>69854</v>
          </cell>
          <cell r="D364">
            <v>69854</v>
          </cell>
        </row>
        <row r="365">
          <cell r="A365" t="str">
            <v>REP-0459</v>
          </cell>
          <cell r="B365" t="str">
            <v>{ REP-0459 }  Bomba Interpump W-150</v>
          </cell>
          <cell r="C365">
            <v>1115698</v>
          </cell>
          <cell r="D365">
            <v>1115698</v>
          </cell>
        </row>
        <row r="366">
          <cell r="A366" t="str">
            <v>REP-0460</v>
          </cell>
          <cell r="B366" t="str">
            <v>{ REP-0460 }  Mariposa para aspirado</v>
          </cell>
          <cell r="C366">
            <v>17503</v>
          </cell>
          <cell r="D366">
            <v>17503</v>
          </cell>
        </row>
        <row r="367">
          <cell r="A367" t="str">
            <v>REP-0462</v>
          </cell>
          <cell r="B367" t="str">
            <v>{ REP-0462 }  Motor Hp3 M100 200/380B3</v>
          </cell>
          <cell r="C367">
            <v>894223</v>
          </cell>
          <cell r="D367">
            <v>894223</v>
          </cell>
        </row>
        <row r="368">
          <cell r="A368" t="str">
            <v>REP-0463</v>
          </cell>
          <cell r="B368" t="str">
            <v>{ REP-0463 }  Membrana 4040</v>
          </cell>
          <cell r="C368">
            <v>530551</v>
          </cell>
          <cell r="D368">
            <v>539336</v>
          </cell>
        </row>
        <row r="369">
          <cell r="A369" t="str">
            <v>REP-0464</v>
          </cell>
          <cell r="B369" t="str">
            <v>{ REP-0464 }  Kit anello tenutadi 18 bomba C2W2012</v>
          </cell>
          <cell r="C369">
            <v>167811</v>
          </cell>
          <cell r="D369">
            <v>167811</v>
          </cell>
        </row>
        <row r="370">
          <cell r="A370" t="str">
            <v>REP-0465</v>
          </cell>
          <cell r="B370" t="str">
            <v>{ REP-0465 }  Kit anello radialed 15 bomba C2W2012</v>
          </cell>
          <cell r="C370">
            <v>23482</v>
          </cell>
          <cell r="D370">
            <v>23482</v>
          </cell>
        </row>
        <row r="371">
          <cell r="A371" t="str">
            <v>REP-0466</v>
          </cell>
          <cell r="B371" t="str">
            <v>{ REP-0466 }  Kit válvula a/m bomba C2W2012</v>
          </cell>
          <cell r="C371">
            <v>74829</v>
          </cell>
          <cell r="D371">
            <v>74829</v>
          </cell>
        </row>
        <row r="372">
          <cell r="A372" t="str">
            <v>REP-0467</v>
          </cell>
          <cell r="B372" t="str">
            <v>{ REP-0467 }  Válvula sobre presión 8 BAR</v>
          </cell>
          <cell r="C372">
            <v>16900</v>
          </cell>
          <cell r="D372">
            <v>16900</v>
          </cell>
        </row>
        <row r="373">
          <cell r="A373" t="str">
            <v>REP-0468</v>
          </cell>
          <cell r="B373" t="str">
            <v>{ REP-0468 }  Interruptor luminoso termo Trotter</v>
          </cell>
          <cell r="C373">
            <v>6300</v>
          </cell>
          <cell r="D373">
            <v>6300</v>
          </cell>
        </row>
        <row r="374">
          <cell r="A374" t="str">
            <v>REP-0469</v>
          </cell>
          <cell r="B374" t="str">
            <v>{ REP-0469 }  Válvula Seg 1/2 10 BAR termo Trotter</v>
          </cell>
          <cell r="C374">
            <v>19990</v>
          </cell>
          <cell r="D374">
            <v>19990</v>
          </cell>
        </row>
        <row r="375">
          <cell r="A375" t="str">
            <v>REP-0470</v>
          </cell>
          <cell r="B375" t="str">
            <v>{ REP-0470 }  Porta filtro con elemento para compresor lavainterior</v>
          </cell>
          <cell r="C375">
            <v>15061</v>
          </cell>
          <cell r="D375">
            <v>15061</v>
          </cell>
        </row>
        <row r="376">
          <cell r="A376" t="str">
            <v>REP-0472</v>
          </cell>
          <cell r="B376" t="str">
            <v>{ REP-0472 }  Ánodo grueso frontal 4 pernos</v>
          </cell>
          <cell r="C376">
            <v>39060</v>
          </cell>
          <cell r="D376">
            <v>39060</v>
          </cell>
        </row>
        <row r="377">
          <cell r="A377" t="str">
            <v>REP-0473</v>
          </cell>
          <cell r="B377" t="str">
            <v>{ REP-0473 }  Orin´g ánodo grueso</v>
          </cell>
          <cell r="C377">
            <v>2400</v>
          </cell>
          <cell r="D377">
            <v>2400</v>
          </cell>
        </row>
        <row r="378">
          <cell r="A378" t="str">
            <v>REP-0475</v>
          </cell>
          <cell r="B378" t="str">
            <v>{ REP-0475 }  Bomba dosificadora de cera Smart pro</v>
          </cell>
          <cell r="C378">
            <v>329297</v>
          </cell>
          <cell r="D378">
            <v>329297</v>
          </cell>
        </row>
        <row r="379">
          <cell r="A379" t="str">
            <v>REP-0476</v>
          </cell>
          <cell r="B379" t="str">
            <v>{ REP-0476 }  Bomba dosificadora de shampoo/lava llantas Smart pro</v>
          </cell>
          <cell r="C379">
            <v>324076</v>
          </cell>
          <cell r="D379">
            <v>324076</v>
          </cell>
        </row>
        <row r="380">
          <cell r="A380" t="str">
            <v>REP-0477</v>
          </cell>
          <cell r="B380" t="str">
            <v>{ REP-0477 }  Cuerpo reparación bomba Smart pro</v>
          </cell>
          <cell r="C380">
            <v>55722</v>
          </cell>
          <cell r="D380">
            <v>55722</v>
          </cell>
        </row>
        <row r="381">
          <cell r="A381" t="str">
            <v>REP-0478</v>
          </cell>
          <cell r="B381" t="str">
            <v>{ REP-0478 }  Cuerpo reparación de bomba cera Smart pro</v>
          </cell>
          <cell r="C381">
            <v>47767</v>
          </cell>
          <cell r="D381">
            <v>47767</v>
          </cell>
        </row>
        <row r="382">
          <cell r="A382" t="str">
            <v>REP-0479</v>
          </cell>
          <cell r="B382" t="str">
            <v>{ REP-0479 }  Válvula de fondo shampoo/lava llantas Smart pro</v>
          </cell>
          <cell r="C382">
            <v>16727</v>
          </cell>
          <cell r="D382">
            <v>16727</v>
          </cell>
        </row>
        <row r="383">
          <cell r="A383" t="str">
            <v>REP-0480</v>
          </cell>
          <cell r="B383" t="str">
            <v>{ REP-0480 }  Válvula de fondo bidón cera Smart pro</v>
          </cell>
          <cell r="C383">
            <v>16941</v>
          </cell>
          <cell r="D383">
            <v>16941</v>
          </cell>
        </row>
        <row r="384">
          <cell r="A384" t="str">
            <v>REP-0481</v>
          </cell>
          <cell r="B384" t="str">
            <v>{ REP-0481 }  Contenedor membrana osmosis Smart pro</v>
          </cell>
          <cell r="C384">
            <v>317288</v>
          </cell>
          <cell r="D384">
            <v>317288</v>
          </cell>
        </row>
        <row r="385">
          <cell r="A385" t="str">
            <v>REP-0482</v>
          </cell>
          <cell r="B385" t="str">
            <v>{ REP-0482 }  Adaptador grifo Smart pro</v>
          </cell>
          <cell r="C385">
            <v>3401</v>
          </cell>
          <cell r="D385">
            <v>3401</v>
          </cell>
        </row>
        <row r="386">
          <cell r="A386" t="str">
            <v>REP-0483</v>
          </cell>
          <cell r="B386" t="str">
            <v>{ REP-0483 }  Grifo 1/4 Smart pro</v>
          </cell>
          <cell r="C386">
            <v>20168</v>
          </cell>
          <cell r="D386">
            <v>20168</v>
          </cell>
        </row>
        <row r="387">
          <cell r="A387" t="str">
            <v>REP-0484</v>
          </cell>
          <cell r="B387" t="str">
            <v>{ REP-0484 }  Válvula retención inox 1/2</v>
          </cell>
          <cell r="C387">
            <v>61480</v>
          </cell>
          <cell r="D387">
            <v>61480</v>
          </cell>
        </row>
        <row r="388">
          <cell r="A388" t="str">
            <v>REP-0485</v>
          </cell>
          <cell r="B388" t="str">
            <v>{ REP-0485 }  Tee 1/2 HI,HI,HI, Inox Smart pro</v>
          </cell>
          <cell r="C388">
            <v>30955</v>
          </cell>
          <cell r="D388">
            <v>30955</v>
          </cell>
        </row>
        <row r="389">
          <cell r="A389" t="str">
            <v>REP-0486</v>
          </cell>
          <cell r="B389" t="str">
            <v>{ REP-0486 }  Salida estanque agua desmineralizada</v>
          </cell>
          <cell r="C389">
            <v>24682</v>
          </cell>
          <cell r="D389">
            <v>24682</v>
          </cell>
        </row>
        <row r="390">
          <cell r="A390" t="str">
            <v>REP-0487</v>
          </cell>
          <cell r="B390" t="str">
            <v>{ REP-0487 }  Foco esquina exterior Smart pro</v>
          </cell>
          <cell r="C390">
            <v>44228</v>
          </cell>
          <cell r="D390">
            <v>44228</v>
          </cell>
        </row>
        <row r="391">
          <cell r="A391" t="str">
            <v>REP-0488</v>
          </cell>
          <cell r="B391" t="str">
            <v>{ REP-0488 }  Ampolleta led foco exterior Smart pro</v>
          </cell>
          <cell r="C391">
            <v>180453</v>
          </cell>
          <cell r="D391">
            <v>180453</v>
          </cell>
        </row>
        <row r="392">
          <cell r="A392" t="str">
            <v>REP-0489</v>
          </cell>
          <cell r="B392" t="str">
            <v>{ REP-0489 }  Bisagra puerta frontal</v>
          </cell>
          <cell r="C392">
            <v>13049</v>
          </cell>
          <cell r="D392">
            <v>13049</v>
          </cell>
        </row>
        <row r="393">
          <cell r="A393" t="str">
            <v>REP-0490</v>
          </cell>
          <cell r="B393" t="str">
            <v>{ REP-0490 }  Placa mini protección entrada fichero Smart pro</v>
          </cell>
          <cell r="C393">
            <v>10486</v>
          </cell>
          <cell r="D393">
            <v>10486</v>
          </cell>
        </row>
        <row r="394">
          <cell r="A394" t="str">
            <v>REP-0491</v>
          </cell>
          <cell r="B394" t="str">
            <v>{ REP-0491 }  Perno largo Allen electroválvula de 1/2 (442)</v>
          </cell>
          <cell r="C394">
            <v>299</v>
          </cell>
          <cell r="D394">
            <v>313</v>
          </cell>
        </row>
        <row r="395">
          <cell r="A395" t="str">
            <v>REP-0492</v>
          </cell>
          <cell r="B395" t="str">
            <v>{ REP-0492 }  Perno corto Allen electroválvula (442)</v>
          </cell>
          <cell r="C395">
            <v>0</v>
          </cell>
          <cell r="D395">
            <v>0</v>
          </cell>
        </row>
        <row r="396">
          <cell r="A396" t="str">
            <v>REP-0493</v>
          </cell>
          <cell r="B396" t="str">
            <v>{ REP-0493 }  Filtro tipo Y</v>
          </cell>
          <cell r="C396">
            <v>6168</v>
          </cell>
          <cell r="D396">
            <v>6168</v>
          </cell>
        </row>
        <row r="397">
          <cell r="A397" t="str">
            <v>REP-0494</v>
          </cell>
          <cell r="B397" t="str">
            <v>{ REP-0494 }  Contactor ABB para termo trifásico</v>
          </cell>
          <cell r="C397">
            <v>60000</v>
          </cell>
          <cell r="D397">
            <v>60000</v>
          </cell>
        </row>
        <row r="398">
          <cell r="A398" t="str">
            <v>REP-0495</v>
          </cell>
          <cell r="B398" t="str">
            <v>{ REP-0495 }  Espiral de protección 10m</v>
          </cell>
          <cell r="C398">
            <v>64313</v>
          </cell>
          <cell r="D398">
            <v>40000</v>
          </cell>
        </row>
        <row r="399">
          <cell r="A399" t="str">
            <v>REP-0496</v>
          </cell>
          <cell r="B399" t="str">
            <v>{ REP-0496 }  Manguera baja presión poliuretano 10M</v>
          </cell>
          <cell r="C399">
            <v>34847</v>
          </cell>
          <cell r="D399">
            <v>35424</v>
          </cell>
        </row>
        <row r="400">
          <cell r="A400" t="str">
            <v>REP-0497</v>
          </cell>
          <cell r="B400" t="str">
            <v>{ REP-0497 }  Flexible aspiradora D.38</v>
          </cell>
          <cell r="C400">
            <v>92060</v>
          </cell>
          <cell r="D400">
            <v>93585</v>
          </cell>
        </row>
        <row r="401">
          <cell r="A401" t="str">
            <v>REP-0498</v>
          </cell>
          <cell r="B401" t="str">
            <v>{ REP-0498 }  Válvula fondo bidón (lava interior)</v>
          </cell>
          <cell r="C401">
            <v>3460</v>
          </cell>
          <cell r="D401">
            <v>3460</v>
          </cell>
        </row>
        <row r="402">
          <cell r="A402" t="str">
            <v>REP-0499</v>
          </cell>
          <cell r="B402" t="str">
            <v>{ REP-0499 }  Mango lanza AP</v>
          </cell>
          <cell r="C402">
            <v>30000</v>
          </cell>
          <cell r="D402">
            <v>30000</v>
          </cell>
        </row>
        <row r="403">
          <cell r="A403" t="str">
            <v>REP-0500</v>
          </cell>
          <cell r="B403" t="str">
            <v>{ REP-0500 }  Boquilla metálica pistola mousse</v>
          </cell>
          <cell r="C403">
            <v>28279</v>
          </cell>
          <cell r="D403">
            <v>28279</v>
          </cell>
        </row>
        <row r="404">
          <cell r="A404" t="str">
            <v>REP-0501</v>
          </cell>
          <cell r="B404" t="str">
            <v>{ REP-0501 }  Punta pistola de mousse</v>
          </cell>
          <cell r="C404">
            <v>67515</v>
          </cell>
          <cell r="D404">
            <v>67515</v>
          </cell>
        </row>
        <row r="405">
          <cell r="A405" t="str">
            <v>REP-0502</v>
          </cell>
          <cell r="B405" t="str">
            <v>{ REP-0502 }  Termo eléctrico 200L 6kw.380v. ac. inox</v>
          </cell>
          <cell r="C405">
            <v>0</v>
          </cell>
          <cell r="D405">
            <v>0</v>
          </cell>
        </row>
        <row r="406">
          <cell r="A406" t="str">
            <v>REP-0503</v>
          </cell>
          <cell r="B406" t="str">
            <v>{ REP-0503 }  Manguera entrada EV alta presión</v>
          </cell>
          <cell r="C406">
            <v>14990</v>
          </cell>
          <cell r="D406">
            <v>14990</v>
          </cell>
        </row>
        <row r="407">
          <cell r="A407" t="str">
            <v>REP-0504</v>
          </cell>
          <cell r="B407" t="str">
            <v>{ REP-0504 }  Fusible placa de aspirado</v>
          </cell>
          <cell r="C407">
            <v>4200</v>
          </cell>
          <cell r="D407">
            <v>4200</v>
          </cell>
        </row>
        <row r="408">
          <cell r="A408" t="str">
            <v>REP-0505</v>
          </cell>
          <cell r="B408" t="str">
            <v>{ REP-0505 }  Oring pequeño EV alta presión</v>
          </cell>
          <cell r="C408">
            <v>1200</v>
          </cell>
          <cell r="D408">
            <v>1200</v>
          </cell>
        </row>
        <row r="409">
          <cell r="A409" t="str">
            <v>REP-0506</v>
          </cell>
          <cell r="B409" t="str">
            <v>{ REP-0506 }  Cuerpo cepillo (lava interior)</v>
          </cell>
          <cell r="C409">
            <v>76175</v>
          </cell>
          <cell r="D409">
            <v>72935</v>
          </cell>
        </row>
        <row r="410">
          <cell r="A410" t="str">
            <v>REP-0508</v>
          </cell>
          <cell r="B410" t="str">
            <v>{ REP-0508 }  Lanza pistola perdente corta</v>
          </cell>
          <cell r="C410">
            <v>130209</v>
          </cell>
          <cell r="D410">
            <v>132365</v>
          </cell>
        </row>
        <row r="411">
          <cell r="A411" t="str">
            <v>REP-0509</v>
          </cell>
          <cell r="B411" t="str">
            <v>{ REP-0509 }  Boquilla dry lavainterior alternativa</v>
          </cell>
          <cell r="C411">
            <v>20900</v>
          </cell>
          <cell r="D411">
            <v>20900</v>
          </cell>
        </row>
        <row r="412">
          <cell r="A412" t="str">
            <v>REP-0510</v>
          </cell>
          <cell r="B412" t="str">
            <v>{ REP-0510 }  Ablandador twin 1600 kit completo</v>
          </cell>
          <cell r="C412">
            <v>2687500</v>
          </cell>
          <cell r="D412">
            <v>2687500</v>
          </cell>
        </row>
        <row r="413">
          <cell r="A413" t="str">
            <v>REP-0511</v>
          </cell>
          <cell r="B413" t="str">
            <v>{ REP-0511 }  BIPASS CABEZAL 1"</v>
          </cell>
          <cell r="C413">
            <v>43750</v>
          </cell>
          <cell r="D413">
            <v>43750</v>
          </cell>
        </row>
        <row r="414">
          <cell r="A414" t="str">
            <v>REP-0512</v>
          </cell>
          <cell r="B414" t="str">
            <v>{ REP-0512 }  CANASTILLO CABEZAL CON ORING.</v>
          </cell>
          <cell r="C414">
            <v>43750</v>
          </cell>
          <cell r="D414">
            <v>43750</v>
          </cell>
        </row>
        <row r="415">
          <cell r="A415" t="str">
            <v>REP-0513</v>
          </cell>
          <cell r="B415" t="str">
            <v>{ REP-0513 }  RELE FINDER ZOCALO (KIT MOUSSE ECO)</v>
          </cell>
          <cell r="C415">
            <v>26469</v>
          </cell>
          <cell r="D415">
            <v>25763</v>
          </cell>
        </row>
        <row r="416">
          <cell r="A416" t="str">
            <v>REP-0514</v>
          </cell>
          <cell r="B416" t="str">
            <v>{ REP-0514 }  BOUILLA PISTOLA MOUSSE ST-75 05 (KIT MOUSSE ECO )</v>
          </cell>
          <cell r="C416">
            <v>27768</v>
          </cell>
          <cell r="D416">
            <v>27027</v>
          </cell>
        </row>
        <row r="417">
          <cell r="A417" t="str">
            <v>REP-0515</v>
          </cell>
          <cell r="B417" t="str">
            <v>{ REP-0515 }  PASADOR PUNTA PISTOLA DE MOUSSE</v>
          </cell>
          <cell r="C417">
            <v>100</v>
          </cell>
          <cell r="D417">
            <v>100</v>
          </cell>
        </row>
        <row r="418">
          <cell r="A418" t="str">
            <v>REP-0516</v>
          </cell>
          <cell r="B418" t="str">
            <v>{ REP-0516 }  Sensor flotante de nivel ON / OFF</v>
          </cell>
          <cell r="C418">
            <v>50000</v>
          </cell>
          <cell r="D418">
            <v>50000</v>
          </cell>
        </row>
        <row r="419">
          <cell r="A419" t="str">
            <v>REP-0517</v>
          </cell>
          <cell r="B419" t="str">
            <v>{ REP-0517 }  RELE ULTRADELGADO 24V</v>
          </cell>
          <cell r="C419">
            <v>7555</v>
          </cell>
          <cell r="D419">
            <v>7555</v>
          </cell>
        </row>
        <row r="420">
          <cell r="A420" t="str">
            <v>REP-0518</v>
          </cell>
          <cell r="B420" t="str">
            <v>{ REP-0518 }  TUBO INOXIDABLE MANGO DE LANZA AP</v>
          </cell>
          <cell r="C420">
            <v>16563</v>
          </cell>
          <cell r="D420">
            <v>16563</v>
          </cell>
        </row>
        <row r="421">
          <cell r="A421" t="str">
            <v>REP-0519</v>
          </cell>
          <cell r="B421" t="str">
            <v>{ REP-0519 }  TAPA INTERIOR LAVAINTERIOR</v>
          </cell>
          <cell r="C421">
            <v>42859</v>
          </cell>
          <cell r="D421">
            <v>42859</v>
          </cell>
        </row>
        <row r="422">
          <cell r="A422" t="str">
            <v>REP-0520</v>
          </cell>
          <cell r="B422" t="str">
            <v>{ REP-0520 }  GATILLO PISTOLA NO PERDENTE AZUL</v>
          </cell>
          <cell r="C422">
            <v>43750</v>
          </cell>
          <cell r="D422">
            <v>43750</v>
          </cell>
        </row>
        <row r="423">
          <cell r="A423" t="str">
            <v>REP-0521</v>
          </cell>
          <cell r="B423" t="str">
            <v>{ REP-0521 }  GATILLO PISTOLA PERDENTE CELESTE</v>
          </cell>
          <cell r="C423">
            <v>43750</v>
          </cell>
          <cell r="D423">
            <v>43750</v>
          </cell>
        </row>
        <row r="424">
          <cell r="A424" t="str">
            <v>REP-0522</v>
          </cell>
          <cell r="B424" t="str">
            <v>{ REP-0522 }  CODO 3/8 HIHI</v>
          </cell>
          <cell r="C424">
            <v>9500</v>
          </cell>
          <cell r="D424">
            <v>9500</v>
          </cell>
        </row>
        <row r="425">
          <cell r="A425" t="str">
            <v>REP-0523</v>
          </cell>
          <cell r="B425" t="str">
            <v>{ REP-0523 }  CERRADURA TUBULAR</v>
          </cell>
          <cell r="C425">
            <v>8000</v>
          </cell>
          <cell r="D425">
            <v>8000</v>
          </cell>
        </row>
        <row r="426">
          <cell r="A426" t="str">
            <v>REP-0524</v>
          </cell>
          <cell r="B426" t="str">
            <v>{ REP-0524 }  CODO 3/8 HE 1/4HI BROCE</v>
          </cell>
          <cell r="C426">
            <v>9375</v>
          </cell>
          <cell r="D426">
            <v>9375</v>
          </cell>
        </row>
        <row r="427">
          <cell r="A427" t="str">
            <v>REP-0525</v>
          </cell>
          <cell r="B427" t="str">
            <v>{ REP-0525 }  BOMBA INTER W154</v>
          </cell>
          <cell r="C427">
            <v>846667</v>
          </cell>
          <cell r="D427">
            <v>846667</v>
          </cell>
        </row>
        <row r="428">
          <cell r="A428" t="str">
            <v>REP-0526</v>
          </cell>
          <cell r="B428" t="str">
            <v>{ REP-0526 }  KIT 127 ANILLOS AGUA BOMBA INTER SHELL</v>
          </cell>
          <cell r="C428">
            <v>110737</v>
          </cell>
          <cell r="D428">
            <v>110737</v>
          </cell>
        </row>
        <row r="429">
          <cell r="A429" t="str">
            <v>REP-0527</v>
          </cell>
          <cell r="B429" t="str">
            <v>{ REP-0527 }  KIT 129 ANILLO EXPANSOR BOMBA INTER SHELL</v>
          </cell>
          <cell r="C429">
            <v>11562</v>
          </cell>
          <cell r="D429">
            <v>11562</v>
          </cell>
        </row>
        <row r="430">
          <cell r="A430" t="str">
            <v>REP-0528</v>
          </cell>
          <cell r="B430" t="str">
            <v>{ REP-0528 }  KIT 123 VALVULAS ASPIRACION BOMBA INTER SHELL</v>
          </cell>
          <cell r="C430">
            <v>93778</v>
          </cell>
          <cell r="D430">
            <v>93778</v>
          </cell>
        </row>
        <row r="431">
          <cell r="A431" t="str">
            <v>REP-0529</v>
          </cell>
          <cell r="B431" t="str">
            <v>{ REP-0529 }  KIT 23 SELLOS BOMBA INTER SHELL</v>
          </cell>
          <cell r="C431">
            <v>31310</v>
          </cell>
          <cell r="D431">
            <v>31310</v>
          </cell>
        </row>
        <row r="432">
          <cell r="A432" t="str">
            <v>REP-0530</v>
          </cell>
          <cell r="B432" t="str">
            <v>{ REP-0530 }  LANZA CURVA 600MM</v>
          </cell>
          <cell r="C432">
            <v>36235</v>
          </cell>
          <cell r="D432">
            <v>36235</v>
          </cell>
        </row>
        <row r="433">
          <cell r="A433" t="str">
            <v>REP-0531</v>
          </cell>
          <cell r="B433" t="str">
            <v>{ REP-0531 }  GUIA ASTA MSELF</v>
          </cell>
          <cell r="C433">
            <v>4729</v>
          </cell>
          <cell r="D433">
            <v>4603</v>
          </cell>
        </row>
        <row r="434">
          <cell r="A434" t="str">
            <v>REP-0532</v>
          </cell>
          <cell r="B434" t="str">
            <v>{ REP-0532 }  ASTA MSELF</v>
          </cell>
          <cell r="C434">
            <v>12740</v>
          </cell>
          <cell r="D434">
            <v>12400</v>
          </cell>
        </row>
        <row r="435">
          <cell r="A435" t="str">
            <v>REP-0533</v>
          </cell>
          <cell r="B435" t="str">
            <v>{ REP-0533 }  UNION CENTRAL MSELF</v>
          </cell>
          <cell r="C435">
            <v>11558</v>
          </cell>
          <cell r="D435">
            <v>11249</v>
          </cell>
        </row>
        <row r="436">
          <cell r="A436" t="str">
            <v>REP-0534</v>
          </cell>
          <cell r="B436" t="str">
            <v>{ REP-0534 }  BOQUILLA RECTA DE LATON 1/2</v>
          </cell>
          <cell r="C436">
            <v>9635</v>
          </cell>
          <cell r="D436">
            <v>9378</v>
          </cell>
        </row>
        <row r="437">
          <cell r="A437" t="str">
            <v>REP-0535</v>
          </cell>
          <cell r="B437" t="str">
            <v>{ REP-0535 }  VALVULA 3/4 RECTA</v>
          </cell>
          <cell r="C437">
            <v>18493</v>
          </cell>
          <cell r="D437">
            <v>17999</v>
          </cell>
        </row>
        <row r="438">
          <cell r="A438" t="str">
            <v>REP-0536</v>
          </cell>
          <cell r="B438" t="str">
            <v>{ REP-0536 }  BOQUILLA CROMADA RECTA 3/4</v>
          </cell>
          <cell r="C438">
            <v>12705</v>
          </cell>
          <cell r="D438">
            <v>12366</v>
          </cell>
        </row>
        <row r="439">
          <cell r="A439" t="str">
            <v>REP-0537</v>
          </cell>
          <cell r="B439" t="str">
            <v>{ REP-0537 }  MANGUEA ROJA 4.7 METROS</v>
          </cell>
          <cell r="C439">
            <v>71854</v>
          </cell>
          <cell r="D439">
            <v>69936</v>
          </cell>
        </row>
        <row r="440">
          <cell r="A440" t="str">
            <v>REP-0538</v>
          </cell>
          <cell r="B440" t="str">
            <v>{ REP-0538 }  BISAGRA DE ASPIRADO</v>
          </cell>
          <cell r="C440">
            <v>44327</v>
          </cell>
          <cell r="D440">
            <v>43144</v>
          </cell>
        </row>
        <row r="441">
          <cell r="A441" t="str">
            <v>REP-0539</v>
          </cell>
          <cell r="B441" t="str">
            <v>{ REP-0539 }  MARCO NEGRO DE PUERTA DE ASPIRADO</v>
          </cell>
          <cell r="C441">
            <v>17646</v>
          </cell>
          <cell r="D441">
            <v>17175</v>
          </cell>
        </row>
        <row r="442">
          <cell r="A442" t="str">
            <v>REP-0540</v>
          </cell>
          <cell r="B442" t="str">
            <v>{ REP-0540 }  ASTA SUPERIOR E INFERIOR ASPIRADO</v>
          </cell>
          <cell r="C442">
            <v>26239</v>
          </cell>
          <cell r="D442">
            <v>25539</v>
          </cell>
        </row>
        <row r="443">
          <cell r="A443" t="str">
            <v>REP-0541</v>
          </cell>
          <cell r="B443" t="str">
            <v>{ REP-0541 }  STIKER PARADA EMERGENCIA ASPIRADO</v>
          </cell>
          <cell r="C443">
            <v>1288</v>
          </cell>
          <cell r="D443">
            <v>1253</v>
          </cell>
        </row>
        <row r="444">
          <cell r="A444" t="str">
            <v>REP-0542</v>
          </cell>
          <cell r="B444" t="str">
            <v>{ REP-0542 }  FICHERO ELECTRONICO SHELL</v>
          </cell>
          <cell r="C444">
            <v>26750</v>
          </cell>
          <cell r="D444">
            <v>26750</v>
          </cell>
        </row>
        <row r="445">
          <cell r="A445" t="str">
            <v>REP-0543</v>
          </cell>
          <cell r="B445" t="str">
            <v>{ REP-0543 }  CAPUCHA SILICONA PULSADOR 22MM</v>
          </cell>
          <cell r="C445">
            <v>961</v>
          </cell>
          <cell r="D445">
            <v>961</v>
          </cell>
        </row>
        <row r="446">
          <cell r="A446" t="str">
            <v>REP-0544</v>
          </cell>
          <cell r="B446" t="str">
            <v>{ REP-0544 }  TAPA PULSADORES 22 MM</v>
          </cell>
          <cell r="C446">
            <v>56</v>
          </cell>
          <cell r="D446">
            <v>56</v>
          </cell>
        </row>
        <row r="447">
          <cell r="A447" t="str">
            <v>REP-0545</v>
          </cell>
          <cell r="B447" t="str">
            <v>{ REP-0545 }  VALVULA PULSAR BYPASS INCLUIDO</v>
          </cell>
          <cell r="C447">
            <v>147000</v>
          </cell>
          <cell r="D447">
            <v>147000</v>
          </cell>
        </row>
        <row r="448">
          <cell r="A448" t="str">
            <v>REP-0546</v>
          </cell>
          <cell r="B448" t="str">
            <v>{ REP-0546 }  NIPLE RECTO 3/8 3/8 BRONCE</v>
          </cell>
          <cell r="C448">
            <v>2626</v>
          </cell>
          <cell r="D448">
            <v>2626</v>
          </cell>
        </row>
        <row r="449">
          <cell r="A449" t="str">
            <v>REP-0547</v>
          </cell>
          <cell r="B449" t="str">
            <v>{ REP-0547 }  FICHA DORADA LAVADO SHELL</v>
          </cell>
          <cell r="C449">
            <v>483</v>
          </cell>
          <cell r="D449">
            <v>484</v>
          </cell>
        </row>
        <row r="450">
          <cell r="A450" t="str">
            <v>REP-0548</v>
          </cell>
          <cell r="B450" t="str">
            <v>{ REP-0548 }  FICHA DE ASPIRADO SHELL</v>
          </cell>
          <cell r="C450">
            <v>561</v>
          </cell>
          <cell r="D450">
            <v>563</v>
          </cell>
        </row>
        <row r="451">
          <cell r="A451" t="str">
            <v>REP-0549</v>
          </cell>
          <cell r="B451" t="str">
            <v>{ REP-0549 }  FICHERO COMPARACION PUNTO ROJO</v>
          </cell>
          <cell r="C451">
            <v>56583</v>
          </cell>
          <cell r="D451">
            <v>56583</v>
          </cell>
        </row>
        <row r="452">
          <cell r="A452" t="str">
            <v>REP-0550</v>
          </cell>
          <cell r="B452" t="str">
            <v>{ REP-0550 }  FILTRO ASPIRADORA SHELL</v>
          </cell>
          <cell r="C452">
            <v>32000</v>
          </cell>
          <cell r="D452">
            <v>32000</v>
          </cell>
        </row>
        <row r="453">
          <cell r="A453" t="str">
            <v>REP-0551</v>
          </cell>
          <cell r="B453" t="str">
            <v>{ REP-0551 }  Ablandador completo 13x54" (cabezal clack estanques e insumos)</v>
          </cell>
          <cell r="C453">
            <v>820000</v>
          </cell>
          <cell r="D453">
            <v>820000</v>
          </cell>
        </row>
        <row r="454">
          <cell r="A454" t="str">
            <v>REP-0552</v>
          </cell>
          <cell r="B454" t="str">
            <v>{ REP-0552 }  Numeral (nacional)</v>
          </cell>
          <cell r="C454">
            <v>2121</v>
          </cell>
          <cell r="D454">
            <v>2121</v>
          </cell>
        </row>
        <row r="455">
          <cell r="A455" t="str">
            <v>REP-0553</v>
          </cell>
          <cell r="B455" t="str">
            <v>{ REP-0553 }  Tee 3/8 HE X 3/8 HE X 3/8 HI</v>
          </cell>
          <cell r="C455">
            <v>7878</v>
          </cell>
          <cell r="D455">
            <v>7878</v>
          </cell>
        </row>
        <row r="456">
          <cell r="A456" t="str">
            <v>REP-0554</v>
          </cell>
          <cell r="B456" t="str">
            <v>{ REP-0554 }  Junta nacional inter</v>
          </cell>
          <cell r="C456">
            <v>36239</v>
          </cell>
          <cell r="D456">
            <v>36239</v>
          </cell>
        </row>
        <row r="457">
          <cell r="A457" t="str">
            <v>REP-0555</v>
          </cell>
          <cell r="B457" t="str">
            <v>{ REP-0555 }  Union tipo Y 14 MM</v>
          </cell>
          <cell r="C457">
            <v>6025</v>
          </cell>
          <cell r="D457">
            <v>6025</v>
          </cell>
        </row>
        <row r="458">
          <cell r="A458" t="str">
            <v>REP-0556</v>
          </cell>
          <cell r="B458" t="str">
            <v>{ REP-0556 }  Reduccion 1/2x3/8</v>
          </cell>
          <cell r="C458">
            <v>2801</v>
          </cell>
          <cell r="D458">
            <v>2801</v>
          </cell>
        </row>
        <row r="459">
          <cell r="A459" t="str">
            <v>REP-0557</v>
          </cell>
          <cell r="B459" t="str">
            <v>{ REP-0557 }  Niple conexion rapida 14MM</v>
          </cell>
          <cell r="C459">
            <v>4905</v>
          </cell>
          <cell r="D459">
            <v>4905</v>
          </cell>
        </row>
        <row r="460">
          <cell r="A460" t="str">
            <v>REP-0558</v>
          </cell>
          <cell r="B460" t="str">
            <v>{ REP-0558 }  Kit porta fichero N</v>
          </cell>
          <cell r="C460">
            <v>35000</v>
          </cell>
          <cell r="D460">
            <v>35000</v>
          </cell>
        </row>
        <row r="461">
          <cell r="A461" t="str">
            <v>REP-0559</v>
          </cell>
          <cell r="B461" t="str">
            <v>{ REP-0559 }  Pulsador 22 mm luz azul</v>
          </cell>
          <cell r="C461">
            <v>8738</v>
          </cell>
          <cell r="D461">
            <v>8738</v>
          </cell>
        </row>
        <row r="462">
          <cell r="A462" t="str">
            <v>REP-0560</v>
          </cell>
          <cell r="B462" t="str">
            <v>{ REP-0560 }  Zocalo 5 pines pulsador 22</v>
          </cell>
          <cell r="C462">
            <v>2488</v>
          </cell>
          <cell r="D462">
            <v>2488</v>
          </cell>
        </row>
        <row r="463">
          <cell r="A463" t="str">
            <v>REP-0561</v>
          </cell>
          <cell r="B463" t="str">
            <v>{ REP-0561 }  Brazo doble MTM</v>
          </cell>
          <cell r="C463">
            <v>2225136</v>
          </cell>
          <cell r="D463">
            <v>2225136</v>
          </cell>
        </row>
        <row r="464">
          <cell r="A464" t="str">
            <v>REP-0562</v>
          </cell>
          <cell r="B464" t="str">
            <v>{ REP-0562 }  Brazo giratorio tipo Z</v>
          </cell>
          <cell r="C464">
            <v>953030</v>
          </cell>
          <cell r="D464">
            <v>953030</v>
          </cell>
        </row>
        <row r="465">
          <cell r="A465" t="str">
            <v>REP-0563</v>
          </cell>
          <cell r="B465" t="str">
            <v>{ REP-0563 }  Controlador de agua</v>
          </cell>
          <cell r="C465">
            <v>36250</v>
          </cell>
          <cell r="D465">
            <v>36250</v>
          </cell>
        </row>
        <row r="466">
          <cell r="A466" t="str">
            <v>REP-0564</v>
          </cell>
          <cell r="B466" t="str">
            <v>{ REP-0564 }  Sistema kit invierno</v>
          </cell>
          <cell r="C466">
            <v>350958</v>
          </cell>
          <cell r="D466">
            <v>350958</v>
          </cell>
        </row>
        <row r="467">
          <cell r="A467" t="str">
            <v>REP-0565</v>
          </cell>
          <cell r="B467" t="str">
            <v>{ REP-0565 }  Boquilla lanza shell 1/8</v>
          </cell>
          <cell r="C467">
            <v>14403</v>
          </cell>
          <cell r="D467">
            <v>14403</v>
          </cell>
        </row>
        <row r="468">
          <cell r="A468" t="str">
            <v>REP-0566</v>
          </cell>
          <cell r="B468" t="str">
            <v>{ REP-0566 }  Manguera 1.63 hehe 1/4 recta y codo 90° brazo doble</v>
          </cell>
          <cell r="C468">
            <v>24525</v>
          </cell>
          <cell r="D468">
            <v>24525</v>
          </cell>
        </row>
        <row r="469">
          <cell r="A469" t="str">
            <v>REP-0567</v>
          </cell>
          <cell r="B469" t="str">
            <v>{ REP-0567 }  Manguera 1.77 hehe 1/4 recta y codo 90° brazo doble</v>
          </cell>
          <cell r="C469">
            <v>25583</v>
          </cell>
          <cell r="D469">
            <v>25583</v>
          </cell>
        </row>
        <row r="470">
          <cell r="A470" t="str">
            <v>REP-0568</v>
          </cell>
          <cell r="B470" t="str">
            <v>{ REP-0568 }  Aspiradora Luster</v>
          </cell>
          <cell r="C470">
            <v>289900</v>
          </cell>
          <cell r="D470">
            <v>289900</v>
          </cell>
        </row>
        <row r="471">
          <cell r="A471" t="str">
            <v>REP-0569</v>
          </cell>
          <cell r="B471" t="str">
            <v>{ REP-0569 }  Motor 5.5 hp 1450rpm</v>
          </cell>
          <cell r="C471">
            <v>560000</v>
          </cell>
          <cell r="D471">
            <v>560000</v>
          </cell>
        </row>
        <row r="472">
          <cell r="A472" t="str">
            <v>REP-0570</v>
          </cell>
          <cell r="B472" t="str">
            <v>{ REP-0570 }  Motor aspiración agua y polvo</v>
          </cell>
          <cell r="C472">
            <v>69875</v>
          </cell>
          <cell r="D472">
            <v>69875</v>
          </cell>
        </row>
        <row r="473">
          <cell r="A473" t="str">
            <v>REP-0571</v>
          </cell>
          <cell r="B473" t="str">
            <v>{ REP-0571 }  Fuente de alimentacion 220 ac/24dc puente lavado</v>
          </cell>
          <cell r="C473" t="str">
            <v>Nvo</v>
          </cell>
          <cell r="D473">
            <v>169029</v>
          </cell>
        </row>
        <row r="474">
          <cell r="A474" t="str">
            <v>REP-0572</v>
          </cell>
          <cell r="B474" t="str">
            <v>{ REP-0572 }  Reductor de traslacion cepillo vertical puente lavado</v>
          </cell>
          <cell r="C474" t="str">
            <v>Nvo</v>
          </cell>
          <cell r="D474">
            <v>205541</v>
          </cell>
        </row>
        <row r="475">
          <cell r="A475" t="str">
            <v>REP-0573</v>
          </cell>
          <cell r="B475" t="str">
            <v>{ REP-0573 }  Inversor 1, 1KW-230V 1ph schneider puente lavado</v>
          </cell>
          <cell r="C475" t="str">
            <v>Nvo</v>
          </cell>
          <cell r="D475">
            <v>695625</v>
          </cell>
        </row>
        <row r="476">
          <cell r="A476" t="str">
            <v>REP-0574</v>
          </cell>
          <cell r="B476" t="str">
            <v>{ REP-0574 }  Motor de cepillo horizontal KW0.5 puente lavado</v>
          </cell>
          <cell r="C476" t="str">
            <v>Nvo</v>
          </cell>
          <cell r="D476">
            <v>358295</v>
          </cell>
        </row>
        <row r="477">
          <cell r="A477" t="str">
            <v>REP-0575</v>
          </cell>
          <cell r="B477" t="str">
            <v>{ REP-0575 }  Motor de giro lavallantas puente lavado</v>
          </cell>
          <cell r="C477" t="str">
            <v>Nvo</v>
          </cell>
          <cell r="D477">
            <v>305443</v>
          </cell>
        </row>
        <row r="478">
          <cell r="A478" t="str">
            <v>REP-0576</v>
          </cell>
          <cell r="B478" t="str">
            <v>{ REP-0576 }  Motor de traslacion cepillo vertical puente lavado</v>
          </cell>
          <cell r="C478" t="str">
            <v>Nvo</v>
          </cell>
          <cell r="D478">
            <v>267703</v>
          </cell>
        </row>
        <row r="479">
          <cell r="A479" t="str">
            <v>REP-0577</v>
          </cell>
          <cell r="B479" t="str">
            <v>{ REP-0577 }  Eletrobomba de acero inoxidable je 120T 0.9KW puente lavado</v>
          </cell>
          <cell r="C479" t="str">
            <v>Nvo</v>
          </cell>
          <cell r="D479">
            <v>626740</v>
          </cell>
        </row>
        <row r="480">
          <cell r="A480" t="str">
            <v>REP-0578</v>
          </cell>
          <cell r="B480" t="str">
            <v>{ REP-0578 }  Correa cinta pes azul 25mm puente lavado</v>
          </cell>
          <cell r="C480" t="str">
            <v>Nvo</v>
          </cell>
          <cell r="D480">
            <v>14373</v>
          </cell>
        </row>
        <row r="481">
          <cell r="A481" t="str">
            <v>REP-0579</v>
          </cell>
          <cell r="B481" t="str">
            <v>{ REP-0579 }  Reductor de traslacion puente derecho puente lavado</v>
          </cell>
          <cell r="C481" t="str">
            <v>Nvo</v>
          </cell>
          <cell r="D481">
            <v>675552</v>
          </cell>
        </row>
        <row r="482">
          <cell r="A482" t="str">
            <v>REP-0580</v>
          </cell>
          <cell r="B482" t="str">
            <v>{ REP-0580 }  Indicador luminoso led diamante izquierda L puente lavado</v>
          </cell>
          <cell r="C482" t="str">
            <v>Nvo</v>
          </cell>
          <cell r="D482">
            <v>698455</v>
          </cell>
        </row>
        <row r="483">
          <cell r="A483" t="str">
            <v>REP-0581</v>
          </cell>
          <cell r="B483" t="str">
            <v>{ REP-0581 }  Bomba dosificadora champu/llantas puente lavado</v>
          </cell>
          <cell r="C483" t="str">
            <v>Nvo</v>
          </cell>
          <cell r="D483">
            <v>195843</v>
          </cell>
        </row>
        <row r="484">
          <cell r="A484" t="str">
            <v>REP-0582</v>
          </cell>
          <cell r="B484" t="str">
            <v>{ REP-0582 }  Bomba dosificadora WAX 3L/H cera puente lavado</v>
          </cell>
          <cell r="C484" t="str">
            <v>Nvo</v>
          </cell>
          <cell r="D484">
            <v>192239</v>
          </cell>
        </row>
        <row r="485">
          <cell r="A485" t="str">
            <v>REP-0583</v>
          </cell>
          <cell r="B485" t="str">
            <v>{ REP-0583 }  Boquilla de espuma 1.2 1/4F puente lavado</v>
          </cell>
          <cell r="C485" t="str">
            <v>Nvo</v>
          </cell>
          <cell r="D485">
            <v>93921</v>
          </cell>
        </row>
        <row r="486">
          <cell r="A486" t="str">
            <v>REP-0584</v>
          </cell>
          <cell r="B486" t="str">
            <v>{ REP-0584 }  Bomba dosificadora EPDM 12L/H puente lavado</v>
          </cell>
          <cell r="C486" t="str">
            <v>Nvo</v>
          </cell>
          <cell r="D486">
            <v>195843</v>
          </cell>
        </row>
        <row r="487">
          <cell r="A487" t="str">
            <v>REP-0585</v>
          </cell>
          <cell r="B487" t="str">
            <v>{ REP-0585 }  Electrovalvula 90 de agua puente lavado</v>
          </cell>
          <cell r="C487" t="str">
            <v>Nvo</v>
          </cell>
          <cell r="D487">
            <v>152753</v>
          </cell>
        </row>
        <row r="488">
          <cell r="A488" t="str">
            <v>REP-0586</v>
          </cell>
          <cell r="B488" t="str">
            <v>{ REP-0586 }  Base modular plana para EV de aire puente lavado</v>
          </cell>
          <cell r="C488" t="str">
            <v>Nvo</v>
          </cell>
          <cell r="D488">
            <v>12284</v>
          </cell>
        </row>
        <row r="489">
          <cell r="A489" t="str">
            <v>REP-0587</v>
          </cell>
          <cell r="B489" t="str">
            <v>{ REP-0587 }  Modulo de absorcion de cepillos puente lavado</v>
          </cell>
          <cell r="C489" t="str">
            <v>Nvo</v>
          </cell>
          <cell r="D489">
            <v>849479</v>
          </cell>
        </row>
        <row r="490">
          <cell r="A490" t="str">
            <v>REP-0588</v>
          </cell>
          <cell r="B490" t="str">
            <v>{ REP-0588 }  Inversor schneider de 0.75KW-230V 1PH puente lavado</v>
          </cell>
          <cell r="C490" t="str">
            <v>Nvo</v>
          </cell>
          <cell r="D490">
            <v>605115</v>
          </cell>
        </row>
        <row r="491">
          <cell r="A491" t="str">
            <v>REP-0589</v>
          </cell>
          <cell r="B491" t="str">
            <v>{ REP-0589 }  Cilindro de inclinacion cepillo vertical puente lavado</v>
          </cell>
          <cell r="C491" t="str">
            <v>Nvo</v>
          </cell>
          <cell r="D491">
            <v>281360</v>
          </cell>
        </row>
        <row r="492">
          <cell r="A492" t="str">
            <v>REP-0590</v>
          </cell>
          <cell r="B492" t="str">
            <v>{ REP-0590 }  Expansion PL schneider 16 puente lavado</v>
          </cell>
          <cell r="C492" t="str">
            <v>Nvo</v>
          </cell>
          <cell r="D492">
            <v>391169</v>
          </cell>
        </row>
        <row r="493">
          <cell r="A493" t="str">
            <v>REP-0591</v>
          </cell>
          <cell r="B493" t="str">
            <v>{ REP-0591 }  Motor del reductor de traslacion 0.75KW puente lavado</v>
          </cell>
          <cell r="C493" t="str">
            <v>Nvo</v>
          </cell>
          <cell r="D493">
            <v>988171</v>
          </cell>
        </row>
        <row r="494">
          <cell r="A494" t="str">
            <v>REP-0592</v>
          </cell>
          <cell r="B494" t="str">
            <v>{ REP-0592 }  Reductor de traslacion puente de lavado izquierdo puente lavado</v>
          </cell>
          <cell r="C494" t="str">
            <v>Nvo</v>
          </cell>
          <cell r="D494">
            <v>675552</v>
          </cell>
        </row>
        <row r="495">
          <cell r="A495" t="str">
            <v>REP-0593</v>
          </cell>
          <cell r="B495" t="str">
            <v>{ REP-0593 }  Reductor para lavallantas puente lavado</v>
          </cell>
          <cell r="C495" t="str">
            <v>Nvo</v>
          </cell>
          <cell r="D495">
            <v>808505</v>
          </cell>
        </row>
        <row r="496">
          <cell r="A496" t="str">
            <v>REP-0594</v>
          </cell>
          <cell r="B496" t="str">
            <v>{ REP-0594 }  Bomba de alta presion puente lavado</v>
          </cell>
          <cell r="C496" t="str">
            <v>Nvo</v>
          </cell>
          <cell r="D496">
            <v>1137529</v>
          </cell>
        </row>
        <row r="497">
          <cell r="A497" t="str">
            <v>REP-0595</v>
          </cell>
          <cell r="B497" t="str">
            <v>{ REP-0595 }  Motor KW0. 37 puente lavado</v>
          </cell>
          <cell r="C497" t="str">
            <v>Nvo</v>
          </cell>
          <cell r="D497">
            <v>304957</v>
          </cell>
        </row>
        <row r="498">
          <cell r="A498" t="str">
            <v>REP-0596</v>
          </cell>
          <cell r="B498" t="str">
            <v>{ REP-0596 }  Motor de secado con ventilacion trasera puente lavado</v>
          </cell>
          <cell r="C498" t="str">
            <v>Nvo</v>
          </cell>
          <cell r="D498">
            <v>744535</v>
          </cell>
        </row>
        <row r="499">
          <cell r="A499" t="str">
            <v>REP-0597</v>
          </cell>
          <cell r="B499" t="str">
            <v>{ REP-0597 }  Motor trifasico bomba de AP 8.5HP 4P 400/230 eje hueco puente lavado</v>
          </cell>
          <cell r="C499" t="str">
            <v>Nvo</v>
          </cell>
          <cell r="D499">
            <v>871751</v>
          </cell>
        </row>
        <row r="500">
          <cell r="A500" t="str">
            <v>REP-0598</v>
          </cell>
          <cell r="B500" t="str">
            <v>{ REP-0598 }  Motor secado horizontal puente lavado</v>
          </cell>
          <cell r="C500" t="str">
            <v>Nvo</v>
          </cell>
          <cell r="D500">
            <v>624527</v>
          </cell>
        </row>
        <row r="501">
          <cell r="A501" t="str">
            <v>REP-0599</v>
          </cell>
          <cell r="B501" t="str">
            <v>{ REP-0599 }  Caudalimetro pulsador de 1" 53IMP/L puente lavado</v>
          </cell>
          <cell r="C501" t="str">
            <v>Nvo</v>
          </cell>
          <cell r="D501">
            <v>377301</v>
          </cell>
        </row>
        <row r="502">
          <cell r="A502" t="str">
            <v>REP-0600</v>
          </cell>
          <cell r="B502" t="str">
            <v>{ REP-0600 }  Correa dentada de kevlar para cepillo horizontal puente lavado 1 mt</v>
          </cell>
          <cell r="C502" t="str">
            <v>Nvo</v>
          </cell>
          <cell r="D502">
            <v>19067</v>
          </cell>
        </row>
        <row r="503">
          <cell r="A503" t="str">
            <v>REP-0601</v>
          </cell>
          <cell r="B503" t="str">
            <v>{ REP-0601 }  Colector EV de agua puente lavado</v>
          </cell>
          <cell r="C503" t="str">
            <v>Nvo</v>
          </cell>
          <cell r="D503">
            <v>440837</v>
          </cell>
        </row>
        <row r="504">
          <cell r="A504" t="str">
            <v>REP-0602</v>
          </cell>
          <cell r="B504" t="str">
            <v>{ REP-0602 }  Conexion RJ45 CAN-OPEN puente lavado</v>
          </cell>
          <cell r="C504" t="str">
            <v>Nvo</v>
          </cell>
          <cell r="D504">
            <v>175672</v>
          </cell>
        </row>
        <row r="505">
          <cell r="A505" t="str">
            <v>REP-0603</v>
          </cell>
          <cell r="B505" t="str">
            <v>{ REP-0603 }  Regulador de presion 1/4 tuerca anular con monom puente lavado</v>
          </cell>
          <cell r="C505" t="str">
            <v>Nvo</v>
          </cell>
          <cell r="D505">
            <v>55988</v>
          </cell>
        </row>
        <row r="506">
          <cell r="A506" t="str">
            <v>REP-0604</v>
          </cell>
          <cell r="B506" t="str">
            <v>{ REP-0604 }  Admision de aire 1/4 puente lavado</v>
          </cell>
          <cell r="C506" t="str">
            <v>Nvo</v>
          </cell>
          <cell r="D506">
            <v>15597</v>
          </cell>
        </row>
        <row r="507">
          <cell r="A507" t="str">
            <v>REP-0605</v>
          </cell>
          <cell r="B507" t="str">
            <v>{ REP-0605 }  Unidad de filtro de aire manometro1/4 fil. librar puente lavado</v>
          </cell>
          <cell r="C507" t="str">
            <v>Nvo</v>
          </cell>
          <cell r="D507">
            <v>84984</v>
          </cell>
        </row>
        <row r="508">
          <cell r="A508" t="str">
            <v>REP-0606</v>
          </cell>
          <cell r="B508" t="str">
            <v>{ REP-0606 }  Modulo de seguridad 8DI puente lavado</v>
          </cell>
          <cell r="C508" t="str">
            <v>Nvo</v>
          </cell>
          <cell r="D508">
            <v>625140</v>
          </cell>
        </row>
        <row r="509">
          <cell r="A509" t="str">
            <v>REP-0607</v>
          </cell>
          <cell r="B509" t="str">
            <v>{ REP-0607 }  Valvula pulsar para interpmps VBX puente lavado</v>
          </cell>
          <cell r="C509" t="str">
            <v>Nvo</v>
          </cell>
          <cell r="D509">
            <v>124324</v>
          </cell>
        </row>
        <row r="510">
          <cell r="A510" t="str">
            <v>REP-0608</v>
          </cell>
          <cell r="B510" t="str">
            <v>{ REP-0608 }  Electrovalvula plano 5/2 puente lavado</v>
          </cell>
          <cell r="C510" t="str">
            <v>Nvo</v>
          </cell>
          <cell r="D510">
            <v>82511</v>
          </cell>
        </row>
        <row r="511">
          <cell r="A511" t="str">
            <v>REP-0609</v>
          </cell>
          <cell r="B511" t="str">
            <v>{ REP-0609 }  Electrovalvula flat 5/3 1/4 casol puente lavado</v>
          </cell>
          <cell r="C511" t="str">
            <v>Nvo</v>
          </cell>
          <cell r="D511">
            <v>141245</v>
          </cell>
        </row>
        <row r="512">
          <cell r="A512" t="str">
            <v>REP-0610</v>
          </cell>
          <cell r="B512" t="str">
            <v>{ REP-0610 }  PLC schneirder TMC241CECT 24R puente lavado</v>
          </cell>
          <cell r="C512" t="str">
            <v>Nvo</v>
          </cell>
          <cell r="D512">
            <v>1287132</v>
          </cell>
        </row>
        <row r="513">
          <cell r="A513" t="str">
            <v>REP-0611</v>
          </cell>
          <cell r="B513" t="str">
            <v>{ REP-0611 }  Soporte de boquilla giratoria fil. 3/8 sin tuerca anular puente lavado</v>
          </cell>
          <cell r="C513" t="str">
            <v>Nvo</v>
          </cell>
          <cell r="D513">
            <v>9343</v>
          </cell>
        </row>
        <row r="514">
          <cell r="A514" t="str">
            <v>REP-0612</v>
          </cell>
          <cell r="B514" t="str">
            <v>{ REP-0612 }  Expansion de PLC sche 16DO puente lavado</v>
          </cell>
          <cell r="C514" t="str">
            <v>Nvo</v>
          </cell>
          <cell r="D514">
            <v>582907</v>
          </cell>
        </row>
        <row r="515">
          <cell r="A515" t="str">
            <v>REP-0613</v>
          </cell>
          <cell r="B515" t="str">
            <v>{ REP-0613 }  Boquilla metalica para tuercas rojas puente lavado</v>
          </cell>
          <cell r="C515" t="str">
            <v>Nvo</v>
          </cell>
          <cell r="D515">
            <v>4121</v>
          </cell>
        </row>
        <row r="516">
          <cell r="A516" t="str">
            <v>REP-0614</v>
          </cell>
          <cell r="B516" t="str">
            <v>{ REP-0614 }  Porta boquillas de emoliente puente lavado</v>
          </cell>
          <cell r="C516" t="str">
            <v>Nvo</v>
          </cell>
          <cell r="D516">
            <v>4121</v>
          </cell>
        </row>
        <row r="517">
          <cell r="A517" t="str">
            <v>REP-0615</v>
          </cell>
          <cell r="B517" t="str">
            <v>{ REP-0615 }  Adaptador de tarjeta rj45 de apertura de lata puente lavado</v>
          </cell>
          <cell r="C517" t="str">
            <v>Nvo</v>
          </cell>
          <cell r="D517">
            <v>63988</v>
          </cell>
        </row>
        <row r="518">
          <cell r="A518" t="str">
            <v>REP-0616</v>
          </cell>
          <cell r="B518" t="str">
            <v>{ REP-0616 }  Mnguera de conexon estanque cumulador de bombas de alta presion puente lavado</v>
          </cell>
          <cell r="C518" t="str">
            <v>Nvo</v>
          </cell>
          <cell r="D518">
            <v>10684</v>
          </cell>
        </row>
        <row r="519">
          <cell r="A519" t="str">
            <v>REP-0617</v>
          </cell>
          <cell r="B519" t="str">
            <v>{ REP-0617 }  Electrovalvula de aire 2 vias 1/8 NC 24VDC puente lavado</v>
          </cell>
          <cell r="C519" t="str">
            <v>Nvo</v>
          </cell>
          <cell r="D519">
            <v>30224</v>
          </cell>
        </row>
        <row r="520">
          <cell r="A520" t="str">
            <v>REP-0618</v>
          </cell>
          <cell r="B520" t="str">
            <v>{ REP-0618 }  Horquilla cilindro nuematico puente lavado</v>
          </cell>
          <cell r="C520" t="str">
            <v>Nvo</v>
          </cell>
          <cell r="D520">
            <v>5964</v>
          </cell>
        </row>
        <row r="521">
          <cell r="A521" t="str">
            <v>REP-0619</v>
          </cell>
          <cell r="B521" t="str">
            <v>{ REP-0619 }  Rueda de percha 80x25 puente lavado</v>
          </cell>
          <cell r="C521" t="str">
            <v>Nvo</v>
          </cell>
          <cell r="D521">
            <v>40600</v>
          </cell>
        </row>
        <row r="522">
          <cell r="A522" t="str">
            <v>REP-0620</v>
          </cell>
          <cell r="B522" t="str">
            <v>{ REP-0620 }  Boquilla fbl 686 1/4 4003 acero inox  puente lavado</v>
          </cell>
          <cell r="C522" t="str">
            <v>Nvo</v>
          </cell>
          <cell r="D522">
            <v>6837</v>
          </cell>
        </row>
        <row r="523">
          <cell r="A523" t="str">
            <v>REP-0621</v>
          </cell>
          <cell r="B523" t="str">
            <v>{ REP-0621 }  Clindro neumatico para inclinacion de lavaruedas y deflector puente lavado</v>
          </cell>
          <cell r="C523" t="str">
            <v>Nvo</v>
          </cell>
          <cell r="D523">
            <v>48795</v>
          </cell>
        </row>
        <row r="524">
          <cell r="A524" t="str">
            <v>REP-0622</v>
          </cell>
          <cell r="B524" t="str">
            <v>{ REP-0622 }  Interrptor remoto proximidad D18-5M-NO puente lavado</v>
          </cell>
          <cell r="C524" t="str">
            <v>Nvo</v>
          </cell>
          <cell r="D524">
            <v>36188</v>
          </cell>
        </row>
        <row r="525">
          <cell r="A525" t="str">
            <v>REP-0623</v>
          </cell>
          <cell r="B525" t="str">
            <v>{ REP-0623 }  Interruptor remoto proximidad omron 5mt-no puente lavado</v>
          </cell>
          <cell r="C525" t="str">
            <v>Nvo</v>
          </cell>
          <cell r="D525">
            <v>42589</v>
          </cell>
        </row>
        <row r="526">
          <cell r="A526" t="str">
            <v>REP-0624</v>
          </cell>
          <cell r="B526" t="str">
            <v>{ REP-0624 }  Boquilla giratoria 1/4-030-26° puente lavado</v>
          </cell>
          <cell r="C526" t="str">
            <v>Nvo</v>
          </cell>
          <cell r="D526">
            <v>86244</v>
          </cell>
        </row>
        <row r="527">
          <cell r="A527" t="str">
            <v>REP-0625</v>
          </cell>
          <cell r="B527" t="str">
            <v>{ REP-0625 }  Receptor de fotocelula md mt 30 puente lavado</v>
          </cell>
          <cell r="C527" t="str">
            <v>Nvo</v>
          </cell>
          <cell r="D527">
            <v>134425</v>
          </cell>
        </row>
        <row r="528">
          <cell r="A528" t="str">
            <v>REP-0626</v>
          </cell>
          <cell r="B528" t="str">
            <v>{ REP-0626 }  Kit instalacion manómetros</v>
          </cell>
          <cell r="C528" t="str">
            <v>Nvo</v>
          </cell>
          <cell r="D528">
            <v>54605</v>
          </cell>
        </row>
        <row r="529">
          <cell r="A529" t="str">
            <v>REP-0627</v>
          </cell>
          <cell r="B529" t="str">
            <v>{ REP-0627 }  Presostato 1/4 puente lavado</v>
          </cell>
          <cell r="C529" t="str">
            <v>Nvo</v>
          </cell>
          <cell r="D529">
            <v>55298</v>
          </cell>
        </row>
        <row r="530">
          <cell r="A530" t="str">
            <v>REP-0628</v>
          </cell>
          <cell r="B530" t="str">
            <v>{ REP-0628 }  Presostato 1/8 puente lavado</v>
          </cell>
          <cell r="C530" t="str">
            <v>Nvo</v>
          </cell>
          <cell r="D530">
            <v>52997</v>
          </cell>
        </row>
        <row r="531">
          <cell r="A531" t="str">
            <v>REP-0631</v>
          </cell>
          <cell r="B531" t="str">
            <v>{ REP-0631 }  Cilindro neumatico de inclinacion de cepillos puente lavado</v>
          </cell>
          <cell r="C531" t="str">
            <v>Nvo</v>
          </cell>
          <cell r="D531">
            <v>279200</v>
          </cell>
        </row>
        <row r="532">
          <cell r="A532" t="str">
            <v>REP-0632</v>
          </cell>
          <cell r="B532" t="str">
            <v>{ REP-0633 }  Espaciador para rueda de soporte para cepillos verticales PUENTE LAVADO</v>
          </cell>
          <cell r="C532" t="str">
            <v>Nvo</v>
          </cell>
          <cell r="D532">
            <v>38047</v>
          </cell>
        </row>
        <row r="533">
          <cell r="A533" t="str">
            <v>REP-0633</v>
          </cell>
          <cell r="B533" t="str">
            <v>{ REP-0634 }  Rueda de soporte para cepillos verticales puente lavado</v>
          </cell>
          <cell r="C533" t="str">
            <v>Nvo</v>
          </cell>
          <cell r="D533">
            <v>2856</v>
          </cell>
        </row>
        <row r="534">
          <cell r="A534" t="str">
            <v>REP-0634</v>
          </cell>
          <cell r="B534" t="str">
            <v>{ REP-0635 }  Rótula externa rueda de soporte para cepillos verticales puente lavado</v>
          </cell>
          <cell r="C534" t="str">
            <v>Nvo</v>
          </cell>
          <cell r="D534">
            <v>16755</v>
          </cell>
        </row>
        <row r="535">
          <cell r="A535" t="str">
            <v>REP-0635</v>
          </cell>
          <cell r="B535" t="str">
            <v>{ REP-0636 }  Perno superior para Rueda de Soporte excéntrica para cepillos verticales PUENTE AVADO</v>
          </cell>
          <cell r="C535" t="str">
            <v>Nvo</v>
          </cell>
          <cell r="D535">
            <v>4601</v>
          </cell>
        </row>
        <row r="536">
          <cell r="A536" t="str">
            <v>REP-0636</v>
          </cell>
          <cell r="B536" t="str">
            <v>{ REP-0637 }  Espaciador para rueda de soporte excentrica para cepillos verticales</v>
          </cell>
          <cell r="C536" t="str">
            <v>Nvo</v>
          </cell>
          <cell r="D536">
            <v>27919</v>
          </cell>
        </row>
        <row r="537">
          <cell r="A537" t="str">
            <v>REP-0637</v>
          </cell>
          <cell r="B537" t="str">
            <v>{ REP-0638 }  Rueda de soporte excéntrica para cepillos verticales</v>
          </cell>
          <cell r="C537" t="str">
            <v>Nvo</v>
          </cell>
          <cell r="D537">
            <v>2856</v>
          </cell>
        </row>
        <row r="538">
          <cell r="A538" t="str">
            <v>REP-0638</v>
          </cell>
          <cell r="B538" t="str">
            <v>{ REP-0639 }  Rótula externa rueda de soporte excéntrica para cepillos verticales</v>
          </cell>
          <cell r="C538" t="str">
            <v>Nvo</v>
          </cell>
          <cell r="D538">
            <v>16755</v>
          </cell>
        </row>
        <row r="539">
          <cell r="A539" t="str">
            <v>REP-0639</v>
          </cell>
          <cell r="B539" t="str">
            <v>{ REP-0640 }  Guía plástica de anillos de seguridad</v>
          </cell>
          <cell r="C539" t="str">
            <v>Nvo</v>
          </cell>
          <cell r="D539">
            <v>4601</v>
          </cell>
        </row>
        <row r="540">
          <cell r="A540" t="str">
            <v>REP-0640</v>
          </cell>
          <cell r="B540" t="str">
            <v>{ REP-0641 }  Electroválvula de alimentación de estanque de bombas de alta presión</v>
          </cell>
          <cell r="C540" t="str">
            <v>Nvo</v>
          </cell>
          <cell r="D540">
            <v>22823</v>
          </cell>
        </row>
        <row r="541">
          <cell r="A541" t="str">
            <v>REP-0641</v>
          </cell>
          <cell r="B541" t="str">
            <v>{ REP-0642 }  Micro Switch de pie de seguridad</v>
          </cell>
          <cell r="C541" t="str">
            <v>Nvo</v>
          </cell>
          <cell r="D541">
            <v>184715</v>
          </cell>
        </row>
        <row r="542">
          <cell r="A542" t="str">
            <v>REP-0642</v>
          </cell>
          <cell r="B542" t="str">
            <v>{ REP-0643 }  Borde amarillo de seguridad</v>
          </cell>
          <cell r="C542" t="str">
            <v>Nvo</v>
          </cell>
          <cell r="D542">
            <v>73956</v>
          </cell>
        </row>
        <row r="543">
          <cell r="A543" t="str">
            <v>REP-0643</v>
          </cell>
          <cell r="B543" t="str">
            <v>{ REP-0632 }  Perno exentrico para rueda de soporte puente lavado</v>
          </cell>
          <cell r="C543" t="str">
            <v>Nvo</v>
          </cell>
          <cell r="D543">
            <v>92709</v>
          </cell>
        </row>
        <row r="544">
          <cell r="A544" t="str">
            <v>REP-0644</v>
          </cell>
          <cell r="B544" t="str">
            <v>{ REP-0644 }  Estanque de resina para ablandador</v>
          </cell>
          <cell r="C544" t="str">
            <v>Nvo</v>
          </cell>
          <cell r="D544">
            <v>206250</v>
          </cell>
        </row>
        <row r="545">
          <cell r="A545" t="str">
            <v>REP-0645</v>
          </cell>
          <cell r="B545" t="str">
            <v>{ REP-0645 }  Display Touch EX 205 MSELF</v>
          </cell>
          <cell r="C545" t="str">
            <v>Nvo</v>
          </cell>
          <cell r="D545">
            <v>0</v>
          </cell>
        </row>
        <row r="546">
          <cell r="A546" t="str">
            <v>REP-0646</v>
          </cell>
          <cell r="B546" t="str">
            <v xml:space="preserve">{ REP-0646 }  Ficha lavado personalizada Espinoza </v>
          </cell>
          <cell r="C546" t="str">
            <v>Nvo</v>
          </cell>
          <cell r="D546">
            <v>632</v>
          </cell>
        </row>
        <row r="547">
          <cell r="A547" t="str">
            <v>REP-0647</v>
          </cell>
          <cell r="B547" t="str">
            <v>{ REP-0647 }  Ficha aspirado personalizada Espinoza</v>
          </cell>
          <cell r="C547" t="str">
            <v>Nvo</v>
          </cell>
          <cell r="D547">
            <v>521</v>
          </cell>
        </row>
      </sheetData>
      <sheetData sheetId="1">
        <row r="1">
          <cell r="A1" t="str">
            <v>CÓDIGO</v>
          </cell>
          <cell r="B1" t="str">
            <v>ITEM</v>
          </cell>
          <cell r="C1" t="str">
            <v>PRECIO 2025</v>
          </cell>
          <cell r="D1" t="str">
            <v>PRECIO 1S 2026</v>
          </cell>
        </row>
        <row r="2">
          <cell r="A2" t="str">
            <v>S-02</v>
          </cell>
          <cell r="B2" t="str">
            <v>Mantención hidropack (trimestral)</v>
          </cell>
          <cell r="C2">
            <v>25000</v>
          </cell>
          <cell r="D2">
            <v>26000</v>
          </cell>
        </row>
        <row r="3">
          <cell r="A3" t="str">
            <v>S-06</v>
          </cell>
          <cell r="B3" t="str">
            <v>Día mecánico local (día de semana)</v>
          </cell>
          <cell r="C3">
            <v>82500</v>
          </cell>
          <cell r="D3">
            <v>85000</v>
          </cell>
        </row>
        <row r="4">
          <cell r="A4" t="str">
            <v>S-07</v>
          </cell>
          <cell r="B4" t="str">
            <v>Limpieza y reprogramación ficheros (en taller)</v>
          </cell>
          <cell r="C4">
            <v>27500</v>
          </cell>
          <cell r="D4">
            <v>28500</v>
          </cell>
        </row>
        <row r="5">
          <cell r="A5" t="str">
            <v>S-08</v>
          </cell>
          <cell r="B5" t="str">
            <v>M. obra reparación bombas Cat (en taller)</v>
          </cell>
          <cell r="C5">
            <v>40000</v>
          </cell>
          <cell r="D5">
            <v>41500</v>
          </cell>
        </row>
        <row r="6">
          <cell r="A6" t="str">
            <v>S-09</v>
          </cell>
          <cell r="B6" t="str">
            <v>M. obra cambio porta brazos inox (solo en día de semana)</v>
          </cell>
          <cell r="C6">
            <v>160000</v>
          </cell>
          <cell r="D6">
            <v>166000</v>
          </cell>
        </row>
        <row r="7">
          <cell r="A7" t="str">
            <v>S-16</v>
          </cell>
          <cell r="B7" t="str">
            <v>Mantención termo monofásico (semestral)</v>
          </cell>
          <cell r="C7">
            <v>40000</v>
          </cell>
          <cell r="D7">
            <v>41500</v>
          </cell>
        </row>
        <row r="8">
          <cell r="A8" t="str">
            <v>S-18</v>
          </cell>
          <cell r="B8" t="str">
            <v>M. obra carga completa ablandador (solo en día de semana)</v>
          </cell>
          <cell r="C8">
            <v>40000</v>
          </cell>
          <cell r="D8">
            <v>41500</v>
          </cell>
        </row>
        <row r="9">
          <cell r="A9" t="str">
            <v>S-19</v>
          </cell>
          <cell r="B9" t="str">
            <v>Mantención cabezal ablandador (solo en día de semana)</v>
          </cell>
          <cell r="C9">
            <v>40000</v>
          </cell>
          <cell r="D9">
            <v>41500</v>
          </cell>
        </row>
        <row r="10">
          <cell r="A10" t="str">
            <v>S-21</v>
          </cell>
          <cell r="B10" t="str">
            <v>M. obra cambio manguera interior brazo (no usar)</v>
          </cell>
          <cell r="C10">
            <v>50000</v>
          </cell>
          <cell r="D10" t="e">
            <v>#N/A</v>
          </cell>
        </row>
        <row r="11">
          <cell r="A11" t="str">
            <v>S-22</v>
          </cell>
          <cell r="B11" t="str">
            <v>Visita técnica local (día de semana)</v>
          </cell>
          <cell r="C11">
            <v>27500</v>
          </cell>
          <cell r="D11">
            <v>28500</v>
          </cell>
        </row>
        <row r="12">
          <cell r="A12" t="str">
            <v>S-23</v>
          </cell>
          <cell r="B12" t="str">
            <v>Visita técnica regiones (día de semana)</v>
          </cell>
          <cell r="C12">
            <v>55000</v>
          </cell>
          <cell r="D12">
            <v>57000</v>
          </cell>
        </row>
        <row r="13">
          <cell r="A13" t="str">
            <v>S-25</v>
          </cell>
          <cell r="B13" t="str">
            <v>M. obra reparación/cambio mangueras externas</v>
          </cell>
          <cell r="C13">
            <v>27500</v>
          </cell>
          <cell r="D13">
            <v>28500</v>
          </cell>
        </row>
        <row r="14">
          <cell r="A14" t="str">
            <v>S-26</v>
          </cell>
          <cell r="B14" t="str">
            <v>M. obra limpieza filtro de aspirado (responsabilidad del cliente)</v>
          </cell>
          <cell r="C14">
            <v>40000</v>
          </cell>
          <cell r="D14">
            <v>41500</v>
          </cell>
        </row>
        <row r="15">
          <cell r="A15" t="str">
            <v>S-30</v>
          </cell>
          <cell r="B15" t="str">
            <v>Mantención termo trifásico (semestral)</v>
          </cell>
          <cell r="C15">
            <v>55000</v>
          </cell>
          <cell r="D15">
            <v>57000</v>
          </cell>
        </row>
        <row r="16">
          <cell r="A16" t="str">
            <v>S-31</v>
          </cell>
          <cell r="B16" t="str">
            <v>Reparación motor de osmosis (en taller)</v>
          </cell>
          <cell r="C16">
            <v>105000</v>
          </cell>
          <cell r="D16">
            <v>109000</v>
          </cell>
        </row>
        <row r="17">
          <cell r="A17" t="str">
            <v>S-32</v>
          </cell>
          <cell r="B17" t="str">
            <v>Reparación porta lanza (en taller)</v>
          </cell>
          <cell r="C17">
            <v>80000</v>
          </cell>
          <cell r="D17">
            <v>83000</v>
          </cell>
        </row>
        <row r="18">
          <cell r="A18" t="str">
            <v>S-33</v>
          </cell>
          <cell r="B18" t="str">
            <v>Reparación portacepillo (en taller)</v>
          </cell>
          <cell r="C18">
            <v>80000</v>
          </cell>
          <cell r="D18">
            <v>83000</v>
          </cell>
        </row>
        <row r="19">
          <cell r="A19" t="str">
            <v>S-34</v>
          </cell>
          <cell r="B19" t="str">
            <v>Reparación motor de soplado (en taller)</v>
          </cell>
          <cell r="C19">
            <v>80000</v>
          </cell>
          <cell r="D19">
            <v>83000</v>
          </cell>
        </row>
        <row r="20">
          <cell r="A20" t="str">
            <v>S-35</v>
          </cell>
          <cell r="B20" t="str">
            <v>Reparación motor trifásico aspirado (en taller)</v>
          </cell>
          <cell r="C20">
            <v>250000</v>
          </cell>
          <cell r="D20">
            <v>259000</v>
          </cell>
        </row>
        <row r="21">
          <cell r="A21" t="str">
            <v>S-36</v>
          </cell>
          <cell r="B21" t="str">
            <v>Reparación motor trifásico de lavado (en taller)</v>
          </cell>
          <cell r="C21">
            <v>190000</v>
          </cell>
          <cell r="D21">
            <v>197000</v>
          </cell>
        </row>
        <row r="22">
          <cell r="A22" t="str">
            <v>S-37</v>
          </cell>
          <cell r="B22" t="str">
            <v>Mantención ablandador (semestral)</v>
          </cell>
          <cell r="C22">
            <v>37500</v>
          </cell>
          <cell r="D22">
            <v>38500</v>
          </cell>
        </row>
        <row r="23">
          <cell r="A23" t="str">
            <v>S-38</v>
          </cell>
          <cell r="B23" t="str">
            <v>Día mecánico local (fin de semana)</v>
          </cell>
          <cell r="C23">
            <v>107250</v>
          </cell>
          <cell r="D23">
            <v>111000</v>
          </cell>
        </row>
        <row r="24">
          <cell r="A24" t="str">
            <v>S-39</v>
          </cell>
          <cell r="B24" t="str">
            <v>Visita técnica local (fin de semana)</v>
          </cell>
          <cell r="C24">
            <v>37500</v>
          </cell>
          <cell r="D24">
            <v>37000</v>
          </cell>
        </row>
        <row r="25">
          <cell r="A25" t="str">
            <v>S-40</v>
          </cell>
          <cell r="B25" t="str">
            <v>Visita técnica regiones (fin de semana)</v>
          </cell>
          <cell r="C25">
            <v>71500</v>
          </cell>
          <cell r="D25">
            <v>74000</v>
          </cell>
        </row>
        <row r="26">
          <cell r="A26" t="str">
            <v>S-41</v>
          </cell>
          <cell r="B26" t="str">
            <v>Día mecánico regiones (día de semana)</v>
          </cell>
          <cell r="C26">
            <v>110000</v>
          </cell>
          <cell r="D26">
            <v>114000</v>
          </cell>
        </row>
        <row r="27">
          <cell r="A27" t="str">
            <v>S-42</v>
          </cell>
          <cell r="B27" t="str">
            <v>Día mecánico regiones (fin de semana)</v>
          </cell>
          <cell r="C27">
            <v>143000</v>
          </cell>
          <cell r="D27">
            <v>148000</v>
          </cell>
        </row>
        <row r="28">
          <cell r="A28" t="str">
            <v>S-43</v>
          </cell>
          <cell r="B28" t="str">
            <v>Instalación kit aldabas sin candados</v>
          </cell>
          <cell r="C28">
            <v>260000</v>
          </cell>
          <cell r="D28">
            <v>269000</v>
          </cell>
        </row>
        <row r="29">
          <cell r="A29" t="str">
            <v>S-44</v>
          </cell>
          <cell r="B29" t="str">
            <v>Instalación kit aldabas con candados</v>
          </cell>
          <cell r="C29">
            <v>325080</v>
          </cell>
          <cell r="D29">
            <v>336500</v>
          </cell>
        </row>
        <row r="30">
          <cell r="A30" t="str">
            <v>S-45</v>
          </cell>
          <cell r="B30" t="str">
            <v>Cambio válvula llenado ¾” estanque 500 lts</v>
          </cell>
          <cell r="C30">
            <v>155000</v>
          </cell>
          <cell r="D30">
            <v>160500</v>
          </cell>
        </row>
        <row r="31">
          <cell r="A31" t="str">
            <v>S-46</v>
          </cell>
          <cell r="B31" t="str">
            <v xml:space="preserve">Cambio válvula fondo 1" estanque 500 lts </v>
          </cell>
          <cell r="C31">
            <v>155000</v>
          </cell>
          <cell r="D31">
            <v>160500</v>
          </cell>
        </row>
        <row r="32">
          <cell r="A32" t="str">
            <v>S-47</v>
          </cell>
          <cell r="B32" t="str">
            <v>Cambio cúpula aspiradora reparada (no incluye stickers imagen)</v>
          </cell>
          <cell r="C32">
            <v>195000</v>
          </cell>
          <cell r="D32">
            <v>202000</v>
          </cell>
        </row>
        <row r="33">
          <cell r="A33" t="str">
            <v>S-48</v>
          </cell>
          <cell r="B33" t="str">
            <v>Cambio cúpula lavadora reparada (no incluye stickers imagen)</v>
          </cell>
          <cell r="C33">
            <v>210000</v>
          </cell>
          <cell r="D33">
            <v>217000</v>
          </cell>
        </row>
        <row r="34">
          <cell r="A34" t="str">
            <v>S-49</v>
          </cell>
          <cell r="B34" t="str">
            <v xml:space="preserve">Limpieza con pulido especial Mself sin mampara imagen </v>
          </cell>
          <cell r="C34">
            <v>455112</v>
          </cell>
          <cell r="D34">
            <v>471000</v>
          </cell>
        </row>
        <row r="35">
          <cell r="A35" t="str">
            <v>S-50</v>
          </cell>
          <cell r="B35" t="str">
            <v>Limpieza con pulido especial Mself con mampara imagen</v>
          </cell>
          <cell r="C35">
            <v>525546</v>
          </cell>
          <cell r="D35">
            <v>544000</v>
          </cell>
        </row>
        <row r="36">
          <cell r="A36" t="str">
            <v>S-51</v>
          </cell>
          <cell r="B36" t="str">
            <v>Cambio de base hidropack por base Inox.</v>
          </cell>
          <cell r="C36" t="str">
            <v>A Cotizar</v>
          </cell>
          <cell r="D36" t="e">
            <v>#N/A</v>
          </cell>
        </row>
        <row r="37">
          <cell r="A37" t="str">
            <v>S-52</v>
          </cell>
          <cell r="B37" t="str">
            <v>Reparación porta brazo</v>
          </cell>
          <cell r="C37" t="str">
            <v>A Cotizar</v>
          </cell>
          <cell r="D37" t="e">
            <v>#N/A</v>
          </cell>
        </row>
        <row r="38">
          <cell r="A38" t="str">
            <v>S-53</v>
          </cell>
          <cell r="B38" t="str">
            <v>Instalación Termo</v>
          </cell>
          <cell r="C38">
            <v>80000</v>
          </cell>
          <cell r="D38">
            <v>83000</v>
          </cell>
        </row>
        <row r="39">
          <cell r="A39" t="str">
            <v>S-54</v>
          </cell>
          <cell r="B39" t="str">
            <v>Arriendo Bomba Cat (semanal)</v>
          </cell>
          <cell r="C39">
            <v>32500</v>
          </cell>
          <cell r="D39">
            <v>34000</v>
          </cell>
        </row>
        <row r="40">
          <cell r="A40" t="str">
            <v>S-55</v>
          </cell>
          <cell r="B40" t="str">
            <v>Rectificación EV</v>
          </cell>
          <cell r="C40">
            <v>10000</v>
          </cell>
          <cell r="D40">
            <v>10500</v>
          </cell>
        </row>
        <row r="41">
          <cell r="A41" t="str">
            <v>S-56</v>
          </cell>
          <cell r="B41" t="str">
            <v>M. obra adicional local</v>
          </cell>
          <cell r="C41">
            <v>27500</v>
          </cell>
          <cell r="D41">
            <v>28500</v>
          </cell>
        </row>
        <row r="42">
          <cell r="A42" t="str">
            <v>S-57</v>
          </cell>
          <cell r="B42" t="str">
            <v>M. de obra adicional regional</v>
          </cell>
          <cell r="C42">
            <v>40000</v>
          </cell>
          <cell r="D42">
            <v>41500</v>
          </cell>
        </row>
        <row r="43">
          <cell r="A43" t="str">
            <v>S-58</v>
          </cell>
          <cell r="B43" t="str">
            <v>Acondicionamiento brazo giratorio</v>
          </cell>
          <cell r="C43" t="str">
            <v>A Cotizar</v>
          </cell>
          <cell r="D43" t="e">
            <v>#N/A</v>
          </cell>
        </row>
        <row r="44">
          <cell r="A44" t="str">
            <v>S-59</v>
          </cell>
          <cell r="B44" t="str">
            <v>Portalanza, Portacepillo nuevo</v>
          </cell>
          <cell r="C44">
            <v>144000</v>
          </cell>
          <cell r="D44">
            <v>150000</v>
          </cell>
        </row>
        <row r="45">
          <cell r="A45" t="str">
            <v>S-60</v>
          </cell>
          <cell r="B45" t="str">
            <v>Visita Técnica Innecesaria o Rechaza</v>
          </cell>
          <cell r="C45">
            <v>27500</v>
          </cell>
          <cell r="D45">
            <v>28500</v>
          </cell>
        </row>
        <row r="46">
          <cell r="A46" t="str">
            <v>S-61</v>
          </cell>
          <cell r="B46" t="str">
            <v>Rectificación EV AP</v>
          </cell>
          <cell r="C46">
            <v>10000</v>
          </cell>
          <cell r="D46">
            <v>10500</v>
          </cell>
        </row>
        <row r="47">
          <cell r="A47" t="str">
            <v>S-62</v>
          </cell>
          <cell r="B47" t="str">
            <v>Cambio de Aceite</v>
          </cell>
          <cell r="C47">
            <v>7000</v>
          </cell>
          <cell r="D47">
            <v>7500</v>
          </cell>
        </row>
        <row r="48">
          <cell r="A48" t="str">
            <v>S-90</v>
          </cell>
          <cell r="B48" t="str">
            <v>Conversión Portalanza en Portacepillo</v>
          </cell>
          <cell r="C48">
            <v>27500</v>
          </cell>
          <cell r="D48" t="e">
            <v>#N/A</v>
          </cell>
        </row>
        <row r="49">
          <cell r="A49" t="str">
            <v>S-91</v>
          </cell>
          <cell r="B49" t="str">
            <v>Servicio de transporte e instalación proyecto.</v>
          </cell>
          <cell r="C49" t="str">
            <v>A Cotizar</v>
          </cell>
          <cell r="D4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ICIOS"/>
      <sheetName val="REPUESTOS"/>
      <sheetName val="analisis"/>
      <sheetName val="NO CONSIDERADOS"/>
      <sheetName val="Analisi A"/>
      <sheetName val="Analisis B y C"/>
      <sheetName val="Análisis de Costos"/>
      <sheetName val="Hoja2"/>
      <sheetName val="RESUMEN"/>
      <sheetName val="RESUMEN GERENCIAL"/>
      <sheetName val="Repuestos reclamados"/>
      <sheetName val="Var Costo +20% B y C"/>
      <sheetName val="Hoja1"/>
    </sheetNames>
    <sheetDataSet>
      <sheetData sheetId="0"/>
      <sheetData sheetId="1">
        <row r="1">
          <cell r="R1" t="str">
            <v>TC</v>
          </cell>
          <cell r="S1" t="str">
            <v>2S 2025</v>
          </cell>
        </row>
        <row r="2">
          <cell r="R2" t="str">
            <v>Euro (prom. Abril, Mayo, Junio)</v>
          </cell>
          <cell r="S2">
            <v>1072.21</v>
          </cell>
        </row>
        <row r="3">
          <cell r="R3" t="str">
            <v>Dólar (prom. Abril, Mayo, Junio)</v>
          </cell>
          <cell r="S3">
            <v>947.25</v>
          </cell>
        </row>
        <row r="4">
          <cell r="S4" t="str">
            <v>Variación 2S2025 fue de 4,44% euro y -1,50% USD</v>
          </cell>
        </row>
        <row r="7">
          <cell r="A7" t="str">
            <v>CODIGO OCCIM</v>
          </cell>
          <cell r="B7" t="str">
            <v>CODIGO PROVEEDOR</v>
          </cell>
          <cell r="C7" t="str">
            <v>NOMBRE</v>
          </cell>
          <cell r="D7" t="str">
            <v>PROVEEDOR</v>
          </cell>
          <cell r="E7" t="str">
            <v>DIVISA</v>
          </cell>
          <cell r="F7" t="str">
            <v>ÚLTIMO COSTO Junio 2025</v>
          </cell>
          <cell r="G7" t="str">
            <v>ÚLTIMO COSTO Diciembre 2025</v>
          </cell>
          <cell r="H7" t="str">
            <v>ÚLTIMO COSTO JUNIO 2026</v>
          </cell>
          <cell r="I7" t="str">
            <v>Precio Lista 2S 2025</v>
          </cell>
          <cell r="J7" t="str">
            <v>Precio Lista 1S 2026</v>
          </cell>
          <cell r="K7" t="str">
            <v>NIVEL DE MOVIMIENTO</v>
          </cell>
          <cell r="M7">
            <v>1072.21</v>
          </cell>
          <cell r="N7">
            <v>945.2</v>
          </cell>
          <cell r="O7" t="str">
            <v>Precio menor</v>
          </cell>
          <cell r="P7" t="str">
            <v>Diferencia $</v>
          </cell>
          <cell r="Q7" t="str">
            <v>Diferencia %</v>
          </cell>
          <cell r="R7" t="str">
            <v>Precio Lista 2S 2026</v>
          </cell>
          <cell r="S7" t="str">
            <v>Variación de Precio</v>
          </cell>
        </row>
        <row r="8">
          <cell r="A8" t="str">
            <v>REP-0547</v>
          </cell>
          <cell r="B8" t="str">
            <v/>
          </cell>
          <cell r="C8" t="str">
            <v>FICHA DORADA LAVADO SHELL</v>
          </cell>
          <cell r="D8" t="str">
            <v>OSBORNE</v>
          </cell>
          <cell r="E8" t="str">
            <v>USD</v>
          </cell>
          <cell r="F8">
            <v>328.57815786295646</v>
          </cell>
          <cell r="G8">
            <v>328.57815786295646</v>
          </cell>
          <cell r="H8">
            <v>309.10144905676128</v>
          </cell>
          <cell r="I8">
            <v>490</v>
          </cell>
          <cell r="J8">
            <v>484.20645979784535</v>
          </cell>
          <cell r="K8" t="str">
            <v>A</v>
          </cell>
          <cell r="R8">
            <v>551</v>
          </cell>
          <cell r="S8">
            <v>0.13794433934243822</v>
          </cell>
        </row>
        <row r="9">
          <cell r="A9" t="str">
            <v>REP-0548</v>
          </cell>
          <cell r="B9" t="str">
            <v/>
          </cell>
          <cell r="C9" t="str">
            <v>FICHA DE ASPIRADO SHELL</v>
          </cell>
          <cell r="D9" t="str">
            <v>OSBORNE</v>
          </cell>
          <cell r="E9" t="str">
            <v>USD</v>
          </cell>
          <cell r="F9">
            <v>346.02478571408687</v>
          </cell>
          <cell r="G9">
            <v>346.02478571408687</v>
          </cell>
          <cell r="H9">
            <v>334.97337651085144</v>
          </cell>
          <cell r="I9">
            <v>570</v>
          </cell>
          <cell r="J9">
            <v>563.26057568320789</v>
          </cell>
          <cell r="K9" t="str">
            <v>A</v>
          </cell>
          <cell r="R9">
            <v>602</v>
          </cell>
          <cell r="S9">
            <v>6.8777091792378786E-2</v>
          </cell>
        </row>
        <row r="10">
          <cell r="A10" t="str">
            <v>REP-0263</v>
          </cell>
          <cell r="B10" t="str">
            <v>28.00.081</v>
          </cell>
          <cell r="C10" t="str">
            <v>Filtro sedimentos</v>
          </cell>
          <cell r="D10" t="str">
            <v>AXEON</v>
          </cell>
          <cell r="E10" t="str">
            <v>CLP</v>
          </cell>
          <cell r="F10">
            <v>1407.2333168155114</v>
          </cell>
          <cell r="G10">
            <v>1562.3578259589362</v>
          </cell>
          <cell r="H10">
            <v>1421.8694268056665</v>
          </cell>
          <cell r="I10">
            <v>3102</v>
          </cell>
          <cell r="J10">
            <v>3102</v>
          </cell>
          <cell r="K10" t="str">
            <v>A</v>
          </cell>
          <cell r="L10">
            <v>3990</v>
          </cell>
          <cell r="M10">
            <v>3990</v>
          </cell>
          <cell r="O10">
            <v>3990</v>
          </cell>
          <cell r="P10">
            <v>-888</v>
          </cell>
          <cell r="Q10">
            <v>-0.22255639097744362</v>
          </cell>
          <cell r="R10">
            <v>3102</v>
          </cell>
          <cell r="S10">
            <v>0</v>
          </cell>
        </row>
        <row r="11">
          <cell r="A11" t="str">
            <v>REP-0264</v>
          </cell>
          <cell r="B11" t="str">
            <v>28.00.130</v>
          </cell>
          <cell r="C11" t="str">
            <v>Filtro carbón activo</v>
          </cell>
          <cell r="D11" t="str">
            <v>AXEON</v>
          </cell>
          <cell r="E11" t="str">
            <v>CLP</v>
          </cell>
          <cell r="F11">
            <v>5752.5415991444888</v>
          </cell>
          <cell r="G11">
            <v>6384.3726429887665</v>
          </cell>
          <cell r="H11">
            <v>5812.3716433610007</v>
          </cell>
          <cell r="I11">
            <v>9831.6441183810985</v>
          </cell>
          <cell r="J11">
            <v>9715.3991684767752</v>
          </cell>
          <cell r="K11" t="str">
            <v>A</v>
          </cell>
          <cell r="L11">
            <v>17000</v>
          </cell>
          <cell r="M11">
            <v>14900</v>
          </cell>
          <cell r="N11">
            <v>10390</v>
          </cell>
          <cell r="O11">
            <v>10390</v>
          </cell>
          <cell r="P11">
            <v>-558.35588161890155</v>
          </cell>
          <cell r="Q11">
            <v>-5.3739738365630618E-2</v>
          </cell>
          <cell r="R11">
            <v>9715.3991684767752</v>
          </cell>
          <cell r="S11">
            <v>0</v>
          </cell>
        </row>
        <row r="12">
          <cell r="A12" t="str">
            <v>REP-0087</v>
          </cell>
          <cell r="B12" t="str">
            <v>27.00.024</v>
          </cell>
          <cell r="C12" t="str">
            <v>Boquilla plana aspiradora</v>
          </cell>
          <cell r="D12" t="str">
            <v>MIX</v>
          </cell>
          <cell r="E12" t="str">
            <v>EUR</v>
          </cell>
          <cell r="F12">
            <v>1219.2504038144375</v>
          </cell>
          <cell r="G12">
            <v>1373.1429437634481</v>
          </cell>
          <cell r="H12">
            <v>1433.9581622903718</v>
          </cell>
          <cell r="I12">
            <v>3131.195772452757</v>
          </cell>
          <cell r="J12">
            <v>3183.0468616127969</v>
          </cell>
          <cell r="K12" t="str">
            <v>A</v>
          </cell>
          <cell r="O12"/>
          <cell r="Q12"/>
          <cell r="R12">
            <v>4123</v>
          </cell>
          <cell r="S12">
            <v>0.29529981154941104</v>
          </cell>
        </row>
        <row r="13">
          <cell r="A13" t="str">
            <v>REP-0093</v>
          </cell>
          <cell r="B13" t="str">
            <v>30.00.093</v>
          </cell>
          <cell r="C13" t="str">
            <v>Manguito giratorio FL 38M Asp</v>
          </cell>
          <cell r="D13" t="str">
            <v>MIX</v>
          </cell>
          <cell r="E13" t="str">
            <v>EUR</v>
          </cell>
          <cell r="F13">
            <v>2519.6480868324329</v>
          </cell>
          <cell r="G13">
            <v>2791.6039819355688</v>
          </cell>
          <cell r="H13">
            <v>2968.1055411599827</v>
          </cell>
          <cell r="I13">
            <v>7758.0127410870846</v>
          </cell>
          <cell r="J13">
            <v>7886.4816838091574</v>
          </cell>
          <cell r="K13" t="str">
            <v>A</v>
          </cell>
          <cell r="L13">
            <v>0</v>
          </cell>
          <cell r="M13">
            <v>0</v>
          </cell>
          <cell r="O13">
            <v>0</v>
          </cell>
          <cell r="P13">
            <v>7758.0127410870846</v>
          </cell>
          <cell r="Q13" t="e">
            <v>#DIV/0!</v>
          </cell>
          <cell r="R13">
            <v>7388.0094967266396</v>
          </cell>
          <cell r="S13">
            <v>-6.3205901828932751E-2</v>
          </cell>
        </row>
        <row r="14">
          <cell r="A14" t="str">
            <v>REP-0040</v>
          </cell>
          <cell r="B14" t="str">
            <v>09.01.115</v>
          </cell>
          <cell r="C14" t="str">
            <v>Membrana electroválvula Burkert</v>
          </cell>
          <cell r="D14" t="str">
            <v>MIX</v>
          </cell>
          <cell r="E14" t="str">
            <v>EUR</v>
          </cell>
          <cell r="F14">
            <v>20325.495467941331</v>
          </cell>
          <cell r="G14">
            <v>22065.232477196125</v>
          </cell>
          <cell r="H14">
            <v>24640.285452456821</v>
          </cell>
          <cell r="I14">
            <v>40485.170689655177</v>
          </cell>
          <cell r="J14">
            <v>41155.585555936239</v>
          </cell>
          <cell r="K14" t="str">
            <v>A</v>
          </cell>
          <cell r="L14" t="e">
            <v>#REF!</v>
          </cell>
          <cell r="M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>
            <v>38554.309655575489</v>
          </cell>
          <cell r="S14">
            <v>-6.3205901828932778E-2</v>
          </cell>
        </row>
        <row r="15">
          <cell r="A15" t="str">
            <v>REP-0088</v>
          </cell>
          <cell r="B15" t="str">
            <v>29.00.072</v>
          </cell>
          <cell r="C15" t="str">
            <v>Válv retencion 1/4 inoxidable conexión viton</v>
          </cell>
          <cell r="D15" t="str">
            <v>MIX</v>
          </cell>
          <cell r="E15" t="str">
            <v>EUR</v>
          </cell>
          <cell r="F15">
            <v>23686.697421183118</v>
          </cell>
          <cell r="G15">
            <v>24873.916749507891</v>
          </cell>
          <cell r="H15">
            <v>11935.040425001956</v>
          </cell>
          <cell r="I15">
            <v>43585.033615819215</v>
          </cell>
          <cell r="J15">
            <v>44306.780714464185</v>
          </cell>
          <cell r="K15" t="str">
            <v>A</v>
          </cell>
          <cell r="O15"/>
          <cell r="Q15"/>
          <cell r="R15">
            <v>41506.330682269712</v>
          </cell>
          <cell r="S15">
            <v>-6.3205901828932709E-2</v>
          </cell>
        </row>
        <row r="16">
          <cell r="A16" t="str">
            <v>REP-0064</v>
          </cell>
          <cell r="B16" t="str">
            <v>09.02.050</v>
          </cell>
          <cell r="C16" t="str">
            <v>Cepillo completo italiano</v>
          </cell>
          <cell r="D16" t="str">
            <v>MIX</v>
          </cell>
          <cell r="E16" t="str">
            <v>EUR</v>
          </cell>
          <cell r="F16">
            <v>32106.927300446852</v>
          </cell>
          <cell r="G16">
            <v>34528.530176684704</v>
          </cell>
          <cell r="H16">
            <v>37796.381954518271</v>
          </cell>
          <cell r="I16">
            <v>71913.059945451008</v>
          </cell>
          <cell r="J16">
            <v>73103.905473478153</v>
          </cell>
          <cell r="K16" t="str">
            <v>A</v>
          </cell>
          <cell r="L16">
            <v>50575</v>
          </cell>
          <cell r="M16">
            <v>77350</v>
          </cell>
          <cell r="O16">
            <v>50575</v>
          </cell>
          <cell r="P16">
            <v>21338.059945451008</v>
          </cell>
          <cell r="Q16">
            <v>0.42190924261890284</v>
          </cell>
          <cell r="R16">
            <v>68483.307200809912</v>
          </cell>
          <cell r="S16">
            <v>-6.3205901828932778E-2</v>
          </cell>
        </row>
        <row r="17">
          <cell r="A17" t="str">
            <v>REP-0295</v>
          </cell>
          <cell r="B17" t="str">
            <v>V-11</v>
          </cell>
          <cell r="C17" t="str">
            <v>Arosello para ánodo</v>
          </cell>
          <cell r="D17" t="str">
            <v>URSUS TROTTER</v>
          </cell>
          <cell r="E17" t="str">
            <v>CLP</v>
          </cell>
          <cell r="F17">
            <v>1260.75</v>
          </cell>
          <cell r="G17">
            <v>1257.3670502470848</v>
          </cell>
          <cell r="H17">
            <v>1260.75</v>
          </cell>
          <cell r="I17">
            <v>2520</v>
          </cell>
          <cell r="J17">
            <v>2520</v>
          </cell>
          <cell r="K17" t="str">
            <v>A</v>
          </cell>
          <cell r="O17"/>
          <cell r="Q17"/>
          <cell r="R17">
            <v>2520</v>
          </cell>
          <cell r="S17">
            <v>0</v>
          </cell>
        </row>
        <row r="18">
          <cell r="A18" t="str">
            <v>INS-0001</v>
          </cell>
          <cell r="B18" t="str">
            <v>09.01.642</v>
          </cell>
          <cell r="C18" t="str">
            <v xml:space="preserve">Shampoo ev14 (22 kg) </v>
          </cell>
          <cell r="D18" t="str">
            <v>NACIONAL</v>
          </cell>
          <cell r="E18" t="str">
            <v>CLP</v>
          </cell>
          <cell r="F18">
            <v>46967</v>
          </cell>
          <cell r="G18">
            <v>45150.381264505209</v>
          </cell>
          <cell r="H18">
            <v>46091.5</v>
          </cell>
          <cell r="I18">
            <v>72630</v>
          </cell>
          <cell r="J18">
            <v>73832.717708942146</v>
          </cell>
          <cell r="K18" t="str">
            <v>A</v>
          </cell>
          <cell r="R18">
            <v>73832.717708942146</v>
          </cell>
          <cell r="S18">
            <v>0</v>
          </cell>
        </row>
        <row r="19">
          <cell r="A19" t="str">
            <v>REP-0042</v>
          </cell>
          <cell r="B19" t="str">
            <v>09.01.160</v>
          </cell>
          <cell r="C19" t="str">
            <v>Junta giratoria extremo recta brazo</v>
          </cell>
          <cell r="D19" t="str">
            <v>MIX</v>
          </cell>
          <cell r="E19" t="str">
            <v>EUR</v>
          </cell>
          <cell r="F19">
            <v>45948.450189094729</v>
          </cell>
          <cell r="G19">
            <v>45948.450189094729</v>
          </cell>
          <cell r="H19">
            <v>46581.723883310377</v>
          </cell>
          <cell r="I19">
            <v>96012.196454315228</v>
          </cell>
          <cell r="J19">
            <v>97602.112039473373</v>
          </cell>
          <cell r="K19" t="str">
            <v>A</v>
          </cell>
          <cell r="O19"/>
          <cell r="Q19"/>
          <cell r="R19">
            <v>91433.08252760992</v>
          </cell>
          <cell r="S19">
            <v>-6.3205901828932792E-2</v>
          </cell>
        </row>
        <row r="20">
          <cell r="A20" t="str">
            <v>REP-0327</v>
          </cell>
          <cell r="B20" t="str">
            <v>09.03.113</v>
          </cell>
          <cell r="C20" t="str">
            <v>Válvula de inyección shampoo/lavallantas</v>
          </cell>
          <cell r="D20" t="str">
            <v>MIX SRL</v>
          </cell>
          <cell r="E20" t="str">
            <v>EUR</v>
          </cell>
          <cell r="F20">
            <v>21946.507268659876</v>
          </cell>
          <cell r="G20">
            <v>22697.586611838211</v>
          </cell>
          <cell r="H20">
            <v>26312.193004122892</v>
          </cell>
          <cell r="I20">
            <v>43424.191671537119</v>
          </cell>
          <cell r="J20">
            <v>44143.275305295283</v>
          </cell>
          <cell r="K20" t="str">
            <v>A</v>
          </cell>
          <cell r="O20"/>
          <cell r="Q20"/>
          <cell r="R20">
            <v>41353.159779941241</v>
          </cell>
          <cell r="S20">
            <v>-6.3205901828932681E-2</v>
          </cell>
        </row>
        <row r="21">
          <cell r="A21" t="str">
            <v>REP-0353</v>
          </cell>
          <cell r="B21" t="str">
            <v>09.01.386S</v>
          </cell>
          <cell r="C21" t="str">
            <v>Fichero en blanco RM5 evo</v>
          </cell>
          <cell r="D21" t="str">
            <v>COMESTERO/MIX</v>
          </cell>
          <cell r="E21" t="str">
            <v>CLP</v>
          </cell>
          <cell r="F21">
            <v>163801.17218442931</v>
          </cell>
          <cell r="G21">
            <v>163801.17218442931</v>
          </cell>
          <cell r="H21">
            <v>159426.09088171556</v>
          </cell>
          <cell r="I21">
            <v>295095.10887650267</v>
          </cell>
          <cell r="J21">
            <v>295095.10887650267</v>
          </cell>
          <cell r="K21" t="str">
            <v>A</v>
          </cell>
          <cell r="L21">
            <v>249900</v>
          </cell>
          <cell r="M21">
            <v>0</v>
          </cell>
          <cell r="O21">
            <v>0</v>
          </cell>
          <cell r="P21">
            <v>295095.10887650267</v>
          </cell>
          <cell r="Q21" t="e">
            <v>#DIV/0!</v>
          </cell>
          <cell r="R21">
            <v>295095.10887650267</v>
          </cell>
          <cell r="S21">
            <v>0</v>
          </cell>
        </row>
        <row r="22">
          <cell r="A22" t="str">
            <v>INS-0036</v>
          </cell>
          <cell r="B22" t="str">
            <v/>
          </cell>
          <cell r="C22" t="str">
            <v xml:space="preserve">Ev11-25 brillant wax </v>
          </cell>
          <cell r="D22" t="str">
            <v>NACIONAL</v>
          </cell>
          <cell r="E22" t="str">
            <v>CLP</v>
          </cell>
          <cell r="F22">
            <v>76245</v>
          </cell>
          <cell r="G22">
            <v>75839.28571428571</v>
          </cell>
          <cell r="H22">
            <v>81851</v>
          </cell>
          <cell r="I22">
            <v>99566</v>
          </cell>
          <cell r="J22">
            <v>101214.76485486071</v>
          </cell>
          <cell r="K22" t="str">
            <v>A</v>
          </cell>
          <cell r="R22">
            <v>101214.76485486071</v>
          </cell>
          <cell r="S22">
            <v>0</v>
          </cell>
        </row>
        <row r="23">
          <cell r="A23" t="str">
            <v>REP-0018</v>
          </cell>
          <cell r="B23" t="str">
            <v>09.00.412</v>
          </cell>
          <cell r="C23" t="str">
            <v>Manguera blanda aspirado shampoo mt RILSAN</v>
          </cell>
          <cell r="D23" t="str">
            <v>MIX</v>
          </cell>
          <cell r="E23" t="str">
            <v>USD</v>
          </cell>
          <cell r="F23">
            <v>754.1755075140851</v>
          </cell>
          <cell r="G23">
            <v>843.67568189934536</v>
          </cell>
          <cell r="H23">
            <v>882.91747110455196</v>
          </cell>
          <cell r="I23">
            <v>1590.6641632573546</v>
          </cell>
          <cell r="J23">
            <v>1571.8568637105011</v>
          </cell>
          <cell r="K23" t="str">
            <v>A</v>
          </cell>
          <cell r="O23"/>
          <cell r="Q23"/>
          <cell r="R23">
            <v>1548.1109975508841</v>
          </cell>
          <cell r="S23">
            <v>-1.5106888361045073E-2</v>
          </cell>
        </row>
        <row r="24">
          <cell r="A24" t="str">
            <v>REP-0508</v>
          </cell>
          <cell r="B24" t="str">
            <v/>
          </cell>
          <cell r="C24" t="str">
            <v>Lanza+pistola corta+acople 3/8 REPUESTO</v>
          </cell>
          <cell r="D24" t="str">
            <v>MIX</v>
          </cell>
          <cell r="E24" t="str">
            <v>EUR</v>
          </cell>
          <cell r="F24">
            <v>51818.142162113581</v>
          </cell>
          <cell r="G24">
            <v>71891.021465539525</v>
          </cell>
          <cell r="H24">
            <v>60996.447418648524</v>
          </cell>
          <cell r="I24">
            <v>130208.86489382428</v>
          </cell>
          <cell r="J24">
            <v>132365.06078627997</v>
          </cell>
          <cell r="K24" t="str">
            <v>A</v>
          </cell>
          <cell r="O24"/>
          <cell r="Q24"/>
          <cell r="R24">
            <v>123998.80774864164</v>
          </cell>
          <cell r="S24">
            <v>-6.3205901828932709E-2</v>
          </cell>
        </row>
        <row r="25">
          <cell r="A25" t="str">
            <v>REP-0274</v>
          </cell>
          <cell r="B25" t="str">
            <v>09.00.794N</v>
          </cell>
          <cell r="C25" t="str">
            <v>Manguera brazo giratorio 1,55 mt NAC</v>
          </cell>
          <cell r="D25" t="str">
            <v>FLEXAN-CHI</v>
          </cell>
          <cell r="E25" t="str">
            <v>CLP</v>
          </cell>
          <cell r="F25">
            <v>16136.910659010795</v>
          </cell>
          <cell r="G25">
            <v>16136.910659010795</v>
          </cell>
          <cell r="H25">
            <v>13398</v>
          </cell>
          <cell r="I25">
            <v>36750</v>
          </cell>
          <cell r="J25">
            <v>36750</v>
          </cell>
          <cell r="K25" t="str">
            <v>A</v>
          </cell>
          <cell r="L25">
            <v>49990</v>
          </cell>
          <cell r="M25">
            <v>0</v>
          </cell>
          <cell r="O25">
            <v>0</v>
          </cell>
          <cell r="P25">
            <v>36750</v>
          </cell>
          <cell r="Q25" t="e">
            <v>#DIV/0!</v>
          </cell>
          <cell r="R25">
            <v>36750</v>
          </cell>
          <cell r="S25">
            <v>0</v>
          </cell>
        </row>
        <row r="26">
          <cell r="A26" t="str">
            <v>REP-0497</v>
          </cell>
          <cell r="B26" t="str">
            <v>26.00.018</v>
          </cell>
          <cell r="C26" t="str">
            <v>Flexible aspiradora D.38</v>
          </cell>
          <cell r="D26" t="str">
            <v>MIX</v>
          </cell>
          <cell r="E26" t="str">
            <v>EUR</v>
          </cell>
          <cell r="F26">
            <v>28205.92826951317</v>
          </cell>
          <cell r="G26">
            <v>28205.928269513173</v>
          </cell>
          <cell r="H26">
            <v>20102.125974615228</v>
          </cell>
          <cell r="I26">
            <v>92060.080109098009</v>
          </cell>
          <cell r="J26">
            <v>93584.550557037481</v>
          </cell>
          <cell r="K26" t="str">
            <v>A</v>
          </cell>
          <cell r="O26"/>
          <cell r="Q26"/>
          <cell r="R26">
            <v>40204.251949230456</v>
          </cell>
          <cell r="S26">
            <v>-0.57039648414267963</v>
          </cell>
        </row>
        <row r="27">
          <cell r="A27" t="str">
            <v>REP-0008</v>
          </cell>
          <cell r="B27" t="str">
            <v>09.03.059BLU</v>
          </cell>
          <cell r="C27" t="str">
            <v>Manguera azul 3,5mts MIX (00.01.042BLU)</v>
          </cell>
          <cell r="D27" t="str">
            <v>MIX</v>
          </cell>
          <cell r="E27" t="str">
            <v>EUR</v>
          </cell>
          <cell r="F27">
            <v>32513.34410171834</v>
          </cell>
          <cell r="G27">
            <v>36112.521846174815</v>
          </cell>
          <cell r="H27">
            <v>40701.869235316233</v>
          </cell>
          <cell r="I27">
            <v>69479.54221702709</v>
          </cell>
          <cell r="J27">
            <v>70630.089867221381</v>
          </cell>
          <cell r="K27" t="str">
            <v>A</v>
          </cell>
          <cell r="O27"/>
          <cell r="Q27"/>
          <cell r="R27">
            <v>66165.851340905094</v>
          </cell>
          <cell r="S27">
            <v>-6.3205901828932667E-2</v>
          </cell>
        </row>
        <row r="28">
          <cell r="A28" t="str">
            <v>REP-0041</v>
          </cell>
          <cell r="B28" t="str">
            <v>09.01.159</v>
          </cell>
          <cell r="C28" t="str">
            <v>Junta giratoria 90° brazo MTM centro</v>
          </cell>
          <cell r="D28" t="str">
            <v>MIX</v>
          </cell>
          <cell r="E28" t="str">
            <v>EUR</v>
          </cell>
          <cell r="F28">
            <v>38406.387720154773</v>
          </cell>
          <cell r="G28">
            <v>43183.091416869764</v>
          </cell>
          <cell r="H28">
            <v>42949.864782312921</v>
          </cell>
          <cell r="I28">
            <v>85637.891048120015</v>
          </cell>
          <cell r="J28">
            <v>87056.013148079146</v>
          </cell>
          <cell r="K28" t="str">
            <v>A</v>
          </cell>
          <cell r="O28"/>
          <cell r="Q28"/>
          <cell r="R28">
            <v>81553.559327423383</v>
          </cell>
          <cell r="S28">
            <v>-6.3205901828932681E-2</v>
          </cell>
        </row>
        <row r="29">
          <cell r="A29" t="str">
            <v>REP-0277</v>
          </cell>
          <cell r="B29" t="str">
            <v>HT-03</v>
          </cell>
          <cell r="C29" t="str">
            <v>Presóstato Italtécnica PM/5-1Bar</v>
          </cell>
          <cell r="D29" t="str">
            <v>HIDROTECNICA- CHI</v>
          </cell>
          <cell r="E29" t="str">
            <v>CLP</v>
          </cell>
          <cell r="F29">
            <v>6962</v>
          </cell>
          <cell r="G29">
            <v>6933.5042396864656</v>
          </cell>
          <cell r="H29">
            <v>6708</v>
          </cell>
          <cell r="I29">
            <v>15636</v>
          </cell>
          <cell r="J29">
            <v>15636</v>
          </cell>
          <cell r="K29" t="str">
            <v>A</v>
          </cell>
          <cell r="L29">
            <v>19990</v>
          </cell>
          <cell r="M29">
            <v>30257</v>
          </cell>
          <cell r="N29">
            <v>8290</v>
          </cell>
          <cell r="O29">
            <v>8290</v>
          </cell>
          <cell r="P29">
            <v>7346</v>
          </cell>
          <cell r="Q29">
            <v>0.88612786489746687</v>
          </cell>
          <cell r="R29">
            <v>15636</v>
          </cell>
          <cell r="S29">
            <v>0</v>
          </cell>
        </row>
        <row r="30">
          <cell r="A30" t="str">
            <v>REP-0073</v>
          </cell>
          <cell r="B30" t="str">
            <v>10.10.457-CHI</v>
          </cell>
          <cell r="C30" t="str">
            <v>Manguera negra AP 1/4\ (tiras 9m)</v>
          </cell>
          <cell r="D30" t="str">
            <v>MIX</v>
          </cell>
          <cell r="E30" t="str">
            <v>EUR</v>
          </cell>
          <cell r="F30">
            <v>55864.852408450744</v>
          </cell>
          <cell r="G30">
            <v>57591.990733985222</v>
          </cell>
          <cell r="H30">
            <v>64554.907589716458</v>
          </cell>
          <cell r="I30">
            <v>106298.76989090203</v>
          </cell>
          <cell r="J30">
            <v>108059.02616223003</v>
          </cell>
          <cell r="K30" t="str">
            <v>A</v>
          </cell>
          <cell r="L30">
            <v>65450</v>
          </cell>
          <cell r="M30">
            <v>77879</v>
          </cell>
          <cell r="O30">
            <v>65450</v>
          </cell>
          <cell r="P30">
            <v>40848.769890902026</v>
          </cell>
          <cell r="Q30">
            <v>0.62412177067841146</v>
          </cell>
          <cell r="R30">
            <v>101229.05796289005</v>
          </cell>
          <cell r="S30">
            <v>-6.3205901828932737E-2</v>
          </cell>
        </row>
        <row r="31">
          <cell r="A31" t="str">
            <v>REP-0495</v>
          </cell>
          <cell r="B31" t="str">
            <v>V-30</v>
          </cell>
          <cell r="C31" t="str">
            <v>Espiral de protección (tiras de 10M)</v>
          </cell>
          <cell r="D31" t="str">
            <v>PROCAUCHO</v>
          </cell>
          <cell r="E31" t="str">
            <v>CLP</v>
          </cell>
          <cell r="F31">
            <v>4800</v>
          </cell>
          <cell r="G31">
            <v>17282.584597280544</v>
          </cell>
          <cell r="H31">
            <v>19372.11</v>
          </cell>
          <cell r="I31">
            <v>64313</v>
          </cell>
          <cell r="J31">
            <v>40000</v>
          </cell>
          <cell r="K31" t="str">
            <v>A</v>
          </cell>
          <cell r="L31">
            <v>84990</v>
          </cell>
          <cell r="O31">
            <v>84990</v>
          </cell>
          <cell r="P31">
            <v>-20677</v>
          </cell>
          <cell r="Q31">
            <v>-0.24328744558183313</v>
          </cell>
          <cell r="R31">
            <v>40000</v>
          </cell>
          <cell r="S31">
            <v>0</v>
          </cell>
        </row>
        <row r="32">
          <cell r="A32" t="str">
            <v>REP-0280</v>
          </cell>
          <cell r="B32" t="str">
            <v>HT-08</v>
          </cell>
          <cell r="C32" t="str">
            <v>Esfera kit hidropack</v>
          </cell>
          <cell r="D32" t="str">
            <v>HIDROTECNICA- CHI</v>
          </cell>
          <cell r="E32" t="str">
            <v>CLP</v>
          </cell>
          <cell r="F32">
            <v>27901</v>
          </cell>
          <cell r="G32">
            <v>31785</v>
          </cell>
          <cell r="H32">
            <v>32000</v>
          </cell>
          <cell r="I32">
            <v>54084</v>
          </cell>
          <cell r="J32">
            <v>54084</v>
          </cell>
          <cell r="K32" t="str">
            <v>A</v>
          </cell>
          <cell r="L32">
            <v>27132</v>
          </cell>
          <cell r="M32">
            <v>57000</v>
          </cell>
          <cell r="O32">
            <v>27132</v>
          </cell>
          <cell r="P32">
            <v>26952</v>
          </cell>
          <cell r="Q32">
            <v>0.99336576735957549</v>
          </cell>
          <cell r="R32">
            <v>61583.333333333336</v>
          </cell>
          <cell r="S32">
            <v>0.13866084855656638</v>
          </cell>
        </row>
        <row r="33">
          <cell r="A33" t="str">
            <v>REP-0121</v>
          </cell>
          <cell r="B33" t="str">
            <v>23.00.087</v>
          </cell>
          <cell r="C33" t="str">
            <v>Presostato G 1/4</v>
          </cell>
          <cell r="D33" t="str">
            <v>MIX</v>
          </cell>
          <cell r="E33" t="str">
            <v>EUR</v>
          </cell>
          <cell r="F33">
            <v>25490.413771391581</v>
          </cell>
          <cell r="G33">
            <v>20166.622807901746</v>
          </cell>
          <cell r="H33">
            <v>19198.758626996856</v>
          </cell>
          <cell r="I33">
            <v>33560.611659848044</v>
          </cell>
          <cell r="J33">
            <v>34116.359174184123</v>
          </cell>
          <cell r="K33" t="str">
            <v>A</v>
          </cell>
          <cell r="R33">
            <v>31960.003925460031</v>
          </cell>
          <cell r="S33">
            <v>-6.3205901828932792E-2</v>
          </cell>
        </row>
        <row r="34">
          <cell r="A34" t="str">
            <v>REP-0513</v>
          </cell>
          <cell r="B34" t="str">
            <v>09.00.517</v>
          </cell>
          <cell r="C34" t="str">
            <v>RELE FINDER ZOCALO (KIT MOUSSE ECO)</v>
          </cell>
          <cell r="D34" t="str">
            <v>MIX</v>
          </cell>
          <cell r="E34" t="str">
            <v>EUR</v>
          </cell>
          <cell r="F34">
            <v>21532.541229533137</v>
          </cell>
          <cell r="G34">
            <v>17470.06219843122</v>
          </cell>
          <cell r="H34">
            <v>16218.129433764467</v>
          </cell>
          <cell r="I34">
            <v>25343</v>
          </cell>
          <cell r="J34">
            <v>25762.667835573739</v>
          </cell>
          <cell r="K34" t="str">
            <v>A</v>
          </cell>
          <cell r="R34">
            <v>24134.31518150706</v>
          </cell>
          <cell r="S34">
            <v>-6.320590182893282E-2</v>
          </cell>
        </row>
        <row r="35">
          <cell r="A35" t="str">
            <v>REP-0514</v>
          </cell>
          <cell r="B35" t="str">
            <v>09.03.339</v>
          </cell>
          <cell r="C35" t="str">
            <v>BOUILLA PISTOLA MOUSSE ST-75 05 (KIT MOUSSE ECO )</v>
          </cell>
          <cell r="D35" t="str">
            <v>MIX</v>
          </cell>
          <cell r="E35" t="str">
            <v>EUR</v>
          </cell>
          <cell r="F35">
            <v>21761.154805958176</v>
          </cell>
          <cell r="G35">
            <v>18611.030401703552</v>
          </cell>
          <cell r="H35">
            <v>16387.198736741931</v>
          </cell>
          <cell r="I35">
            <v>26587</v>
          </cell>
          <cell r="J35">
            <v>27027.267874537309</v>
          </cell>
          <cell r="K35" t="str">
            <v>B</v>
          </cell>
          <cell r="R35">
            <v>25318.985034555037</v>
          </cell>
          <cell r="S35">
            <v>-6.3205901828932709E-2</v>
          </cell>
        </row>
        <row r="36">
          <cell r="A36" t="str">
            <v>REP-0352</v>
          </cell>
          <cell r="B36" t="str">
            <v>09.03.092GRIGIO</v>
          </cell>
          <cell r="C36" t="str">
            <v>Manguera de 4.0 mts color gris</v>
          </cell>
          <cell r="D36" t="str">
            <v>MIX</v>
          </cell>
          <cell r="E36" t="str">
            <v>EUR</v>
          </cell>
          <cell r="F36">
            <v>35222.789443528192</v>
          </cell>
          <cell r="G36">
            <v>36663.415954637836</v>
          </cell>
          <cell r="H36">
            <v>43832.782253417477</v>
          </cell>
          <cell r="I36">
            <v>75032.767007597911</v>
          </cell>
          <cell r="J36">
            <v>76275.273377293182</v>
          </cell>
          <cell r="K36" t="str">
            <v>B</v>
          </cell>
          <cell r="O36"/>
          <cell r="Q36"/>
          <cell r="R36">
            <v>71454.225936232979</v>
          </cell>
          <cell r="S36">
            <v>-6.3205901828932792E-2</v>
          </cell>
        </row>
        <row r="37">
          <cell r="A37" t="str">
            <v>REP-0097</v>
          </cell>
          <cell r="B37" t="str">
            <v>31.00.073</v>
          </cell>
          <cell r="C37" t="str">
            <v>Protector boquilla lanza</v>
          </cell>
          <cell r="D37" t="str">
            <v>MIX</v>
          </cell>
          <cell r="E37" t="str">
            <v>EUR</v>
          </cell>
          <cell r="F37">
            <v>9742.1868803198304</v>
          </cell>
          <cell r="G37">
            <v>9742.1868803198322</v>
          </cell>
          <cell r="H37">
            <v>9784.1107178518632</v>
          </cell>
          <cell r="I37">
            <v>16999.113539840251</v>
          </cell>
          <cell r="J37">
            <v>17280.61064696794</v>
          </cell>
          <cell r="K37" t="str">
            <v>B</v>
          </cell>
          <cell r="L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>
            <v>16188.374066871675</v>
          </cell>
          <cell r="S37">
            <v>-6.3205901828932723E-2</v>
          </cell>
        </row>
        <row r="38">
          <cell r="A38" t="str">
            <v>REP-0021</v>
          </cell>
          <cell r="B38" t="str">
            <v>09.00.442</v>
          </cell>
          <cell r="C38" t="str">
            <v>EV  Burkert 287 1/2\</v>
          </cell>
          <cell r="D38" t="str">
            <v>MIX</v>
          </cell>
          <cell r="E38" t="str">
            <v>EUR</v>
          </cell>
          <cell r="F38">
            <v>85913.860578457025</v>
          </cell>
          <cell r="G38">
            <v>85913.860578457025</v>
          </cell>
          <cell r="H38">
            <v>102856.75447066218</v>
          </cell>
          <cell r="I38">
            <v>223040.77744983442</v>
          </cell>
          <cell r="J38">
            <v>226734.22496264096</v>
          </cell>
          <cell r="K38" t="str">
            <v>B</v>
          </cell>
          <cell r="L38">
            <v>2458500</v>
          </cell>
          <cell r="M38">
            <v>2577551</v>
          </cell>
          <cell r="O38">
            <v>2458500</v>
          </cell>
          <cell r="P38">
            <v>-2235459.2225501654</v>
          </cell>
          <cell r="Q38">
            <v>-0.90927769882048626</v>
          </cell>
          <cell r="R38">
            <v>212403.28379839312</v>
          </cell>
          <cell r="S38">
            <v>-6.3205901828932751E-2</v>
          </cell>
        </row>
        <row r="39">
          <cell r="A39" t="str">
            <v>REP-0252</v>
          </cell>
          <cell r="B39" t="str">
            <v>46625</v>
          </cell>
          <cell r="C39" t="str">
            <v>Portasello (bomba 3cp) CAT</v>
          </cell>
          <cell r="D39" t="str">
            <v>CAT</v>
          </cell>
          <cell r="E39" t="str">
            <v>USD</v>
          </cell>
          <cell r="F39">
            <v>17504.468545383352</v>
          </cell>
          <cell r="G39">
            <v>16917.690277313806</v>
          </cell>
          <cell r="H39">
            <v>17164.699180949981</v>
          </cell>
          <cell r="I39">
            <v>31827.497556258058</v>
          </cell>
          <cell r="J39">
            <v>31451.183501918957</v>
          </cell>
          <cell r="K39" t="str">
            <v>B</v>
          </cell>
          <cell r="O39"/>
          <cell r="Q39"/>
          <cell r="R39">
            <v>30976.053983932725</v>
          </cell>
          <cell r="S39">
            <v>-1.5106888361045057E-2</v>
          </cell>
        </row>
        <row r="40">
          <cell r="A40" t="str">
            <v>INS-0017</v>
          </cell>
          <cell r="B40" t="str">
            <v>09.01.401</v>
          </cell>
          <cell r="C40" t="str">
            <v>Espuma activa super ev17 (22KG)</v>
          </cell>
          <cell r="D40" t="str">
            <v>NACIONAL</v>
          </cell>
          <cell r="E40" t="str">
            <v>CLP</v>
          </cell>
          <cell r="F40">
            <v>45563.903591377857</v>
          </cell>
          <cell r="G40">
            <v>45563.90359137785</v>
          </cell>
          <cell r="H40">
            <v>48090.449810336926</v>
          </cell>
          <cell r="I40">
            <v>80630</v>
          </cell>
          <cell r="J40">
            <v>81965.193843756089</v>
          </cell>
          <cell r="K40" t="str">
            <v>B</v>
          </cell>
          <cell r="R40">
            <v>81965.193843756089</v>
          </cell>
          <cell r="S40">
            <v>0</v>
          </cell>
        </row>
        <row r="41">
          <cell r="A41" t="str">
            <v>REP-0241</v>
          </cell>
          <cell r="B41" t="str">
            <v>09.00.787</v>
          </cell>
          <cell r="C41" t="str">
            <v>Kit de válvulas 33062 (bomba 3cp) CAT</v>
          </cell>
          <cell r="D41" t="str">
            <v>CAT</v>
          </cell>
          <cell r="E41" t="str">
            <v>USD</v>
          </cell>
          <cell r="F41">
            <v>48137.288499804221</v>
          </cell>
          <cell r="G41">
            <v>46669.348287284556</v>
          </cell>
          <cell r="H41">
            <v>46487.938073788842</v>
          </cell>
          <cell r="I41">
            <v>71305.769570733333</v>
          </cell>
          <cell r="J41">
            <v>70462.682136746356</v>
          </cell>
          <cell r="K41" t="str">
            <v>B</v>
          </cell>
          <cell r="O41"/>
          <cell r="Q41"/>
          <cell r="R41">
            <v>69398.210264086723</v>
          </cell>
          <cell r="S41">
            <v>-1.5106888361045085E-2</v>
          </cell>
        </row>
        <row r="42">
          <cell r="A42" t="str">
            <v>REP-0517</v>
          </cell>
          <cell r="B42" t="str">
            <v/>
          </cell>
          <cell r="C42" t="str">
            <v>RELE ULTRADELGADO 24V</v>
          </cell>
          <cell r="D42" t="str">
            <v>NACIONAL</v>
          </cell>
          <cell r="E42" t="str">
            <v>CLP</v>
          </cell>
          <cell r="F42">
            <v>6044</v>
          </cell>
          <cell r="G42">
            <v>6044</v>
          </cell>
          <cell r="H42">
            <v>5816.8</v>
          </cell>
          <cell r="I42">
            <v>7555</v>
          </cell>
          <cell r="J42">
            <v>7555</v>
          </cell>
          <cell r="K42" t="str">
            <v>B</v>
          </cell>
          <cell r="R42">
            <v>7555</v>
          </cell>
          <cell r="S42">
            <v>0</v>
          </cell>
        </row>
        <row r="43">
          <cell r="A43" t="str">
            <v>REP-0019</v>
          </cell>
          <cell r="B43" t="str">
            <v>09.00.437</v>
          </cell>
          <cell r="C43" t="str">
            <v>Golilla 3/8</v>
          </cell>
          <cell r="D43" t="str">
            <v>MIX</v>
          </cell>
          <cell r="E43" t="str">
            <v>EUR</v>
          </cell>
          <cell r="F43">
            <v>579.18694187394306</v>
          </cell>
          <cell r="G43">
            <v>579.18694187394306</v>
          </cell>
          <cell r="H43">
            <v>425.63717836969613</v>
          </cell>
          <cell r="I43">
            <v>1286.73555425677</v>
          </cell>
          <cell r="J43">
            <v>1308.0432733512228</v>
          </cell>
          <cell r="K43" t="str">
            <v>B</v>
          </cell>
          <cell r="O43"/>
          <cell r="Q43"/>
          <cell r="R43">
            <v>1225.3672186277895</v>
          </cell>
          <cell r="S43">
            <v>-6.3205901828932765E-2</v>
          </cell>
        </row>
        <row r="44">
          <cell r="A44" t="str">
            <v>REP-0268</v>
          </cell>
          <cell r="B44" t="str">
            <v>V-04</v>
          </cell>
          <cell r="C44" t="str">
            <v>Paños pulidores</v>
          </cell>
          <cell r="D44" t="str">
            <v>CUSATTO</v>
          </cell>
          <cell r="E44" t="str">
            <v>USD</v>
          </cell>
          <cell r="F44">
            <v>2262.0603219936293</v>
          </cell>
          <cell r="G44">
            <v>2262.0603219936288</v>
          </cell>
          <cell r="H44">
            <v>1500.5250000000001</v>
          </cell>
          <cell r="I44">
            <v>5140</v>
          </cell>
          <cell r="J44">
            <v>5079.2269456345412</v>
          </cell>
          <cell r="K44" t="str">
            <v>B</v>
          </cell>
          <cell r="O44"/>
          <cell r="Q44"/>
          <cell r="R44">
            <v>5002.4956312064278</v>
          </cell>
          <cell r="S44">
            <v>-1.5106888361045151E-2</v>
          </cell>
        </row>
        <row r="45">
          <cell r="A45" t="str">
            <v>REP-0007</v>
          </cell>
          <cell r="B45" t="str">
            <v>09.03.092BLU</v>
          </cell>
          <cell r="C45" t="str">
            <v>Manguera 4,0m BLU baja presión (00.01.117BLU) (00.01.044BLU)</v>
          </cell>
          <cell r="D45" t="str">
            <v>MIX</v>
          </cell>
          <cell r="E45" t="str">
            <v>EUR</v>
          </cell>
          <cell r="F45">
            <v>37450.506652757729</v>
          </cell>
          <cell r="G45">
            <v>37450.506652757722</v>
          </cell>
          <cell r="H45">
            <v>43832.78225341747</v>
          </cell>
          <cell r="I45">
            <v>75032.767007597911</v>
          </cell>
          <cell r="J45">
            <v>76275.273377293182</v>
          </cell>
          <cell r="K45" t="str">
            <v>B</v>
          </cell>
          <cell r="L45">
            <v>1646160</v>
          </cell>
          <cell r="M45">
            <v>85000</v>
          </cell>
          <cell r="O45">
            <v>85000</v>
          </cell>
          <cell r="P45">
            <v>-9967.2329924020887</v>
          </cell>
          <cell r="Q45">
            <v>-0.11726156461649517</v>
          </cell>
          <cell r="R45">
            <v>71454.225936232979</v>
          </cell>
          <cell r="S45">
            <v>-6.3205901828932792E-2</v>
          </cell>
        </row>
        <row r="46">
          <cell r="A46" t="str">
            <v>REP-0337</v>
          </cell>
          <cell r="B46">
            <v>0</v>
          </cell>
          <cell r="C46" t="str">
            <v>Válvula bola paso total 1/2 ( Bonomi Italiana)</v>
          </cell>
          <cell r="D46" t="str">
            <v>Centro Comercial Vicuña Mackenna Limitada</v>
          </cell>
          <cell r="E46" t="str">
            <v>CLP</v>
          </cell>
          <cell r="F46">
            <v>2851.26</v>
          </cell>
          <cell r="G46">
            <v>2063.1112273247968</v>
          </cell>
          <cell r="H46">
            <v>2351.1935989326962</v>
          </cell>
          <cell r="I46">
            <v>3900</v>
          </cell>
          <cell r="J46">
            <v>3900</v>
          </cell>
          <cell r="K46" t="str">
            <v>B</v>
          </cell>
          <cell r="L46">
            <v>3160</v>
          </cell>
          <cell r="M46">
            <v>4490</v>
          </cell>
          <cell r="N46">
            <v>21100</v>
          </cell>
          <cell r="O46">
            <v>3160</v>
          </cell>
          <cell r="P46">
            <v>740</v>
          </cell>
          <cell r="Q46">
            <v>0.23417721518987333</v>
          </cell>
          <cell r="R46">
            <v>3900</v>
          </cell>
          <cell r="S46">
            <v>0</v>
          </cell>
        </row>
        <row r="47">
          <cell r="A47" t="str">
            <v>REP-0262</v>
          </cell>
          <cell r="B47" t="str">
            <v>09.01.374</v>
          </cell>
          <cell r="C47" t="str">
            <v>Membrana de osmosis para nueva Mself</v>
          </cell>
          <cell r="D47" t="str">
            <v>AXEON</v>
          </cell>
          <cell r="E47" t="str">
            <v>USD</v>
          </cell>
          <cell r="F47">
            <v>165246.74629138454</v>
          </cell>
          <cell r="G47">
            <v>165246.74629138457</v>
          </cell>
          <cell r="H47">
            <v>165246.74629138454</v>
          </cell>
          <cell r="I47">
            <v>288437.25068632752</v>
          </cell>
          <cell r="J47">
            <v>285026.89801765367</v>
          </cell>
          <cell r="K47" t="str">
            <v>B</v>
          </cell>
          <cell r="L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>
            <v>280721.02848940599</v>
          </cell>
          <cell r="S47">
            <v>-1.5106888361045109E-2</v>
          </cell>
        </row>
        <row r="48">
          <cell r="A48" t="str">
            <v>REP-0520</v>
          </cell>
          <cell r="B48" t="str">
            <v/>
          </cell>
          <cell r="C48" t="str">
            <v>GATILLO PISTOLA NO PERDENTE AZUL</v>
          </cell>
          <cell r="D48" t="str">
            <v>MTM NACIONAL</v>
          </cell>
          <cell r="E48" t="str">
            <v>CLP</v>
          </cell>
          <cell r="F48">
            <v>29000</v>
          </cell>
          <cell r="G48">
            <v>29000</v>
          </cell>
          <cell r="H48">
            <v>36660.745559749324</v>
          </cell>
          <cell r="I48">
            <v>43750</v>
          </cell>
          <cell r="J48">
            <v>43750</v>
          </cell>
          <cell r="K48" t="str">
            <v>B</v>
          </cell>
          <cell r="R48">
            <v>52372.493656784754</v>
          </cell>
          <cell r="S48">
            <v>0.19708556929793725</v>
          </cell>
        </row>
        <row r="49">
          <cell r="A49" t="str">
            <v>REP-0016</v>
          </cell>
          <cell r="B49" t="str">
            <v>09.00.285</v>
          </cell>
          <cell r="C49" t="str">
            <v>Golilla 1/2</v>
          </cell>
          <cell r="D49" t="str">
            <v>MIX</v>
          </cell>
          <cell r="E49" t="str">
            <v>EUR</v>
          </cell>
          <cell r="F49">
            <v>252.98334165397193</v>
          </cell>
          <cell r="G49">
            <v>252.98334165397196</v>
          </cell>
          <cell r="H49">
            <v>424.10185647442887</v>
          </cell>
          <cell r="I49">
            <v>1137.3823202805379</v>
          </cell>
          <cell r="J49">
            <v>1156.2168219800988</v>
          </cell>
          <cell r="K49" t="str">
            <v>B</v>
          </cell>
          <cell r="L49">
            <v>3330</v>
          </cell>
          <cell r="O49">
            <v>3330</v>
          </cell>
          <cell r="P49">
            <v>-2192.6176797194621</v>
          </cell>
          <cell r="Q49">
            <v>-0.65844374766350211</v>
          </cell>
          <cell r="R49">
            <v>1083.137095037064</v>
          </cell>
          <cell r="S49">
            <v>-6.3205901828932765E-2</v>
          </cell>
        </row>
        <row r="50">
          <cell r="A50" t="str">
            <v>REP-0271</v>
          </cell>
          <cell r="B50" t="str">
            <v>D-03</v>
          </cell>
          <cell r="C50" t="str">
            <v>Pulsador armado rojo 1NA+1NC - LAY5- EA42</v>
          </cell>
          <cell r="D50" t="str">
            <v>DARTEL</v>
          </cell>
          <cell r="E50" t="str">
            <v>CLP</v>
          </cell>
          <cell r="F50">
            <v>4010.5874420177802</v>
          </cell>
          <cell r="G50">
            <v>4010.5874420177806</v>
          </cell>
          <cell r="H50">
            <v>3283.5556502441627</v>
          </cell>
          <cell r="I50">
            <v>10242</v>
          </cell>
          <cell r="J50">
            <v>10242</v>
          </cell>
          <cell r="K50" t="str">
            <v>B</v>
          </cell>
          <cell r="L50">
            <v>4990</v>
          </cell>
          <cell r="M50">
            <v>2890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>
            <v>10242</v>
          </cell>
          <cell r="S50">
            <v>0</v>
          </cell>
        </row>
        <row r="51">
          <cell r="A51" t="str">
            <v>REP-0113</v>
          </cell>
          <cell r="B51" t="str">
            <v>09.01.331</v>
          </cell>
          <cell r="C51" t="str">
            <v>Pulsador de tacto programas</v>
          </cell>
          <cell r="D51" t="str">
            <v>MIX</v>
          </cell>
          <cell r="E51" t="str">
            <v>EUR</v>
          </cell>
          <cell r="F51">
            <v>25022.051735534253</v>
          </cell>
          <cell r="G51">
            <v>24427.433522589217</v>
          </cell>
          <cell r="H51">
            <v>31178.745172337673</v>
          </cell>
          <cell r="I51">
            <v>59936.601665692586</v>
          </cell>
          <cell r="J51">
            <v>60929.122831011868</v>
          </cell>
          <cell r="K51" t="str">
            <v>B</v>
          </cell>
          <cell r="L51">
            <v>61964</v>
          </cell>
          <cell r="M51">
            <v>7365</v>
          </cell>
          <cell r="O51">
            <v>7365</v>
          </cell>
          <cell r="P51">
            <v>52571.601665692586</v>
          </cell>
          <cell r="Q51">
            <v>7.1380314549480772</v>
          </cell>
          <cell r="R51">
            <v>57078.042674831944</v>
          </cell>
          <cell r="S51">
            <v>-6.3205901828932792E-2</v>
          </cell>
        </row>
        <row r="52">
          <cell r="A52" t="str">
            <v>REP-0032</v>
          </cell>
          <cell r="B52" t="str">
            <v>09.00.961</v>
          </cell>
          <cell r="C52" t="str">
            <v>Portafichero</v>
          </cell>
          <cell r="D52" t="str">
            <v>MIX</v>
          </cell>
          <cell r="E52" t="str">
            <v>EUR</v>
          </cell>
          <cell r="F52">
            <v>11186.739391192366</v>
          </cell>
          <cell r="G52">
            <v>11186.739391192366</v>
          </cell>
          <cell r="H52">
            <v>12842.820651971175</v>
          </cell>
          <cell r="I52">
            <v>24081.381229300609</v>
          </cell>
          <cell r="J52">
            <v>24480.157267580475</v>
          </cell>
          <cell r="K52" t="str">
            <v>B</v>
          </cell>
          <cell r="R52">
            <v>22932.866850568949</v>
          </cell>
          <cell r="S52">
            <v>-6.3205901828932723E-2</v>
          </cell>
        </row>
        <row r="53">
          <cell r="A53" t="str">
            <v>REP-0013</v>
          </cell>
          <cell r="B53" t="str">
            <v>09.00.061</v>
          </cell>
          <cell r="C53" t="str">
            <v>Tubo PVC diam 15 accoron</v>
          </cell>
          <cell r="D53" t="str">
            <v>MIX</v>
          </cell>
          <cell r="E53" t="str">
            <v>EUR</v>
          </cell>
          <cell r="F53">
            <v>4990.7983196137639</v>
          </cell>
          <cell r="G53">
            <v>5404.8336458156173</v>
          </cell>
          <cell r="H53">
            <v>6192.9459498042697</v>
          </cell>
          <cell r="I53">
            <v>9017.5931618936302</v>
          </cell>
          <cell r="J53">
            <v>9166.9201478201758</v>
          </cell>
          <cell r="K53" t="str">
            <v>B</v>
          </cell>
          <cell r="O53"/>
          <cell r="Q53"/>
          <cell r="R53">
            <v>8587.5166928833878</v>
          </cell>
          <cell r="S53">
            <v>-6.3205901828932778E-2</v>
          </cell>
        </row>
        <row r="54">
          <cell r="A54" t="str">
            <v>REP-0242</v>
          </cell>
          <cell r="B54" t="str">
            <v>09.00.788</v>
          </cell>
          <cell r="C54" t="str">
            <v>Kit sellos de agua 33983 (bomba 3cp) CAT</v>
          </cell>
          <cell r="D54" t="str">
            <v>CAT</v>
          </cell>
          <cell r="E54" t="str">
            <v>USD</v>
          </cell>
          <cell r="F54">
            <v>64766.533617918401</v>
          </cell>
          <cell r="G54">
            <v>61231.434621823304</v>
          </cell>
          <cell r="H54">
            <v>62405.469394580316</v>
          </cell>
          <cell r="I54">
            <v>93815.811790274951</v>
          </cell>
          <cell r="J54">
            <v>92706.575714346924</v>
          </cell>
          <cell r="K54" t="str">
            <v>B</v>
          </cell>
          <cell r="O54"/>
          <cell r="Q54"/>
          <cell r="R54">
            <v>91306.067824695507</v>
          </cell>
          <cell r="S54">
            <v>-1.5106888361045134E-2</v>
          </cell>
        </row>
        <row r="55">
          <cell r="A55" t="str">
            <v>REP-0120</v>
          </cell>
          <cell r="B55" t="str">
            <v>09.01.440</v>
          </cell>
          <cell r="C55" t="str">
            <v>Schedino RM 927 (placa fichero pequeña)</v>
          </cell>
          <cell r="D55" t="str">
            <v>MIX</v>
          </cell>
          <cell r="E55" t="str">
            <v>EUR</v>
          </cell>
          <cell r="F55">
            <v>10001.843968595353</v>
          </cell>
          <cell r="G55">
            <v>6901.1698632141079</v>
          </cell>
          <cell r="H55">
            <v>7532.9767215516022</v>
          </cell>
          <cell r="I55">
            <v>15633.001441652057</v>
          </cell>
          <cell r="J55">
            <v>15891.876392468426</v>
          </cell>
          <cell r="K55" t="str">
            <v>B</v>
          </cell>
          <cell r="R55">
            <v>14887.416013328533</v>
          </cell>
          <cell r="S55">
            <v>-6.3205901828932737E-2</v>
          </cell>
        </row>
        <row r="56">
          <cell r="A56" t="str">
            <v>REP-0077</v>
          </cell>
          <cell r="B56" t="str">
            <v>24.00.182</v>
          </cell>
          <cell r="C56" t="str">
            <v>Válvula pulsar 3 250B g3/8</v>
          </cell>
          <cell r="D56" t="str">
            <v>MIX</v>
          </cell>
          <cell r="E56" t="str">
            <v>EUR</v>
          </cell>
          <cell r="F56">
            <v>72803.177843108017</v>
          </cell>
          <cell r="G56">
            <v>72803.177843108017</v>
          </cell>
          <cell r="H56">
            <v>64308.953391799638</v>
          </cell>
          <cell r="I56">
            <v>118543.64622053382</v>
          </cell>
          <cell r="J56">
            <v>120506.67172778989</v>
          </cell>
          <cell r="K56" t="str">
            <v>B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>
            <v>112889.93886483177</v>
          </cell>
          <cell r="S56">
            <v>-6.3205901828932778E-2</v>
          </cell>
        </row>
        <row r="57">
          <cell r="A57" t="str">
            <v>REP-0505</v>
          </cell>
          <cell r="B57" t="str">
            <v/>
          </cell>
          <cell r="C57" t="str">
            <v xml:space="preserve">Oring pequeño EV alta presión </v>
          </cell>
          <cell r="D57" t="str">
            <v>NACIONAL</v>
          </cell>
          <cell r="E57" t="str">
            <v>CLP</v>
          </cell>
          <cell r="F57">
            <v>864</v>
          </cell>
          <cell r="G57">
            <v>864</v>
          </cell>
          <cell r="H57">
            <v>864</v>
          </cell>
          <cell r="I57">
            <v>1200</v>
          </cell>
          <cell r="J57">
            <v>1200</v>
          </cell>
          <cell r="K57" t="str">
            <v>B</v>
          </cell>
          <cell r="O57"/>
          <cell r="Q57"/>
          <cell r="R57">
            <v>1200</v>
          </cell>
          <cell r="S57">
            <v>0</v>
          </cell>
        </row>
        <row r="58">
          <cell r="A58" t="str">
            <v>REP-0530</v>
          </cell>
          <cell r="B58" t="str">
            <v/>
          </cell>
          <cell r="C58" t="str">
            <v>LAZA CURVA 600MM</v>
          </cell>
          <cell r="D58" t="str">
            <v>NACIONAL SOC</v>
          </cell>
          <cell r="E58" t="str">
            <v>CLP</v>
          </cell>
          <cell r="F58">
            <v>21741</v>
          </cell>
          <cell r="G58">
            <v>21741</v>
          </cell>
          <cell r="H58">
            <v>25365</v>
          </cell>
          <cell r="I58">
            <v>36235</v>
          </cell>
          <cell r="J58">
            <v>36235</v>
          </cell>
          <cell r="K58" t="str">
            <v>B</v>
          </cell>
          <cell r="R58">
            <v>36235</v>
          </cell>
          <cell r="S58">
            <v>0</v>
          </cell>
        </row>
        <row r="59">
          <cell r="A59" t="str">
            <v>REP-0012</v>
          </cell>
          <cell r="B59" t="str">
            <v>09.00.034</v>
          </cell>
          <cell r="C59" t="str">
            <v>Codo PVC bronce 1/2</v>
          </cell>
          <cell r="D59" t="str">
            <v>MIX</v>
          </cell>
          <cell r="E59" t="str">
            <v>EUR</v>
          </cell>
          <cell r="F59">
            <v>6557.0894159162272</v>
          </cell>
          <cell r="G59">
            <v>6557.089415916229</v>
          </cell>
          <cell r="H59">
            <v>9449.0954886295676</v>
          </cell>
          <cell r="I59">
            <v>15118.098334307424</v>
          </cell>
          <cell r="J59">
            <v>15368.446738440705</v>
          </cell>
          <cell r="K59" t="str">
            <v>B</v>
          </cell>
          <cell r="L59">
            <v>0</v>
          </cell>
          <cell r="O59">
            <v>0</v>
          </cell>
          <cell r="P59">
            <v>15118.098334307424</v>
          </cell>
          <cell r="Q59" t="e">
            <v>#DIV/0!</v>
          </cell>
          <cell r="R59">
            <v>14397.070202627641</v>
          </cell>
          <cell r="S59">
            <v>-6.3205901828932695E-2</v>
          </cell>
        </row>
        <row r="60">
          <cell r="A60" t="str">
            <v>REP-0321</v>
          </cell>
          <cell r="B60" t="str">
            <v>09.03.163</v>
          </cell>
          <cell r="C60" t="str">
            <v>Filtro pistola mousse</v>
          </cell>
          <cell r="D60" t="str">
            <v>MIX</v>
          </cell>
          <cell r="E60" t="str">
            <v>EUR</v>
          </cell>
          <cell r="F60">
            <v>6258.8187395807809</v>
          </cell>
          <cell r="G60">
            <v>7917.7827966071782</v>
          </cell>
          <cell r="H60">
            <v>6650.0592504470505</v>
          </cell>
          <cell r="I60">
            <v>18120.82943697643</v>
          </cell>
          <cell r="J60">
            <v>18420.901617405612</v>
          </cell>
          <cell r="K60" t="str">
            <v>B</v>
          </cell>
          <cell r="O60"/>
          <cell r="Q60"/>
          <cell r="R60">
            <v>17256.591918175443</v>
          </cell>
          <cell r="S60">
            <v>-6.320590182893282E-2</v>
          </cell>
        </row>
        <row r="61">
          <cell r="A61" t="str">
            <v>REP-0344</v>
          </cell>
          <cell r="B61" t="str">
            <v>09.02.088</v>
          </cell>
          <cell r="C61" t="str">
            <v xml:space="preserve">Ev 1/2" 100 bar mousse </v>
          </cell>
          <cell r="D61" t="str">
            <v>MIX</v>
          </cell>
          <cell r="E61" t="str">
            <v>EUR</v>
          </cell>
          <cell r="F61">
            <v>217651.76563161355</v>
          </cell>
          <cell r="G61">
            <v>217651.76563161353</v>
          </cell>
          <cell r="H61">
            <v>257955.92356136185</v>
          </cell>
          <cell r="I61">
            <v>486226.24199298664</v>
          </cell>
          <cell r="J61">
            <v>494277.9136410295</v>
          </cell>
          <cell r="K61" t="str">
            <v>B</v>
          </cell>
          <cell r="L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>
            <v>463036.63235522492</v>
          </cell>
          <cell r="S61">
            <v>-6.3205901828932681E-2</v>
          </cell>
        </row>
        <row r="62">
          <cell r="A62" t="str">
            <v>REP-0001</v>
          </cell>
          <cell r="B62" t="str">
            <v>00.01.039</v>
          </cell>
          <cell r="C62" t="str">
            <v>Lanza con pistola perdente</v>
          </cell>
          <cell r="D62" t="str">
            <v>MIX</v>
          </cell>
          <cell r="E62" t="str">
            <v>EUR</v>
          </cell>
          <cell r="F62">
            <v>64416.364680194099</v>
          </cell>
          <cell r="G62">
            <v>64416.364680194107</v>
          </cell>
          <cell r="H62">
            <v>78769.40199297553</v>
          </cell>
          <cell r="I62">
            <v>138958.04000584455</v>
          </cell>
          <cell r="J62">
            <v>141259.11801100659</v>
          </cell>
          <cell r="K62" t="str">
            <v>B</v>
          </cell>
          <cell r="L62">
            <v>85000</v>
          </cell>
          <cell r="M62">
            <v>182070</v>
          </cell>
          <cell r="O62">
            <v>85000</v>
          </cell>
          <cell r="P62">
            <v>53958.040005844552</v>
          </cell>
          <cell r="Q62">
            <v>0.63480047065699474</v>
          </cell>
          <cell r="R62">
            <v>132330.70806556128</v>
          </cell>
          <cell r="S62">
            <v>-6.3205901828932765E-2</v>
          </cell>
        </row>
        <row r="63">
          <cell r="A63" t="str">
            <v>REP-0350</v>
          </cell>
          <cell r="B63" t="str">
            <v>09.03.059ROSSO</v>
          </cell>
          <cell r="C63" t="str">
            <v xml:space="preserve">Manguera 3,5 mts color rojo </v>
          </cell>
          <cell r="D63" t="str">
            <v>MIX</v>
          </cell>
          <cell r="E63" t="str">
            <v>EUR</v>
          </cell>
          <cell r="F63">
            <v>35929.314091962617</v>
          </cell>
          <cell r="G63">
            <v>35929.314091962617</v>
          </cell>
          <cell r="H63">
            <v>40701.869235316226</v>
          </cell>
          <cell r="I63">
            <v>71462.911387103071</v>
          </cell>
          <cell r="J63">
            <v>72646.302672492471</v>
          </cell>
          <cell r="K63" t="str">
            <v>B</v>
          </cell>
          <cell r="O63"/>
          <cell r="Q63"/>
          <cell r="R63">
            <v>68054.627597539977</v>
          </cell>
          <cell r="S63">
            <v>-6.3205901828932751E-2</v>
          </cell>
        </row>
        <row r="64">
          <cell r="A64" t="str">
            <v>REP-0086</v>
          </cell>
          <cell r="B64" t="str">
            <v>27.00.022</v>
          </cell>
          <cell r="C64" t="str">
            <v>Junta extremo br girat 3/8 M</v>
          </cell>
          <cell r="D64" t="str">
            <v>MIX</v>
          </cell>
          <cell r="E64" t="str">
            <v>EUR</v>
          </cell>
          <cell r="F64">
            <v>84117.419342576992</v>
          </cell>
          <cell r="G64">
            <v>84117.419342577006</v>
          </cell>
          <cell r="H64">
            <v>95705.74913731894</v>
          </cell>
          <cell r="I64">
            <v>161743.28582700176</v>
          </cell>
          <cell r="J64">
            <v>164421.67649431038</v>
          </cell>
          <cell r="K64" t="str">
            <v>B</v>
          </cell>
          <cell r="L64">
            <v>220500</v>
          </cell>
          <cell r="O64">
            <v>220500</v>
          </cell>
          <cell r="P64">
            <v>-58756.71417299824</v>
          </cell>
          <cell r="Q64">
            <v>-0.26647035906121652</v>
          </cell>
          <cell r="R64">
            <v>154029.25615126247</v>
          </cell>
          <cell r="S64">
            <v>-6.3205901828932681E-2</v>
          </cell>
        </row>
        <row r="65">
          <cell r="A65" t="str">
            <v>REP-0044</v>
          </cell>
          <cell r="B65" t="str">
            <v>09.01.168</v>
          </cell>
          <cell r="C65" t="str">
            <v>Niple mango cepillo 3/8" he * 1/4" hi bronce</v>
          </cell>
          <cell r="D65" t="str">
            <v>MIX</v>
          </cell>
          <cell r="E65" t="str">
            <v>EUR</v>
          </cell>
          <cell r="F65">
            <v>1873.53</v>
          </cell>
          <cell r="G65">
            <v>2428.1787549189394</v>
          </cell>
          <cell r="H65">
            <v>1958.1374371910244</v>
          </cell>
          <cell r="I65">
            <v>4428.3756088057671</v>
          </cell>
          <cell r="J65">
            <v>4501.707369325637</v>
          </cell>
          <cell r="K65" t="str">
            <v>B</v>
          </cell>
          <cell r="O65"/>
          <cell r="Q65"/>
          <cell r="R65">
            <v>4217.1728952774574</v>
          </cell>
          <cell r="S65">
            <v>-6.320590182893282E-2</v>
          </cell>
        </row>
        <row r="66">
          <cell r="A66" t="str">
            <v>REP-0038</v>
          </cell>
          <cell r="B66" t="str">
            <v>09.01.065</v>
          </cell>
          <cell r="C66" t="str">
            <v>Inyector 1/4\ espuma cepillo</v>
          </cell>
          <cell r="D66" t="str">
            <v>MIX</v>
          </cell>
          <cell r="E66" t="str">
            <v>EUR</v>
          </cell>
          <cell r="F66">
            <v>10670.186810014093</v>
          </cell>
          <cell r="G66">
            <v>10965.642548788515</v>
          </cell>
          <cell r="H66">
            <v>13813.332780441404</v>
          </cell>
          <cell r="I66">
            <v>19450.386547827784</v>
          </cell>
          <cell r="J66">
            <v>19772.475551639465</v>
          </cell>
          <cell r="K66" t="str">
            <v>B</v>
          </cell>
          <cell r="L66">
            <v>0</v>
          </cell>
          <cell r="M66">
            <v>10790</v>
          </cell>
          <cell r="O66">
            <v>0</v>
          </cell>
          <cell r="P66">
            <v>19450.386547827784</v>
          </cell>
          <cell r="Q66" t="e">
            <v>#DIV/0!</v>
          </cell>
          <cell r="R66">
            <v>18522.73840300757</v>
          </cell>
          <cell r="S66">
            <v>-6.3205901828932667E-2</v>
          </cell>
        </row>
        <row r="67">
          <cell r="A67" t="str">
            <v>REP-0118</v>
          </cell>
          <cell r="B67" t="str">
            <v>34.00.003</v>
          </cell>
          <cell r="C67" t="str">
            <v>Manómetro ABS 0-250 bar</v>
          </cell>
          <cell r="D67" t="str">
            <v>MIX</v>
          </cell>
          <cell r="E67" t="str">
            <v>EUR</v>
          </cell>
          <cell r="F67">
            <v>17491</v>
          </cell>
          <cell r="G67">
            <v>10460.347852703502</v>
          </cell>
          <cell r="H67">
            <v>12104.109727979427</v>
          </cell>
          <cell r="I67">
            <v>18549.04500292227</v>
          </cell>
          <cell r="J67">
            <v>18856.208226231913</v>
          </cell>
          <cell r="K67" t="str">
            <v>B</v>
          </cell>
          <cell r="L67">
            <v>32993</v>
          </cell>
          <cell r="M67">
            <v>12207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>
            <v>17664.384580218786</v>
          </cell>
          <cell r="S67">
            <v>-6.3205901828932654E-2</v>
          </cell>
        </row>
        <row r="68">
          <cell r="A68" t="str">
            <v>REP-0326</v>
          </cell>
          <cell r="B68" t="str">
            <v>09.03.114</v>
          </cell>
          <cell r="C68" t="str">
            <v>Válvula de inyección cera</v>
          </cell>
          <cell r="D68" t="str">
            <v>MIX SRL</v>
          </cell>
          <cell r="E68" t="str">
            <v>EUR</v>
          </cell>
          <cell r="F68">
            <v>23396.433129015353</v>
          </cell>
          <cell r="G68">
            <v>23396.433129015353</v>
          </cell>
          <cell r="H68">
            <v>26902.060009762154</v>
          </cell>
          <cell r="I68">
            <v>39371.810218195991</v>
          </cell>
          <cell r="J68">
            <v>40023.788372987859</v>
          </cell>
          <cell r="K68" t="str">
            <v>B</v>
          </cell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>
            <v>37494.048734262811</v>
          </cell>
          <cell r="S68">
            <v>-6.3205901828932695E-2</v>
          </cell>
        </row>
        <row r="69">
          <cell r="A69" t="str">
            <v>REP-0115</v>
          </cell>
          <cell r="B69" t="str">
            <v>V-13</v>
          </cell>
          <cell r="C69" t="str">
            <v>Cable fichero (40 cm)</v>
          </cell>
          <cell r="D69" t="str">
            <v>MIX</v>
          </cell>
          <cell r="E69" t="str">
            <v>EUR</v>
          </cell>
          <cell r="F69">
            <v>8000</v>
          </cell>
          <cell r="G69">
            <v>8000</v>
          </cell>
          <cell r="H69">
            <v>8000</v>
          </cell>
          <cell r="I69">
            <v>13499.234609390222</v>
          </cell>
          <cell r="J69">
            <v>13722.77541239006</v>
          </cell>
          <cell r="K69" t="str">
            <v>B</v>
          </cell>
          <cell r="O69"/>
          <cell r="Q69"/>
          <cell r="R69">
            <v>12855.415016854042</v>
          </cell>
          <cell r="S69">
            <v>-6.3205901828932709E-2</v>
          </cell>
        </row>
        <row r="70">
          <cell r="A70" t="str">
            <v>REP-0367</v>
          </cell>
          <cell r="B70" t="str">
            <v>REP-0367</v>
          </cell>
          <cell r="C70" t="str">
            <v>Resina catiónica G8 CG8 saco de 28,32L</v>
          </cell>
          <cell r="D70" t="str">
            <v>NACIONAL</v>
          </cell>
          <cell r="E70" t="str">
            <v>CLP</v>
          </cell>
          <cell r="F70">
            <v>69999.999849999993</v>
          </cell>
          <cell r="G70">
            <v>66293.146591970115</v>
          </cell>
          <cell r="H70">
            <v>67500</v>
          </cell>
          <cell r="I70">
            <v>97704</v>
          </cell>
          <cell r="J70">
            <v>97704</v>
          </cell>
          <cell r="K70" t="str">
            <v>B</v>
          </cell>
          <cell r="O70"/>
          <cell r="Q70"/>
          <cell r="R70">
            <v>97704</v>
          </cell>
          <cell r="S70">
            <v>0</v>
          </cell>
        </row>
        <row r="71">
          <cell r="A71" t="str">
            <v>REP-0546</v>
          </cell>
          <cell r="B71" t="str">
            <v/>
          </cell>
          <cell r="C71" t="str">
            <v>NIPLE RECTO 3/8 3/8 BRONCE</v>
          </cell>
          <cell r="D71" t="str">
            <v>NACIONAL</v>
          </cell>
          <cell r="E71" t="str">
            <v>CLP</v>
          </cell>
          <cell r="F71">
            <v>1992</v>
          </cell>
          <cell r="G71">
            <v>1992</v>
          </cell>
          <cell r="H71">
            <v>1992</v>
          </cell>
          <cell r="I71">
            <v>2626</v>
          </cell>
          <cell r="J71">
            <v>2626</v>
          </cell>
          <cell r="K71" t="str">
            <v>B</v>
          </cell>
          <cell r="R71">
            <v>2626</v>
          </cell>
          <cell r="S71">
            <v>0</v>
          </cell>
        </row>
        <row r="72">
          <cell r="A72" t="str">
            <v>REP-0112</v>
          </cell>
          <cell r="B72" t="str">
            <v>09.00.033</v>
          </cell>
          <cell r="C72" t="str">
            <v>Manguera rilsan 6x4 dura</v>
          </cell>
          <cell r="D72" t="str">
            <v>MIX</v>
          </cell>
          <cell r="E72" t="str">
            <v>EUR</v>
          </cell>
          <cell r="F72">
            <v>807.2629435065744</v>
          </cell>
          <cell r="G72">
            <v>807.2629435065744</v>
          </cell>
          <cell r="H72">
            <v>857.89529778870258</v>
          </cell>
          <cell r="I72">
            <v>2445.006438729788</v>
          </cell>
          <cell r="J72">
            <v>2485.4945640545557</v>
          </cell>
          <cell r="K72" t="str">
            <v>B</v>
          </cell>
          <cell r="O72"/>
          <cell r="Q72"/>
          <cell r="R72">
            <v>2328.3966386425773</v>
          </cell>
          <cell r="S72">
            <v>-6.3205901828932806E-2</v>
          </cell>
        </row>
        <row r="73">
          <cell r="A73" t="str">
            <v>REP-0289</v>
          </cell>
          <cell r="B73" t="str">
            <v>ASP-04</v>
          </cell>
          <cell r="C73" t="str">
            <v>Resorte filtro de aspirado</v>
          </cell>
          <cell r="D73" t="str">
            <v>RESORTES ORTEGA- CHI</v>
          </cell>
          <cell r="E73" t="str">
            <v>CLP</v>
          </cell>
          <cell r="F73">
            <v>1898.3126360400497</v>
          </cell>
          <cell r="G73">
            <v>1898.3126360400499</v>
          </cell>
          <cell r="H73">
            <v>1898.3126360400495</v>
          </cell>
          <cell r="I73">
            <v>6300</v>
          </cell>
          <cell r="J73">
            <v>6300</v>
          </cell>
          <cell r="K73" t="str">
            <v>B</v>
          </cell>
          <cell r="O73"/>
          <cell r="Q73"/>
          <cell r="R73">
            <v>6300</v>
          </cell>
          <cell r="S73">
            <v>0</v>
          </cell>
        </row>
        <row r="74">
          <cell r="A74" t="str">
            <v>REP-0276</v>
          </cell>
          <cell r="B74" t="str">
            <v>HT-02</v>
          </cell>
          <cell r="C74" t="str">
            <v>Electrobomba Espa 15,5M</v>
          </cell>
          <cell r="D74" t="str">
            <v>HIDROTECNICA- CHI</v>
          </cell>
          <cell r="E74" t="str">
            <v>CLP</v>
          </cell>
          <cell r="F74">
            <v>130987.25</v>
          </cell>
          <cell r="G74">
            <v>104570.84262390147</v>
          </cell>
          <cell r="H74">
            <v>133147.8125</v>
          </cell>
          <cell r="I74">
            <v>229000</v>
          </cell>
          <cell r="J74">
            <v>229000</v>
          </cell>
          <cell r="K74" t="str">
            <v>B</v>
          </cell>
          <cell r="L74">
            <v>151475</v>
          </cell>
          <cell r="M74">
            <v>210000</v>
          </cell>
          <cell r="N74">
            <v>314668</v>
          </cell>
          <cell r="O74">
            <v>151475</v>
          </cell>
          <cell r="P74">
            <v>77525</v>
          </cell>
          <cell r="Q74">
            <v>0.51180062716619901</v>
          </cell>
          <cell r="R74">
            <v>229000</v>
          </cell>
          <cell r="S74">
            <v>0</v>
          </cell>
        </row>
        <row r="75">
          <cell r="A75" t="str">
            <v>REP-0168</v>
          </cell>
          <cell r="B75" t="str">
            <v>09.00.058</v>
          </cell>
          <cell r="C75" t="str">
            <v>Conexión rápida 1/4\ niple</v>
          </cell>
          <cell r="D75" t="str">
            <v>MIX</v>
          </cell>
          <cell r="E75" t="str">
            <v>EUR</v>
          </cell>
          <cell r="F75">
            <v>1794.7047360137719</v>
          </cell>
          <cell r="G75">
            <v>1794.7047360137719</v>
          </cell>
          <cell r="H75">
            <v>1956.1078136230242</v>
          </cell>
          <cell r="I75">
            <v>3774.5635495811421</v>
          </cell>
          <cell r="J75">
            <v>3837.0684982884081</v>
          </cell>
          <cell r="K75" t="str">
            <v>B</v>
          </cell>
          <cell r="L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>
            <v>3594.5431234747007</v>
          </cell>
          <cell r="S75">
            <v>-6.3205901828932723E-2</v>
          </cell>
        </row>
        <row r="76">
          <cell r="A76" t="str">
            <v>REP-0010</v>
          </cell>
          <cell r="B76" t="str">
            <v>09.00.030</v>
          </cell>
          <cell r="C76" t="str">
            <v>Niple recto bronce con PVC</v>
          </cell>
          <cell r="D76" t="str">
            <v>MIX</v>
          </cell>
          <cell r="E76" t="str">
            <v>EUR</v>
          </cell>
          <cell r="F76">
            <v>4023.526332587644</v>
          </cell>
          <cell r="G76">
            <v>5030.9900802696793</v>
          </cell>
          <cell r="H76">
            <v>4733.9404833690878</v>
          </cell>
          <cell r="I76">
            <v>10325.21728034288</v>
          </cell>
          <cell r="J76">
            <v>10496.197889894633</v>
          </cell>
          <cell r="K76" t="str">
            <v>B</v>
          </cell>
          <cell r="O76"/>
          <cell r="Q76"/>
          <cell r="R76">
            <v>9832.7762364889022</v>
          </cell>
          <cell r="S76">
            <v>-6.3205901828932681E-2</v>
          </cell>
        </row>
        <row r="77">
          <cell r="A77" t="str">
            <v>REP-0051</v>
          </cell>
          <cell r="B77" t="str">
            <v>09.01.643</v>
          </cell>
          <cell r="C77" t="str">
            <v>Vaso portafiltro Mself</v>
          </cell>
          <cell r="D77" t="str">
            <v>MIX</v>
          </cell>
          <cell r="E77" t="str">
            <v>EUR</v>
          </cell>
          <cell r="F77">
            <v>18227.793537025838</v>
          </cell>
          <cell r="G77">
            <v>20533.694222143356</v>
          </cell>
          <cell r="H77">
            <v>17965.178897864964</v>
          </cell>
          <cell r="I77">
            <v>40015.177995324375</v>
          </cell>
          <cell r="J77">
            <v>40677.810009663466</v>
          </cell>
          <cell r="K77" t="str">
            <v>C</v>
          </cell>
          <cell r="L77">
            <v>22990</v>
          </cell>
          <cell r="M77">
            <v>29990</v>
          </cell>
          <cell r="O77">
            <v>22990</v>
          </cell>
          <cell r="P77">
            <v>17025.177995324375</v>
          </cell>
          <cell r="Q77">
            <v>0.74054710723464012</v>
          </cell>
          <cell r="R77">
            <v>38106.732343576703</v>
          </cell>
          <cell r="S77">
            <v>-6.3205901828932654E-2</v>
          </cell>
        </row>
        <row r="78">
          <cell r="A78" t="str">
            <v>REP-0096</v>
          </cell>
          <cell r="B78" t="str">
            <v>30.00.216</v>
          </cell>
          <cell r="C78" t="str">
            <v>Codo 1/4 * 6mm  inoxidable</v>
          </cell>
          <cell r="D78" t="str">
            <v>MIX</v>
          </cell>
          <cell r="E78" t="str">
            <v>EUR</v>
          </cell>
          <cell r="F78">
            <v>2179.2128113730373</v>
          </cell>
          <cell r="G78">
            <v>2179.2128113730373</v>
          </cell>
          <cell r="H78">
            <v>2441.7555316086477</v>
          </cell>
          <cell r="I78">
            <v>4074.3144457432304</v>
          </cell>
          <cell r="J78">
            <v>4141.7831244668178</v>
          </cell>
          <cell r="K78" t="str">
            <v>C</v>
          </cell>
          <cell r="L78"/>
          <cell r="O78"/>
          <cell r="Q78"/>
          <cell r="R78">
            <v>3879.9979869050376</v>
          </cell>
          <cell r="S78">
            <v>-6.3205901828932778E-2</v>
          </cell>
        </row>
        <row r="79">
          <cell r="A79" t="str">
            <v>REP-0048</v>
          </cell>
          <cell r="B79" t="str">
            <v>09.01.431</v>
          </cell>
          <cell r="C79" t="str">
            <v>Cerradura nueva Mself</v>
          </cell>
          <cell r="D79" t="str">
            <v>MIX</v>
          </cell>
          <cell r="E79" t="str">
            <v>EUR</v>
          </cell>
          <cell r="F79">
            <v>35195.694990110096</v>
          </cell>
          <cell r="G79">
            <v>42043.468751749453</v>
          </cell>
          <cell r="H79">
            <v>40449.123070365844</v>
          </cell>
          <cell r="I79">
            <v>76127.327771283861</v>
          </cell>
          <cell r="J79">
            <v>77387.959538390642</v>
          </cell>
          <cell r="K79" t="str">
            <v>C</v>
          </cell>
          <cell r="O79"/>
          <cell r="Q79"/>
          <cell r="R79">
            <v>72496.583765065705</v>
          </cell>
          <cell r="S79">
            <v>-6.3205901828932723E-2</v>
          </cell>
        </row>
        <row r="80">
          <cell r="A80" t="str">
            <v>REP-0340</v>
          </cell>
          <cell r="B80">
            <v>0</v>
          </cell>
          <cell r="C80" t="str">
            <v>Pulsador armado azul contacto NO</v>
          </cell>
          <cell r="D80" t="str">
            <v>CD PARTS CHILE SPA</v>
          </cell>
          <cell r="E80" t="str">
            <v>CLP</v>
          </cell>
          <cell r="F80">
            <v>1280</v>
          </cell>
          <cell r="G80">
            <v>6277.6136935727473</v>
          </cell>
          <cell r="H80">
            <v>1510.6328355891508</v>
          </cell>
          <cell r="I80">
            <v>10535</v>
          </cell>
          <cell r="J80">
            <v>10535</v>
          </cell>
          <cell r="K80" t="str">
            <v>C</v>
          </cell>
          <cell r="O80"/>
          <cell r="Q80"/>
          <cell r="R80">
            <v>10535</v>
          </cell>
          <cell r="S80">
            <v>0</v>
          </cell>
        </row>
        <row r="81">
          <cell r="A81" t="str">
            <v>REP-0354</v>
          </cell>
          <cell r="B81">
            <v>0</v>
          </cell>
          <cell r="C81" t="str">
            <v>Reducción 1/2 A 1/4" bronce (bushing)</v>
          </cell>
          <cell r="D81" t="str">
            <v>Multiadapters Hidraulica</v>
          </cell>
          <cell r="E81" t="str">
            <v>EUR</v>
          </cell>
          <cell r="F81">
            <v>2539.7150914634149</v>
          </cell>
          <cell r="G81">
            <v>4502.2480240450986</v>
          </cell>
          <cell r="H81">
            <v>4502.2480240450986</v>
          </cell>
          <cell r="I81">
            <v>5152</v>
          </cell>
          <cell r="J81">
            <v>5237.3146308201831</v>
          </cell>
          <cell r="K81" t="str">
            <v>C</v>
          </cell>
          <cell r="O81"/>
          <cell r="Q81"/>
          <cell r="R81">
            <v>4906.285436417329</v>
          </cell>
          <cell r="S81">
            <v>-6.320590182893282E-2</v>
          </cell>
        </row>
        <row r="82">
          <cell r="A82" t="str">
            <v>REP-0543</v>
          </cell>
          <cell r="B82" t="str">
            <v/>
          </cell>
          <cell r="C82" t="str">
            <v>CAPUCHA SILICONA PULSADOR 22MM</v>
          </cell>
          <cell r="D82" t="str">
            <v>NACIONAL</v>
          </cell>
          <cell r="E82" t="str">
            <v>CLP</v>
          </cell>
          <cell r="F82">
            <v>769</v>
          </cell>
          <cell r="G82">
            <v>769</v>
          </cell>
          <cell r="H82">
            <v>269.41841004184096</v>
          </cell>
          <cell r="I82">
            <v>961</v>
          </cell>
          <cell r="J82">
            <v>961</v>
          </cell>
          <cell r="K82" t="str">
            <v>C</v>
          </cell>
          <cell r="R82">
            <v>961</v>
          </cell>
          <cell r="S82">
            <v>0</v>
          </cell>
        </row>
        <row r="83">
          <cell r="A83" t="str">
            <v>REP-0545</v>
          </cell>
          <cell r="B83" t="str">
            <v/>
          </cell>
          <cell r="C83" t="str">
            <v>VALVULA PULSAR BYPASS INCLUIDO</v>
          </cell>
          <cell r="D83" t="str">
            <v>NACIONAL</v>
          </cell>
          <cell r="E83" t="str">
            <v>CLP</v>
          </cell>
          <cell r="F83">
            <v>0</v>
          </cell>
          <cell r="G83">
            <v>0</v>
          </cell>
          <cell r="H83">
            <v>115152.12</v>
          </cell>
          <cell r="I83">
            <v>147000</v>
          </cell>
          <cell r="J83">
            <v>147000</v>
          </cell>
          <cell r="K83" t="str">
            <v>C</v>
          </cell>
          <cell r="R83">
            <v>147000</v>
          </cell>
          <cell r="S83">
            <v>0</v>
          </cell>
        </row>
        <row r="84">
          <cell r="A84" t="str">
            <v>REP-0089</v>
          </cell>
          <cell r="B84" t="str">
            <v>29.00.114</v>
          </cell>
          <cell r="C84" t="str">
            <v>Válvula europa bronce 1/2\</v>
          </cell>
          <cell r="D84" t="str">
            <v>MIX</v>
          </cell>
          <cell r="E84" t="str">
            <v>EUR</v>
          </cell>
          <cell r="F84">
            <v>7304.117380893018</v>
          </cell>
          <cell r="G84">
            <v>11556</v>
          </cell>
          <cell r="H84">
            <v>12918.147112685749</v>
          </cell>
          <cell r="I84">
            <v>18495.779164231444</v>
          </cell>
          <cell r="J84">
            <v>18802.060330987664</v>
          </cell>
          <cell r="K84" t="str">
            <v>C</v>
          </cell>
          <cell r="L84">
            <v>7500</v>
          </cell>
          <cell r="M84">
            <v>9946</v>
          </cell>
          <cell r="O84">
            <v>7500</v>
          </cell>
          <cell r="P84">
            <v>10995.779164231444</v>
          </cell>
          <cell r="Q84">
            <v>1.4661038885641924</v>
          </cell>
          <cell r="R84">
            <v>17613.659151525586</v>
          </cell>
          <cell r="S84">
            <v>-6.3205901828932806E-2</v>
          </cell>
        </row>
        <row r="85">
          <cell r="A85" t="str">
            <v>REP-0103</v>
          </cell>
          <cell r="B85" t="str">
            <v>HT-04</v>
          </cell>
          <cell r="C85" t="str">
            <v>Manómetro seco 0-6 bar</v>
          </cell>
          <cell r="D85" t="str">
            <v>MIX</v>
          </cell>
          <cell r="E85" t="str">
            <v>EUR</v>
          </cell>
          <cell r="F85">
            <v>5107.2858420572647</v>
          </cell>
          <cell r="G85">
            <v>5107.2858420572657</v>
          </cell>
          <cell r="H85">
            <v>5037.5</v>
          </cell>
          <cell r="I85">
            <v>12265.764893824276</v>
          </cell>
          <cell r="J85">
            <v>12468.880034283085</v>
          </cell>
          <cell r="K85" t="str">
            <v>C</v>
          </cell>
          <cell r="O85"/>
          <cell r="Q85"/>
          <cell r="R85">
            <v>11680.773226919449</v>
          </cell>
          <cell r="S85">
            <v>-6.3205901828932737E-2</v>
          </cell>
        </row>
        <row r="86">
          <cell r="A86" t="str">
            <v>REP-0045</v>
          </cell>
          <cell r="B86" t="str">
            <v>09.01.190</v>
          </cell>
          <cell r="C86" t="str">
            <v>Pistón (Kit  reparación EV Burket 1/4\)</v>
          </cell>
          <cell r="D86" t="str">
            <v>MIX</v>
          </cell>
          <cell r="E86" t="str">
            <v>EUR</v>
          </cell>
          <cell r="F86">
            <v>12443.463413200279</v>
          </cell>
          <cell r="G86">
            <v>12443.463413200279</v>
          </cell>
          <cell r="H86">
            <v>15121.404882914492</v>
          </cell>
          <cell r="I86">
            <v>28456.49099941555</v>
          </cell>
          <cell r="J86">
            <v>28927.716741661861</v>
          </cell>
          <cell r="K86" t="str">
            <v>C</v>
          </cell>
          <cell r="O86"/>
          <cell r="Q86"/>
          <cell r="R86">
            <v>27099.314317153207</v>
          </cell>
          <cell r="S86">
            <v>-6.3205901828932778E-2</v>
          </cell>
        </row>
        <row r="87">
          <cell r="A87" t="str">
            <v>REP-0117</v>
          </cell>
          <cell r="B87" t="str">
            <v>09.01.729</v>
          </cell>
          <cell r="C87" t="str">
            <v>Numeral de aspirado tabla 21- pos.3</v>
          </cell>
          <cell r="D87" t="str">
            <v>MIX</v>
          </cell>
          <cell r="E87" t="str">
            <v>EUR</v>
          </cell>
          <cell r="F87">
            <v>46419.877749465726</v>
          </cell>
          <cell r="G87">
            <v>46419.877749465733</v>
          </cell>
          <cell r="H87">
            <v>50232.368462416423</v>
          </cell>
          <cell r="I87">
            <v>104219.31332554063</v>
          </cell>
          <cell r="J87">
            <v>105945.13480083206</v>
          </cell>
          <cell r="K87" t="str">
            <v>C</v>
          </cell>
          <cell r="L87" t="e">
            <v>#REF!</v>
          </cell>
          <cell r="M87">
            <v>73364</v>
          </cell>
          <cell r="N87">
            <v>40599</v>
          </cell>
          <cell r="O87" t="e">
            <v>#REF!</v>
          </cell>
          <cell r="P87" t="e">
            <v>#REF!</v>
          </cell>
          <cell r="Q87" t="e">
            <v>#REF!</v>
          </cell>
          <cell r="R87">
            <v>99248.777011357626</v>
          </cell>
          <cell r="S87">
            <v>-6.3205901828932751E-2</v>
          </cell>
        </row>
        <row r="88">
          <cell r="A88" t="str">
            <v>REP-0063</v>
          </cell>
          <cell r="B88" t="str">
            <v>09.01.957</v>
          </cell>
          <cell r="C88" t="str">
            <v>Placa electróncia  twister reforzada  (tambor metálico 2010-11-12-14)</v>
          </cell>
          <cell r="D88" t="str">
            <v>MIX</v>
          </cell>
          <cell r="E88" t="str">
            <v>EUR</v>
          </cell>
          <cell r="F88">
            <v>132881.8936277724</v>
          </cell>
          <cell r="G88">
            <v>216733.77419118356</v>
          </cell>
          <cell r="H88">
            <v>216733.77419118356</v>
          </cell>
          <cell r="I88">
            <v>298064.14460354572</v>
          </cell>
          <cell r="J88">
            <v>302999.94282900868</v>
          </cell>
          <cell r="K88" t="str">
            <v>C</v>
          </cell>
          <cell r="L88">
            <v>0</v>
          </cell>
          <cell r="O88">
            <v>0</v>
          </cell>
          <cell r="P88">
            <v>298064.14460354572</v>
          </cell>
          <cell r="Q88" t="e">
            <v>#DIV/0!</v>
          </cell>
          <cell r="R88">
            <v>283848.55818838615</v>
          </cell>
          <cell r="S88">
            <v>-6.3205901828932667E-2</v>
          </cell>
        </row>
        <row r="89">
          <cell r="A89" t="str">
            <v>REP-0095</v>
          </cell>
          <cell r="B89" t="str">
            <v>30.00.214</v>
          </cell>
          <cell r="C89" t="str">
            <v>Tee 1/2 (hi-he, extremos;hi central)</v>
          </cell>
          <cell r="D89" t="str">
            <v>MIX</v>
          </cell>
          <cell r="E89" t="str">
            <v>EUR</v>
          </cell>
          <cell r="F89">
            <v>5120.8516960206371</v>
          </cell>
          <cell r="G89">
            <v>5223.1168947346696</v>
          </cell>
          <cell r="H89">
            <v>6030.1384728630046</v>
          </cell>
          <cell r="I89">
            <v>11408.289333722971</v>
          </cell>
          <cell r="J89">
            <v>11597.205093194323</v>
          </cell>
          <cell r="K89" t="str">
            <v>C</v>
          </cell>
          <cell r="L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>
            <v>10864.193286583884</v>
          </cell>
          <cell r="S89">
            <v>-6.3205901828932709E-2</v>
          </cell>
        </row>
        <row r="90">
          <cell r="A90" t="str">
            <v>REP-0501</v>
          </cell>
          <cell r="B90" t="str">
            <v/>
          </cell>
          <cell r="C90" t="str">
            <v>Punta pistola de mousse</v>
          </cell>
          <cell r="D90" t="str">
            <v>R+M</v>
          </cell>
          <cell r="E90" t="str">
            <v>CLP</v>
          </cell>
          <cell r="F90">
            <v>35781.139676456776</v>
          </cell>
          <cell r="G90">
            <v>29929.959466666664</v>
          </cell>
          <cell r="H90">
            <v>36283.411283817557</v>
          </cell>
          <cell r="I90">
            <v>67515</v>
          </cell>
          <cell r="J90">
            <v>67515</v>
          </cell>
          <cell r="K90" t="str">
            <v>C</v>
          </cell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>
            <v>67515</v>
          </cell>
          <cell r="S90">
            <v>0</v>
          </cell>
        </row>
        <row r="91">
          <cell r="A91" t="str">
            <v>REP-0374</v>
          </cell>
          <cell r="B91" t="str">
            <v>09.03.207</v>
          </cell>
          <cell r="C91" t="str">
            <v>Cubre fichero (lava interior)</v>
          </cell>
          <cell r="D91" t="str">
            <v>MIX</v>
          </cell>
          <cell r="E91" t="str">
            <v>EUR</v>
          </cell>
          <cell r="F91">
            <v>21137.836583132925</v>
          </cell>
          <cell r="G91">
            <v>21137.836583132925</v>
          </cell>
          <cell r="H91">
            <v>30287.718609451051</v>
          </cell>
          <cell r="I91">
            <v>46897.95989674655</v>
          </cell>
          <cell r="J91">
            <v>47674.567453969124</v>
          </cell>
          <cell r="K91" t="str">
            <v>C</v>
          </cell>
          <cell r="R91">
            <v>44661.253423736722</v>
          </cell>
          <cell r="S91">
            <v>-6.3205901828932709E-2</v>
          </cell>
        </row>
        <row r="92">
          <cell r="A92" t="str">
            <v>REP-0026</v>
          </cell>
          <cell r="B92" t="str">
            <v>09.00.631</v>
          </cell>
          <cell r="C92" t="str">
            <v>Tornillo cubrefichero</v>
          </cell>
          <cell r="D92" t="str">
            <v>MIX</v>
          </cell>
          <cell r="E92" t="str">
            <v>EUR</v>
          </cell>
          <cell r="F92">
            <v>37.24323493896717</v>
          </cell>
          <cell r="G92">
            <v>72.86395592914792</v>
          </cell>
          <cell r="H92">
            <v>57.359412872216353</v>
          </cell>
          <cell r="I92">
            <v>160.84194428209625</v>
          </cell>
          <cell r="J92">
            <v>163.50540916890284</v>
          </cell>
          <cell r="K92" t="str">
            <v>C</v>
          </cell>
          <cell r="O92"/>
          <cell r="Q92"/>
          <cell r="R92">
            <v>153.17090232847369</v>
          </cell>
          <cell r="S92">
            <v>-6.3205901828932765E-2</v>
          </cell>
        </row>
        <row r="93">
          <cell r="A93" t="str">
            <v>REP-0039</v>
          </cell>
          <cell r="B93" t="str">
            <v>09.01.104</v>
          </cell>
          <cell r="C93" t="str">
            <v>Tee 1/4'' 6 mm inoxidable</v>
          </cell>
          <cell r="D93" t="str">
            <v>MIX</v>
          </cell>
          <cell r="E93" t="str">
            <v>EUR</v>
          </cell>
          <cell r="F93">
            <v>3537.7192297934635</v>
          </cell>
          <cell r="G93">
            <v>3537.7192297934635</v>
          </cell>
          <cell r="H93">
            <v>4276.8232499893047</v>
          </cell>
          <cell r="I93">
            <v>7612.8372199493479</v>
          </cell>
          <cell r="J93">
            <v>7738.9021261826801</v>
          </cell>
          <cell r="K93" t="str">
            <v>C</v>
          </cell>
          <cell r="O93"/>
          <cell r="Q93"/>
          <cell r="R93">
            <v>7249.7578381314588</v>
          </cell>
          <cell r="S93">
            <v>-6.3205901828932737E-2</v>
          </cell>
        </row>
        <row r="94">
          <cell r="A94" t="str">
            <v>REP-0053</v>
          </cell>
          <cell r="B94" t="str">
            <v>09.01.701</v>
          </cell>
          <cell r="C94" t="str">
            <v>Boquilla manguera soplado Twister&amp;Dry</v>
          </cell>
          <cell r="D94" t="str">
            <v>MIX</v>
          </cell>
          <cell r="E94" t="str">
            <v>EUR</v>
          </cell>
          <cell r="F94">
            <v>33252.908211237685</v>
          </cell>
          <cell r="G94">
            <v>33252.908211237678</v>
          </cell>
          <cell r="H94">
            <v>37582.439359891963</v>
          </cell>
          <cell r="I94">
            <v>71205.982047535566</v>
          </cell>
          <cell r="J94">
            <v>72385.118707196685</v>
          </cell>
          <cell r="K94" t="str">
            <v>C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71205.982047535566</v>
          </cell>
          <cell r="Q94" t="e">
            <v>#DIV/0!</v>
          </cell>
          <cell r="R94">
            <v>41758.265955435512</v>
          </cell>
          <cell r="S94">
            <v>-0.42310979520043512</v>
          </cell>
        </row>
        <row r="95">
          <cell r="A95" t="str">
            <v>REP-0062</v>
          </cell>
          <cell r="B95" t="str">
            <v>09.01.943</v>
          </cell>
          <cell r="C95" t="str">
            <v>Sensor de nivel de 2 contactos</v>
          </cell>
          <cell r="D95" t="str">
            <v>MIX</v>
          </cell>
          <cell r="E95" t="str">
            <v>EUR</v>
          </cell>
          <cell r="F95">
            <v>124668.35379002622</v>
          </cell>
          <cell r="G95">
            <v>137032.54426492314</v>
          </cell>
          <cell r="H95">
            <v>150042.04626101517</v>
          </cell>
          <cell r="I95">
            <v>276180.24032729398</v>
          </cell>
          <cell r="J95">
            <v>280753.6516711124</v>
          </cell>
          <cell r="K95" t="str">
            <v>C</v>
          </cell>
          <cell r="L95">
            <v>0</v>
          </cell>
          <cell r="M95">
            <v>0</v>
          </cell>
          <cell r="O95">
            <v>0</v>
          </cell>
          <cell r="P95">
            <v>276180.24032729398</v>
          </cell>
          <cell r="Q95" t="e">
            <v>#DIV/0!</v>
          </cell>
          <cell r="R95">
            <v>263008.36392547371</v>
          </cell>
          <cell r="S95">
            <v>-6.3205901828932681E-2</v>
          </cell>
        </row>
        <row r="96">
          <cell r="A96" t="str">
            <v>REP-0368</v>
          </cell>
          <cell r="B96" t="str">
            <v>REP-0368</v>
          </cell>
          <cell r="C96" t="str">
            <v>Gravilla silica malla 4"-8" saco</v>
          </cell>
          <cell r="D96" t="str">
            <v>NACIONAL</v>
          </cell>
          <cell r="E96" t="str">
            <v>CLP</v>
          </cell>
          <cell r="F96">
            <v>11249.999933333333</v>
          </cell>
          <cell r="G96">
            <v>8194.4444444444453</v>
          </cell>
          <cell r="H96">
            <v>8750</v>
          </cell>
          <cell r="I96">
            <v>16560</v>
          </cell>
          <cell r="J96">
            <v>16560</v>
          </cell>
          <cell r="K96" t="str">
            <v>C</v>
          </cell>
          <cell r="O96"/>
          <cell r="Q96"/>
          <cell r="R96">
            <v>16560</v>
          </cell>
          <cell r="S96">
            <v>0</v>
          </cell>
        </row>
        <row r="97">
          <cell r="A97" t="str">
            <v>REP-0057</v>
          </cell>
          <cell r="B97" t="str">
            <v>09.01.741</v>
          </cell>
          <cell r="C97" t="str">
            <v>Bisagras extremos puerta Mself</v>
          </cell>
          <cell r="D97" t="str">
            <v>MIX</v>
          </cell>
          <cell r="E97" t="str">
            <v>EUR</v>
          </cell>
          <cell r="F97">
            <v>12822.450080115168</v>
          </cell>
          <cell r="G97">
            <v>13131.843766404023</v>
          </cell>
          <cell r="H97">
            <v>16937.242745653097</v>
          </cell>
          <cell r="I97">
            <v>26054.306117280346</v>
          </cell>
          <cell r="J97">
            <v>26485.752838489938</v>
          </cell>
          <cell r="K97" t="str">
            <v>C</v>
          </cell>
          <cell r="O97"/>
          <cell r="Q97"/>
          <cell r="R97">
            <v>24811.696944714968</v>
          </cell>
          <cell r="S97">
            <v>-6.3205901828932681E-2</v>
          </cell>
        </row>
        <row r="98">
          <cell r="A98" t="str">
            <v>REP-0009</v>
          </cell>
          <cell r="B98" t="str">
            <v>09.03.060BLU</v>
          </cell>
          <cell r="C98" t="str">
            <v>Manguera 4,7 mts BLU baja presión (00.01.116BLU)</v>
          </cell>
          <cell r="D98" t="str">
            <v>MIX</v>
          </cell>
          <cell r="E98" t="str">
            <v>EUR</v>
          </cell>
          <cell r="F98">
            <v>41933.586719028994</v>
          </cell>
          <cell r="G98">
            <v>41933.586719028986</v>
          </cell>
          <cell r="H98">
            <v>46963.695271518722</v>
          </cell>
          <cell r="I98">
            <v>80598.524936684204</v>
          </cell>
          <cell r="J98">
            <v>81933.197568598902</v>
          </cell>
          <cell r="K98" t="str">
            <v>C</v>
          </cell>
          <cell r="L98">
            <v>0</v>
          </cell>
          <cell r="M98">
            <v>53000</v>
          </cell>
          <cell r="O98">
            <v>0</v>
          </cell>
          <cell r="P98">
            <v>80598.524936684204</v>
          </cell>
          <cell r="Q98" t="e">
            <v>#DIV/0!</v>
          </cell>
          <cell r="R98">
            <v>76754.535926547484</v>
          </cell>
          <cell r="S98">
            <v>-6.3205901828932806E-2</v>
          </cell>
        </row>
        <row r="99">
          <cell r="A99" t="str">
            <v>REP-0116</v>
          </cell>
          <cell r="B99" t="str">
            <v>23.00.159</v>
          </cell>
          <cell r="C99" t="str">
            <v>Electroválvula  Burkert  L180, 1/2\</v>
          </cell>
          <cell r="D99" t="str">
            <v>MIX</v>
          </cell>
          <cell r="E99" t="str">
            <v>EUR</v>
          </cell>
          <cell r="F99">
            <v>52153.763692960412</v>
          </cell>
          <cell r="G99">
            <v>52153.763692960412</v>
          </cell>
          <cell r="H99">
            <v>64584.473737392538</v>
          </cell>
          <cell r="I99">
            <v>98632.66683226185</v>
          </cell>
          <cell r="J99">
            <v>100265.9761408031</v>
          </cell>
          <cell r="K99" t="str">
            <v>C</v>
          </cell>
          <cell r="L99">
            <v>166950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>
            <v>93928.574696065392</v>
          </cell>
          <cell r="S99">
            <v>-6.3205901828932723E-2</v>
          </cell>
        </row>
        <row r="100">
          <cell r="A100" t="str">
            <v>REP-0068</v>
          </cell>
          <cell r="B100" t="str">
            <v>09.02.204</v>
          </cell>
          <cell r="C100" t="str">
            <v>Codo 45° para manguera de cepillo</v>
          </cell>
          <cell r="D100" t="str">
            <v>MIX</v>
          </cell>
          <cell r="E100" t="str">
            <v>EUR</v>
          </cell>
          <cell r="F100">
            <v>23502.091823601513</v>
          </cell>
          <cell r="G100">
            <v>23502.091823601513</v>
          </cell>
          <cell r="H100">
            <v>25217.912988269592</v>
          </cell>
          <cell r="I100">
            <v>40047.555269822718</v>
          </cell>
          <cell r="J100">
            <v>40710.723436184482</v>
          </cell>
          <cell r="K100" t="str">
            <v>C</v>
          </cell>
          <cell r="O100"/>
          <cell r="Q100"/>
          <cell r="R100">
            <v>38137.565447292174</v>
          </cell>
          <cell r="S100">
            <v>-6.3205901828932751E-2</v>
          </cell>
        </row>
        <row r="101">
          <cell r="A101" t="str">
            <v>REP-0300</v>
          </cell>
          <cell r="B101" t="str">
            <v>V-40</v>
          </cell>
          <cell r="C101" t="str">
            <v>Calefactor CU 6KW flang (3x2) tipo L ( resistencia termo trifásico)</v>
          </cell>
          <cell r="D101" t="str">
            <v>URSUS TROTTER</v>
          </cell>
          <cell r="E101" t="str">
            <v>CLP</v>
          </cell>
          <cell r="F101">
            <v>47583.75</v>
          </cell>
          <cell r="G101">
            <v>48356.120289855084</v>
          </cell>
          <cell r="H101">
            <v>47583.73333333333</v>
          </cell>
          <cell r="I101">
            <v>79940</v>
          </cell>
          <cell r="J101">
            <v>79940</v>
          </cell>
          <cell r="K101" t="str">
            <v>C</v>
          </cell>
          <cell r="O101"/>
          <cell r="Q101"/>
          <cell r="R101">
            <v>79940</v>
          </cell>
          <cell r="S101">
            <v>0</v>
          </cell>
        </row>
        <row r="102">
          <cell r="A102" t="str">
            <v>REP-0025</v>
          </cell>
          <cell r="B102" t="str">
            <v>09.00.629</v>
          </cell>
          <cell r="C102" t="str">
            <v>Tuerca inox para cubre fichero</v>
          </cell>
          <cell r="D102" t="str">
            <v>MIX</v>
          </cell>
          <cell r="E102" t="str">
            <v>EUR</v>
          </cell>
          <cell r="F102">
            <v>10168.010983489998</v>
          </cell>
          <cell r="G102">
            <v>10168.010983489998</v>
          </cell>
          <cell r="H102">
            <v>10687.44443975204</v>
          </cell>
          <cell r="I102">
            <v>16158.34883109293</v>
          </cell>
          <cell r="J102">
            <v>16425.923280857765</v>
          </cell>
          <cell r="K102" t="str">
            <v>C</v>
          </cell>
          <cell r="O102"/>
          <cell r="Q102"/>
          <cell r="R102">
            <v>15387.707986518288</v>
          </cell>
          <cell r="S102">
            <v>-6.3205901828932792E-2</v>
          </cell>
        </row>
        <row r="103">
          <cell r="A103" t="str">
            <v>INS-0006</v>
          </cell>
          <cell r="B103" t="str">
            <v>09.01.793</v>
          </cell>
          <cell r="C103" t="str">
            <v>Abrillantador de gomas</v>
          </cell>
          <cell r="D103" t="str">
            <v>NACIONAL</v>
          </cell>
          <cell r="E103" t="str">
            <v>CLP</v>
          </cell>
          <cell r="F103">
            <v>20198.633863070318</v>
          </cell>
          <cell r="G103">
            <v>20198.633863070314</v>
          </cell>
          <cell r="H103">
            <v>20198.633863070318</v>
          </cell>
          <cell r="I103">
            <v>31785</v>
          </cell>
          <cell r="J103">
            <v>32311.344243132669</v>
          </cell>
          <cell r="K103" t="str">
            <v>C</v>
          </cell>
          <cell r="R103">
            <v>32311.344243132669</v>
          </cell>
          <cell r="S103">
            <v>0</v>
          </cell>
        </row>
        <row r="104">
          <cell r="A104" t="str">
            <v>REP-0290</v>
          </cell>
          <cell r="B104" t="str">
            <v>ASP-05</v>
          </cell>
          <cell r="C104" t="str">
            <v>Golilla filtro aspirado</v>
          </cell>
          <cell r="D104" t="str">
            <v>RESORTES ORTEGA- CHI</v>
          </cell>
          <cell r="E104" t="str">
            <v>CLP</v>
          </cell>
          <cell r="F104">
            <v>7373.8404452690174</v>
          </cell>
          <cell r="G104">
            <v>7373.8404452690165</v>
          </cell>
          <cell r="H104">
            <v>8000</v>
          </cell>
          <cell r="I104">
            <v>10000</v>
          </cell>
          <cell r="J104">
            <v>10000</v>
          </cell>
          <cell r="K104" t="str">
            <v>C</v>
          </cell>
          <cell r="O104"/>
          <cell r="Q104"/>
          <cell r="R104">
            <v>10000</v>
          </cell>
          <cell r="S104">
            <v>0</v>
          </cell>
        </row>
        <row r="105">
          <cell r="A105" t="str">
            <v>REP-0386</v>
          </cell>
          <cell r="B105" t="str">
            <v>09.03.221</v>
          </cell>
          <cell r="C105" t="str">
            <v>Cepillo completo lavainteriores (lava interior)</v>
          </cell>
          <cell r="D105" t="str">
            <v>MIX</v>
          </cell>
          <cell r="E105" t="str">
            <v>EUR</v>
          </cell>
          <cell r="F105">
            <v>182280.86179465996</v>
          </cell>
          <cell r="G105">
            <v>182280.86179465996</v>
          </cell>
          <cell r="H105">
            <v>176113.85726819522</v>
          </cell>
          <cell r="I105">
            <v>227851</v>
          </cell>
          <cell r="J105">
            <v>231624.10247418663</v>
          </cell>
          <cell r="K105" t="str">
            <v>C</v>
          </cell>
          <cell r="O105"/>
          <cell r="Q105"/>
          <cell r="R105">
            <v>195682.06363132803</v>
          </cell>
          <cell r="S105">
            <v>-0.15517400157811367</v>
          </cell>
        </row>
        <row r="106">
          <cell r="A106" t="str">
            <v>REP-0351</v>
          </cell>
          <cell r="B106" t="str">
            <v>09.03.060GRIGIO</v>
          </cell>
          <cell r="C106" t="str">
            <v>Mangueras de 4,7 mts color gris</v>
          </cell>
          <cell r="D106" t="str">
            <v>MIX</v>
          </cell>
          <cell r="E106" t="str">
            <v>EUR</v>
          </cell>
          <cell r="F106">
            <v>90596.081394310866</v>
          </cell>
          <cell r="G106">
            <v>90596.081394310851</v>
          </cell>
          <cell r="H106">
            <v>46963.695271518722</v>
          </cell>
          <cell r="I106">
            <v>82978.776826417306</v>
          </cell>
          <cell r="J106">
            <v>113245.10174288855</v>
          </cell>
          <cell r="K106" t="str">
            <v>C</v>
          </cell>
          <cell r="O106"/>
          <cell r="Q106"/>
          <cell r="R106">
            <v>106087.34295952004</v>
          </cell>
          <cell r="S106">
            <v>-6.3205901828932709E-2</v>
          </cell>
        </row>
        <row r="107">
          <cell r="A107" t="str">
            <v>REP-0600</v>
          </cell>
          <cell r="B107" t="str">
            <v>PULSE 2S PRO</v>
          </cell>
          <cell r="C107" t="str">
            <v>CORREA DENTADA DE KEVLAR PARA CEPILLO HORIZONTAL</v>
          </cell>
          <cell r="D107" t="str">
            <v>MIX</v>
          </cell>
          <cell r="E107" t="str">
            <v>EUR</v>
          </cell>
          <cell r="G107">
            <v>1430</v>
          </cell>
          <cell r="H107">
            <v>42463.840159724867</v>
          </cell>
          <cell r="J107">
            <v>1906.6666666666667</v>
          </cell>
          <cell r="K107" t="str">
            <v>C</v>
          </cell>
          <cell r="R107">
            <v>70773.066932874775</v>
          </cell>
          <cell r="S107">
            <v>36.118741398360889</v>
          </cell>
        </row>
        <row r="108">
          <cell r="A108" t="str">
            <v>REP-0417</v>
          </cell>
          <cell r="B108" t="str">
            <v>09.03.187</v>
          </cell>
          <cell r="C108" t="str">
            <v>Lexan para cubrefichero plus 2022</v>
          </cell>
          <cell r="D108" t="str">
            <v>MIX</v>
          </cell>
          <cell r="E108" t="str">
            <v>EUR</v>
          </cell>
          <cell r="F108">
            <v>20496.006493617446</v>
          </cell>
          <cell r="G108">
            <v>20496.006493617446</v>
          </cell>
          <cell r="H108">
            <v>36684.627286039293</v>
          </cell>
          <cell r="I108">
            <v>46694.296395869867</v>
          </cell>
          <cell r="J108">
            <v>47467.531383917587</v>
          </cell>
          <cell r="K108" t="str">
            <v>C</v>
          </cell>
          <cell r="O108"/>
          <cell r="Q108"/>
          <cell r="R108">
            <v>44467.303255203908</v>
          </cell>
          <cell r="S108">
            <v>-6.3205901828932751E-2</v>
          </cell>
        </row>
        <row r="109">
          <cell r="A109" t="str">
            <v>REP-0515</v>
          </cell>
          <cell r="B109" t="str">
            <v/>
          </cell>
          <cell r="C109" t="str">
            <v>PASADOR PUNTA PISTOLA DE MOUSSE</v>
          </cell>
          <cell r="D109" t="str">
            <v>NACIONAL</v>
          </cell>
          <cell r="E109" t="str">
            <v>CLP</v>
          </cell>
          <cell r="F109">
            <v>58.82</v>
          </cell>
          <cell r="G109">
            <v>58.82</v>
          </cell>
          <cell r="H109">
            <v>58.823500000000003</v>
          </cell>
          <cell r="I109">
            <v>100</v>
          </cell>
          <cell r="J109">
            <v>100</v>
          </cell>
          <cell r="K109" t="str">
            <v>C</v>
          </cell>
          <cell r="R109">
            <v>100</v>
          </cell>
          <cell r="S109">
            <v>0</v>
          </cell>
        </row>
        <row r="110">
          <cell r="A110" t="str">
            <v>REP-0523</v>
          </cell>
          <cell r="B110" t="str">
            <v>GALF</v>
          </cell>
          <cell r="C110" t="str">
            <v>CERRADURA TUBULAR</v>
          </cell>
          <cell r="D110" t="str">
            <v>GALF</v>
          </cell>
          <cell r="E110" t="str">
            <v>CLP</v>
          </cell>
          <cell r="F110">
            <v>1527</v>
          </cell>
          <cell r="G110">
            <v>1527</v>
          </cell>
          <cell r="H110">
            <v>1527.7394905660378</v>
          </cell>
          <cell r="I110">
            <v>8000</v>
          </cell>
          <cell r="J110">
            <v>8000</v>
          </cell>
          <cell r="K110" t="str">
            <v>C</v>
          </cell>
          <cell r="R110">
            <v>8000</v>
          </cell>
          <cell r="S110">
            <v>0</v>
          </cell>
        </row>
        <row r="111">
          <cell r="A111" t="str">
            <v>REP-0525</v>
          </cell>
          <cell r="B111" t="str">
            <v/>
          </cell>
          <cell r="C111" t="str">
            <v>BOMBA INTER SHELL</v>
          </cell>
          <cell r="D111" t="str">
            <v>NACIONAL SOC INGENERIA</v>
          </cell>
          <cell r="E111" t="str">
            <v>CLP</v>
          </cell>
          <cell r="F111">
            <v>508047</v>
          </cell>
          <cell r="G111">
            <v>508047</v>
          </cell>
          <cell r="H111">
            <v>533450</v>
          </cell>
          <cell r="I111">
            <v>846667</v>
          </cell>
          <cell r="J111">
            <v>846667</v>
          </cell>
          <cell r="K111" t="str">
            <v>C</v>
          </cell>
          <cell r="R111">
            <v>846667</v>
          </cell>
          <cell r="S111">
            <v>0</v>
          </cell>
        </row>
        <row r="112">
          <cell r="A112" t="str">
            <v>REP-0091</v>
          </cell>
          <cell r="B112" t="str">
            <v>30.00.008</v>
          </cell>
          <cell r="C112" t="str">
            <v>Perno distribución racco 3/8</v>
          </cell>
          <cell r="D112" t="str">
            <v>MIX</v>
          </cell>
          <cell r="E112" t="str">
            <v>EUR</v>
          </cell>
          <cell r="F112">
            <v>2110.1801539875023</v>
          </cell>
          <cell r="G112">
            <v>2110.1801539875019</v>
          </cell>
          <cell r="H112">
            <v>1847.238680679736</v>
          </cell>
          <cell r="I112">
            <v>8995.6601694915262</v>
          </cell>
          <cell r="J112">
            <v>9144.6239556607798</v>
          </cell>
          <cell r="K112" t="str">
            <v>C</v>
          </cell>
          <cell r="O112"/>
          <cell r="Q112"/>
          <cell r="R112">
            <v>8566.6297516567774</v>
          </cell>
          <cell r="S112">
            <v>-6.3205901828932792E-2</v>
          </cell>
        </row>
        <row r="113">
          <cell r="A113" t="str">
            <v>REP-0136</v>
          </cell>
          <cell r="B113" t="str">
            <v>34.00.020</v>
          </cell>
          <cell r="C113" t="str">
            <v>Manómetro glic. 25 bar</v>
          </cell>
          <cell r="D113" t="str">
            <v>MIX</v>
          </cell>
          <cell r="E113" t="str">
            <v>CLP</v>
          </cell>
          <cell r="F113">
            <v>15878</v>
          </cell>
          <cell r="G113">
            <v>12638.309698592071</v>
          </cell>
          <cell r="H113">
            <v>12638.309698592071</v>
          </cell>
          <cell r="I113">
            <v>23297</v>
          </cell>
          <cell r="J113">
            <v>23297</v>
          </cell>
          <cell r="K113" t="str">
            <v>C</v>
          </cell>
          <cell r="O113"/>
          <cell r="Q113"/>
          <cell r="R113">
            <v>23297</v>
          </cell>
          <cell r="S113">
            <v>0</v>
          </cell>
        </row>
        <row r="114">
          <cell r="A114" t="str">
            <v>REP-0238</v>
          </cell>
          <cell r="B114" t="str">
            <v>46839</v>
          </cell>
          <cell r="C114" t="str">
            <v>Sello de aceite (bomba 3cp) CAT</v>
          </cell>
          <cell r="D114" t="str">
            <v>CAT</v>
          </cell>
          <cell r="E114" t="str">
            <v>USD</v>
          </cell>
          <cell r="F114">
            <v>5801.7748933971016</v>
          </cell>
          <cell r="G114">
            <v>5801.7748933971006</v>
          </cell>
          <cell r="H114">
            <v>5870.2270373010433</v>
          </cell>
          <cell r="I114">
            <v>14038.732789817395</v>
          </cell>
          <cell r="J114">
            <v>13872.745110623286</v>
          </cell>
          <cell r="K114" t="str">
            <v>C</v>
          </cell>
          <cell r="O114"/>
          <cell r="Q114"/>
          <cell r="R114">
            <v>13663.171098975865</v>
          </cell>
          <cell r="S114">
            <v>-1.5106888361045139E-2</v>
          </cell>
        </row>
        <row r="115">
          <cell r="A115" t="str">
            <v>REP-0496</v>
          </cell>
          <cell r="B115" t="str">
            <v>09.00.829</v>
          </cell>
          <cell r="C115" t="str">
            <v>Manguera baja presión poliuretano 10M</v>
          </cell>
          <cell r="D115" t="str">
            <v>MIX</v>
          </cell>
          <cell r="E115" t="str">
            <v>EUR</v>
          </cell>
          <cell r="F115">
            <v>14517.657802331936</v>
          </cell>
          <cell r="G115">
            <v>14517.65780233194</v>
          </cell>
          <cell r="H115">
            <v>14517.657802331936</v>
          </cell>
          <cell r="I115">
            <v>34847.347214104819</v>
          </cell>
          <cell r="J115">
            <v>35424.402447535351</v>
          </cell>
          <cell r="K115" t="str">
            <v>C</v>
          </cell>
          <cell r="O115"/>
          <cell r="Q115"/>
          <cell r="R115">
            <v>33185.371144087825</v>
          </cell>
          <cell r="S115">
            <v>-6.3205901828932792E-2</v>
          </cell>
        </row>
        <row r="116">
          <cell r="A116" t="str">
            <v>REP-0282</v>
          </cell>
          <cell r="B116" t="str">
            <v>HT-10</v>
          </cell>
          <cell r="C116" t="str">
            <v>Válvula 5 vías bronce</v>
          </cell>
          <cell r="D116" t="str">
            <v>HIDROTECNICA- CHI</v>
          </cell>
          <cell r="E116" t="str">
            <v>CLP</v>
          </cell>
          <cell r="F116">
            <v>3818.8643007799883</v>
          </cell>
          <cell r="G116">
            <v>3818.8643007799888</v>
          </cell>
          <cell r="H116">
            <v>3875</v>
          </cell>
          <cell r="I116">
            <v>9274</v>
          </cell>
          <cell r="J116">
            <v>9274</v>
          </cell>
          <cell r="K116" t="str">
            <v>C</v>
          </cell>
          <cell r="O116"/>
          <cell r="Q116"/>
          <cell r="R116">
            <v>9274</v>
          </cell>
          <cell r="S116">
            <v>0</v>
          </cell>
        </row>
        <row r="117">
          <cell r="A117" t="str">
            <v>REP-0102</v>
          </cell>
          <cell r="B117" t="str">
            <v>09.02.800</v>
          </cell>
          <cell r="C117" t="str">
            <v>Lanza mousse ST-75</v>
          </cell>
          <cell r="D117" t="str">
            <v>MIX</v>
          </cell>
          <cell r="E117" t="str">
            <v>EUR</v>
          </cell>
          <cell r="F117">
            <v>188655.48470920196</v>
          </cell>
          <cell r="G117">
            <v>188655.48470920196</v>
          </cell>
          <cell r="H117">
            <v>191818.51696699104</v>
          </cell>
          <cell r="I117">
            <v>447968.83667445945</v>
          </cell>
          <cell r="J117">
            <v>455386.98417442618</v>
          </cell>
          <cell r="K117" t="str">
            <v>C</v>
          </cell>
          <cell r="L117">
            <v>229140.38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>
            <v>426603.83915852365</v>
          </cell>
          <cell r="S117">
            <v>-6.3205901828932737E-2</v>
          </cell>
        </row>
        <row r="118">
          <cell r="A118" t="str">
            <v>REP-0162</v>
          </cell>
          <cell r="B118" t="str">
            <v>23.00.361</v>
          </cell>
          <cell r="C118" t="str">
            <v>Contaimpulsos (numeral Mself)</v>
          </cell>
          <cell r="D118" t="str">
            <v>MIX</v>
          </cell>
          <cell r="E118" t="str">
            <v>EUR</v>
          </cell>
          <cell r="F118">
            <v>15994.302508884075</v>
          </cell>
          <cell r="G118">
            <v>15994.302508884075</v>
          </cell>
          <cell r="H118">
            <v>16816.55342712114</v>
          </cell>
          <cell r="I118">
            <v>37055.268449249954</v>
          </cell>
          <cell r="J118">
            <v>37668.88579158119</v>
          </cell>
          <cell r="K118" t="str">
            <v>C</v>
          </cell>
          <cell r="R118">
            <v>35287.989894233229</v>
          </cell>
          <cell r="S118">
            <v>-6.3205901828932751E-2</v>
          </cell>
        </row>
        <row r="119">
          <cell r="A119" t="str">
            <v>REP-0047</v>
          </cell>
          <cell r="B119" t="str">
            <v>09.01.408</v>
          </cell>
          <cell r="C119" t="str">
            <v>Cable fichero 1,50 cm</v>
          </cell>
          <cell r="D119" t="str">
            <v>MIX</v>
          </cell>
          <cell r="E119" t="str">
            <v>EUR</v>
          </cell>
          <cell r="F119">
            <v>5782.2315759608719</v>
          </cell>
          <cell r="G119">
            <v>5782.2315759608719</v>
          </cell>
          <cell r="H119">
            <v>6305.9965243431907</v>
          </cell>
          <cell r="I119">
            <v>13037.597340736413</v>
          </cell>
          <cell r="J119">
            <v>13253.493653606585</v>
          </cell>
          <cell r="K119" t="str">
            <v>C</v>
          </cell>
          <cell r="O119"/>
          <cell r="Q119"/>
          <cell r="R119">
            <v>12415.794634846345</v>
          </cell>
          <cell r="S119">
            <v>-6.3205901828932709E-2</v>
          </cell>
        </row>
        <row r="120">
          <cell r="A120" t="str">
            <v>REP-0278</v>
          </cell>
          <cell r="B120" t="str">
            <v>HT-05</v>
          </cell>
          <cell r="C120" t="str">
            <v>Válvula de pié estanque</v>
          </cell>
          <cell r="D120" t="str">
            <v>HIDROTECNICA- CHI</v>
          </cell>
          <cell r="E120" t="str">
            <v>CLP</v>
          </cell>
          <cell r="F120">
            <v>8469.3874699045391</v>
          </cell>
          <cell r="G120">
            <v>8469.3874699045409</v>
          </cell>
          <cell r="H120">
            <v>8469.3874699045391</v>
          </cell>
          <cell r="I120">
            <v>18900</v>
          </cell>
          <cell r="J120">
            <v>18900</v>
          </cell>
          <cell r="K120" t="str">
            <v>C</v>
          </cell>
          <cell r="O120"/>
          <cell r="Q120"/>
          <cell r="R120">
            <v>18900</v>
          </cell>
          <cell r="S120">
            <v>0</v>
          </cell>
        </row>
        <row r="121">
          <cell r="A121" t="str">
            <v>REP-0015</v>
          </cell>
          <cell r="B121" t="str">
            <v>09.00.275</v>
          </cell>
          <cell r="C121" t="str">
            <v>Bomba de osmosis para nueva Mself</v>
          </cell>
          <cell r="D121" t="str">
            <v>MIX</v>
          </cell>
          <cell r="E121" t="str">
            <v>EUR</v>
          </cell>
          <cell r="F121">
            <v>153305.41656421477</v>
          </cell>
          <cell r="G121">
            <v>153305.41656421477</v>
          </cell>
          <cell r="H121">
            <v>149651.51183440987</v>
          </cell>
          <cell r="I121">
            <v>323078.20022404054</v>
          </cell>
          <cell r="J121">
            <v>328428.21912508155</v>
          </cell>
          <cell r="K121" t="str">
            <v>C</v>
          </cell>
          <cell r="L121">
            <v>135685</v>
          </cell>
          <cell r="M121">
            <v>376900</v>
          </cell>
          <cell r="N121">
            <v>0</v>
          </cell>
          <cell r="O121">
            <v>0</v>
          </cell>
          <cell r="P121">
            <v>323078.20022404054</v>
          </cell>
          <cell r="Q121" t="e">
            <v>#DIV/0!</v>
          </cell>
          <cell r="R121">
            <v>307669.61734921043</v>
          </cell>
          <cell r="S121">
            <v>-6.3205901828932765E-2</v>
          </cell>
        </row>
        <row r="122">
          <cell r="A122" t="str">
            <v>REP-0052</v>
          </cell>
          <cell r="B122" t="str">
            <v>09.01.686</v>
          </cell>
          <cell r="C122" t="str">
            <v>Bisagras centro puerta Mself</v>
          </cell>
          <cell r="D122" t="str">
            <v>MIX</v>
          </cell>
          <cell r="E122" t="str">
            <v>EUR</v>
          </cell>
          <cell r="F122">
            <v>12402.069410538703</v>
          </cell>
          <cell r="G122">
            <v>12402.069410538705</v>
          </cell>
          <cell r="H122">
            <v>15918.16491079379</v>
          </cell>
          <cell r="I122">
            <v>26054.306117280346</v>
          </cell>
          <cell r="J122">
            <v>26485.752838489938</v>
          </cell>
          <cell r="K122" t="str">
            <v>C</v>
          </cell>
          <cell r="O122"/>
          <cell r="Q122"/>
          <cell r="R122">
            <v>24811.696944714968</v>
          </cell>
          <cell r="S122">
            <v>-6.3205901828932681E-2</v>
          </cell>
        </row>
        <row r="123">
          <cell r="A123" t="str">
            <v>REP-0031</v>
          </cell>
          <cell r="B123" t="str">
            <v>09.00.827</v>
          </cell>
          <cell r="C123" t="str">
            <v>Tee acero inox 1/2 MFM He-He-Hi central</v>
          </cell>
          <cell r="D123" t="str">
            <v>MIX</v>
          </cell>
          <cell r="E123" t="str">
            <v>EUR</v>
          </cell>
          <cell r="F123">
            <v>5120.8516960206371</v>
          </cell>
          <cell r="G123">
            <v>5498.4619403972838</v>
          </cell>
          <cell r="H123">
            <v>6030.1384728630037</v>
          </cell>
          <cell r="I123">
            <v>11365.467777128386</v>
          </cell>
          <cell r="J123">
            <v>11553.674432311693</v>
          </cell>
          <cell r="K123" t="str">
            <v>C</v>
          </cell>
          <cell r="L123">
            <v>7644</v>
          </cell>
          <cell r="M123">
            <v>0</v>
          </cell>
          <cell r="O123">
            <v>0</v>
          </cell>
          <cell r="P123">
            <v>11365.467777128386</v>
          </cell>
          <cell r="Q123" t="e">
            <v>#DIV/0!</v>
          </cell>
          <cell r="R123">
            <v>10823.41402037955</v>
          </cell>
          <cell r="S123">
            <v>-6.3205901828932667E-2</v>
          </cell>
        </row>
        <row r="124">
          <cell r="A124" t="str">
            <v>REP-0014</v>
          </cell>
          <cell r="B124" t="str">
            <v>09.00.208</v>
          </cell>
          <cell r="C124" t="str">
            <v>Lanza 1200mm por cepillo</v>
          </cell>
          <cell r="D124" t="str">
            <v>MIX</v>
          </cell>
          <cell r="E124" t="str">
            <v>EUR</v>
          </cell>
          <cell r="F124">
            <v>10917.901079204114</v>
          </cell>
          <cell r="G124">
            <v>10917.901079204117</v>
          </cell>
          <cell r="H124">
            <v>12445.884021651029</v>
          </cell>
          <cell r="I124">
            <v>22763.312828755115</v>
          </cell>
          <cell r="J124">
            <v>23140.262291144398</v>
          </cell>
          <cell r="K124" t="str">
            <v>C</v>
          </cell>
          <cell r="L124">
            <v>25000</v>
          </cell>
          <cell r="M124">
            <v>29155</v>
          </cell>
          <cell r="N124">
            <v>0</v>
          </cell>
          <cell r="O124">
            <v>0</v>
          </cell>
          <cell r="P124">
            <v>22763.312828755115</v>
          </cell>
          <cell r="Q124" t="e">
            <v>#DIV/0!</v>
          </cell>
          <cell r="R124">
            <v>21677.661144474572</v>
          </cell>
          <cell r="S124">
            <v>-6.3205901828932681E-2</v>
          </cell>
        </row>
        <row r="125">
          <cell r="A125" t="str">
            <v>REP-0156</v>
          </cell>
          <cell r="B125" t="str">
            <v>09.01.616</v>
          </cell>
          <cell r="C125" t="str">
            <v>Inyector colector pvc (blanco o negro)</v>
          </cell>
          <cell r="D125" t="str">
            <v>MIX</v>
          </cell>
          <cell r="E125" t="str">
            <v>EUR</v>
          </cell>
          <cell r="F125">
            <v>30324.194791172275</v>
          </cell>
          <cell r="G125">
            <v>30324.194791172275</v>
          </cell>
          <cell r="H125">
            <v>37907.448195573939</v>
          </cell>
          <cell r="I125">
            <v>62327.297837521925</v>
          </cell>
          <cell r="J125">
            <v>63359.407776386011</v>
          </cell>
          <cell r="K125" t="str">
            <v>C</v>
          </cell>
          <cell r="R125">
            <v>59354.719268532441</v>
          </cell>
          <cell r="S125">
            <v>-6.3205901828932723E-2</v>
          </cell>
        </row>
        <row r="126">
          <cell r="A126" t="str">
            <v>REP-0055</v>
          </cell>
          <cell r="B126" t="str">
            <v>09.01.716</v>
          </cell>
          <cell r="C126" t="str">
            <v>Filtro aspiradora tambor metálico</v>
          </cell>
          <cell r="D126" t="str">
            <v>MIX</v>
          </cell>
          <cell r="E126" t="str">
            <v>EUR</v>
          </cell>
          <cell r="F126">
            <v>129931.45136649186</v>
          </cell>
          <cell r="G126">
            <v>115615.41488741581</v>
          </cell>
          <cell r="H126">
            <v>156373.82573499298</v>
          </cell>
          <cell r="I126">
            <v>234813.57222871619</v>
          </cell>
          <cell r="J126">
            <v>238701.97153505572</v>
          </cell>
          <cell r="K126" t="str">
            <v>C</v>
          </cell>
          <cell r="O126"/>
          <cell r="Q126"/>
          <cell r="R126">
            <v>223614.59815583829</v>
          </cell>
          <cell r="S126">
            <v>-6.3205901828932751E-2</v>
          </cell>
        </row>
        <row r="127">
          <cell r="A127" t="str">
            <v>REP-0098</v>
          </cell>
          <cell r="B127" t="str">
            <v>31.00.075</v>
          </cell>
          <cell r="C127" t="str">
            <v>Boquilla lanza 1/8\</v>
          </cell>
          <cell r="D127" t="str">
            <v>MIX</v>
          </cell>
          <cell r="E127" t="str">
            <v>EUR</v>
          </cell>
          <cell r="F127">
            <v>3860.9596120790511</v>
          </cell>
          <cell r="G127">
            <v>4061.2324878289983</v>
          </cell>
          <cell r="H127">
            <v>4647.9998969746121</v>
          </cell>
          <cell r="I127">
            <v>8073.4300603935335</v>
          </cell>
          <cell r="J127">
            <v>8207.1221615299946</v>
          </cell>
          <cell r="K127" t="str">
            <v>C</v>
          </cell>
          <cell r="R127">
            <v>7688.3836038902718</v>
          </cell>
          <cell r="S127">
            <v>-6.3205901828932695E-2</v>
          </cell>
        </row>
        <row r="128">
          <cell r="A128" t="str">
            <v>REP-0056</v>
          </cell>
          <cell r="B128" t="str">
            <v>09.01.726</v>
          </cell>
          <cell r="C128" t="str">
            <v>Cerradura aspiradora Twister &amp; Dry</v>
          </cell>
          <cell r="D128" t="str">
            <v>MIX</v>
          </cell>
          <cell r="E128" t="str">
            <v>EUR</v>
          </cell>
          <cell r="F128">
            <v>36498.073569309585</v>
          </cell>
          <cell r="G128">
            <v>36498.073569309585</v>
          </cell>
          <cell r="H128">
            <v>41559.322396339419</v>
          </cell>
          <cell r="I128">
            <v>71977.814494447695</v>
          </cell>
          <cell r="J128">
            <v>73169.732326520185</v>
          </cell>
          <cell r="K128" t="str">
            <v>C</v>
          </cell>
          <cell r="O128"/>
          <cell r="Q128"/>
          <cell r="R128">
            <v>68544.973408240869</v>
          </cell>
          <cell r="S128">
            <v>-6.3205901828932667E-2</v>
          </cell>
        </row>
        <row r="129">
          <cell r="A129" t="str">
            <v>REP-0357</v>
          </cell>
          <cell r="B129" t="str">
            <v>09.03.092ROSSO</v>
          </cell>
          <cell r="C129" t="str">
            <v>Manguera 4.0 mts color rojo</v>
          </cell>
          <cell r="D129" t="str">
            <v>MIX</v>
          </cell>
          <cell r="E129" t="str">
            <v>EUR</v>
          </cell>
          <cell r="F129">
            <v>37408.886177537061</v>
          </cell>
          <cell r="G129">
            <v>37408.886177537061</v>
          </cell>
          <cell r="H129">
            <v>43832.782253417477</v>
          </cell>
          <cell r="I129">
            <v>73413.903282680709</v>
          </cell>
          <cell r="J129">
            <v>74629.602051242531</v>
          </cell>
          <cell r="K129" t="str">
            <v>C</v>
          </cell>
          <cell r="R129">
            <v>69912.570750459374</v>
          </cell>
          <cell r="S129">
            <v>-6.3205901828932806E-2</v>
          </cell>
        </row>
        <row r="130">
          <cell r="A130" t="str">
            <v>REP-0412</v>
          </cell>
          <cell r="B130" t="str">
            <v>09.03.248</v>
          </cell>
          <cell r="C130" t="str">
            <v>Boquilla verde para pistola (lava interior)</v>
          </cell>
          <cell r="D130" t="str">
            <v xml:space="preserve">MIX </v>
          </cell>
          <cell r="E130" t="str">
            <v>EUR</v>
          </cell>
          <cell r="F130">
            <v>25401.050079467452</v>
          </cell>
          <cell r="G130">
            <v>25624.012015102675</v>
          </cell>
          <cell r="H130">
            <v>29676.436746041236</v>
          </cell>
          <cell r="I130">
            <v>50265.196444574329</v>
          </cell>
          <cell r="J130">
            <v>51097.563812154462</v>
          </cell>
          <cell r="K130" t="str">
            <v>C</v>
          </cell>
          <cell r="O130"/>
          <cell r="Q130"/>
          <cell r="R130">
            <v>47867.896210145802</v>
          </cell>
          <cell r="S130">
            <v>-6.3205901828932709E-2</v>
          </cell>
        </row>
        <row r="131">
          <cell r="A131" t="str">
            <v>REP-0339</v>
          </cell>
          <cell r="B131">
            <v>0</v>
          </cell>
          <cell r="C131" t="str">
            <v>Kit analizador de durezas de alto rango 100 determinaciones</v>
          </cell>
          <cell r="D131" t="str">
            <v>INQUINAT CHILE LIMITADA</v>
          </cell>
          <cell r="E131" t="str">
            <v>CLP</v>
          </cell>
          <cell r="F131">
            <v>49058</v>
          </cell>
          <cell r="G131">
            <v>33757.264423076929</v>
          </cell>
          <cell r="H131">
            <v>32950</v>
          </cell>
          <cell r="I131">
            <v>65372</v>
          </cell>
          <cell r="J131">
            <v>65372</v>
          </cell>
          <cell r="K131" t="str">
            <v>C</v>
          </cell>
          <cell r="R131">
            <v>65372</v>
          </cell>
          <cell r="S131">
            <v>0</v>
          </cell>
        </row>
        <row r="132">
          <cell r="A132" t="str">
            <v>REP-0024</v>
          </cell>
          <cell r="B132" t="str">
            <v>09.00.487</v>
          </cell>
          <cell r="C132" t="str">
            <v>Bomba dosificadora de  cera</v>
          </cell>
          <cell r="D132" t="str">
            <v>MIX</v>
          </cell>
          <cell r="E132" t="str">
            <v>EUR</v>
          </cell>
          <cell r="F132">
            <v>151393.75002690151</v>
          </cell>
          <cell r="G132">
            <v>167718.42879387768</v>
          </cell>
          <cell r="H132">
            <v>164008.27452865592</v>
          </cell>
          <cell r="I132">
            <v>317867.54788622644</v>
          </cell>
          <cell r="J132">
            <v>323131.28090207081</v>
          </cell>
          <cell r="K132" t="str">
            <v>C</v>
          </cell>
          <cell r="O132"/>
          <cell r="Q132"/>
          <cell r="R132">
            <v>302707.47688351723</v>
          </cell>
          <cell r="S132">
            <v>-6.3205901828932751E-2</v>
          </cell>
        </row>
        <row r="133">
          <cell r="A133" t="str">
            <v>REP-0126</v>
          </cell>
          <cell r="B133" t="str">
            <v>09.00.411</v>
          </cell>
          <cell r="C133" t="str">
            <v>Válvula de fondo para bidón shampoo</v>
          </cell>
          <cell r="D133" t="str">
            <v>MIX</v>
          </cell>
          <cell r="E133" t="str">
            <v>EUR</v>
          </cell>
          <cell r="F133">
            <v>24228.740339729527</v>
          </cell>
          <cell r="G133">
            <v>24228.740339729527</v>
          </cell>
          <cell r="H133">
            <v>25592.083009959602</v>
          </cell>
          <cell r="I133">
            <v>45858.753828170666</v>
          </cell>
          <cell r="J133">
            <v>46618.152634988219</v>
          </cell>
          <cell r="K133" t="str">
            <v>C</v>
          </cell>
          <cell r="O133"/>
          <cell r="Q133"/>
          <cell r="R133">
            <v>43671.610256094951</v>
          </cell>
          <cell r="S133">
            <v>-6.3205901828932737E-2</v>
          </cell>
        </row>
        <row r="134">
          <cell r="A134" t="str">
            <v>REP-0092</v>
          </cell>
          <cell r="B134" t="str">
            <v>30.00.010</v>
          </cell>
          <cell r="C134" t="str">
            <v>Perno conector 3/8 CAT</v>
          </cell>
          <cell r="D134" t="str">
            <v>MIX</v>
          </cell>
          <cell r="E134" t="str">
            <v>EUR</v>
          </cell>
          <cell r="F134">
            <v>2552.3059174929722</v>
          </cell>
          <cell r="G134">
            <v>2552.3059174929726</v>
          </cell>
          <cell r="H134">
            <v>2943.0582370151733</v>
          </cell>
          <cell r="I134">
            <v>4728.1265049678559</v>
          </cell>
          <cell r="J134">
            <v>4806.4219955040471</v>
          </cell>
          <cell r="K134" t="str">
            <v>C</v>
          </cell>
          <cell r="O134"/>
          <cell r="Q134"/>
          <cell r="R134">
            <v>4502.6277587077948</v>
          </cell>
          <cell r="S134">
            <v>-6.3205901828932848E-2</v>
          </cell>
        </row>
        <row r="135">
          <cell r="A135" t="str">
            <v>REP-0388</v>
          </cell>
          <cell r="B135" t="str">
            <v>09.03.223</v>
          </cell>
          <cell r="C135" t="str">
            <v>Manguera aspiración agua delgada (lava interior)</v>
          </cell>
          <cell r="D135" t="str">
            <v>MIX</v>
          </cell>
          <cell r="E135" t="str">
            <v>EUR</v>
          </cell>
          <cell r="F135">
            <v>34418.250983459169</v>
          </cell>
          <cell r="G135">
            <v>34418.250983459169</v>
          </cell>
          <cell r="H135">
            <v>37347.933281714635</v>
          </cell>
          <cell r="I135">
            <v>60311.5513929476</v>
          </cell>
          <cell r="J135">
            <v>61310.28154459392</v>
          </cell>
          <cell r="K135" t="str">
            <v>C</v>
          </cell>
          <cell r="R135">
            <v>57435.109908182087</v>
          </cell>
          <cell r="S135">
            <v>-6.3205901828932792E-2</v>
          </cell>
        </row>
        <row r="136">
          <cell r="A136" t="str">
            <v>REP-0503</v>
          </cell>
          <cell r="B136" t="str">
            <v/>
          </cell>
          <cell r="C136" t="str">
            <v xml:space="preserve">Manguera entrada EV alta presión </v>
          </cell>
          <cell r="D136" t="str">
            <v>NACIONAL</v>
          </cell>
          <cell r="E136" t="str">
            <v>CLP</v>
          </cell>
          <cell r="F136">
            <v>8618</v>
          </cell>
          <cell r="G136">
            <v>8618</v>
          </cell>
          <cell r="H136">
            <v>8618</v>
          </cell>
          <cell r="I136">
            <v>14990</v>
          </cell>
          <cell r="J136">
            <v>14990</v>
          </cell>
          <cell r="K136" t="str">
            <v>C</v>
          </cell>
          <cell r="R136">
            <v>14990</v>
          </cell>
          <cell r="S136">
            <v>0</v>
          </cell>
        </row>
        <row r="137">
          <cell r="A137" t="str">
            <v>REP-0090</v>
          </cell>
          <cell r="B137" t="str">
            <v>29.00.243</v>
          </cell>
          <cell r="C137" t="str">
            <v>reducción 1/2\-1/4\, inox uso cepillo USA</v>
          </cell>
          <cell r="D137" t="str">
            <v>MIX</v>
          </cell>
          <cell r="E137" t="str">
            <v>EUR</v>
          </cell>
          <cell r="F137">
            <v>1483.4213246408992</v>
          </cell>
          <cell r="G137">
            <v>1938.3606599983427</v>
          </cell>
          <cell r="H137">
            <v>1815.9787627690971</v>
          </cell>
          <cell r="I137">
            <v>3280.5490064289893</v>
          </cell>
          <cell r="J137">
            <v>3334.8733129839211</v>
          </cell>
          <cell r="K137" t="str">
            <v>C</v>
          </cell>
          <cell r="O137"/>
          <cell r="Q137"/>
          <cell r="R137">
            <v>3124.0896377515319</v>
          </cell>
          <cell r="S137">
            <v>-6.3205901828932681E-2</v>
          </cell>
        </row>
        <row r="138">
          <cell r="A138" t="str">
            <v>REP-0414</v>
          </cell>
          <cell r="B138" t="str">
            <v>09.03.250</v>
          </cell>
          <cell r="C138" t="str">
            <v xml:space="preserve"> Manguito boquilla aspirado lava tapiz (lava interior)</v>
          </cell>
          <cell r="D138" t="str">
            <v>MIX</v>
          </cell>
          <cell r="E138" t="str">
            <v>EUR</v>
          </cell>
          <cell r="F138">
            <v>7225.8892408046377</v>
          </cell>
          <cell r="G138">
            <v>7225.8892408046386</v>
          </cell>
          <cell r="H138">
            <v>7176.0526374880601</v>
          </cell>
          <cell r="I138">
            <v>11483.488164815899</v>
          </cell>
          <cell r="J138">
            <v>11673.649180597966</v>
          </cell>
          <cell r="K138" t="str">
            <v>C</v>
          </cell>
          <cell r="O138"/>
          <cell r="Q138"/>
          <cell r="R138">
            <v>10935.80565650369</v>
          </cell>
          <cell r="S138">
            <v>-6.3205901828932751E-2</v>
          </cell>
        </row>
        <row r="139">
          <cell r="A139" t="str">
            <v>REP-0389</v>
          </cell>
          <cell r="B139" t="str">
            <v>09.03.224</v>
          </cell>
          <cell r="C139" t="str">
            <v>Motor modulo aspiración agua (lava interior)</v>
          </cell>
          <cell r="D139" t="str">
            <v>MIX</v>
          </cell>
          <cell r="E139" t="str">
            <v>EUR</v>
          </cell>
          <cell r="F139">
            <v>356031.69855889271</v>
          </cell>
          <cell r="G139">
            <v>356031.69855889271</v>
          </cell>
          <cell r="H139">
            <v>352222.33496075793</v>
          </cell>
          <cell r="I139">
            <v>562910.25000000012</v>
          </cell>
          <cell r="J139">
            <v>572231.77177089429</v>
          </cell>
          <cell r="K139" t="str">
            <v>C</v>
          </cell>
          <cell r="R139">
            <v>536063.34658094693</v>
          </cell>
          <cell r="S139">
            <v>-6.3205901828932681E-2</v>
          </cell>
        </row>
        <row r="140">
          <cell r="A140" t="str">
            <v>INS-0015</v>
          </cell>
          <cell r="B140" t="str">
            <v>09.01.322</v>
          </cell>
          <cell r="C140" t="str">
            <v>Lavallantas r7 (22KG)</v>
          </cell>
          <cell r="D140" t="str">
            <v>NACIONAL</v>
          </cell>
          <cell r="E140" t="str">
            <v>CLP</v>
          </cell>
          <cell r="F140">
            <v>63741</v>
          </cell>
          <cell r="G140">
            <v>58410.787205563458</v>
          </cell>
          <cell r="H140">
            <v>58410.787205563458</v>
          </cell>
          <cell r="I140">
            <v>92850</v>
          </cell>
          <cell r="J140">
            <v>94387.551139684394</v>
          </cell>
          <cell r="K140" t="str">
            <v>C</v>
          </cell>
          <cell r="R140">
            <v>94387.551139684394</v>
          </cell>
          <cell r="S140">
            <v>0</v>
          </cell>
        </row>
        <row r="141">
          <cell r="A141" t="str">
            <v>REP-0410</v>
          </cell>
          <cell r="B141" t="str">
            <v>09.03.246</v>
          </cell>
          <cell r="C141" t="str">
            <v>Boquilla bronce para pistola (lava interior)</v>
          </cell>
          <cell r="D141" t="str">
            <v>MIX</v>
          </cell>
          <cell r="E141" t="str">
            <v>EUR</v>
          </cell>
          <cell r="F141">
            <v>33503.89092007382</v>
          </cell>
          <cell r="G141">
            <v>33503.89092007382</v>
          </cell>
          <cell r="H141">
            <v>33353.904872850326</v>
          </cell>
          <cell r="I141">
            <v>52270.49860705241</v>
          </cell>
          <cell r="J141">
            <v>53136.072809584934</v>
          </cell>
          <cell r="K141" t="str">
            <v>C</v>
          </cell>
          <cell r="R141">
            <v>49777.559408007284</v>
          </cell>
          <cell r="S141">
            <v>-6.3205901828932778E-2</v>
          </cell>
        </row>
        <row r="142">
          <cell r="A142" t="str">
            <v>REP-0366</v>
          </cell>
          <cell r="B142" t="str">
            <v/>
          </cell>
          <cell r="C142" t="str">
            <v>Codo bronce 1/4 HE- HI</v>
          </cell>
          <cell r="D142" t="str">
            <v>NACIONAL</v>
          </cell>
          <cell r="E142" t="str">
            <v>CLP</v>
          </cell>
          <cell r="F142">
            <v>1934.4000000000003</v>
          </cell>
          <cell r="G142">
            <v>1934.4000000000003</v>
          </cell>
          <cell r="H142">
            <v>1934.400000000001</v>
          </cell>
          <cell r="I142">
            <v>3044</v>
          </cell>
          <cell r="J142">
            <v>3044</v>
          </cell>
          <cell r="K142" t="str">
            <v>C</v>
          </cell>
          <cell r="R142">
            <v>3044</v>
          </cell>
          <cell r="S142">
            <v>0</v>
          </cell>
        </row>
        <row r="143">
          <cell r="A143" t="str">
            <v>REP-0054</v>
          </cell>
          <cell r="B143" t="str">
            <v>09.01.702</v>
          </cell>
          <cell r="C143" t="str">
            <v>Manguera soplado Twister&amp;Dry</v>
          </cell>
          <cell r="D143" t="str">
            <v>MIX</v>
          </cell>
          <cell r="E143" t="str">
            <v>EUR</v>
          </cell>
          <cell r="F143">
            <v>77777.87110110723</v>
          </cell>
          <cell r="G143">
            <v>77777.871101107245</v>
          </cell>
          <cell r="H143">
            <v>88410.721805143054</v>
          </cell>
          <cell r="I143">
            <v>114749.23853496982</v>
          </cell>
          <cell r="J143">
            <v>116649.43048421439</v>
          </cell>
          <cell r="K143" t="str">
            <v>C</v>
          </cell>
          <cell r="O143"/>
          <cell r="Q143"/>
          <cell r="R143">
            <v>98234.135339047833</v>
          </cell>
          <cell r="S143">
            <v>-0.15786871027766064</v>
          </cell>
        </row>
        <row r="144">
          <cell r="A144" t="str">
            <v>INS-0030</v>
          </cell>
          <cell r="B144" t="str">
            <v/>
          </cell>
          <cell r="C144" t="str">
            <v>Perfume citrico alt.</v>
          </cell>
          <cell r="D144" t="str">
            <v>NACIONAL</v>
          </cell>
          <cell r="E144" t="str">
            <v>CLP</v>
          </cell>
          <cell r="F144">
            <v>13004.918608851091</v>
          </cell>
          <cell r="G144">
            <v>13004.918608851092</v>
          </cell>
          <cell r="H144">
            <v>13004</v>
          </cell>
          <cell r="I144">
            <v>18001</v>
          </cell>
          <cell r="J144">
            <v>18299.087862848239</v>
          </cell>
          <cell r="K144" t="str">
            <v>C</v>
          </cell>
          <cell r="R144">
            <v>18299.087862848239</v>
          </cell>
          <cell r="S144">
            <v>0</v>
          </cell>
        </row>
        <row r="145">
          <cell r="A145" t="str">
            <v>REP-0385</v>
          </cell>
          <cell r="B145" t="str">
            <v>09.03.220</v>
          </cell>
          <cell r="C145" t="str">
            <v>Boquilla lavainteriores dry (lava interior)</v>
          </cell>
          <cell r="D145" t="str">
            <v>MIX</v>
          </cell>
          <cell r="E145" t="str">
            <v>EUR</v>
          </cell>
          <cell r="F145">
            <v>46063.053085611427</v>
          </cell>
          <cell r="G145">
            <v>46063.053085611435</v>
          </cell>
          <cell r="H145">
            <v>46063.053085611435</v>
          </cell>
          <cell r="I145">
            <v>57579</v>
          </cell>
          <cell r="J145">
            <v>58532.480420806547</v>
          </cell>
          <cell r="K145" t="str">
            <v>C</v>
          </cell>
          <cell r="O145"/>
          <cell r="Q145"/>
          <cell r="R145">
            <v>54832.882209525123</v>
          </cell>
          <cell r="S145">
            <v>-6.3205901828932695E-2</v>
          </cell>
        </row>
        <row r="146">
          <cell r="A146" t="str">
            <v>REP-0345</v>
          </cell>
          <cell r="B146" t="str">
            <v>V-17</v>
          </cell>
          <cell r="C146" t="str">
            <v>Termo 100lt Trotter inoxidable 6 kw</v>
          </cell>
          <cell r="D146" t="str">
            <v>URSUS TROTTER</v>
          </cell>
          <cell r="E146" t="str">
            <v>CLP</v>
          </cell>
          <cell r="F146">
            <v>885331.64772624942</v>
          </cell>
          <cell r="G146">
            <v>1017000</v>
          </cell>
          <cell r="H146">
            <v>885497.2</v>
          </cell>
          <cell r="I146">
            <v>1109900</v>
          </cell>
          <cell r="J146">
            <v>1270000</v>
          </cell>
          <cell r="K146" t="str">
            <v>C</v>
          </cell>
          <cell r="O146"/>
          <cell r="Q146"/>
          <cell r="R146">
            <v>1270000</v>
          </cell>
          <cell r="S146">
            <v>0</v>
          </cell>
        </row>
        <row r="147">
          <cell r="A147" t="str">
            <v>REP-0309</v>
          </cell>
          <cell r="B147" t="str">
            <v>09.00.296</v>
          </cell>
          <cell r="C147" t="str">
            <v>Ficha lavado COPEC mod \A\ personalizadas Lavamax</v>
          </cell>
          <cell r="D147" t="str">
            <v>MIX</v>
          </cell>
          <cell r="E147" t="str">
            <v>USD</v>
          </cell>
          <cell r="F147">
            <v>501.21281014827019</v>
          </cell>
          <cell r="G147">
            <v>501.21281014827019</v>
          </cell>
          <cell r="H147">
            <v>521.06271376146788</v>
          </cell>
          <cell r="I147">
            <v>664.25634132086509</v>
          </cell>
          <cell r="J147">
            <v>656.40247230458226</v>
          </cell>
          <cell r="K147" t="str">
            <v>STOCK MUERTO</v>
          </cell>
          <cell r="R147">
            <v>646.48627343556291</v>
          </cell>
          <cell r="S147">
            <v>-1.5106888361045148E-2</v>
          </cell>
        </row>
        <row r="148">
          <cell r="A148" t="str">
            <v>REP-0294</v>
          </cell>
          <cell r="B148" t="str">
            <v>V-10</v>
          </cell>
          <cell r="C148" t="str">
            <v>Ánodo magnesio frontal</v>
          </cell>
          <cell r="D148" t="str">
            <v>URSUS TROTTER</v>
          </cell>
          <cell r="E148" t="str">
            <v>CLP</v>
          </cell>
          <cell r="F148">
            <v>19537.5</v>
          </cell>
          <cell r="G148">
            <v>19544.203590861907</v>
          </cell>
          <cell r="H148">
            <v>19537.5</v>
          </cell>
          <cell r="I148">
            <v>38864</v>
          </cell>
          <cell r="J148">
            <v>38864</v>
          </cell>
          <cell r="K148" t="str">
            <v>STOCK MUERTO</v>
          </cell>
          <cell r="L148">
            <v>14980</v>
          </cell>
          <cell r="M148">
            <v>27500</v>
          </cell>
          <cell r="O148">
            <v>14980</v>
          </cell>
          <cell r="P148">
            <v>23884</v>
          </cell>
          <cell r="Q148">
            <v>1.594392523364486</v>
          </cell>
          <cell r="R148">
            <v>38864</v>
          </cell>
          <cell r="S148">
            <v>0</v>
          </cell>
        </row>
        <row r="149">
          <cell r="A149" t="str">
            <v>REP-0296</v>
          </cell>
          <cell r="B149" t="str">
            <v>V-12</v>
          </cell>
          <cell r="C149" t="str">
            <v>Calefactor 3 Kw -220V (Resistencia)</v>
          </cell>
          <cell r="D149" t="str">
            <v>URSUS TROTTER</v>
          </cell>
          <cell r="E149" t="str">
            <v>CLP</v>
          </cell>
          <cell r="F149">
            <v>20693.098674655048</v>
          </cell>
          <cell r="G149">
            <v>20693.098674655048</v>
          </cell>
          <cell r="H149">
            <v>20693.098674655048</v>
          </cell>
          <cell r="I149">
            <v>38430</v>
          </cell>
          <cell r="J149">
            <v>38430</v>
          </cell>
          <cell r="K149" t="str">
            <v>STOCK MUERTO</v>
          </cell>
          <cell r="R149">
            <v>38430</v>
          </cell>
          <cell r="S149">
            <v>0</v>
          </cell>
        </row>
        <row r="150">
          <cell r="A150" t="str">
            <v>REP-0043</v>
          </cell>
          <cell r="B150" t="str">
            <v>09.01.163</v>
          </cell>
          <cell r="C150" t="str">
            <v>soporte superior fichero G20</v>
          </cell>
          <cell r="D150" t="str">
            <v>MIX</v>
          </cell>
          <cell r="E150" t="str">
            <v>EUR</v>
          </cell>
          <cell r="F150">
            <v>3432.625200514381</v>
          </cell>
          <cell r="G150">
            <v>3432.625200514381</v>
          </cell>
          <cell r="H150">
            <v>3432.625200514381</v>
          </cell>
          <cell r="I150">
            <v>8641.5990064289908</v>
          </cell>
          <cell r="J150">
            <v>8784.6997108019623</v>
          </cell>
          <cell r="K150" t="str">
            <v>STOCK MUERTO</v>
          </cell>
          <cell r="R150">
            <v>8229.4548432843603</v>
          </cell>
          <cell r="S150">
            <v>-6.3205901828932654E-2</v>
          </cell>
        </row>
        <row r="151">
          <cell r="A151" t="str">
            <v>REP-0328</v>
          </cell>
          <cell r="B151">
            <v>0</v>
          </cell>
          <cell r="C151" t="str">
            <v>Resina sunresin SC 130</v>
          </cell>
          <cell r="D151" t="str">
            <v>INQUINAT</v>
          </cell>
          <cell r="E151" t="str">
            <v>USD</v>
          </cell>
          <cell r="F151">
            <v>0</v>
          </cell>
          <cell r="G151">
            <v>0</v>
          </cell>
          <cell r="H151">
            <v>0</v>
          </cell>
          <cell r="I151">
            <v>67972</v>
          </cell>
          <cell r="J151">
            <v>67168.329561998253</v>
          </cell>
          <cell r="K151" t="str">
            <v>STOCK MUERTO</v>
          </cell>
          <cell r="R151">
            <v>66153.625105907267</v>
          </cell>
          <cell r="S151">
            <v>-1.5106888361044986E-2</v>
          </cell>
        </row>
        <row r="152">
          <cell r="A152" t="str">
            <v>REP-0333</v>
          </cell>
          <cell r="B152" t="str">
            <v>28.00.082</v>
          </cell>
          <cell r="C152" t="str">
            <v>Filtro de sedimento texpro</v>
          </cell>
          <cell r="D152" t="str">
            <v>PRODUCTOS INDUSTRIALES S.A</v>
          </cell>
          <cell r="E152" t="str">
            <v>EUR</v>
          </cell>
          <cell r="F152">
            <v>0</v>
          </cell>
          <cell r="G152">
            <v>0</v>
          </cell>
          <cell r="H152">
            <v>0</v>
          </cell>
          <cell r="I152">
            <v>5678</v>
          </cell>
          <cell r="J152">
            <v>5772.0249366841999</v>
          </cell>
          <cell r="K152" t="str">
            <v>STOCK MUERTO</v>
          </cell>
          <cell r="R152">
            <v>5407.1988951819867</v>
          </cell>
          <cell r="S152">
            <v>-6.3205901828932737E-2</v>
          </cell>
        </row>
        <row r="153">
          <cell r="A153" t="str">
            <v>REP-0329</v>
          </cell>
          <cell r="B153" t="str">
            <v>60.00.030</v>
          </cell>
          <cell r="C153" t="str">
            <v>Manguera espiral + terminales para sanitizado</v>
          </cell>
          <cell r="D153" t="str">
            <v>MIX</v>
          </cell>
          <cell r="E153" t="str">
            <v>EUR</v>
          </cell>
          <cell r="F153">
            <v>66422.150024315983</v>
          </cell>
          <cell r="G153">
            <v>66422.150024315983</v>
          </cell>
          <cell r="H153">
            <v>77734.867889283574</v>
          </cell>
          <cell r="I153">
            <v>222333.69955191898</v>
          </cell>
          <cell r="J153">
            <v>226015.43819635949</v>
          </cell>
          <cell r="K153" t="str">
            <v>STOCK MUERTO</v>
          </cell>
          <cell r="R153">
            <v>211729.92859789717</v>
          </cell>
          <cell r="S153">
            <v>-6.3205901828932765E-2</v>
          </cell>
        </row>
        <row r="154">
          <cell r="A154" t="str">
            <v>REP-0336</v>
          </cell>
          <cell r="B154">
            <v>0</v>
          </cell>
          <cell r="C154" t="str">
            <v>Visera para display de 4 cifras</v>
          </cell>
          <cell r="D154" t="str">
            <v>ELECONS</v>
          </cell>
          <cell r="E154" t="str">
            <v>CLP</v>
          </cell>
          <cell r="F154">
            <v>30000</v>
          </cell>
          <cell r="G154">
            <v>30000</v>
          </cell>
          <cell r="H154">
            <v>30000</v>
          </cell>
          <cell r="I154">
            <v>37500</v>
          </cell>
          <cell r="J154">
            <v>37500</v>
          </cell>
          <cell r="K154" t="str">
            <v>STOCK MUERTO</v>
          </cell>
          <cell r="R154">
            <v>37500</v>
          </cell>
          <cell r="S154">
            <v>0</v>
          </cell>
        </row>
        <row r="155">
          <cell r="A155" t="str">
            <v>REP-0254</v>
          </cell>
          <cell r="B155" t="str">
            <v>25625</v>
          </cell>
          <cell r="C155" t="str">
            <v>Tapón inferior aceite (bomba 3cp) CAT</v>
          </cell>
          <cell r="D155" t="str">
            <v>CAT</v>
          </cell>
          <cell r="E155" t="str">
            <v>USD</v>
          </cell>
          <cell r="F155">
            <v>2131.8444</v>
          </cell>
          <cell r="G155">
            <v>2131.8444</v>
          </cell>
          <cell r="H155">
            <v>2131.8444</v>
          </cell>
          <cell r="I155">
            <v>6905.1022212054404</v>
          </cell>
          <cell r="J155">
            <v>6823.459389943112</v>
          </cell>
          <cell r="K155" t="str">
            <v>STOCK MUERTO</v>
          </cell>
          <cell r="R155">
            <v>6720.3781507031163</v>
          </cell>
          <cell r="S155">
            <v>-1.5106888361045135E-2</v>
          </cell>
        </row>
        <row r="156">
          <cell r="A156" t="str">
            <v>REP-0256</v>
          </cell>
          <cell r="B156" t="str">
            <v>92241</v>
          </cell>
          <cell r="C156" t="str">
            <v>Visor nivel de aceite (bomba 3cp) CAT</v>
          </cell>
          <cell r="D156" t="str">
            <v>CAT</v>
          </cell>
          <cell r="E156" t="str">
            <v>USD</v>
          </cell>
          <cell r="F156">
            <v>5701.0212961440711</v>
          </cell>
          <cell r="G156">
            <v>5701.0212961440711</v>
          </cell>
          <cell r="H156">
            <v>5701.0212961440711</v>
          </cell>
          <cell r="I156">
            <v>12106.092196664033</v>
          </cell>
          <cell r="J156">
            <v>11962.955192924515</v>
          </cell>
          <cell r="K156" t="str">
            <v>STOCK MUERTO</v>
          </cell>
          <cell r="R156">
            <v>11782.232164356821</v>
          </cell>
          <cell r="S156">
            <v>-1.5106888361045E-2</v>
          </cell>
        </row>
        <row r="157">
          <cell r="A157" t="str">
            <v>REP-0255</v>
          </cell>
          <cell r="B157" t="str">
            <v>46756</v>
          </cell>
          <cell r="C157" t="str">
            <v>Tapa válvula (bomba 3cp) CAT</v>
          </cell>
          <cell r="D157" t="str">
            <v>CAT</v>
          </cell>
          <cell r="E157" t="str">
            <v>USD</v>
          </cell>
          <cell r="F157">
            <v>14355.094160478206</v>
          </cell>
          <cell r="G157">
            <v>14355.094160478206</v>
          </cell>
          <cell r="H157">
            <v>14355.094160478207</v>
          </cell>
          <cell r="I157">
            <v>29838.709912233269</v>
          </cell>
          <cell r="J157">
            <v>29485.910390892546</v>
          </cell>
          <cell r="K157" t="str">
            <v>STOCK MUERTO</v>
          </cell>
          <cell r="R157">
            <v>29040.470034393555</v>
          </cell>
          <cell r="S157">
            <v>-1.510688836104504E-2</v>
          </cell>
        </row>
        <row r="158">
          <cell r="A158" t="str">
            <v>REP-0253</v>
          </cell>
          <cell r="B158" t="str">
            <v>14480</v>
          </cell>
          <cell r="C158" t="str">
            <v>Rodamiento (bomba 3cp) CAT</v>
          </cell>
          <cell r="D158" t="str">
            <v>CAT</v>
          </cell>
          <cell r="E158" t="str">
            <v>USD</v>
          </cell>
          <cell r="F158">
            <v>17745.783115108923</v>
          </cell>
          <cell r="G158">
            <v>17745.783115108923</v>
          </cell>
          <cell r="H158">
            <v>17745.783115108923</v>
          </cell>
          <cell r="I158">
            <v>33466.597427311674</v>
          </cell>
          <cell r="J158">
            <v>33070.903391343396</v>
          </cell>
          <cell r="K158" t="str">
            <v>STOCK MUERTO</v>
          </cell>
          <cell r="R158">
            <v>32571.304945811466</v>
          </cell>
          <cell r="S158">
            <v>-1.5106888361045035E-2</v>
          </cell>
        </row>
        <row r="159">
          <cell r="A159" t="str">
            <v>REP-0269</v>
          </cell>
          <cell r="B159" t="str">
            <v>D-01</v>
          </cell>
          <cell r="C159" t="str">
            <v>Pulsador armado doble 1NA+1NC- LAY5- EL8325</v>
          </cell>
          <cell r="D159" t="str">
            <v>DARTEL</v>
          </cell>
          <cell r="E159" t="str">
            <v>USD</v>
          </cell>
          <cell r="F159">
            <v>1779.9321428571432</v>
          </cell>
          <cell r="G159">
            <v>1779.9321428571432</v>
          </cell>
          <cell r="H159">
            <v>1779.9321428571432</v>
          </cell>
          <cell r="I159">
            <v>12893</v>
          </cell>
          <cell r="J159">
            <v>12740.558951374735</v>
          </cell>
          <cell r="K159" t="str">
            <v>STOCK MUERTO</v>
          </cell>
          <cell r="R159">
            <v>12548.088749639002</v>
          </cell>
          <cell r="S159">
            <v>-1.510688836104512E-2</v>
          </cell>
        </row>
        <row r="160">
          <cell r="A160" t="str">
            <v>REP-0338</v>
          </cell>
          <cell r="B160">
            <v>0</v>
          </cell>
          <cell r="C160" t="str">
            <v>Copla bronce  HI-HI 1/2 x 1/2 nacional</v>
          </cell>
          <cell r="D160" t="str">
            <v>Centro comercial Vicuña Mackenna</v>
          </cell>
          <cell r="E160" t="str">
            <v>CLP</v>
          </cell>
          <cell r="F160">
            <v>1282.1428571428573</v>
          </cell>
          <cell r="G160">
            <v>1282.1428571428573</v>
          </cell>
          <cell r="H160">
            <v>1282.1428571428573</v>
          </cell>
          <cell r="I160">
            <v>1939</v>
          </cell>
          <cell r="J160">
            <v>1939</v>
          </cell>
          <cell r="K160" t="str">
            <v>STOCK MUERTO</v>
          </cell>
          <cell r="R160">
            <v>1939</v>
          </cell>
          <cell r="S160">
            <v>0</v>
          </cell>
        </row>
        <row r="161">
          <cell r="A161" t="str">
            <v>REP-0245</v>
          </cell>
          <cell r="B161" t="str">
            <v>14041</v>
          </cell>
          <cell r="C161" t="str">
            <v>O-ring tapa (bomba 3cp) CAT</v>
          </cell>
          <cell r="D161" t="str">
            <v>CAT</v>
          </cell>
          <cell r="E161" t="str">
            <v>USD</v>
          </cell>
          <cell r="F161">
            <v>1509.5430000000001</v>
          </cell>
          <cell r="G161">
            <v>1509.5430000000001</v>
          </cell>
          <cell r="H161">
            <v>1509.5430000000001</v>
          </cell>
          <cell r="I161">
            <v>6459.8659581548191</v>
          </cell>
          <cell r="J161">
            <v>6383.4874007484923</v>
          </cell>
          <cell r="K161" t="str">
            <v>STOCK MUERTO</v>
          </cell>
          <cell r="R161">
            <v>6287.0527692312471</v>
          </cell>
          <cell r="S161">
            <v>-1.5106888361045059E-2</v>
          </cell>
        </row>
        <row r="162">
          <cell r="A162" t="str">
            <v>REP-0248</v>
          </cell>
          <cell r="B162" t="str">
            <v>48201</v>
          </cell>
          <cell r="C162" t="str">
            <v>Retainer, plunger w/stud3/5cp</v>
          </cell>
          <cell r="D162" t="str">
            <v>CAT</v>
          </cell>
          <cell r="E162" t="str">
            <v>USD</v>
          </cell>
          <cell r="F162">
            <v>1509.5430000000003</v>
          </cell>
          <cell r="G162">
            <v>1509.5430000000003</v>
          </cell>
          <cell r="H162">
            <v>1509.5430000000003</v>
          </cell>
          <cell r="I162">
            <v>4973.446664032278</v>
          </cell>
          <cell r="J162">
            <v>4914.6428616009662</v>
          </cell>
          <cell r="K162" t="str">
            <v>STOCK MUERTO</v>
          </cell>
          <cell r="R162">
            <v>4840.3979005563533</v>
          </cell>
          <cell r="S162">
            <v>-1.5106888361045068E-2</v>
          </cell>
        </row>
        <row r="163">
          <cell r="A163" t="str">
            <v>REP-0035</v>
          </cell>
          <cell r="B163" t="str">
            <v>09.01.011</v>
          </cell>
          <cell r="C163" t="str">
            <v>Codo 90° 1/2 MX20</v>
          </cell>
          <cell r="D163" t="str">
            <v>MIX</v>
          </cell>
          <cell r="E163" t="str">
            <v>EUR</v>
          </cell>
          <cell r="F163">
            <v>4652.137386986723</v>
          </cell>
          <cell r="G163">
            <v>4652.137386986723</v>
          </cell>
          <cell r="H163">
            <v>11722.138339771072</v>
          </cell>
          <cell r="I163">
            <v>12008.835554256772</v>
          </cell>
          <cell r="J163">
            <v>12207.696068987305</v>
          </cell>
          <cell r="K163" t="str">
            <v>STOCK MUERTO</v>
          </cell>
          <cell r="R163">
            <v>13024.598155301192</v>
          </cell>
          <cell r="S163">
            <v>6.691697448048059E-2</v>
          </cell>
        </row>
        <row r="164">
          <cell r="A164" t="str">
            <v>REP-0246</v>
          </cell>
          <cell r="B164" t="str">
            <v>45697</v>
          </cell>
          <cell r="C164" t="str">
            <v>Golilla pistón ranurada (bomba 3cp) CAT</v>
          </cell>
          <cell r="D164" t="str">
            <v>CAT</v>
          </cell>
          <cell r="E164" t="str">
            <v>USD</v>
          </cell>
          <cell r="F164">
            <v>1546.3597356728253</v>
          </cell>
          <cell r="G164">
            <v>1546.3597356728253</v>
          </cell>
          <cell r="H164">
            <v>1546.3597356728251</v>
          </cell>
          <cell r="I164">
            <v>3978.5603240297824</v>
          </cell>
          <cell r="J164">
            <v>3931.5196114094479</v>
          </cell>
          <cell r="K164" t="str">
            <v>STOCK MUERTO</v>
          </cell>
          <cell r="R164">
            <v>3872.126583550626</v>
          </cell>
          <cell r="S164">
            <v>-1.5106888361045069E-2</v>
          </cell>
        </row>
        <row r="165">
          <cell r="A165" t="str">
            <v>REP-0243</v>
          </cell>
          <cell r="B165" t="str">
            <v>43900</v>
          </cell>
          <cell r="C165" t="str">
            <v>Golilla cóncava pistón (bomba 3cp) CAT</v>
          </cell>
          <cell r="D165" t="str">
            <v>CAT</v>
          </cell>
          <cell r="E165" t="str">
            <v>USD</v>
          </cell>
          <cell r="F165">
            <v>1976.9856165703377</v>
          </cell>
          <cell r="G165">
            <v>1976.9856165703377</v>
          </cell>
          <cell r="H165">
            <v>1976.9856165703377</v>
          </cell>
          <cell r="I165">
            <v>4774.4693960317791</v>
          </cell>
          <cell r="J165">
            <v>4718.0182115626621</v>
          </cell>
          <cell r="K165" t="str">
            <v>STOCK MUERTO</v>
          </cell>
          <cell r="O165"/>
          <cell r="Q165"/>
          <cell r="R165">
            <v>4646.7436371552076</v>
          </cell>
          <cell r="S165">
            <v>-1.510688836104505E-2</v>
          </cell>
        </row>
        <row r="166">
          <cell r="A166" t="str">
            <v>REP-0034</v>
          </cell>
          <cell r="B166" t="str">
            <v>09.00.987</v>
          </cell>
          <cell r="C166" t="str">
            <v>PLC simatic S7-200</v>
          </cell>
          <cell r="D166" t="str">
            <v>MIX</v>
          </cell>
          <cell r="E166" t="str">
            <v>EUR</v>
          </cell>
          <cell r="F166">
            <v>1522786.3695052222</v>
          </cell>
          <cell r="G166">
            <v>1522786.3695052222</v>
          </cell>
          <cell r="H166">
            <v>1522786.3695052222</v>
          </cell>
          <cell r="I166">
            <v>3473960.4000000004</v>
          </cell>
          <cell r="J166">
            <v>3531487.5057860902</v>
          </cell>
          <cell r="K166" t="str">
            <v>STOCK MUERTO</v>
          </cell>
          <cell r="R166">
            <v>3308276.6531852721</v>
          </cell>
          <cell r="S166">
            <v>-6.3205901828932709E-2</v>
          </cell>
        </row>
        <row r="167">
          <cell r="A167" t="str">
            <v>REP-0249</v>
          </cell>
          <cell r="B167" t="str">
            <v>23170</v>
          </cell>
          <cell r="C167" t="str">
            <v>O-ring tapón inferior aceite (bomba 3cp) CAT</v>
          </cell>
          <cell r="D167" t="str">
            <v>CAT</v>
          </cell>
          <cell r="E167" t="str">
            <v>USD</v>
          </cell>
          <cell r="F167">
            <v>443.62079999999997</v>
          </cell>
          <cell r="G167">
            <v>443.62079999999997</v>
          </cell>
          <cell r="H167">
            <v>443.62079999999992</v>
          </cell>
          <cell r="I167">
            <v>1032.3177072501144</v>
          </cell>
          <cell r="J167">
            <v>1020.1120457432784</v>
          </cell>
          <cell r="K167" t="str">
            <v>STOCK MUERTO</v>
          </cell>
          <cell r="R167">
            <v>1004.7013269524774</v>
          </cell>
          <cell r="S167">
            <v>-1.5106888361045019E-2</v>
          </cell>
        </row>
        <row r="168">
          <cell r="A168" t="str">
            <v>REP-0033</v>
          </cell>
          <cell r="B168" t="str">
            <v>09.00.984</v>
          </cell>
          <cell r="C168" t="str">
            <v>Extension EM 223</v>
          </cell>
          <cell r="D168" t="str">
            <v>MIX</v>
          </cell>
          <cell r="E168" t="str">
            <v>EUR</v>
          </cell>
          <cell r="F168">
            <v>640789.67958176136</v>
          </cell>
          <cell r="G168">
            <v>640789.67958176136</v>
          </cell>
          <cell r="H168">
            <v>640789.67958176136</v>
          </cell>
          <cell r="I168">
            <v>1157986.8</v>
          </cell>
          <cell r="J168">
            <v>1177162.5019286966</v>
          </cell>
          <cell r="K168" t="str">
            <v>STOCK MUERTO</v>
          </cell>
          <cell r="R168">
            <v>1102758.8843950906</v>
          </cell>
          <cell r="S168">
            <v>-6.3205901828932709E-2</v>
          </cell>
        </row>
        <row r="169">
          <cell r="A169" t="str">
            <v>REP-0531</v>
          </cell>
          <cell r="B169" t="str">
            <v>09.01.689</v>
          </cell>
          <cell r="C169" t="str">
            <v>GUIA ASTA MSELF</v>
          </cell>
          <cell r="D169" t="str">
            <v>MIX</v>
          </cell>
          <cell r="E169" t="str">
            <v>EUR</v>
          </cell>
          <cell r="F169">
            <v>3363.7341170128989</v>
          </cell>
          <cell r="G169">
            <v>3363.7341170128989</v>
          </cell>
          <cell r="H169">
            <v>2943.0582370151733</v>
          </cell>
          <cell r="I169">
            <v>4528</v>
          </cell>
          <cell r="J169">
            <v>4602.9814923046952</v>
          </cell>
          <cell r="K169" t="str">
            <v>STOCK MUERTO</v>
          </cell>
          <cell r="R169">
            <v>4312.0458959816906</v>
          </cell>
          <cell r="S169">
            <v>-6.3205901828932667E-2</v>
          </cell>
        </row>
        <row r="170">
          <cell r="A170" t="str">
            <v>REP-0532</v>
          </cell>
          <cell r="B170" t="str">
            <v>09.01.688</v>
          </cell>
          <cell r="C170" t="str">
            <v>ASTA MSELF</v>
          </cell>
          <cell r="D170" t="str">
            <v>MIX</v>
          </cell>
          <cell r="E170" t="str">
            <v>EUR</v>
          </cell>
          <cell r="F170">
            <v>9051.9999409046359</v>
          </cell>
          <cell r="G170">
            <v>9051.9999409046359</v>
          </cell>
          <cell r="H170">
            <v>9051.9999409046359</v>
          </cell>
          <cell r="I170">
            <v>12198</v>
          </cell>
          <cell r="J170">
            <v>12399.992986557569</v>
          </cell>
          <cell r="K170" t="str">
            <v>STOCK MUERTO</v>
          </cell>
          <cell r="R170">
            <v>11616.240247169757</v>
          </cell>
          <cell r="S170">
            <v>-6.3205901828932709E-2</v>
          </cell>
        </row>
        <row r="171">
          <cell r="A171" t="str">
            <v>REP-0533</v>
          </cell>
          <cell r="B171" t="str">
            <v>09.01.687</v>
          </cell>
          <cell r="C171" t="str">
            <v>UNION CENTRAL MSELF</v>
          </cell>
          <cell r="D171" t="str">
            <v>MIX</v>
          </cell>
          <cell r="E171" t="str">
            <v>EUR</v>
          </cell>
          <cell r="F171">
            <v>8204.2295536900001</v>
          </cell>
          <cell r="G171">
            <v>8204.2295536900001</v>
          </cell>
          <cell r="H171">
            <v>8204.2295536900001</v>
          </cell>
          <cell r="I171">
            <v>11066</v>
          </cell>
          <cell r="J171">
            <v>11249.247613481395</v>
          </cell>
          <cell r="K171" t="str">
            <v>STOCK MUERTO</v>
          </cell>
          <cell r="R171">
            <v>10538.228773174334</v>
          </cell>
          <cell r="S171">
            <v>-6.3205901828932709E-2</v>
          </cell>
        </row>
        <row r="172">
          <cell r="A172" t="str">
            <v>REP-0169</v>
          </cell>
          <cell r="B172" t="str">
            <v>30.00.072</v>
          </cell>
          <cell r="C172" t="str">
            <v>Niple galvanizado1/2”</v>
          </cell>
          <cell r="D172" t="str">
            <v>MIX</v>
          </cell>
          <cell r="E172" t="str">
            <v>EUR</v>
          </cell>
          <cell r="F172">
            <v>1150.6190248555556</v>
          </cell>
          <cell r="G172">
            <v>1150.6190248555556</v>
          </cell>
          <cell r="H172">
            <v>1150.6190248555556</v>
          </cell>
          <cell r="I172">
            <v>4900.4571595558155</v>
          </cell>
          <cell r="J172">
            <v>4981.6063624707276</v>
          </cell>
          <cell r="K172" t="str">
            <v>STOCK MUERTO</v>
          </cell>
          <cell r="R172">
            <v>4666.7394397740163</v>
          </cell>
          <cell r="S172">
            <v>-6.3205901828932695E-2</v>
          </cell>
        </row>
        <row r="173">
          <cell r="A173" t="str">
            <v>REP-0049</v>
          </cell>
          <cell r="B173" t="str">
            <v>09.01.610</v>
          </cell>
          <cell r="C173" t="str">
            <v>Niple pvc conexión rápida 8 mm terminal polip.  1/4x8 mm</v>
          </cell>
          <cell r="D173" t="str">
            <v>MIX</v>
          </cell>
          <cell r="E173" t="str">
            <v>EUR</v>
          </cell>
          <cell r="F173">
            <v>1855.1623406645965</v>
          </cell>
          <cell r="G173">
            <v>1855.1623406645965</v>
          </cell>
          <cell r="H173">
            <v>1855.1623406645965</v>
          </cell>
          <cell r="I173">
            <v>3656.54316189363</v>
          </cell>
          <cell r="J173">
            <v>3717.0937500021355</v>
          </cell>
          <cell r="K173" t="str">
            <v>STOCK MUERTO</v>
          </cell>
          <cell r="R173">
            <v>3482.1514873505612</v>
          </cell>
          <cell r="S173">
            <v>-6.3205901828932709E-2</v>
          </cell>
        </row>
        <row r="174">
          <cell r="A174" t="str">
            <v>REP-0028</v>
          </cell>
          <cell r="B174" t="str">
            <v>09.00.766</v>
          </cell>
          <cell r="C174" t="str">
            <v>Conexión curva 1/2</v>
          </cell>
          <cell r="D174" t="str">
            <v>MIX</v>
          </cell>
          <cell r="E174" t="str">
            <v>EUR</v>
          </cell>
          <cell r="F174">
            <v>5051.6471164118811</v>
          </cell>
          <cell r="G174">
            <v>5051.6471164118811</v>
          </cell>
          <cell r="H174">
            <v>5051.6471164118811</v>
          </cell>
          <cell r="I174">
            <v>13285.126826417301</v>
          </cell>
          <cell r="J174">
            <v>13505.122107976909</v>
          </cell>
          <cell r="K174" t="str">
            <v>STOCK MUERTO</v>
          </cell>
          <cell r="R174">
            <v>12651.518685832372</v>
          </cell>
          <cell r="S174">
            <v>-6.3205901828932695E-2</v>
          </cell>
        </row>
        <row r="175">
          <cell r="A175" t="str">
            <v>REP-0027</v>
          </cell>
          <cell r="B175" t="str">
            <v>09.00.662</v>
          </cell>
          <cell r="C175" t="str">
            <v>Niple 1/2 x 20 recto</v>
          </cell>
          <cell r="D175" t="str">
            <v>MIX</v>
          </cell>
          <cell r="E175" t="str">
            <v>EUR</v>
          </cell>
          <cell r="F175">
            <v>2326.0686934933619</v>
          </cell>
          <cell r="G175">
            <v>2326.0686934933619</v>
          </cell>
          <cell r="H175">
            <v>2326.0686934933619</v>
          </cell>
          <cell r="I175">
            <v>6004.4177771283858</v>
          </cell>
          <cell r="J175">
            <v>6103.8480344936524</v>
          </cell>
          <cell r="K175" t="str">
            <v>STOCK MUERTO</v>
          </cell>
          <cell r="R175">
            <v>5718.048814846723</v>
          </cell>
          <cell r="S175">
            <v>-6.3205901828932681E-2</v>
          </cell>
        </row>
        <row r="176">
          <cell r="A176" t="str">
            <v>REP-0059</v>
          </cell>
          <cell r="B176" t="str">
            <v>09.01.816</v>
          </cell>
          <cell r="C176" t="str">
            <v>Contacto auxiliar NC para parada de emergencia</v>
          </cell>
          <cell r="D176" t="str">
            <v>MIX</v>
          </cell>
          <cell r="E176" t="str">
            <v>EUR</v>
          </cell>
          <cell r="F176">
            <v>2613.5824722942966</v>
          </cell>
          <cell r="G176">
            <v>2613.5824722942966</v>
          </cell>
          <cell r="H176">
            <v>2613.5824722942971</v>
          </cell>
          <cell r="I176">
            <v>6401.3004967855068</v>
          </cell>
          <cell r="J176">
            <v>6507.3029402351012</v>
          </cell>
          <cell r="K176" t="str">
            <v>STOCK MUERTO</v>
          </cell>
          <cell r="R176">
            <v>6096.0029894234758</v>
          </cell>
          <cell r="S176">
            <v>-6.3205901828932778E-2</v>
          </cell>
        </row>
        <row r="177">
          <cell r="A177" t="str">
            <v>REP-0058</v>
          </cell>
          <cell r="B177" t="str">
            <v>09.01.757</v>
          </cell>
          <cell r="C177" t="str">
            <v>Adaptador parada de emergencia 09.01.915</v>
          </cell>
          <cell r="D177" t="str">
            <v>MIX</v>
          </cell>
          <cell r="E177" t="str">
            <v>EUR</v>
          </cell>
          <cell r="F177">
            <v>1415.4999834898863</v>
          </cell>
          <cell r="G177">
            <v>1415.4999834898861</v>
          </cell>
          <cell r="H177">
            <v>1415.4999834898863</v>
          </cell>
          <cell r="I177">
            <v>3131.195772452757</v>
          </cell>
          <cell r="J177">
            <v>3183.0468616127969</v>
          </cell>
          <cell r="K177" t="str">
            <v>STOCK MUERTO</v>
          </cell>
          <cell r="R177">
            <v>2981.8595141608062</v>
          </cell>
          <cell r="S177">
            <v>-6.3205901828932681E-2</v>
          </cell>
        </row>
        <row r="178">
          <cell r="A178" t="str">
            <v>REP-0370</v>
          </cell>
          <cell r="B178" t="str">
            <v/>
          </cell>
          <cell r="C178" t="str">
            <v>HR3 membrana de osmosis para MSELF</v>
          </cell>
          <cell r="D178" t="str">
            <v>AXEON</v>
          </cell>
          <cell r="E178" t="str">
            <v>USD</v>
          </cell>
          <cell r="F178">
            <v>178586.19011661864</v>
          </cell>
          <cell r="G178">
            <v>178586.19011661864</v>
          </cell>
          <cell r="H178">
            <v>178586.19011661864</v>
          </cell>
          <cell r="I178">
            <v>345335.88401064847</v>
          </cell>
          <cell r="J178">
            <v>341252.78742439888</v>
          </cell>
          <cell r="K178" t="str">
            <v>STOCK MUERTO</v>
          </cell>
          <cell r="R178">
            <v>336097.51966188301</v>
          </cell>
          <cell r="S178">
            <v>-1.5106888361045156E-2</v>
          </cell>
        </row>
        <row r="179">
          <cell r="A179" t="str">
            <v>REP-0369</v>
          </cell>
          <cell r="B179" t="str">
            <v/>
          </cell>
          <cell r="C179" t="str">
            <v>HF1 membrana de osmosis para MSELF</v>
          </cell>
          <cell r="D179" t="str">
            <v>AXEON</v>
          </cell>
          <cell r="E179" t="str">
            <v>EUR</v>
          </cell>
          <cell r="F179">
            <v>178586.19011661861</v>
          </cell>
          <cell r="G179">
            <v>178586.19011661861</v>
          </cell>
          <cell r="H179">
            <v>178586.19011661861</v>
          </cell>
          <cell r="I179">
            <v>331248.88445780124</v>
          </cell>
          <cell r="J179">
            <v>336734.20594210149</v>
          </cell>
          <cell r="K179" t="str">
            <v>STOCK MUERTO</v>
          </cell>
          <cell r="R179">
            <v>315450.61677888141</v>
          </cell>
          <cell r="S179">
            <v>-6.3205901828932723E-2</v>
          </cell>
        </row>
        <row r="180">
          <cell r="A180" t="str">
            <v>REP-0430</v>
          </cell>
          <cell r="B180" t="str">
            <v/>
          </cell>
          <cell r="C180" t="str">
            <v>membranas de osmosis de CSM RE4021-BLN-K</v>
          </cell>
          <cell r="D180" t="str">
            <v>CSM</v>
          </cell>
          <cell r="E180" t="str">
            <v>CLP</v>
          </cell>
          <cell r="F180">
            <v>191408.57142857142</v>
          </cell>
          <cell r="G180">
            <v>191408.57142857142</v>
          </cell>
          <cell r="H180">
            <v>191408.57142857142</v>
          </cell>
          <cell r="I180">
            <v>303626</v>
          </cell>
          <cell r="J180">
            <v>303626</v>
          </cell>
          <cell r="K180" t="str">
            <v>STOCK MUERTO</v>
          </cell>
          <cell r="R180">
            <v>303626</v>
          </cell>
          <cell r="S180">
            <v>0</v>
          </cell>
        </row>
        <row r="181">
          <cell r="A181" t="str">
            <v>REP-0516</v>
          </cell>
          <cell r="B181" t="str">
            <v>P-179</v>
          </cell>
          <cell r="C181" t="str">
            <v>Sensor flotante de nivel ON / OFF</v>
          </cell>
          <cell r="D181" t="str">
            <v>MAX ELECTRONICA</v>
          </cell>
          <cell r="E181" t="str">
            <v>CLP</v>
          </cell>
          <cell r="F181">
            <v>3352.94</v>
          </cell>
          <cell r="G181">
            <v>3352.94</v>
          </cell>
          <cell r="H181">
            <v>3352.95</v>
          </cell>
          <cell r="I181">
            <v>50000</v>
          </cell>
          <cell r="J181">
            <v>50000</v>
          </cell>
          <cell r="K181" t="str">
            <v>STOCK MUERTO</v>
          </cell>
          <cell r="R181">
            <v>50000</v>
          </cell>
          <cell r="S181">
            <v>0</v>
          </cell>
        </row>
        <row r="182">
          <cell r="A182" t="str">
            <v>REP-0526</v>
          </cell>
          <cell r="B182" t="str">
            <v/>
          </cell>
          <cell r="C182" t="str">
            <v>KIT 127 ANILLOS AGUA BOMBA INTER SHELL</v>
          </cell>
          <cell r="D182" t="str">
            <v>NACIONAL SOC</v>
          </cell>
          <cell r="E182" t="str">
            <v>CLP</v>
          </cell>
          <cell r="F182">
            <v>66442</v>
          </cell>
          <cell r="G182">
            <v>66442</v>
          </cell>
          <cell r="H182">
            <v>62814.25</v>
          </cell>
          <cell r="I182">
            <v>110737</v>
          </cell>
          <cell r="J182">
            <v>110737</v>
          </cell>
          <cell r="K182" t="str">
            <v>STOCK MUERTO</v>
          </cell>
          <cell r="R182">
            <v>110737</v>
          </cell>
          <cell r="S182">
            <v>0</v>
          </cell>
        </row>
        <row r="183">
          <cell r="A183" t="str">
            <v>REP-0527</v>
          </cell>
          <cell r="B183" t="str">
            <v/>
          </cell>
          <cell r="C183" t="str">
            <v>KIT 129 ANILLO EXPANSOR BOMBA INTER SHELL</v>
          </cell>
          <cell r="D183" t="str">
            <v>NACIONAL SOC</v>
          </cell>
          <cell r="E183" t="str">
            <v>CLP</v>
          </cell>
          <cell r="F183">
            <v>6937</v>
          </cell>
          <cell r="G183">
            <v>6937</v>
          </cell>
          <cell r="H183">
            <v>6937.125</v>
          </cell>
          <cell r="I183">
            <v>11562</v>
          </cell>
          <cell r="J183">
            <v>11562</v>
          </cell>
          <cell r="K183" t="str">
            <v>STOCK MUERTO</v>
          </cell>
          <cell r="R183">
            <v>11562</v>
          </cell>
          <cell r="S183">
            <v>0</v>
          </cell>
        </row>
        <row r="184">
          <cell r="A184" t="str">
            <v>REP-0528</v>
          </cell>
          <cell r="B184" t="str">
            <v/>
          </cell>
          <cell r="C184" t="str">
            <v>KIT 123 VALVULAS ASPIRACION BOMBA INTER SHELL</v>
          </cell>
          <cell r="D184" t="str">
            <v>NACIONAL SOC</v>
          </cell>
          <cell r="E184" t="str">
            <v>CLP</v>
          </cell>
          <cell r="F184">
            <v>56267</v>
          </cell>
          <cell r="G184">
            <v>56267</v>
          </cell>
          <cell r="H184">
            <v>52750.375</v>
          </cell>
          <cell r="I184">
            <v>93778</v>
          </cell>
          <cell r="J184">
            <v>93778</v>
          </cell>
          <cell r="K184" t="str">
            <v>STOCK MUERTO</v>
          </cell>
          <cell r="R184">
            <v>93778</v>
          </cell>
          <cell r="S184">
            <v>0</v>
          </cell>
        </row>
        <row r="185">
          <cell r="A185" t="str">
            <v>REP-0529</v>
          </cell>
          <cell r="B185" t="str">
            <v/>
          </cell>
          <cell r="C185" t="str">
            <v>KIT 23 SELLOS BOMBA INTER SHELL</v>
          </cell>
          <cell r="D185" t="str">
            <v>NACIONAL SOC</v>
          </cell>
          <cell r="E185" t="str">
            <v>CLP</v>
          </cell>
          <cell r="F185">
            <v>18786</v>
          </cell>
          <cell r="G185">
            <v>18786</v>
          </cell>
          <cell r="H185">
            <v>17611.875</v>
          </cell>
          <cell r="I185">
            <v>31310</v>
          </cell>
          <cell r="J185">
            <v>31310</v>
          </cell>
          <cell r="K185" t="str">
            <v>STOCK MUERTO</v>
          </cell>
          <cell r="R185">
            <v>31310</v>
          </cell>
          <cell r="S185">
            <v>0</v>
          </cell>
        </row>
        <row r="186">
          <cell r="A186" t="str">
            <v>REP-0157</v>
          </cell>
          <cell r="B186" t="str">
            <v>09.00.491</v>
          </cell>
          <cell r="C186" t="str">
            <v>O-ring separacion E/V</v>
          </cell>
          <cell r="D186" t="str">
            <v>MIX</v>
          </cell>
          <cell r="E186" t="str">
            <v>EUR</v>
          </cell>
          <cell r="F186">
            <v>1591.1592726709614</v>
          </cell>
          <cell r="G186">
            <v>1591.1592726709614</v>
          </cell>
          <cell r="H186">
            <v>2867.9163245807431</v>
          </cell>
          <cell r="I186">
            <v>5157.3864991233204</v>
          </cell>
          <cell r="J186">
            <v>5242.7903277665082</v>
          </cell>
          <cell r="K186" t="str">
            <v>STOCK MUERTO</v>
          </cell>
          <cell r="R186">
            <v>4911.4150370000198</v>
          </cell>
          <cell r="S186">
            <v>-6.320590182893282E-2</v>
          </cell>
        </row>
        <row r="187">
          <cell r="A187" t="str">
            <v>REP-0127</v>
          </cell>
          <cell r="B187" t="str">
            <v>09.02.453</v>
          </cell>
          <cell r="C187" t="str">
            <v>Golillas aislantes pulsadores</v>
          </cell>
          <cell r="D187" t="str">
            <v>MIX</v>
          </cell>
          <cell r="E187" t="str">
            <v>EUR</v>
          </cell>
          <cell r="F187">
            <v>2910.1982234431762</v>
          </cell>
          <cell r="G187">
            <v>2910.1982234431762</v>
          </cell>
          <cell r="H187">
            <v>2910.1982234431762</v>
          </cell>
          <cell r="I187">
            <v>9382.0986070524068</v>
          </cell>
          <cell r="J187">
            <v>9537.4616270406113</v>
          </cell>
          <cell r="K187" t="str">
            <v>STOCK MUERTO</v>
          </cell>
          <cell r="R187">
            <v>8934.6377637446694</v>
          </cell>
          <cell r="S187">
            <v>-6.3205901828932737E-2</v>
          </cell>
        </row>
        <row r="188">
          <cell r="A188" t="str">
            <v>REP-0239</v>
          </cell>
          <cell r="B188" t="str">
            <v>46976</v>
          </cell>
          <cell r="C188" t="str">
            <v>Pistón cerámicos (bomba 3cp) CAT</v>
          </cell>
          <cell r="D188" t="str">
            <v>CAT</v>
          </cell>
          <cell r="E188" t="str">
            <v>USD</v>
          </cell>
          <cell r="F188">
            <v>39784.031693116602</v>
          </cell>
          <cell r="G188">
            <v>39784.031693116602</v>
          </cell>
          <cell r="H188">
            <v>39784.031693116602</v>
          </cell>
          <cell r="I188">
            <v>84779.09170791565</v>
          </cell>
          <cell r="J188">
            <v>83776.701756666735</v>
          </cell>
          <cell r="K188" t="str">
            <v>STOCK MUERTO</v>
          </cell>
          <cell r="O188"/>
          <cell r="Q188"/>
          <cell r="R188">
            <v>82511.096475972197</v>
          </cell>
          <cell r="S188">
            <v>-1.5106888361045123E-2</v>
          </cell>
        </row>
        <row r="189">
          <cell r="A189" t="str">
            <v>REP-0240</v>
          </cell>
          <cell r="B189" t="str">
            <v>126512</v>
          </cell>
          <cell r="C189" t="str">
            <v>Perno culatín m8x65 (bomba 3cp) CAT</v>
          </cell>
          <cell r="D189" t="str">
            <v>CAT</v>
          </cell>
          <cell r="E189" t="str">
            <v>USD</v>
          </cell>
          <cell r="F189">
            <v>2217.3983281494966</v>
          </cell>
          <cell r="G189">
            <v>2217.3983281494966</v>
          </cell>
          <cell r="H189">
            <v>2217.398328149497</v>
          </cell>
          <cell r="I189">
            <v>4604.0581714570944</v>
          </cell>
          <cell r="J189">
            <v>4549.6218528664913</v>
          </cell>
          <cell r="K189" t="str">
            <v>STOCK MUERTO</v>
          </cell>
          <cell r="O189"/>
          <cell r="Q189"/>
          <cell r="R189">
            <v>4480.8912234502659</v>
          </cell>
          <cell r="S189">
            <v>-1.5106888361045132E-2</v>
          </cell>
        </row>
        <row r="190">
          <cell r="A190" t="str">
            <v>REP-0415</v>
          </cell>
          <cell r="B190" t="str">
            <v>09.03.251</v>
          </cell>
          <cell r="C190" t="str">
            <v>Display (lava interior)</v>
          </cell>
          <cell r="D190" t="str">
            <v>MIX</v>
          </cell>
          <cell r="E190" t="str">
            <v>EUR</v>
          </cell>
          <cell r="F190">
            <v>232769.05862404918</v>
          </cell>
          <cell r="G190">
            <v>232769.05862404918</v>
          </cell>
          <cell r="H190">
            <v>232769.05862404918</v>
          </cell>
          <cell r="I190">
            <v>361870.35278589523</v>
          </cell>
          <cell r="J190">
            <v>367862.75099099969</v>
          </cell>
          <cell r="K190" t="str">
            <v>STOCK MUERTO</v>
          </cell>
          <cell r="R190">
            <v>344611.65406534146</v>
          </cell>
          <cell r="S190">
            <v>-6.3205901828932667E-2</v>
          </cell>
        </row>
        <row r="191">
          <cell r="A191" t="str">
            <v>REP-0413</v>
          </cell>
          <cell r="B191" t="str">
            <v>09.03.249</v>
          </cell>
          <cell r="C191" t="str">
            <v>Tambor cilíndrico filtro aspirado</v>
          </cell>
          <cell r="D191" t="str">
            <v>MIX</v>
          </cell>
          <cell r="E191" t="str">
            <v>EUR</v>
          </cell>
          <cell r="F191">
            <v>186277.31571428571</v>
          </cell>
          <cell r="G191">
            <v>186277.31571428571</v>
          </cell>
          <cell r="H191">
            <v>186277.31571428571</v>
          </cell>
          <cell r="I191">
            <v>288252.78600233787</v>
          </cell>
          <cell r="J191">
            <v>293026.11286970566</v>
          </cell>
          <cell r="K191" t="str">
            <v>STOCK MUERTO</v>
          </cell>
          <cell r="R191">
            <v>274505.13314634928</v>
          </cell>
          <cell r="S191">
            <v>-6.3205901828932709E-2</v>
          </cell>
        </row>
        <row r="192">
          <cell r="A192" t="str">
            <v>INS-0032</v>
          </cell>
          <cell r="B192" t="str">
            <v/>
          </cell>
          <cell r="C192" t="str">
            <v>R8 Lavallantas  5 litros</v>
          </cell>
          <cell r="D192" t="str">
            <v>NACIONAL</v>
          </cell>
          <cell r="E192" t="str">
            <v>CLP</v>
          </cell>
          <cell r="F192">
            <v>38306</v>
          </cell>
          <cell r="G192">
            <v>38306</v>
          </cell>
          <cell r="H192">
            <v>38306</v>
          </cell>
          <cell r="I192">
            <v>50010</v>
          </cell>
          <cell r="J192">
            <v>50838.141437755701</v>
          </cell>
          <cell r="K192" t="str">
            <v>STOCK MUERTO</v>
          </cell>
          <cell r="R192">
            <v>50838.141437755701</v>
          </cell>
          <cell r="S192">
            <v>0</v>
          </cell>
        </row>
        <row r="193">
          <cell r="A193" t="str">
            <v>REP-0574</v>
          </cell>
          <cell r="B193" t="str">
            <v>PULSE 2S PRO</v>
          </cell>
          <cell r="C193" t="str">
            <v>MOTOR DE CEPILLO HORIZONTAL KW 0,75(NEC. JUNTA 09.06.1779)</v>
          </cell>
          <cell r="D193" t="str">
            <v>MIX</v>
          </cell>
          <cell r="E193" t="str">
            <v>EUR</v>
          </cell>
          <cell r="G193">
            <v>268721</v>
          </cell>
          <cell r="H193">
            <v>268720.79227595206</v>
          </cell>
          <cell r="J193">
            <v>358294.66666666669</v>
          </cell>
          <cell r="K193" t="str">
            <v>STOCK MUERTO</v>
          </cell>
          <cell r="R193">
            <v>335648.32913950318</v>
          </cell>
          <cell r="S193">
            <v>-6.3205901828932709E-2</v>
          </cell>
        </row>
        <row r="194">
          <cell r="A194" t="str">
            <v>REP-0572</v>
          </cell>
          <cell r="B194" t="str">
            <v>PULSE 2S PRO</v>
          </cell>
          <cell r="C194" t="str">
            <v>REDUCTOR DE TRASLACIÓN CEPILLO VERTICAL  (NEC.09061105)</v>
          </cell>
          <cell r="D194" t="str">
            <v>MIX</v>
          </cell>
          <cell r="E194" t="str">
            <v>EUR</v>
          </cell>
          <cell r="G194">
            <v>154156</v>
          </cell>
          <cell r="H194">
            <v>154155.64396306762</v>
          </cell>
          <cell r="J194">
            <v>205541.33333333334</v>
          </cell>
          <cell r="K194" t="str">
            <v>STOCK MUERTO</v>
          </cell>
          <cell r="R194">
            <v>192549.90799687873</v>
          </cell>
          <cell r="S194">
            <v>-6.3205901828932778E-2</v>
          </cell>
        </row>
        <row r="195">
          <cell r="A195" t="str">
            <v>REP-0605</v>
          </cell>
          <cell r="B195" t="str">
            <v>PULSE 2S PRO</v>
          </cell>
          <cell r="C195" t="str">
            <v>UNIDAD DE FILTRO DE AIRE + MANÓMETRO 1/4" FIL. LIBRAR. EM N171BEMBCN ESPECIFICACIONES.</v>
          </cell>
          <cell r="D195" t="str">
            <v>MIX</v>
          </cell>
          <cell r="E195" t="str">
            <v>EUR</v>
          </cell>
          <cell r="G195">
            <v>63738</v>
          </cell>
          <cell r="H195">
            <v>63737.546273319917</v>
          </cell>
          <cell r="J195">
            <v>84984</v>
          </cell>
          <cell r="K195" t="str">
            <v>STOCK MUERTO</v>
          </cell>
          <cell r="R195">
            <v>79612.509638969976</v>
          </cell>
          <cell r="S195">
            <v>-6.3205901828932792E-2</v>
          </cell>
        </row>
        <row r="196">
          <cell r="A196" t="str">
            <v>REP-0603</v>
          </cell>
          <cell r="B196" t="str">
            <v>PULSE 2S PRO</v>
          </cell>
          <cell r="C196" t="str">
            <v>REGULADOR DE PRESIÓN 1/4+TUERCA ANULAR CON MANOM</v>
          </cell>
          <cell r="D196" t="str">
            <v>MIX</v>
          </cell>
          <cell r="E196" t="str">
            <v>EUR</v>
          </cell>
          <cell r="G196">
            <v>41991</v>
          </cell>
          <cell r="H196">
            <v>41990.654296458772</v>
          </cell>
          <cell r="J196">
            <v>55988</v>
          </cell>
          <cell r="K196" t="str">
            <v>STOCK MUERTO</v>
          </cell>
          <cell r="R196">
            <v>52449.227968401712</v>
          </cell>
          <cell r="S196">
            <v>-6.3205901828932765E-2</v>
          </cell>
        </row>
        <row r="197">
          <cell r="A197" t="str">
            <v>REP-0604</v>
          </cell>
          <cell r="B197" t="str">
            <v>PULSE 2S PRO</v>
          </cell>
          <cell r="C197" t="str">
            <v>ADMISIÓN DE AIRE 1/4</v>
          </cell>
          <cell r="D197" t="str">
            <v>MIX</v>
          </cell>
          <cell r="E197" t="str">
            <v>EUR</v>
          </cell>
          <cell r="G197">
            <v>11698</v>
          </cell>
          <cell r="H197">
            <v>11697.742897252514</v>
          </cell>
          <cell r="J197">
            <v>15597.333333333334</v>
          </cell>
          <cell r="K197" t="str">
            <v>STOCK MUERTO</v>
          </cell>
          <cell r="R197">
            <v>14611.489813873526</v>
          </cell>
          <cell r="S197">
            <v>-6.3205901828932792E-2</v>
          </cell>
        </row>
        <row r="198">
          <cell r="A198" t="str">
            <v>REP-0601</v>
          </cell>
          <cell r="B198" t="str">
            <v>PULSE 2S PRO</v>
          </cell>
          <cell r="C198" t="str">
            <v>COLECTOR EV DE AGUA</v>
          </cell>
          <cell r="D198" t="str">
            <v>MIX</v>
          </cell>
          <cell r="E198" t="str">
            <v>EUR</v>
          </cell>
          <cell r="G198">
            <v>330628</v>
          </cell>
          <cell r="H198">
            <v>330627.9145311527</v>
          </cell>
          <cell r="J198">
            <v>440837.33333333331</v>
          </cell>
          <cell r="K198" t="str">
            <v>STOCK MUERTO</v>
          </cell>
          <cell r="R198">
            <v>412973.81212013814</v>
          </cell>
          <cell r="S198">
            <v>-6.3205901828932751E-2</v>
          </cell>
        </row>
        <row r="199">
          <cell r="A199" t="str">
            <v>REP-0573</v>
          </cell>
          <cell r="B199" t="str">
            <v>PULSE 2S PRO</v>
          </cell>
          <cell r="C199" t="str">
            <v>INVERSOR 1, 1KW-230V 1PH SCHNEIDER</v>
          </cell>
          <cell r="D199" t="str">
            <v>MIX</v>
          </cell>
          <cell r="E199" t="str">
            <v>EUR</v>
          </cell>
          <cell r="G199">
            <v>521719</v>
          </cell>
          <cell r="H199">
            <v>521719.33321746212</v>
          </cell>
          <cell r="J199">
            <v>695625.33333333337</v>
          </cell>
          <cell r="K199" t="str">
            <v>STOCK MUERTO</v>
          </cell>
          <cell r="R199">
            <v>651657.70680494804</v>
          </cell>
          <cell r="S199">
            <v>-6.3205901828932806E-2</v>
          </cell>
        </row>
        <row r="200">
          <cell r="A200" t="str">
            <v>REP-0571</v>
          </cell>
          <cell r="B200" t="str">
            <v>PULSE 2S PRO</v>
          </cell>
          <cell r="C200" t="str">
            <v>FUENTE DE ALIMENTACIÓN.220AC/24DC 10A</v>
          </cell>
          <cell r="D200" t="str">
            <v>MIX</v>
          </cell>
          <cell r="E200" t="str">
            <v>EUR</v>
          </cell>
          <cell r="G200">
            <v>126772</v>
          </cell>
          <cell r="H200">
            <v>126772.01577146818</v>
          </cell>
          <cell r="J200">
            <v>169029.33333333334</v>
          </cell>
          <cell r="K200" t="str">
            <v>STOCK MUERTO</v>
          </cell>
          <cell r="R200">
            <v>158345.68188445672</v>
          </cell>
          <cell r="S200">
            <v>-6.3205901828932806E-2</v>
          </cell>
        </row>
        <row r="201">
          <cell r="A201" t="str">
            <v>REP-0606</v>
          </cell>
          <cell r="B201" t="str">
            <v>PULSE 2S PRO</v>
          </cell>
          <cell r="C201" t="str">
            <v>MÓDULO DE SEGURIDAD 8DI</v>
          </cell>
          <cell r="D201" t="str">
            <v>MIX</v>
          </cell>
          <cell r="E201" t="str">
            <v>EUR</v>
          </cell>
          <cell r="G201">
            <v>468855</v>
          </cell>
          <cell r="H201">
            <v>468855.23293257278</v>
          </cell>
          <cell r="J201">
            <v>625140</v>
          </cell>
          <cell r="K201" t="str">
            <v>STOCK MUERTO</v>
          </cell>
          <cell r="R201">
            <v>585627.46253066103</v>
          </cell>
          <cell r="S201">
            <v>-6.3205901828932681E-2</v>
          </cell>
        </row>
        <row r="202">
          <cell r="A202" t="str">
            <v>REP-0602</v>
          </cell>
          <cell r="B202" t="str">
            <v>PULSE 2S PRO</v>
          </cell>
          <cell r="C202" t="str">
            <v>CONEXIÓN RJ45 CAN-OPEN</v>
          </cell>
          <cell r="D202" t="str">
            <v>MIX</v>
          </cell>
          <cell r="E202" t="str">
            <v>EUR</v>
          </cell>
          <cell r="G202">
            <v>131754</v>
          </cell>
          <cell r="H202">
            <v>131754.16326449488</v>
          </cell>
          <cell r="J202">
            <v>175672</v>
          </cell>
          <cell r="K202" t="str">
            <v>STOCK MUERTO</v>
          </cell>
          <cell r="R202">
            <v>164568.49281390774</v>
          </cell>
          <cell r="S202">
            <v>-6.3205901828932681E-2</v>
          </cell>
        </row>
        <row r="203">
          <cell r="A203" t="str">
            <v>REP-0153</v>
          </cell>
          <cell r="B203" t="str">
            <v>37.00.017</v>
          </cell>
          <cell r="C203" t="str">
            <v>Motor 3HP bba Cat</v>
          </cell>
          <cell r="D203" t="str">
            <v>MIX</v>
          </cell>
          <cell r="E203" t="str">
            <v>EUR</v>
          </cell>
          <cell r="F203">
            <v>361710.95313161646</v>
          </cell>
          <cell r="G203">
            <v>337803</v>
          </cell>
          <cell r="H203">
            <v>435324.24379433302</v>
          </cell>
          <cell r="I203">
            <v>552601.74357101112</v>
          </cell>
          <cell r="J203">
            <v>561752.5614559782</v>
          </cell>
          <cell r="K203" t="str">
            <v>STOCK MUERTO</v>
          </cell>
          <cell r="R203">
            <v>526246.48420444014</v>
          </cell>
          <cell r="S203">
            <v>-6.3205901828932723E-2</v>
          </cell>
        </row>
        <row r="204">
          <cell r="A204" t="str">
            <v>REP-0318</v>
          </cell>
          <cell r="B204" t="str">
            <v>09.02.974</v>
          </cell>
          <cell r="C204" t="str">
            <v>Int. MT 10 KA 1P+1N D 2A</v>
          </cell>
          <cell r="D204" t="str">
            <v>MIX</v>
          </cell>
          <cell r="E204" t="str">
            <v>EUR</v>
          </cell>
          <cell r="F204">
            <v>7205.8197573782427</v>
          </cell>
          <cell r="G204">
            <v>38406</v>
          </cell>
          <cell r="H204">
            <v>47195.382834858217</v>
          </cell>
          <cell r="I204">
            <v>60268.729836353014</v>
          </cell>
          <cell r="J204">
            <v>61266.750883711284</v>
          </cell>
          <cell r="K204" t="str">
            <v>STOCK MUERTO</v>
          </cell>
          <cell r="R204">
            <v>57394.330641977751</v>
          </cell>
          <cell r="S204">
            <v>-6.3205901828932723E-2</v>
          </cell>
        </row>
        <row r="205">
          <cell r="A205" t="str">
            <v>REP-0317</v>
          </cell>
          <cell r="B205" t="str">
            <v>09.02.983</v>
          </cell>
          <cell r="C205" t="str">
            <v>Int. MT 6KA 1N 1MOD 2A C</v>
          </cell>
          <cell r="D205" t="str">
            <v>MIX</v>
          </cell>
          <cell r="E205" t="str">
            <v>EUR</v>
          </cell>
          <cell r="F205">
            <v>8526.0949845768937</v>
          </cell>
          <cell r="G205">
            <v>40794.842070967265</v>
          </cell>
          <cell r="H205">
            <v>40794.842070967265</v>
          </cell>
          <cell r="I205">
            <v>50940.941496201056</v>
          </cell>
          <cell r="J205">
            <v>51784.498875351084</v>
          </cell>
          <cell r="K205" t="str">
            <v>STOCK MUERTO</v>
          </cell>
          <cell r="R205">
            <v>48511.412923175165</v>
          </cell>
          <cell r="S205">
            <v>-6.3205901828932751E-2</v>
          </cell>
        </row>
        <row r="206">
          <cell r="A206" t="str">
            <v>REP-0347</v>
          </cell>
          <cell r="B206" t="str">
            <v>09.01.786</v>
          </cell>
          <cell r="C206" t="str">
            <v>Contactor 4KW DILEM 10 24V 50/60</v>
          </cell>
          <cell r="D206" t="str">
            <v>MIX</v>
          </cell>
          <cell r="E206" t="str">
            <v>EUR</v>
          </cell>
          <cell r="F206">
            <v>15438.905524439959</v>
          </cell>
          <cell r="G206">
            <v>15438.905524439959</v>
          </cell>
          <cell r="H206">
            <v>19098.997353721028</v>
          </cell>
          <cell r="I206">
            <v>20810.232076758235</v>
          </cell>
          <cell r="J206">
            <v>21154.839465522007</v>
          </cell>
          <cell r="K206" t="str">
            <v>STOCK MUERTO</v>
          </cell>
          <cell r="R206">
            <v>19817.728759057391</v>
          </cell>
          <cell r="S206">
            <v>-6.3205901828932778E-2</v>
          </cell>
        </row>
        <row r="207">
          <cell r="A207" t="str">
            <v>INS-0026</v>
          </cell>
          <cell r="B207" t="str">
            <v>09.03.169</v>
          </cell>
          <cell r="C207" t="str">
            <v xml:space="preserve"> ( Shampoo tapiz) textil cleaner I1-5</v>
          </cell>
          <cell r="D207" t="str">
            <v>NACIONAL</v>
          </cell>
          <cell r="E207" t="str">
            <v>CLP</v>
          </cell>
          <cell r="F207">
            <v>14666.21898091635</v>
          </cell>
          <cell r="G207">
            <v>14666.218980916352</v>
          </cell>
          <cell r="H207">
            <v>17680</v>
          </cell>
          <cell r="I207">
            <v>22506.383489187614</v>
          </cell>
          <cell r="J207">
            <v>22879.078325848619</v>
          </cell>
          <cell r="K207" t="str">
            <v>STOCK MUERTO</v>
          </cell>
          <cell r="R207">
            <v>22879.078325848619</v>
          </cell>
          <cell r="S207">
            <v>0</v>
          </cell>
        </row>
        <row r="208">
          <cell r="A208" t="str">
            <v>REP-0061</v>
          </cell>
          <cell r="B208" t="str">
            <v>09.01.925</v>
          </cell>
          <cell r="C208" t="str">
            <v>Indicador luminoso BLU tabla 21- pos 9</v>
          </cell>
          <cell r="D208" t="str">
            <v>MIX</v>
          </cell>
          <cell r="E208" t="str">
            <v>EUR</v>
          </cell>
          <cell r="F208">
            <v>8110.4597369021967</v>
          </cell>
          <cell r="G208">
            <v>15226</v>
          </cell>
          <cell r="H208">
            <v>16460.065750856378</v>
          </cell>
          <cell r="I208">
            <v>19289.544603545688</v>
          </cell>
          <cell r="J208">
            <v>19608.970142470564</v>
          </cell>
          <cell r="K208" t="str">
            <v>STOCK MUERTO</v>
          </cell>
          <cell r="R208">
            <v>18369.567500679095</v>
          </cell>
          <cell r="S208">
            <v>-6.3205901828932778E-2</v>
          </cell>
        </row>
        <row r="209">
          <cell r="A209" t="str">
            <v>REP-0114</v>
          </cell>
          <cell r="B209" t="str">
            <v>09.01.724</v>
          </cell>
          <cell r="C209" t="str">
            <v>Guarnizione filtro tabla 23 - pos.1 (sello poliuretano)</v>
          </cell>
          <cell r="D209" t="str">
            <v>MIX</v>
          </cell>
          <cell r="E209" t="str">
            <v>EUR</v>
          </cell>
          <cell r="F209">
            <v>8561.1644112480772</v>
          </cell>
          <cell r="G209">
            <v>8561.1644112480753</v>
          </cell>
          <cell r="H209">
            <v>15064.385341021025</v>
          </cell>
          <cell r="I209">
            <v>17369.885554256773</v>
          </cell>
          <cell r="J209">
            <v>17657.522466805345</v>
          </cell>
          <cell r="K209" t="str">
            <v>STOCK MUERTO</v>
          </cell>
          <cell r="O209"/>
          <cell r="Q209"/>
          <cell r="R209">
            <v>16541.462835226273</v>
          </cell>
          <cell r="S209">
            <v>-6.3205901828932667E-2</v>
          </cell>
        </row>
        <row r="210">
          <cell r="A210" t="str">
            <v>REP-0493</v>
          </cell>
          <cell r="B210" t="str">
            <v/>
          </cell>
          <cell r="C210" t="str">
            <v>Filtro tipo Y</v>
          </cell>
          <cell r="D210" t="str">
            <v>NACIONAL</v>
          </cell>
          <cell r="E210" t="str">
            <v>CLP</v>
          </cell>
          <cell r="F210">
            <v>4934</v>
          </cell>
          <cell r="G210">
            <v>4934</v>
          </cell>
          <cell r="H210">
            <v>7041.125</v>
          </cell>
          <cell r="I210">
            <v>6168</v>
          </cell>
          <cell r="J210">
            <v>6168</v>
          </cell>
          <cell r="K210" t="str">
            <v>STOCK MUERTO</v>
          </cell>
          <cell r="R210">
            <v>7823.4722222222217</v>
          </cell>
          <cell r="S210">
            <v>0.26839692318777914</v>
          </cell>
        </row>
        <row r="211">
          <cell r="A211" t="str">
            <v>REP-0084</v>
          </cell>
          <cell r="B211" t="str">
            <v>26.00.115</v>
          </cell>
          <cell r="C211" t="str">
            <v>Perno distribución racco 1/2</v>
          </cell>
          <cell r="D211" t="str">
            <v>MIX</v>
          </cell>
          <cell r="E211" t="str">
            <v>EUR</v>
          </cell>
          <cell r="F211">
            <v>2651.7229268379951</v>
          </cell>
          <cell r="G211">
            <v>2651.7229268379956</v>
          </cell>
          <cell r="H211">
            <v>3425.1789874399688</v>
          </cell>
          <cell r="I211">
            <v>4428.3756088057671</v>
          </cell>
          <cell r="J211">
            <v>4501.707369325637</v>
          </cell>
          <cell r="K211" t="str">
            <v>STOCK MUERTO</v>
          </cell>
          <cell r="O211"/>
          <cell r="Q211"/>
          <cell r="R211">
            <v>4217.1728952774574</v>
          </cell>
          <cell r="S211">
            <v>-6.320590182893282E-2</v>
          </cell>
        </row>
        <row r="212">
          <cell r="A212" t="str">
            <v>REP-0122</v>
          </cell>
          <cell r="B212" t="str">
            <v>09.00.521</v>
          </cell>
          <cell r="C212" t="str">
            <v>Tee inox 1/4\x6mm</v>
          </cell>
          <cell r="D212" t="str">
            <v>MIX</v>
          </cell>
          <cell r="E212" t="str">
            <v>EUR</v>
          </cell>
          <cell r="F212">
            <v>0</v>
          </cell>
          <cell r="G212">
            <v>0</v>
          </cell>
          <cell r="H212">
            <v>2247.9955469966962</v>
          </cell>
          <cell r="I212">
            <v>8684.4205630235738</v>
          </cell>
          <cell r="J212">
            <v>8828.2303716845909</v>
          </cell>
          <cell r="K212" t="str">
            <v>STOCK MUERTO</v>
          </cell>
          <cell r="R212">
            <v>8270.2341094886924</v>
          </cell>
          <cell r="S212">
            <v>-6.3205901828932723E-2</v>
          </cell>
        </row>
        <row r="213">
          <cell r="A213" t="str">
            <v>REP-0518</v>
          </cell>
          <cell r="B213" t="str">
            <v/>
          </cell>
          <cell r="C213" t="str">
            <v>TUBO INOXIDABLE MANGO DE LANZA AP</v>
          </cell>
          <cell r="D213" t="str">
            <v>NACIONAL</v>
          </cell>
          <cell r="E213" t="str">
            <v>CLP</v>
          </cell>
          <cell r="F213">
            <v>10000</v>
          </cell>
          <cell r="G213">
            <v>10000</v>
          </cell>
          <cell r="H213">
            <v>10000</v>
          </cell>
          <cell r="I213">
            <v>16563</v>
          </cell>
          <cell r="J213">
            <v>16563</v>
          </cell>
          <cell r="K213" t="str">
            <v>STOCK MUERTO</v>
          </cell>
          <cell r="R213">
            <v>16563</v>
          </cell>
          <cell r="S213">
            <v>0</v>
          </cell>
        </row>
        <row r="214">
          <cell r="A214" t="str">
            <v>REP-0519</v>
          </cell>
          <cell r="B214" t="str">
            <v/>
          </cell>
          <cell r="C214" t="str">
            <v>TAPA INTERIOR LAVAINTERIOR</v>
          </cell>
          <cell r="D214" t="str">
            <v>NACIONAL</v>
          </cell>
          <cell r="E214" t="str">
            <v>CLP</v>
          </cell>
          <cell r="F214">
            <v>25210</v>
          </cell>
          <cell r="G214">
            <v>25210</v>
          </cell>
          <cell r="H214">
            <v>25210.100000000002</v>
          </cell>
          <cell r="I214">
            <v>42859</v>
          </cell>
          <cell r="J214">
            <v>42859</v>
          </cell>
          <cell r="K214" t="str">
            <v>STOCK MUERTO</v>
          </cell>
          <cell r="R214">
            <v>42859</v>
          </cell>
          <cell r="S214">
            <v>0</v>
          </cell>
        </row>
        <row r="215">
          <cell r="A215" t="str">
            <v>REP-0521</v>
          </cell>
          <cell r="B215" t="str">
            <v/>
          </cell>
          <cell r="C215" t="str">
            <v>GATILLO PISTOLA PERDENTE CELESTE</v>
          </cell>
          <cell r="D215" t="str">
            <v>MTM NACIONAL</v>
          </cell>
          <cell r="E215" t="str">
            <v>CLP</v>
          </cell>
          <cell r="F215">
            <v>0</v>
          </cell>
          <cell r="G215">
            <v>0</v>
          </cell>
          <cell r="H215">
            <v>29000</v>
          </cell>
          <cell r="I215">
            <v>43750</v>
          </cell>
          <cell r="J215">
            <v>43750</v>
          </cell>
          <cell r="K215" t="str">
            <v>STOCK MUERTO</v>
          </cell>
          <cell r="R215">
            <v>43750</v>
          </cell>
          <cell r="S215">
            <v>0</v>
          </cell>
        </row>
        <row r="216">
          <cell r="A216" t="str">
            <v>REP-0522</v>
          </cell>
          <cell r="B216" t="str">
            <v/>
          </cell>
          <cell r="C216" t="str">
            <v>CODO 3/8 HIHI</v>
          </cell>
          <cell r="D216" t="str">
            <v>NACIONAL</v>
          </cell>
          <cell r="E216" t="str">
            <v>CLP</v>
          </cell>
          <cell r="F216">
            <v>7500</v>
          </cell>
          <cell r="G216">
            <v>7500</v>
          </cell>
          <cell r="H216">
            <v>7533.1578947368425</v>
          </cell>
          <cell r="I216">
            <v>9500</v>
          </cell>
          <cell r="J216">
            <v>9500</v>
          </cell>
          <cell r="K216" t="str">
            <v>STOCK MUERTO</v>
          </cell>
          <cell r="R216">
            <v>9500</v>
          </cell>
          <cell r="S216">
            <v>0</v>
          </cell>
        </row>
        <row r="217">
          <cell r="A217" t="str">
            <v>REP-0524</v>
          </cell>
          <cell r="B217" t="str">
            <v/>
          </cell>
          <cell r="C217" t="str">
            <v>CODO 3/8 HE 1/4HI BROCE</v>
          </cell>
          <cell r="D217" t="str">
            <v>NACIONAL</v>
          </cell>
          <cell r="E217" t="str">
            <v>CLP</v>
          </cell>
          <cell r="F217">
            <v>7500</v>
          </cell>
          <cell r="G217">
            <v>7500</v>
          </cell>
          <cell r="H217">
            <v>7500</v>
          </cell>
          <cell r="I217">
            <v>9375</v>
          </cell>
          <cell r="J217">
            <v>9375</v>
          </cell>
          <cell r="K217" t="str">
            <v>STOCK MUERTO</v>
          </cell>
          <cell r="R217">
            <v>9375</v>
          </cell>
          <cell r="S217">
            <v>0</v>
          </cell>
        </row>
        <row r="218">
          <cell r="A218" t="str">
            <v>REP-0534</v>
          </cell>
          <cell r="B218" t="str">
            <v>09.01.187</v>
          </cell>
          <cell r="C218" t="str">
            <v>BOQUILLA RECTA DE LATON 1/2</v>
          </cell>
          <cell r="D218" t="str">
            <v>MIX</v>
          </cell>
          <cell r="E218" t="str">
            <v>EUR</v>
          </cell>
          <cell r="F218">
            <v>6836.8579614083328</v>
          </cell>
          <cell r="G218">
            <v>6836.8579614083328</v>
          </cell>
          <cell r="H218">
            <v>6292.951038453908</v>
          </cell>
          <cell r="I218">
            <v>9225</v>
          </cell>
          <cell r="J218">
            <v>9377.7615429573343</v>
          </cell>
          <cell r="K218" t="str">
            <v>STOCK MUERTO</v>
          </cell>
          <cell r="R218">
            <v>8785.0316674980313</v>
          </cell>
          <cell r="S218">
            <v>-6.3205901828932834E-2</v>
          </cell>
        </row>
        <row r="219">
          <cell r="A219" t="str">
            <v>REP-0535</v>
          </cell>
          <cell r="B219" t="str">
            <v>29.00.098</v>
          </cell>
          <cell r="C219" t="str">
            <v>VALVULA 3/4 RECTA</v>
          </cell>
          <cell r="D219" t="str">
            <v>MIX</v>
          </cell>
          <cell r="E219" t="str">
            <v>EUR</v>
          </cell>
          <cell r="F219">
            <v>13126.767285903999</v>
          </cell>
          <cell r="G219">
            <v>13126.767285903999</v>
          </cell>
          <cell r="H219">
            <v>13126.767285903998</v>
          </cell>
          <cell r="I219">
            <v>17706</v>
          </cell>
          <cell r="J219">
            <v>17999.202805376972</v>
          </cell>
          <cell r="K219" t="str">
            <v>STOCK MUERTO</v>
          </cell>
          <cell r="R219">
            <v>16861.546959861265</v>
          </cell>
          <cell r="S219">
            <v>-6.3205901828932667E-2</v>
          </cell>
        </row>
        <row r="220">
          <cell r="A220" t="str">
            <v>REP-0536</v>
          </cell>
          <cell r="B220" t="str">
            <v>09.00.128</v>
          </cell>
          <cell r="C220" t="str">
            <v>BOQUILLA CROMADA RECTA 3/4</v>
          </cell>
          <cell r="D220" t="str">
            <v>MIX</v>
          </cell>
          <cell r="E220" t="str">
            <v>EUR</v>
          </cell>
          <cell r="F220">
            <v>9024.6525090590003</v>
          </cell>
          <cell r="G220">
            <v>9024.6525090590003</v>
          </cell>
          <cell r="H220">
            <v>9024.6525090590003</v>
          </cell>
          <cell r="I220">
            <v>12165</v>
          </cell>
          <cell r="J220">
            <v>12366.446522501461</v>
          </cell>
          <cell r="K220" t="str">
            <v>STOCK MUERTO</v>
          </cell>
          <cell r="R220">
            <v>11584.814117627488</v>
          </cell>
          <cell r="S220">
            <v>-6.3205901828932695E-2</v>
          </cell>
        </row>
        <row r="221">
          <cell r="A221" t="str">
            <v>REP-0537</v>
          </cell>
          <cell r="B221" t="str">
            <v>09.03.060ROSSO</v>
          </cell>
          <cell r="C221" t="str">
            <v>MANGUEA ROJA 4.7 METROS</v>
          </cell>
          <cell r="D221" t="str">
            <v>MIX</v>
          </cell>
          <cell r="E221" t="str">
            <v>EUR</v>
          </cell>
          <cell r="F221">
            <v>51048.539445182229</v>
          </cell>
          <cell r="G221">
            <v>51048.539445182229</v>
          </cell>
          <cell r="H221">
            <v>49063.129798123497</v>
          </cell>
          <cell r="I221">
            <v>68797</v>
          </cell>
          <cell r="J221">
            <v>69936.245080849403</v>
          </cell>
          <cell r="K221" t="str">
            <v>STOCK MUERTO</v>
          </cell>
          <cell r="R221">
            <v>65515.861639985058</v>
          </cell>
          <cell r="S221">
            <v>-6.3205901828932709E-2</v>
          </cell>
        </row>
        <row r="222">
          <cell r="A222" t="str">
            <v>REP-0538</v>
          </cell>
          <cell r="B222" t="str">
            <v>09.02.846</v>
          </cell>
          <cell r="C222" t="str">
            <v>BISAGRA DE ASPIRADO</v>
          </cell>
          <cell r="D222" t="str">
            <v>MIX</v>
          </cell>
          <cell r="E222" t="str">
            <v>EUR</v>
          </cell>
          <cell r="F222">
            <v>31471.424567954837</v>
          </cell>
          <cell r="G222">
            <v>31471.424567954837</v>
          </cell>
          <cell r="H222">
            <v>31471.424567954837</v>
          </cell>
          <cell r="I222">
            <v>42441</v>
          </cell>
          <cell r="J222">
            <v>43143.802454704848</v>
          </cell>
          <cell r="K222" t="str">
            <v>STOCK MUERTO</v>
          </cell>
          <cell r="R222">
            <v>40416.859512225907</v>
          </cell>
          <cell r="S222">
            <v>-6.3205901828932723E-2</v>
          </cell>
        </row>
        <row r="223">
          <cell r="A223" t="str">
            <v>REP-0539</v>
          </cell>
          <cell r="B223" t="str">
            <v>09.02.847</v>
          </cell>
          <cell r="C223" t="str">
            <v>MARCO NEGRO DE PUERTA DE ASPIRADO</v>
          </cell>
          <cell r="D223" t="str">
            <v>MIX</v>
          </cell>
          <cell r="E223" t="str">
            <v>EUR</v>
          </cell>
          <cell r="F223">
            <v>12525.123785300066</v>
          </cell>
          <cell r="G223">
            <v>12525.123785300066</v>
          </cell>
          <cell r="H223">
            <v>12525.123785300066</v>
          </cell>
          <cell r="I223">
            <v>16895</v>
          </cell>
          <cell r="J223">
            <v>17174.773037210209</v>
          </cell>
          <cell r="K223" t="str">
            <v>STOCK MUERTO</v>
          </cell>
          <cell r="R223">
            <v>16089.226018686099</v>
          </cell>
          <cell r="S223">
            <v>-6.3205901828932778E-2</v>
          </cell>
        </row>
        <row r="224">
          <cell r="A224" t="str">
            <v>REP-0540</v>
          </cell>
          <cell r="B224" t="str">
            <v>09.01.727</v>
          </cell>
          <cell r="C224" t="str">
            <v>ASTA SUPERIOR E INFERIOR ASPIRADO</v>
          </cell>
          <cell r="D224" t="str">
            <v>MIX</v>
          </cell>
          <cell r="E224" t="str">
            <v>EUR</v>
          </cell>
          <cell r="F224">
            <v>18632.591594252815</v>
          </cell>
          <cell r="G224">
            <v>18632.591594252815</v>
          </cell>
          <cell r="H224">
            <v>18632.591594252815</v>
          </cell>
          <cell r="I224">
            <v>25123</v>
          </cell>
          <cell r="J224">
            <v>25539.024741866357</v>
          </cell>
          <cell r="K224" t="str">
            <v>STOCK MUERTO</v>
          </cell>
          <cell r="R224">
            <v>23924.807651225266</v>
          </cell>
          <cell r="S224">
            <v>-6.3205901828932778E-2</v>
          </cell>
        </row>
        <row r="225">
          <cell r="A225" t="str">
            <v>REP-0541</v>
          </cell>
          <cell r="B225" t="str">
            <v>42.00.023</v>
          </cell>
          <cell r="C225" t="str">
            <v>STIKER PARADA EMERGENCIA ASPIRADO</v>
          </cell>
          <cell r="D225" t="str">
            <v>MIX</v>
          </cell>
          <cell r="E225" t="str">
            <v>EUR</v>
          </cell>
          <cell r="F225">
            <v>914.71364248853763</v>
          </cell>
          <cell r="G225">
            <v>914.71364248853763</v>
          </cell>
          <cell r="H225">
            <v>914.71364248853763</v>
          </cell>
          <cell r="I225">
            <v>1233</v>
          </cell>
          <cell r="J225">
            <v>1253.4178842781998</v>
          </cell>
          <cell r="K225" t="str">
            <v>STOCK MUERTO</v>
          </cell>
          <cell r="R225">
            <v>1174.1944765338833</v>
          </cell>
          <cell r="S225">
            <v>-6.3205901828932792E-2</v>
          </cell>
        </row>
        <row r="226">
          <cell r="A226" t="str">
            <v>REP-0542</v>
          </cell>
          <cell r="B226" t="str">
            <v/>
          </cell>
          <cell r="C226" t="str">
            <v>FICHERO ELECTRONICO SHELL</v>
          </cell>
          <cell r="D226" t="str">
            <v>NACIONAL</v>
          </cell>
          <cell r="E226" t="str">
            <v>CLP</v>
          </cell>
          <cell r="F226">
            <v>12630.5</v>
          </cell>
          <cell r="G226">
            <v>12630.5</v>
          </cell>
          <cell r="H226">
            <v>17550.138461538456</v>
          </cell>
          <cell r="I226">
            <v>26750</v>
          </cell>
          <cell r="J226">
            <v>26750</v>
          </cell>
          <cell r="K226" t="str">
            <v>STOCK MUERTO</v>
          </cell>
          <cell r="R226">
            <v>26750</v>
          </cell>
          <cell r="S226">
            <v>0</v>
          </cell>
        </row>
        <row r="227">
          <cell r="A227" t="str">
            <v>REP-0544</v>
          </cell>
          <cell r="B227" t="str">
            <v/>
          </cell>
          <cell r="C227" t="str">
            <v>TAPA PULSADORES 22 MM</v>
          </cell>
          <cell r="D227" t="str">
            <v>NACIONAL</v>
          </cell>
          <cell r="E227" t="str">
            <v>CLP</v>
          </cell>
          <cell r="F227">
            <v>45</v>
          </cell>
          <cell r="G227">
            <v>45</v>
          </cell>
          <cell r="H227">
            <v>45</v>
          </cell>
          <cell r="I227">
            <v>56</v>
          </cell>
          <cell r="J227">
            <v>56</v>
          </cell>
          <cell r="K227" t="str">
            <v>STOCK MUERTO</v>
          </cell>
          <cell r="R227">
            <v>56</v>
          </cell>
          <cell r="S227">
            <v>0</v>
          </cell>
        </row>
        <row r="228">
          <cell r="A228" t="str">
            <v>REP-0549</v>
          </cell>
          <cell r="B228" t="str">
            <v/>
          </cell>
          <cell r="C228" t="str">
            <v>FICHERO COMPARACION PUNTO ROJO</v>
          </cell>
          <cell r="D228" t="str">
            <v>NACIONAL</v>
          </cell>
          <cell r="E228" t="str">
            <v>CLP</v>
          </cell>
          <cell r="F228">
            <v>0</v>
          </cell>
          <cell r="G228">
            <v>0</v>
          </cell>
          <cell r="H228">
            <v>27858.342857142863</v>
          </cell>
          <cell r="I228">
            <v>56583</v>
          </cell>
          <cell r="J228">
            <v>56583</v>
          </cell>
          <cell r="K228" t="str">
            <v>STOCK MUERTO</v>
          </cell>
          <cell r="R228">
            <v>56583</v>
          </cell>
          <cell r="S228">
            <v>0</v>
          </cell>
        </row>
        <row r="229">
          <cell r="A229" t="str">
            <v>REP-0550</v>
          </cell>
          <cell r="B229" t="str">
            <v/>
          </cell>
          <cell r="C229" t="str">
            <v>FILTRO ASPIRADORA SHELL</v>
          </cell>
          <cell r="D229" t="str">
            <v>NACIONAL</v>
          </cell>
          <cell r="E229" t="str">
            <v>CLP</v>
          </cell>
          <cell r="F229">
            <v>0</v>
          </cell>
          <cell r="G229">
            <v>0</v>
          </cell>
          <cell r="H229">
            <v>24000</v>
          </cell>
          <cell r="I229">
            <v>32000</v>
          </cell>
          <cell r="J229">
            <v>32000</v>
          </cell>
          <cell r="K229" t="str">
            <v>STOCK MUERTO</v>
          </cell>
          <cell r="R229">
            <v>32000</v>
          </cell>
          <cell r="S229">
            <v>0</v>
          </cell>
        </row>
        <row r="230">
          <cell r="A230" t="str">
            <v>REP-0270</v>
          </cell>
          <cell r="B230" t="str">
            <v>D-02</v>
          </cell>
          <cell r="C230" t="str">
            <v>Pulsador armadoverde 1NA+1NC- LAY5- EA31</v>
          </cell>
          <cell r="D230" t="str">
            <v>DARTEL</v>
          </cell>
          <cell r="E230" t="str">
            <v>CLP</v>
          </cell>
          <cell r="F230">
            <v>643.52727272727259</v>
          </cell>
          <cell r="G230">
            <v>643.52727272727259</v>
          </cell>
          <cell r="H230">
            <v>643.52727272727259</v>
          </cell>
          <cell r="I230">
            <v>10243</v>
          </cell>
          <cell r="J230">
            <v>10243</v>
          </cell>
          <cell r="K230" t="str">
            <v>STOCK MUERTO</v>
          </cell>
          <cell r="R230">
            <v>10243</v>
          </cell>
          <cell r="S230">
            <v>0</v>
          </cell>
        </row>
        <row r="231">
          <cell r="A231" t="str">
            <v>REP-0316</v>
          </cell>
          <cell r="B231" t="str">
            <v>23.00.274</v>
          </cell>
          <cell r="C231" t="str">
            <v>Int. Aut. C60N 3P 16A</v>
          </cell>
          <cell r="D231" t="str">
            <v>MIX/ABAST TRADE</v>
          </cell>
          <cell r="E231" t="str">
            <v>EUR</v>
          </cell>
          <cell r="F231">
            <v>13415.699889276611</v>
          </cell>
          <cell r="G231">
            <v>13415.699889276611</v>
          </cell>
          <cell r="H231">
            <v>13415.699889276611</v>
          </cell>
          <cell r="I231">
            <v>94837.21471848822</v>
          </cell>
          <cell r="J231">
            <v>96407.673173791452</v>
          </cell>
          <cell r="K231" t="str">
            <v>STOCK MUERTO</v>
          </cell>
          <cell r="R231">
            <v>90314.139247612955</v>
          </cell>
          <cell r="S231">
            <v>-6.3205901828932765E-2</v>
          </cell>
        </row>
        <row r="232">
          <cell r="A232" t="str">
            <v>REP-0319</v>
          </cell>
          <cell r="B232" t="str">
            <v>09.02.985</v>
          </cell>
          <cell r="C232" t="str">
            <v>Int. mt 6KA 1N 1MOD 6A C</v>
          </cell>
          <cell r="D232" t="str">
            <v>MIX</v>
          </cell>
          <cell r="E232" t="str">
            <v>EUR</v>
          </cell>
          <cell r="F232">
            <v>5946.1526981775451</v>
          </cell>
          <cell r="G232">
            <v>5946.1526981775451</v>
          </cell>
          <cell r="H232">
            <v>5946.1526981775442</v>
          </cell>
          <cell r="I232">
            <v>42030.924439898699</v>
          </cell>
          <cell r="J232">
            <v>42726.936241455565</v>
          </cell>
          <cell r="K232" t="str">
            <v>STOCK MUERTO</v>
          </cell>
          <cell r="R232">
            <v>40026.341703927057</v>
          </cell>
          <cell r="S232">
            <v>-6.3205901828932723E-2</v>
          </cell>
        </row>
        <row r="233">
          <cell r="A233" t="str">
            <v>REP-0315</v>
          </cell>
          <cell r="B233" t="str">
            <v>09.03.015</v>
          </cell>
          <cell r="C233" t="str">
            <v>Ventilador 80x80 24V AC</v>
          </cell>
          <cell r="D233" t="str">
            <v>MIX</v>
          </cell>
          <cell r="E233" t="str">
            <v>EUR</v>
          </cell>
          <cell r="F233">
            <v>6803.7629505372097</v>
          </cell>
          <cell r="G233">
            <v>28445.38823610852</v>
          </cell>
          <cell r="H233">
            <v>28445.38823610852</v>
          </cell>
          <cell r="I233">
            <v>46897.95989674655</v>
          </cell>
          <cell r="J233">
            <v>47674.567453969124</v>
          </cell>
          <cell r="K233" t="str">
            <v>STOCK MUERTO</v>
          </cell>
          <cell r="R233">
            <v>44661.253423736722</v>
          </cell>
          <cell r="S233">
            <v>-6.3205901828932709E-2</v>
          </cell>
        </row>
        <row r="234">
          <cell r="A234" t="str">
            <v>REP-0081</v>
          </cell>
          <cell r="B234" t="str">
            <v>26.00.112</v>
          </cell>
          <cell r="C234" t="str">
            <v>Manguera conexión cat con terminal (completa, incl 111,113,114)</v>
          </cell>
          <cell r="D234" t="str">
            <v>MIX</v>
          </cell>
          <cell r="E234" t="str">
            <v>EUR</v>
          </cell>
          <cell r="F234">
            <v>4864.7690782642931</v>
          </cell>
          <cell r="G234">
            <v>16881.108334710851</v>
          </cell>
          <cell r="H234">
            <v>16881.108334710851</v>
          </cell>
          <cell r="I234">
            <v>33528.2343853497</v>
          </cell>
          <cell r="J234">
            <v>34083.445747663107</v>
          </cell>
          <cell r="K234" t="str">
            <v>STOCK MUERTO</v>
          </cell>
          <cell r="R234">
            <v>31929.170821744556</v>
          </cell>
          <cell r="S234">
            <v>-6.3205901828932792E-2</v>
          </cell>
        </row>
        <row r="235">
          <cell r="A235" t="str">
            <v>REP-0144</v>
          </cell>
          <cell r="B235" t="str">
            <v>23.00.144</v>
          </cell>
          <cell r="C235" t="str">
            <v>EV 1/4\ burket cod 125302w</v>
          </cell>
          <cell r="D235" t="str">
            <v>MIX</v>
          </cell>
          <cell r="E235" t="str">
            <v>EUR</v>
          </cell>
          <cell r="F235">
            <v>19233.554846095711</v>
          </cell>
          <cell r="G235">
            <v>19233.554846095711</v>
          </cell>
          <cell r="H235">
            <v>19233.554846095711</v>
          </cell>
          <cell r="I235">
            <v>112121.45715955582</v>
          </cell>
          <cell r="J235">
            <v>113978.13431883154</v>
          </cell>
          <cell r="K235" t="str">
            <v>STOCK MUERTO</v>
          </cell>
          <cell r="R235">
            <v>106774.04355043056</v>
          </cell>
          <cell r="S235">
            <v>-6.3205901828932709E-2</v>
          </cell>
        </row>
        <row r="236">
          <cell r="A236" t="str">
            <v>REP-0236</v>
          </cell>
          <cell r="B236" t="str">
            <v>39.00.008</v>
          </cell>
          <cell r="C236" t="str">
            <v>Tuerca inoxidable protector fichero</v>
          </cell>
          <cell r="D236" t="str">
            <v>MIX</v>
          </cell>
          <cell r="E236" t="str">
            <v>EUR</v>
          </cell>
          <cell r="F236">
            <v>5.619393852167331</v>
          </cell>
          <cell r="G236">
            <v>5.619393852167331</v>
          </cell>
          <cell r="H236">
            <v>18.785478108607492</v>
          </cell>
          <cell r="I236">
            <v>32.37727449834405</v>
          </cell>
          <cell r="J236">
            <v>32.913426521012909</v>
          </cell>
          <cell r="K236" t="str">
            <v>STOCK MUERTO</v>
          </cell>
          <cell r="R236">
            <v>30.833103715471974</v>
          </cell>
          <cell r="S236">
            <v>-6.3205901828932765E-2</v>
          </cell>
        </row>
        <row r="237">
          <cell r="A237" t="str">
            <v>INS-0029</v>
          </cell>
          <cell r="B237" t="str">
            <v/>
          </cell>
          <cell r="C237" t="str">
            <v>Renovador de tableros alt.</v>
          </cell>
          <cell r="D237" t="str">
            <v>NACIONAL</v>
          </cell>
          <cell r="E237" t="str">
            <v>CLP</v>
          </cell>
          <cell r="F237">
            <v>3520.7990095661421</v>
          </cell>
          <cell r="G237">
            <v>3520.7990095661421</v>
          </cell>
          <cell r="H237">
            <v>3520.7990095661421</v>
          </cell>
          <cell r="I237">
            <v>20000</v>
          </cell>
          <cell r="J237">
            <v>20331.190337034874</v>
          </cell>
          <cell r="K237" t="str">
            <v>STOCK MUERTO</v>
          </cell>
          <cell r="R237">
            <v>20331.190337034874</v>
          </cell>
          <cell r="S237">
            <v>0</v>
          </cell>
        </row>
        <row r="238">
          <cell r="A238" t="str">
            <v>REP-0198</v>
          </cell>
          <cell r="B238" t="str">
            <v>09.00.628</v>
          </cell>
          <cell r="C238" t="str">
            <v>Válvula robex con válvula retención 3/4\</v>
          </cell>
          <cell r="D238" t="str">
            <v>MIX</v>
          </cell>
          <cell r="E238" t="str">
            <v>EUR</v>
          </cell>
          <cell r="F238">
            <v>15243.358561931169</v>
          </cell>
          <cell r="G238">
            <v>15243.358561931169</v>
          </cell>
          <cell r="H238">
            <v>15243.358561931169</v>
          </cell>
          <cell r="I238">
            <v>76233.859448665506</v>
          </cell>
          <cell r="J238">
            <v>77496.255328879139</v>
          </cell>
          <cell r="K238" t="str">
            <v>STOCK MUERTO</v>
          </cell>
          <cell r="R238">
            <v>72598.034622452091</v>
          </cell>
          <cell r="S238">
            <v>-6.3205901828932834E-2</v>
          </cell>
        </row>
        <row r="239">
          <cell r="A239" t="str">
            <v>REP-0223</v>
          </cell>
          <cell r="B239" t="str">
            <v>09.01.008</v>
          </cell>
          <cell r="C239" t="str">
            <v>Tee de acople rapido x3 1/4</v>
          </cell>
          <cell r="D239" t="str">
            <v>MIX</v>
          </cell>
          <cell r="E239" t="str">
            <v>EUR</v>
          </cell>
          <cell r="F239">
            <v>3957.6388220628082</v>
          </cell>
          <cell r="G239">
            <v>3957.6388220628082</v>
          </cell>
          <cell r="H239">
            <v>3957.6388220628078</v>
          </cell>
          <cell r="I239">
            <v>18345.381502045591</v>
          </cell>
          <cell r="J239">
            <v>18649.172156180382</v>
          </cell>
          <cell r="K239" t="str">
            <v>STOCK MUERTO</v>
          </cell>
          <cell r="R239">
            <v>17470.434411685979</v>
          </cell>
          <cell r="S239">
            <v>-6.3205901828932737E-2</v>
          </cell>
        </row>
        <row r="240">
          <cell r="A240" t="str">
            <v>REP-0111</v>
          </cell>
          <cell r="B240" t="str">
            <v>30.00.070</v>
          </cell>
          <cell r="C240" t="str">
            <v>Niples girantes 1/2\F-1/2\M</v>
          </cell>
          <cell r="D240" t="str">
            <v>MIX</v>
          </cell>
          <cell r="E240" t="str">
            <v>EUR</v>
          </cell>
          <cell r="F240">
            <v>1814.9920755543374</v>
          </cell>
          <cell r="G240">
            <v>1814.9920755543374</v>
          </cell>
          <cell r="H240">
            <v>1814.9920755543371</v>
          </cell>
          <cell r="I240">
            <v>7130.3113871030591</v>
          </cell>
          <cell r="J240">
            <v>7248.3858986759715</v>
          </cell>
          <cell r="K240" t="str">
            <v>STOCK MUERTO</v>
          </cell>
          <cell r="R240">
            <v>6790.2451311460372</v>
          </cell>
          <cell r="S240">
            <v>-6.3205901828932792E-2</v>
          </cell>
        </row>
        <row r="241">
          <cell r="A241" t="str">
            <v>REP-0365</v>
          </cell>
          <cell r="B241">
            <v>0</v>
          </cell>
          <cell r="C241" t="str">
            <v>Manguera 1/4" 1 mt color rojo ext. HE-HI 3/8</v>
          </cell>
          <cell r="D241" t="str">
            <v>MIX</v>
          </cell>
          <cell r="E241" t="str">
            <v>EUR</v>
          </cell>
          <cell r="F241">
            <v>9909.9166666666661</v>
          </cell>
          <cell r="G241">
            <v>9909.9166666666661</v>
          </cell>
          <cell r="H241">
            <v>9750</v>
          </cell>
          <cell r="I241">
            <v>38223.983615819212</v>
          </cell>
          <cell r="J241">
            <v>38856.954316646144</v>
          </cell>
          <cell r="K241" t="str">
            <v>STOCK MUERTO</v>
          </cell>
          <cell r="R241">
            <v>36400.965476736885</v>
          </cell>
          <cell r="S241">
            <v>-6.3205901828932723E-2</v>
          </cell>
        </row>
        <row r="242">
          <cell r="A242" t="str">
            <v>REP-0203</v>
          </cell>
          <cell r="B242" t="str">
            <v>09.00.456</v>
          </cell>
          <cell r="C242" t="str">
            <v>Recuadro Burket</v>
          </cell>
          <cell r="D242" t="str">
            <v>MIX</v>
          </cell>
          <cell r="E242" t="str">
            <v>EUR</v>
          </cell>
          <cell r="F242">
            <v>5062.8838523101749</v>
          </cell>
          <cell r="G242">
            <v>5062.8838523101749</v>
          </cell>
          <cell r="H242">
            <v>5062.8838523101749</v>
          </cell>
          <cell r="I242">
            <v>19363.699006428993</v>
          </cell>
          <cell r="J242">
            <v>19684.352506438045</v>
          </cell>
          <cell r="K242" t="str">
            <v>STOCK MUERTO</v>
          </cell>
          <cell r="R242">
            <v>18440.185254350014</v>
          </cell>
          <cell r="S242">
            <v>-6.3205901828932834E-2</v>
          </cell>
        </row>
        <row r="243">
          <cell r="A243" t="str">
            <v>REP-0165</v>
          </cell>
          <cell r="B243" t="str">
            <v>09.00.452</v>
          </cell>
          <cell r="C243" t="str">
            <v>Ingreso lateral Burket</v>
          </cell>
          <cell r="D243" t="str">
            <v>MIX</v>
          </cell>
          <cell r="E243" t="str">
            <v>EUR</v>
          </cell>
          <cell r="F243">
            <v>16263.189884940401</v>
          </cell>
          <cell r="G243">
            <v>16263.189884940401</v>
          </cell>
          <cell r="H243">
            <v>30966.935465539245</v>
          </cell>
          <cell r="I243">
            <v>56902.537716734863</v>
          </cell>
          <cell r="J243">
            <v>57844.81624896211</v>
          </cell>
          <cell r="K243" t="str">
            <v>STOCK MUERTO</v>
          </cell>
          <cell r="R243">
            <v>54188.682471817556</v>
          </cell>
          <cell r="S243">
            <v>-6.3205901828932765E-2</v>
          </cell>
        </row>
        <row r="244">
          <cell r="A244" t="str">
            <v>REP-0094</v>
          </cell>
          <cell r="B244" t="str">
            <v>30.00.115</v>
          </cell>
          <cell r="C244" t="str">
            <v>Conexión 1/2\ inoxidable niple</v>
          </cell>
          <cell r="D244" t="str">
            <v>MIX</v>
          </cell>
          <cell r="E244" t="str">
            <v>EUR</v>
          </cell>
          <cell r="F244">
            <v>1743.4703985616356</v>
          </cell>
          <cell r="G244">
            <v>1743.4703985616356</v>
          </cell>
          <cell r="H244">
            <v>2422.0926470544287</v>
          </cell>
          <cell r="I244">
            <v>5951.1519384375615</v>
          </cell>
          <cell r="J244">
            <v>6049.7001392494049</v>
          </cell>
          <cell r="K244" t="str">
            <v>STOCK MUERTO</v>
          </cell>
          <cell r="R244">
            <v>5667.3233861535264</v>
          </cell>
          <cell r="S244">
            <v>-6.3205901828932723E-2</v>
          </cell>
        </row>
        <row r="245">
          <cell r="A245" t="str">
            <v>REP-0128</v>
          </cell>
          <cell r="B245" t="str">
            <v>09.01.227</v>
          </cell>
          <cell r="C245" t="str">
            <v>Kit EV sirai 3/4\ L131 (membrana electroválvula verde)</v>
          </cell>
          <cell r="D245" t="str">
            <v>MIX</v>
          </cell>
          <cell r="E245" t="str">
            <v>EUR</v>
          </cell>
          <cell r="F245">
            <v>14941.626351215928</v>
          </cell>
          <cell r="G245">
            <v>14941.626351215928</v>
          </cell>
          <cell r="H245">
            <v>21165.843850198846</v>
          </cell>
          <cell r="I245">
            <v>50157.620338983055</v>
          </cell>
          <cell r="J245">
            <v>50988.206298229801</v>
          </cell>
          <cell r="K245" t="str">
            <v>STOCK MUERTO</v>
          </cell>
          <cell r="R245">
            <v>47765.450736510516</v>
          </cell>
          <cell r="S245">
            <v>-6.3205901828932778E-2</v>
          </cell>
        </row>
        <row r="246">
          <cell r="A246" t="str">
            <v>REP-0161</v>
          </cell>
          <cell r="B246" t="str">
            <v>23.00.603</v>
          </cell>
          <cell r="C246" t="str">
            <v>Relé mini 24VCC finder</v>
          </cell>
          <cell r="D246" t="str">
            <v>MIX</v>
          </cell>
          <cell r="E246" t="str">
            <v>EUR</v>
          </cell>
          <cell r="F246">
            <v>10383</v>
          </cell>
          <cell r="G246">
            <v>10383</v>
          </cell>
          <cell r="H246">
            <v>10383</v>
          </cell>
          <cell r="I246">
            <v>34556.996171829342</v>
          </cell>
          <cell r="J246">
            <v>35129.243332282393</v>
          </cell>
          <cell r="K246" t="str">
            <v>STOCK MUERTO</v>
          </cell>
          <cell r="R246">
            <v>32908.867826897462</v>
          </cell>
          <cell r="S246">
            <v>-6.3205901828932737E-2</v>
          </cell>
        </row>
        <row r="247">
          <cell r="A247" t="str">
            <v>REP-0182</v>
          </cell>
          <cell r="B247" t="str">
            <v>09.00.382</v>
          </cell>
          <cell r="C247" t="str">
            <v>Relé mini 24VCA finder</v>
          </cell>
          <cell r="D247" t="str">
            <v>MIX</v>
          </cell>
          <cell r="E247" t="str">
            <v>EUR</v>
          </cell>
          <cell r="F247">
            <v>3351.5301071095751</v>
          </cell>
          <cell r="G247">
            <v>3351.5301071095751</v>
          </cell>
          <cell r="H247">
            <v>3351.5301071095751</v>
          </cell>
          <cell r="I247">
            <v>10893.386226378338</v>
          </cell>
          <cell r="J247">
            <v>11073.775439166602</v>
          </cell>
          <cell r="K247" t="str">
            <v>STOCK MUERTO</v>
          </cell>
          <cell r="R247">
            <v>10373.847475882991</v>
          </cell>
          <cell r="S247">
            <v>-6.3205901828932806E-2</v>
          </cell>
        </row>
        <row r="248">
          <cell r="A248" t="str">
            <v>REP-0159</v>
          </cell>
          <cell r="B248" t="str">
            <v>09.01.158</v>
          </cell>
          <cell r="C248" t="str">
            <v>Flujometro 250 lt</v>
          </cell>
          <cell r="D248" t="str">
            <v>MIX</v>
          </cell>
          <cell r="E248" t="str">
            <v>EUR</v>
          </cell>
          <cell r="F248">
            <v>92273.073012302237</v>
          </cell>
          <cell r="G248">
            <v>92273.073012302237</v>
          </cell>
          <cell r="H248">
            <v>92273.073012302237</v>
          </cell>
          <cell r="I248">
            <v>296476.61372491723</v>
          </cell>
          <cell r="J248">
            <v>301386.12320604286</v>
          </cell>
          <cell r="K248" t="str">
            <v>STOCK MUERTO</v>
          </cell>
          <cell r="R248">
            <v>282336.74149007909</v>
          </cell>
          <cell r="S248">
            <v>-6.3205901828932723E-2</v>
          </cell>
        </row>
        <row r="249">
          <cell r="A249" t="str">
            <v>REP-0152</v>
          </cell>
          <cell r="B249" t="str">
            <v>23.00.052</v>
          </cell>
          <cell r="C249" t="str">
            <v>EV  sirai 3/4\  L131 osmosis</v>
          </cell>
          <cell r="D249" t="str">
            <v>MIX</v>
          </cell>
          <cell r="E249" t="str">
            <v>EUR</v>
          </cell>
          <cell r="F249">
            <v>60108.839435181602</v>
          </cell>
          <cell r="G249">
            <v>117747</v>
          </cell>
          <cell r="H249">
            <v>134575.4640220289</v>
          </cell>
          <cell r="I249">
            <v>191914.72794661994</v>
          </cell>
          <cell r="J249">
            <v>195092.74311814978</v>
          </cell>
          <cell r="K249" t="str">
            <v>STOCK MUERTO</v>
          </cell>
          <cell r="R249">
            <v>182761.73034908681</v>
          </cell>
          <cell r="S249">
            <v>-6.3205901828932765E-2</v>
          </cell>
        </row>
        <row r="250">
          <cell r="A250" t="str">
            <v>REP-0125</v>
          </cell>
          <cell r="B250" t="str">
            <v>29.00.171</v>
          </cell>
          <cell r="C250" t="str">
            <v>Válvula no retorno Inoxidable 1/4''</v>
          </cell>
          <cell r="D250" t="str">
            <v>MIX</v>
          </cell>
          <cell r="E250" t="str">
            <v>EUR</v>
          </cell>
          <cell r="F250">
            <v>13295.631478304731</v>
          </cell>
          <cell r="G250">
            <v>13295.631478304731</v>
          </cell>
          <cell r="H250">
            <v>13295.631478304729</v>
          </cell>
          <cell r="I250">
            <v>41601.664445743234</v>
          </cell>
          <cell r="J250">
            <v>42290.567909193102</v>
          </cell>
          <cell r="K250" t="str">
            <v>STOCK MUERTO</v>
          </cell>
          <cell r="R250">
            <v>39617.554425634829</v>
          </cell>
          <cell r="S250">
            <v>-6.3205901828932737E-2</v>
          </cell>
        </row>
        <row r="251">
          <cell r="A251" t="str">
            <v>REP-0192</v>
          </cell>
          <cell r="B251" t="str">
            <v>09.01.770</v>
          </cell>
          <cell r="C251" t="str">
            <v>Microinterruptor contactor motor trifásico</v>
          </cell>
          <cell r="D251" t="str">
            <v>MIX</v>
          </cell>
          <cell r="E251" t="str">
            <v>EUR</v>
          </cell>
          <cell r="F251">
            <v>3853.4730051298393</v>
          </cell>
          <cell r="G251">
            <v>3853.4730051298393</v>
          </cell>
          <cell r="H251">
            <v>3853.4730051298393</v>
          </cell>
          <cell r="I251">
            <v>11933.636723163843</v>
          </cell>
          <cell r="J251">
            <v>12131.251981583662</v>
          </cell>
          <cell r="K251" t="str">
            <v>STOCK MUERTO</v>
          </cell>
          <cell r="R251">
            <v>11364.485259773639</v>
          </cell>
          <cell r="S251">
            <v>-6.3205901828932778E-2</v>
          </cell>
        </row>
        <row r="252">
          <cell r="A252" t="str">
            <v>REP-0173</v>
          </cell>
          <cell r="B252" t="str">
            <v>60.00.022</v>
          </cell>
          <cell r="C252" t="str">
            <v>kit turbina twister m2 (motor aspiradora t. plástico)</v>
          </cell>
          <cell r="D252" t="str">
            <v>MIX</v>
          </cell>
          <cell r="E252" t="str">
            <v>EUR</v>
          </cell>
          <cell r="F252">
            <v>677410.04231791035</v>
          </cell>
          <cell r="G252">
            <v>677410.04231791035</v>
          </cell>
          <cell r="H252">
            <v>677410.04231791035</v>
          </cell>
          <cell r="I252">
            <v>2067435.1966686151</v>
          </cell>
          <cell r="J252">
            <v>2101670.9246477368</v>
          </cell>
          <cell r="K252" t="str">
            <v>STOCK MUERTO</v>
          </cell>
          <cell r="R252">
            <v>1968832.9185077297</v>
          </cell>
          <cell r="S252">
            <v>-6.3205901828932751E-2</v>
          </cell>
        </row>
        <row r="253">
          <cell r="A253" t="str">
            <v>REP-0011</v>
          </cell>
          <cell r="B253" t="str">
            <v>09.00.032</v>
          </cell>
          <cell r="C253" t="str">
            <v>Tee he 1/4 salida Cat</v>
          </cell>
          <cell r="D253" t="str">
            <v>MIX</v>
          </cell>
          <cell r="E253" t="str">
            <v>EUR</v>
          </cell>
          <cell r="F253">
            <v>3139.5729364079807</v>
          </cell>
          <cell r="G253">
            <v>3139.5729364079807</v>
          </cell>
          <cell r="H253">
            <v>3139.5729364079807</v>
          </cell>
          <cell r="I253">
            <v>9113.6805571790392</v>
          </cell>
          <cell r="J253">
            <v>9264.5987039470529</v>
          </cell>
          <cell r="K253" t="str">
            <v>STOCK MUERTO</v>
          </cell>
          <cell r="R253">
            <v>8679.0213877809183</v>
          </cell>
          <cell r="S253">
            <v>-6.3205901828932695E-2</v>
          </cell>
        </row>
        <row r="254">
          <cell r="A254" t="str">
            <v>REP-0346</v>
          </cell>
          <cell r="B254" t="str">
            <v/>
          </cell>
          <cell r="C254" t="str">
            <v xml:space="preserve"> Soporte de plástico para manguera de soplado</v>
          </cell>
          <cell r="D254" t="str">
            <v>NACIONAL</v>
          </cell>
          <cell r="E254" t="str">
            <v>CLP</v>
          </cell>
          <cell r="F254">
            <v>5714.2857142857138</v>
          </cell>
          <cell r="G254">
            <v>5714.2857142857138</v>
          </cell>
          <cell r="H254">
            <v>3500</v>
          </cell>
          <cell r="I254">
            <v>16546</v>
          </cell>
          <cell r="J254">
            <v>16546</v>
          </cell>
          <cell r="K254" t="str">
            <v>STOCK MUERTO</v>
          </cell>
          <cell r="O254"/>
          <cell r="Q254"/>
          <cell r="R254">
            <v>16546</v>
          </cell>
          <cell r="S254">
            <v>0</v>
          </cell>
        </row>
        <row r="255">
          <cell r="A255" t="str">
            <v>REP-0070</v>
          </cell>
          <cell r="B255" t="str">
            <v>09.02.544</v>
          </cell>
          <cell r="C255" t="str">
            <v>Motor soplado twister tambor metálico</v>
          </cell>
          <cell r="D255" t="str">
            <v>MIX</v>
          </cell>
          <cell r="E255" t="str">
            <v>EUR</v>
          </cell>
          <cell r="F255">
            <v>87450.056019416559</v>
          </cell>
          <cell r="G255">
            <v>87450.056019416559</v>
          </cell>
          <cell r="H255">
            <v>87450.056019416559</v>
          </cell>
          <cell r="I255">
            <v>245675.6256088058</v>
          </cell>
          <cell r="J255">
            <v>249743.89527113747</v>
          </cell>
          <cell r="K255" t="str">
            <v>STOCK MUERTO</v>
          </cell>
          <cell r="R255">
            <v>233958.6071442547</v>
          </cell>
          <cell r="S255">
            <v>-6.3205901828932751E-2</v>
          </cell>
        </row>
        <row r="256">
          <cell r="A256" t="str">
            <v>REP-0176</v>
          </cell>
          <cell r="B256" t="str">
            <v>09.01.502</v>
          </cell>
          <cell r="C256" t="str">
            <v>Motor mix dry 220v 7A (motor secado)</v>
          </cell>
          <cell r="D256" t="str">
            <v>MIX</v>
          </cell>
          <cell r="E256" t="str">
            <v>EUR</v>
          </cell>
          <cell r="F256">
            <v>349751.31435266818</v>
          </cell>
          <cell r="G256">
            <v>349751.31435266818</v>
          </cell>
          <cell r="H256">
            <v>349751.31435266818</v>
          </cell>
          <cell r="I256">
            <v>979795.85872783954</v>
          </cell>
          <cell r="J256">
            <v>996020.80476171186</v>
          </cell>
          <cell r="K256" t="str">
            <v>STOCK MUERTO</v>
          </cell>
          <cell r="R256">
            <v>933066.41155636846</v>
          </cell>
          <cell r="S256">
            <v>-6.3205901828932792E-2</v>
          </cell>
        </row>
        <row r="257">
          <cell r="A257" t="str">
            <v>REP-0155</v>
          </cell>
          <cell r="B257" t="str">
            <v>24.00.155</v>
          </cell>
          <cell r="C257" t="str">
            <v>Campana lateral (bomba 3cp) CAT</v>
          </cell>
          <cell r="D257" t="str">
            <v>MIX</v>
          </cell>
          <cell r="E257" t="str">
            <v>EUR</v>
          </cell>
          <cell r="F257">
            <v>7128.6639227635496</v>
          </cell>
          <cell r="G257">
            <v>7128.6639227635487</v>
          </cell>
          <cell r="H257">
            <v>7128.6639227635496</v>
          </cell>
          <cell r="I257">
            <v>19953.800944866551</v>
          </cell>
          <cell r="J257">
            <v>20284.226247869407</v>
          </cell>
          <cell r="K257" t="str">
            <v>STOCK MUERTO</v>
          </cell>
          <cell r="R257">
            <v>19002.143434970712</v>
          </cell>
          <cell r="S257">
            <v>-6.3205901828932723E-2</v>
          </cell>
        </row>
        <row r="258">
          <cell r="A258" t="str">
            <v>REP-0204</v>
          </cell>
          <cell r="B258" t="str">
            <v>09.00.004</v>
          </cell>
          <cell r="C258" t="str">
            <v>Bomba cat 5 cp</v>
          </cell>
          <cell r="D258" t="str">
            <v>MIX</v>
          </cell>
          <cell r="E258" t="str">
            <v>EUR</v>
          </cell>
          <cell r="F258">
            <v>417593.07784290169</v>
          </cell>
          <cell r="G258">
            <v>417593.07784290169</v>
          </cell>
          <cell r="H258">
            <v>417593.07784290169</v>
          </cell>
          <cell r="I258">
            <v>1148936.8295636082</v>
          </cell>
          <cell r="J258">
            <v>1167962.6683543557</v>
          </cell>
          <cell r="K258" t="str">
            <v>STOCK MUERTO</v>
          </cell>
          <cell r="R258">
            <v>1094140.5345984921</v>
          </cell>
          <cell r="S258">
            <v>-6.3205901828932667E-2</v>
          </cell>
        </row>
        <row r="259">
          <cell r="A259" t="str">
            <v>REP-0071</v>
          </cell>
          <cell r="B259" t="str">
            <v>09.02.777</v>
          </cell>
          <cell r="C259" t="str">
            <v>Mango goma asp S2 diam 38/60</v>
          </cell>
          <cell r="D259" t="str">
            <v>MIX</v>
          </cell>
          <cell r="E259" t="str">
            <v>EUR</v>
          </cell>
          <cell r="F259">
            <v>10321.283180611992</v>
          </cell>
          <cell r="G259">
            <v>10321.283180611992</v>
          </cell>
          <cell r="H259">
            <v>10321.28318061199</v>
          </cell>
          <cell r="I259">
            <v>28370.84788622638</v>
          </cell>
          <cell r="J259">
            <v>28840.655419896601</v>
          </cell>
          <cell r="K259" t="str">
            <v>STOCK MUERTO</v>
          </cell>
          <cell r="R259">
            <v>27017.755784744539</v>
          </cell>
          <cell r="S259">
            <v>-6.3205901828932751E-2</v>
          </cell>
        </row>
        <row r="260">
          <cell r="A260" t="str">
            <v>REP-0022</v>
          </cell>
          <cell r="B260" t="str">
            <v>09.00.443</v>
          </cell>
          <cell r="C260" t="str">
            <v>Inyector Burket</v>
          </cell>
          <cell r="D260" t="str">
            <v>MIX</v>
          </cell>
          <cell r="E260" t="str">
            <v>EUR</v>
          </cell>
          <cell r="F260">
            <v>30013.364290905669</v>
          </cell>
          <cell r="G260">
            <v>30013.364290905669</v>
          </cell>
          <cell r="H260">
            <v>30013.364290905669</v>
          </cell>
          <cell r="I260">
            <v>82378.230605883509</v>
          </cell>
          <cell r="J260">
            <v>83742.374303818462</v>
          </cell>
          <cell r="K260" t="str">
            <v>STOCK MUERTO</v>
          </cell>
          <cell r="R260">
            <v>78449.362014649567</v>
          </cell>
          <cell r="S260">
            <v>-6.3205901828932806E-2</v>
          </cell>
        </row>
        <row r="261">
          <cell r="A261" t="str">
            <v>REP-0178</v>
          </cell>
          <cell r="B261" t="str">
            <v>09.00.448</v>
          </cell>
          <cell r="C261" t="str">
            <v>Pieza cierre lateral Burket</v>
          </cell>
          <cell r="D261" t="str">
            <v>MIX</v>
          </cell>
          <cell r="E261" t="str">
            <v>EUR</v>
          </cell>
          <cell r="F261">
            <v>7410.4263603522531</v>
          </cell>
          <cell r="G261">
            <v>7410.4263603522531</v>
          </cell>
          <cell r="H261">
            <v>7410.4263603522531</v>
          </cell>
          <cell r="I261">
            <v>20265.040551334503</v>
          </cell>
          <cell r="J261">
            <v>20600.619831845594</v>
          </cell>
          <cell r="K261" t="str">
            <v>STOCK MUERTO</v>
          </cell>
          <cell r="R261">
            <v>19298.539077138797</v>
          </cell>
          <cell r="S261">
            <v>-6.3205901828932681E-2</v>
          </cell>
        </row>
        <row r="262">
          <cell r="A262" t="str">
            <v>REP-0154</v>
          </cell>
          <cell r="B262" t="str">
            <v>23.00.488</v>
          </cell>
          <cell r="C262" t="str">
            <v>Conductivímetro c901</v>
          </cell>
          <cell r="D262" t="str">
            <v>MIX</v>
          </cell>
          <cell r="E262" t="str">
            <v>EUR</v>
          </cell>
          <cell r="F262">
            <v>194457.11738391814</v>
          </cell>
          <cell r="G262">
            <v>194457.11738391817</v>
          </cell>
          <cell r="H262">
            <v>194457.11738391814</v>
          </cell>
          <cell r="I262">
            <v>515882.78100526013</v>
          </cell>
          <cell r="J262">
            <v>524425.55061084114</v>
          </cell>
          <cell r="K262" t="str">
            <v>STOCK MUERTO</v>
          </cell>
          <cell r="R262">
            <v>491278.76074234833</v>
          </cell>
          <cell r="S262">
            <v>-6.3205901828932709E-2</v>
          </cell>
        </row>
        <row r="263">
          <cell r="A263" t="str">
            <v>REP-0072</v>
          </cell>
          <cell r="B263" t="str">
            <v>09.02.993</v>
          </cell>
          <cell r="C263" t="str">
            <v>Guarnición tubo aspirado y soplado TW S2</v>
          </cell>
          <cell r="D263" t="str">
            <v>MIX</v>
          </cell>
          <cell r="E263" t="str">
            <v>EUR</v>
          </cell>
          <cell r="F263">
            <v>4565.7951324627029</v>
          </cell>
          <cell r="G263">
            <v>4565.7951324627029</v>
          </cell>
          <cell r="H263">
            <v>4565.7951324627029</v>
          </cell>
          <cell r="I263">
            <v>11890.815166569259</v>
          </cell>
          <cell r="J263">
            <v>12087.72132070103</v>
          </cell>
          <cell r="K263" t="str">
            <v>STOCK MUERTO</v>
          </cell>
          <cell r="R263">
            <v>11323.705993569303</v>
          </cell>
          <cell r="S263">
            <v>-6.3205901828932765E-2</v>
          </cell>
        </row>
        <row r="264">
          <cell r="A264" t="str">
            <v>REP-0135</v>
          </cell>
          <cell r="B264" t="str">
            <v>ASP-01</v>
          </cell>
          <cell r="C264" t="str">
            <v>Resorte de sistema vibración (conico)</v>
          </cell>
          <cell r="D264" t="str">
            <v>HUMBERTO ORTEGA</v>
          </cell>
          <cell r="E264" t="str">
            <v>CLP</v>
          </cell>
          <cell r="F264">
            <v>4333.333333333333</v>
          </cell>
          <cell r="G264">
            <v>4333.333333333333</v>
          </cell>
          <cell r="H264">
            <v>4333.333333333333</v>
          </cell>
          <cell r="I264">
            <v>11152</v>
          </cell>
          <cell r="J264">
            <v>11336.671731930644</v>
          </cell>
          <cell r="K264" t="str">
            <v>STOCK MUERTO</v>
          </cell>
          <cell r="R264">
            <v>11336.671731930644</v>
          </cell>
          <cell r="S264">
            <v>0</v>
          </cell>
        </row>
        <row r="265">
          <cell r="A265" t="str">
            <v>REP-0074</v>
          </cell>
          <cell r="B265" t="str">
            <v>23.00.012</v>
          </cell>
          <cell r="C265" t="str">
            <v>Fusible rápido 5x20 2A</v>
          </cell>
          <cell r="D265" t="str">
            <v>MIX</v>
          </cell>
          <cell r="E265" t="str">
            <v>EUR</v>
          </cell>
          <cell r="F265">
            <v>146.42621483655924</v>
          </cell>
          <cell r="G265">
            <v>146.42621483655924</v>
          </cell>
          <cell r="H265">
            <v>146.42621483655921</v>
          </cell>
          <cell r="I265">
            <v>374.94972725501663</v>
          </cell>
          <cell r="J265">
            <v>381.15871358205277</v>
          </cell>
          <cell r="K265" t="str">
            <v>STOCK MUERTO</v>
          </cell>
          <cell r="R265">
            <v>357.06723335014323</v>
          </cell>
          <cell r="S265">
            <v>-6.3205901828932806E-2</v>
          </cell>
        </row>
        <row r="266">
          <cell r="A266" t="str">
            <v>REP-0320</v>
          </cell>
          <cell r="B266" t="str">
            <v>60.00.131</v>
          </cell>
          <cell r="C266" t="str">
            <v>kit pistola+ manguera+soporte para sanitizado</v>
          </cell>
          <cell r="D266" t="str">
            <v>MIX</v>
          </cell>
          <cell r="E266" t="str">
            <v>EUR</v>
          </cell>
          <cell r="F266">
            <v>163627.52344625138</v>
          </cell>
          <cell r="G266">
            <v>163627.52344625138</v>
          </cell>
          <cell r="H266">
            <v>163627.52344625138</v>
          </cell>
          <cell r="I266">
            <v>418161.9</v>
          </cell>
          <cell r="J266">
            <v>425086.45902980713</v>
          </cell>
          <cell r="K266" t="str">
            <v>STOCK MUERTO</v>
          </cell>
          <cell r="R266">
            <v>398218.48603156052</v>
          </cell>
          <cell r="S266">
            <v>-6.3205901828932695E-2</v>
          </cell>
        </row>
        <row r="267">
          <cell r="A267" t="str">
            <v>REP-0185</v>
          </cell>
          <cell r="B267" t="str">
            <v>09.01.400</v>
          </cell>
          <cell r="C267" t="str">
            <v>Rodillo lavatapete LTS400</v>
          </cell>
          <cell r="D267" t="str">
            <v>MIX</v>
          </cell>
          <cell r="E267" t="str">
            <v>EUR</v>
          </cell>
          <cell r="F267">
            <v>172364.208401151</v>
          </cell>
          <cell r="G267">
            <v>172364.208401151</v>
          </cell>
          <cell r="H267">
            <v>172364.208401151</v>
          </cell>
          <cell r="I267">
            <v>440335.11089031759</v>
          </cell>
          <cell r="J267">
            <v>447626.8475795202</v>
          </cell>
          <cell r="K267" t="str">
            <v>STOCK MUERTO</v>
          </cell>
          <cell r="R267">
            <v>419334.18899541441</v>
          </cell>
          <cell r="S267">
            <v>-6.3205901828932723E-2</v>
          </cell>
        </row>
        <row r="268">
          <cell r="A268" t="str">
            <v>REP-0184</v>
          </cell>
          <cell r="B268" t="str">
            <v>09.00.816</v>
          </cell>
          <cell r="C268" t="str">
            <v>Relé auxiliar 10A</v>
          </cell>
          <cell r="D268" t="str">
            <v>MIX</v>
          </cell>
          <cell r="E268" t="str">
            <v>EUR</v>
          </cell>
          <cell r="F268">
            <v>13154.217500190061</v>
          </cell>
          <cell r="G268">
            <v>13154.217500190061</v>
          </cell>
          <cell r="H268">
            <v>13154.217500190061</v>
          </cell>
          <cell r="I268">
            <v>33442.591272160535</v>
          </cell>
          <cell r="J268">
            <v>33996.38442589785</v>
          </cell>
          <cell r="K268" t="str">
            <v>STOCK MUERTO</v>
          </cell>
          <cell r="R268">
            <v>31847.612289335892</v>
          </cell>
          <cell r="S268">
            <v>-6.3205901828932765E-2</v>
          </cell>
        </row>
        <row r="269">
          <cell r="A269" t="str">
            <v>REP-0158</v>
          </cell>
          <cell r="B269" t="str">
            <v>09.01.010</v>
          </cell>
          <cell r="C269" t="str">
            <v>Conector recto 1/4 HI X 6mm</v>
          </cell>
          <cell r="D269" t="str">
            <v>MIX</v>
          </cell>
          <cell r="E269" t="str">
            <v>EUR</v>
          </cell>
          <cell r="F269">
            <v>1088.7416099792788</v>
          </cell>
          <cell r="G269">
            <v>1088.7416099792788</v>
          </cell>
          <cell r="H269">
            <v>1466.1046506986036</v>
          </cell>
          <cell r="I269">
            <v>2766.6903272939803</v>
          </cell>
          <cell r="J269">
            <v>2812.5053823923608</v>
          </cell>
          <cell r="K269" t="str">
            <v>STOCK MUERTO</v>
          </cell>
          <cell r="R269">
            <v>2634.7384432995241</v>
          </cell>
          <cell r="S269">
            <v>-6.3205901828932834E-2</v>
          </cell>
        </row>
        <row r="270">
          <cell r="A270" t="str">
            <v>REP-0181</v>
          </cell>
          <cell r="B270" t="str">
            <v>23.00.354</v>
          </cell>
          <cell r="C270" t="str">
            <v>Contactor 10 24V</v>
          </cell>
          <cell r="D270" t="str">
            <v>MIX</v>
          </cell>
          <cell r="E270" t="str">
            <v>EUR</v>
          </cell>
          <cell r="F270">
            <v>23923.670943138688</v>
          </cell>
          <cell r="G270">
            <v>23923.670943138688</v>
          </cell>
          <cell r="H270">
            <v>35880.263187440301</v>
          </cell>
          <cell r="I270">
            <v>60172.642441067612</v>
          </cell>
          <cell r="J270">
            <v>61169.072327584414</v>
          </cell>
          <cell r="K270" t="str">
            <v>STOCK MUERTO</v>
          </cell>
          <cell r="R270">
            <v>57302.82594708023</v>
          </cell>
          <cell r="S270">
            <v>-6.3205901828932695E-2</v>
          </cell>
        </row>
        <row r="271">
          <cell r="A271" t="str">
            <v>REP-0065</v>
          </cell>
          <cell r="B271" t="str">
            <v>09.02.067</v>
          </cell>
          <cell r="C271" t="str">
            <v>Placa de aspirado Twister&amp;Dry M2 (tambor plástico-2013)</v>
          </cell>
          <cell r="D271" t="str">
            <v>MIX</v>
          </cell>
          <cell r="E271" t="str">
            <v>EUR</v>
          </cell>
          <cell r="F271">
            <v>122454.68552017545</v>
          </cell>
          <cell r="G271">
            <v>122454.68552017545</v>
          </cell>
          <cell r="H271">
            <v>153339.18117415832</v>
          </cell>
          <cell r="I271">
            <v>307445.19878238853</v>
          </cell>
          <cell r="J271">
            <v>312536.34273261315</v>
          </cell>
          <cell r="K271" t="str">
            <v>STOCK MUERTO</v>
          </cell>
          <cell r="R271">
            <v>292782.20133588195</v>
          </cell>
          <cell r="S271">
            <v>-6.3205901828932654E-2</v>
          </cell>
        </row>
        <row r="272">
          <cell r="A272" t="str">
            <v>REP-0160</v>
          </cell>
          <cell r="B272" t="str">
            <v>09.01.231</v>
          </cell>
          <cell r="C272" t="str">
            <v>Kit EV Burkert</v>
          </cell>
          <cell r="D272" t="str">
            <v>MIX</v>
          </cell>
          <cell r="E272" t="str">
            <v>EUR</v>
          </cell>
          <cell r="F272">
            <v>23849.071239955705</v>
          </cell>
          <cell r="G272">
            <v>23849.071239955705</v>
          </cell>
          <cell r="H272">
            <v>28309.418880098972</v>
          </cell>
          <cell r="I272">
            <v>59614.917777128394</v>
          </cell>
          <cell r="J272">
            <v>60602.112012674064</v>
          </cell>
          <cell r="K272" t="str">
            <v>STOCK MUERTO</v>
          </cell>
          <cell r="R272">
            <v>56771.700870175002</v>
          </cell>
          <cell r="S272">
            <v>-6.3205901828932737E-2</v>
          </cell>
        </row>
        <row r="273">
          <cell r="A273" t="str">
            <v>REP-0442</v>
          </cell>
          <cell r="B273" t="str">
            <v>504586951</v>
          </cell>
          <cell r="C273" t="str">
            <v>Válvula rompe vacío</v>
          </cell>
          <cell r="D273" t="str">
            <v>URSUS TROTTER</v>
          </cell>
          <cell r="E273" t="str">
            <v>CLP</v>
          </cell>
          <cell r="F273">
            <v>9453.7400000000034</v>
          </cell>
          <cell r="G273">
            <v>9453.7400000000034</v>
          </cell>
          <cell r="H273">
            <v>9453.7400000000034</v>
          </cell>
          <cell r="I273">
            <v>24000</v>
          </cell>
          <cell r="J273">
            <v>24000</v>
          </cell>
          <cell r="K273" t="str">
            <v>STOCK MUERTO</v>
          </cell>
          <cell r="O273"/>
          <cell r="Q273"/>
          <cell r="R273">
            <v>24000</v>
          </cell>
          <cell r="S273">
            <v>0</v>
          </cell>
        </row>
        <row r="274">
          <cell r="A274" t="str">
            <v>REP-0123</v>
          </cell>
          <cell r="B274" t="str">
            <v>29.00.044</v>
          </cell>
          <cell r="C274" t="str">
            <v>Manguera shampoo Rilsan 6x4 (lavallantas)</v>
          </cell>
          <cell r="D274" t="str">
            <v>MIX</v>
          </cell>
          <cell r="E274" t="str">
            <v>EUR</v>
          </cell>
          <cell r="F274">
            <v>1859.6633863411407</v>
          </cell>
          <cell r="G274">
            <v>1859.6633863411407</v>
          </cell>
          <cell r="H274">
            <v>2103.9735481640391</v>
          </cell>
          <cell r="I274">
            <v>4589.2175530878631</v>
          </cell>
          <cell r="J274">
            <v>4665.2127784945387</v>
          </cell>
          <cell r="K274" t="str">
            <v>STOCK MUERTO</v>
          </cell>
          <cell r="R274">
            <v>4370.3437976059304</v>
          </cell>
          <cell r="S274">
            <v>-6.3205901828932737E-2</v>
          </cell>
        </row>
        <row r="275">
          <cell r="A275" t="str">
            <v>REP-0069</v>
          </cell>
          <cell r="B275" t="str">
            <v>09.02.537</v>
          </cell>
          <cell r="C275" t="str">
            <v>Codo cepillo 90° inoxidable</v>
          </cell>
          <cell r="D275" t="str">
            <v>MIX</v>
          </cell>
          <cell r="E275" t="str">
            <v>EUR</v>
          </cell>
          <cell r="F275">
            <v>13266.025348223498</v>
          </cell>
          <cell r="G275">
            <v>13266.0253482235</v>
          </cell>
          <cell r="H275">
            <v>13266.025348223498</v>
          </cell>
          <cell r="I275">
            <v>32573.627001753364</v>
          </cell>
          <cell r="J275">
            <v>33113.030527011309</v>
          </cell>
          <cell r="K275" t="str">
            <v>STOCK MUERTO</v>
          </cell>
          <cell r="R275">
            <v>31020.091570262579</v>
          </cell>
          <cell r="S275">
            <v>-6.3205901828932765E-2</v>
          </cell>
        </row>
        <row r="276">
          <cell r="A276" t="str">
            <v>REP-0138</v>
          </cell>
          <cell r="B276" t="str">
            <v>09.00.339</v>
          </cell>
          <cell r="C276" t="str">
            <v>Contactor 24V</v>
          </cell>
          <cell r="D276" t="str">
            <v>MIX</v>
          </cell>
          <cell r="E276" t="str">
            <v>EUR</v>
          </cell>
          <cell r="F276">
            <v>21738.843661971052</v>
          </cell>
          <cell r="G276">
            <v>21738.843661971052</v>
          </cell>
          <cell r="H276">
            <v>31048.448908773946</v>
          </cell>
          <cell r="I276">
            <v>53203.17299824665</v>
          </cell>
          <cell r="J276">
            <v>54084.19183807735</v>
          </cell>
          <cell r="K276" t="str">
            <v>STOCK MUERTO</v>
          </cell>
          <cell r="R276">
            <v>50665.751718262669</v>
          </cell>
          <cell r="S276">
            <v>-6.3205901828932709E-2</v>
          </cell>
        </row>
        <row r="277">
          <cell r="A277" t="str">
            <v>REP-0416</v>
          </cell>
          <cell r="B277" t="str">
            <v>09.03.186</v>
          </cell>
          <cell r="C277" t="str">
            <v>Cubrefichero inox plus 2022</v>
          </cell>
          <cell r="D277" t="str">
            <v>MIX</v>
          </cell>
          <cell r="E277" t="str">
            <v>EUR</v>
          </cell>
          <cell r="F277">
            <v>61564.882144731091</v>
          </cell>
          <cell r="G277">
            <v>61564.882144731091</v>
          </cell>
          <cell r="H277">
            <v>61564.882144731091</v>
          </cell>
          <cell r="I277">
            <v>150184.59883109294</v>
          </cell>
          <cell r="J277">
            <v>152671.58322630878</v>
          </cell>
          <cell r="K277" t="str">
            <v>STOCK MUERTO</v>
          </cell>
          <cell r="R277">
            <v>143021.83812483898</v>
          </cell>
          <cell r="S277">
            <v>-6.3205901828932709E-2</v>
          </cell>
        </row>
        <row r="278">
          <cell r="A278" t="str">
            <v>REP-0172</v>
          </cell>
          <cell r="B278" t="str">
            <v>09.00.050</v>
          </cell>
          <cell r="C278" t="str">
            <v>Conexión  rápida codo 1/4"</v>
          </cell>
          <cell r="D278" t="str">
            <v>MIX</v>
          </cell>
          <cell r="E278" t="str">
            <v>EUR</v>
          </cell>
          <cell r="F278">
            <v>2971.577673194311</v>
          </cell>
          <cell r="G278">
            <v>2971.577673194311</v>
          </cell>
          <cell r="H278">
            <v>2811.5508115840958</v>
          </cell>
          <cell r="I278">
            <v>7194.0215078901238</v>
          </cell>
          <cell r="J278">
            <v>7313.1510282818363</v>
          </cell>
          <cell r="K278" t="str">
            <v>STOCK MUERTO</v>
          </cell>
          <cell r="R278">
            <v>6850.9167223280956</v>
          </cell>
          <cell r="S278">
            <v>-6.3205901828932792E-2</v>
          </cell>
        </row>
        <row r="279">
          <cell r="A279" t="str">
            <v>REP-0110</v>
          </cell>
          <cell r="B279" t="str">
            <v>09.02.184</v>
          </cell>
          <cell r="C279" t="str">
            <v>Grifos Osmosis 1/2 AP</v>
          </cell>
          <cell r="D279" t="str">
            <v>MIX</v>
          </cell>
          <cell r="E279" t="str">
            <v>EUR</v>
          </cell>
          <cell r="F279">
            <v>47523.797556060577</v>
          </cell>
          <cell r="G279">
            <v>47523.797556060577</v>
          </cell>
          <cell r="H279">
            <v>47523.79755606057</v>
          </cell>
          <cell r="I279">
            <v>114640.61800116891</v>
          </cell>
          <cell r="J279">
            <v>116539.01124685357</v>
          </cell>
          <cell r="K279" t="str">
            <v>STOCK MUERTO</v>
          </cell>
          <cell r="L279">
            <v>0</v>
          </cell>
          <cell r="M279">
            <v>85932</v>
          </cell>
          <cell r="N279">
            <v>0</v>
          </cell>
          <cell r="O279">
            <v>0</v>
          </cell>
          <cell r="P279">
            <v>114640.61800116891</v>
          </cell>
          <cell r="Q279" t="e">
            <v>#DIV/0!</v>
          </cell>
          <cell r="R279">
            <v>109173.05794274405</v>
          </cell>
          <cell r="S279">
            <v>-6.3205901828932723E-2</v>
          </cell>
        </row>
        <row r="280">
          <cell r="A280" t="str">
            <v>REP-0234</v>
          </cell>
          <cell r="B280" t="str">
            <v>30.00.092</v>
          </cell>
          <cell r="C280" t="str">
            <v>sujetador manguera aspiradora</v>
          </cell>
          <cell r="D280" t="str">
            <v>MIX</v>
          </cell>
          <cell r="E280" t="str">
            <v>EUR</v>
          </cell>
          <cell r="F280">
            <v>3370.1109704668861</v>
          </cell>
          <cell r="G280">
            <v>3370.1109704668866</v>
          </cell>
          <cell r="H280">
            <v>3847.426904003843</v>
          </cell>
          <cell r="I280">
            <v>8095.3630527956375</v>
          </cell>
          <cell r="J280">
            <v>8229.4183536893888</v>
          </cell>
          <cell r="K280" t="str">
            <v>STOCK MUERTO</v>
          </cell>
          <cell r="R280">
            <v>7709.2705451168804</v>
          </cell>
          <cell r="S280">
            <v>-6.3205901828932695E-2</v>
          </cell>
        </row>
        <row r="281">
          <cell r="A281" t="str">
            <v>REP-0067</v>
          </cell>
          <cell r="B281" t="str">
            <v>09.02.174</v>
          </cell>
          <cell r="C281" t="str">
            <v>Transformador Twister M2</v>
          </cell>
          <cell r="D281" t="str">
            <v>MIX</v>
          </cell>
          <cell r="E281" t="str">
            <v>EUR</v>
          </cell>
          <cell r="F281">
            <v>42884.702520909319</v>
          </cell>
          <cell r="G281">
            <v>42884.702520909319</v>
          </cell>
          <cell r="H281">
            <v>42884.702520909312</v>
          </cell>
          <cell r="I281">
            <v>102138.81233196962</v>
          </cell>
          <cell r="J281">
            <v>103830.18171599794</v>
          </cell>
          <cell r="K281" t="str">
            <v>STOCK MUERTO</v>
          </cell>
          <cell r="R281">
            <v>97267.50144357633</v>
          </cell>
          <cell r="S281">
            <v>-6.3205901828932709E-2</v>
          </cell>
        </row>
        <row r="282">
          <cell r="A282" t="str">
            <v>REP-0237</v>
          </cell>
          <cell r="B282" t="str">
            <v>46541</v>
          </cell>
          <cell r="C282" t="str">
            <v>Separador pvc (bomba 3cp) CAT</v>
          </cell>
          <cell r="D282" t="str">
            <v>CAT</v>
          </cell>
          <cell r="E282" t="str">
            <v>USD</v>
          </cell>
          <cell r="F282">
            <v>1738.993963504774</v>
          </cell>
          <cell r="G282">
            <v>1738.9939635047742</v>
          </cell>
          <cell r="H282">
            <v>1738.993963504774</v>
          </cell>
          <cell r="I282">
            <v>4224.8193190799057</v>
          </cell>
          <cell r="J282">
            <v>4174.8669505657645</v>
          </cell>
          <cell r="K282" t="str">
            <v>STOCK MUERTO</v>
          </cell>
          <cell r="O282"/>
          <cell r="Q282"/>
          <cell r="R282">
            <v>4111.7977016213508</v>
          </cell>
          <cell r="S282">
            <v>-1.5106888361045061E-2</v>
          </cell>
        </row>
        <row r="283">
          <cell r="A283" t="str">
            <v>REP-0187</v>
          </cell>
          <cell r="B283" t="str">
            <v>23.00.489</v>
          </cell>
          <cell r="C283" t="str">
            <v>Sensor conductivímetro</v>
          </cell>
          <cell r="D283" t="str">
            <v>MIX</v>
          </cell>
          <cell r="E283" t="str">
            <v>EUR</v>
          </cell>
          <cell r="F283">
            <v>90609.744256525941</v>
          </cell>
          <cell r="G283">
            <v>90609.744256525941</v>
          </cell>
          <cell r="H283">
            <v>90609.744256525926</v>
          </cell>
          <cell r="I283">
            <v>213648.23456068579</v>
          </cell>
          <cell r="J283">
            <v>217186.14610123873</v>
          </cell>
          <cell r="K283" t="str">
            <v>STOCK MUERTO</v>
          </cell>
          <cell r="R283">
            <v>203458.6998721596</v>
          </cell>
          <cell r="S283">
            <v>-6.3205901828932695E-2</v>
          </cell>
        </row>
        <row r="284">
          <cell r="A284" t="str">
            <v>REP-0179</v>
          </cell>
          <cell r="B284" t="str">
            <v>09.01.754</v>
          </cell>
          <cell r="C284" t="str">
            <v>Transformador 400/220 twister</v>
          </cell>
          <cell r="D284" t="str">
            <v>MIX</v>
          </cell>
          <cell r="E284" t="str">
            <v>EUR</v>
          </cell>
          <cell r="F284">
            <v>32536.77659619207</v>
          </cell>
          <cell r="G284">
            <v>32536.77659619207</v>
          </cell>
          <cell r="H284">
            <v>32536.77659619207</v>
          </cell>
          <cell r="I284">
            <v>76609.853604130141</v>
          </cell>
          <cell r="J284">
            <v>77878.475765897339</v>
          </cell>
          <cell r="K284" t="str">
            <v>STOCK MUERTO</v>
          </cell>
          <cell r="R284">
            <v>72956.096472051111</v>
          </cell>
          <cell r="S284">
            <v>-6.3205901828932792E-2</v>
          </cell>
        </row>
        <row r="285">
          <cell r="A285" t="str">
            <v>REP-0132</v>
          </cell>
          <cell r="B285" t="str">
            <v>09.00.152</v>
          </cell>
          <cell r="C285" t="str">
            <v>Pistola renovador de neumático punta inoxidable</v>
          </cell>
          <cell r="D285" t="str">
            <v>MIX</v>
          </cell>
          <cell r="E285" t="str">
            <v>EUR</v>
          </cell>
          <cell r="F285">
            <v>44716.715571749228</v>
          </cell>
          <cell r="G285">
            <v>44716.715571749228</v>
          </cell>
          <cell r="H285">
            <v>44716.715571749228</v>
          </cell>
          <cell r="I285">
            <v>103704.410218196</v>
          </cell>
          <cell r="J285">
            <v>105421.70514680435</v>
          </cell>
          <cell r="K285" t="str">
            <v>STOCK MUERTO</v>
          </cell>
          <cell r="R285">
            <v>98758.431200656734</v>
          </cell>
          <cell r="S285">
            <v>-6.3205901828932806E-2</v>
          </cell>
        </row>
        <row r="286">
          <cell r="A286" t="str">
            <v>REP-0164</v>
          </cell>
          <cell r="B286" t="str">
            <v>23.00.153</v>
          </cell>
          <cell r="C286" t="str">
            <v>Electroválvula L 180 Burket 3/4´´</v>
          </cell>
          <cell r="D286" t="str">
            <v>MIX</v>
          </cell>
          <cell r="E286" t="str">
            <v>EUR</v>
          </cell>
          <cell r="F286">
            <v>48537.55569416927</v>
          </cell>
          <cell r="G286">
            <v>48537.55569416927</v>
          </cell>
          <cell r="H286">
            <v>48537.55569416927</v>
          </cell>
          <cell r="I286">
            <v>110523.48199883111</v>
          </cell>
          <cell r="J286">
            <v>112353.69746150414</v>
          </cell>
          <cell r="K286" t="str">
            <v>STOCK MUERTO</v>
          </cell>
          <cell r="R286">
            <v>105252.2806896347</v>
          </cell>
          <cell r="S286">
            <v>-6.3205901828932709E-2</v>
          </cell>
        </row>
        <row r="287">
          <cell r="A287" t="str">
            <v>REP-0109</v>
          </cell>
          <cell r="B287" t="str">
            <v>09.01.605</v>
          </cell>
          <cell r="C287" t="str">
            <v>Lexan para cubrefichero</v>
          </cell>
          <cell r="D287" t="str">
            <v>MIX</v>
          </cell>
          <cell r="E287" t="str">
            <v>EUR</v>
          </cell>
          <cell r="F287">
            <v>5132.5108611676778</v>
          </cell>
          <cell r="G287">
            <v>5132.5108611676778</v>
          </cell>
          <cell r="H287">
            <v>6235.7464182551976</v>
          </cell>
          <cell r="I287">
            <v>11579.575560101306</v>
          </cell>
          <cell r="J287">
            <v>11771.327736724843</v>
          </cell>
          <cell r="K287" t="str">
            <v>STOCK MUERTO</v>
          </cell>
          <cell r="O287"/>
          <cell r="Q287"/>
          <cell r="R287">
            <v>11027.31035140122</v>
          </cell>
          <cell r="S287">
            <v>-6.3205901828932695E-2</v>
          </cell>
        </row>
        <row r="288">
          <cell r="A288" t="str">
            <v>REP-0050</v>
          </cell>
          <cell r="B288" t="str">
            <v>09.01.613</v>
          </cell>
          <cell r="C288" t="str">
            <v>Tee 1/4G*6mm PVC</v>
          </cell>
          <cell r="D288" t="str">
            <v>MIX</v>
          </cell>
          <cell r="E288" t="str">
            <v>EUR</v>
          </cell>
          <cell r="F288">
            <v>1930.4798060395256</v>
          </cell>
          <cell r="G288">
            <v>2194.200675792255</v>
          </cell>
          <cell r="H288">
            <v>2393.8500421484678</v>
          </cell>
          <cell r="I288">
            <v>4943.2787161504002</v>
          </cell>
          <cell r="J288">
            <v>5025.137023353358</v>
          </cell>
          <cell r="K288" t="str">
            <v>STOCK MUERTO</v>
          </cell>
          <cell r="O288"/>
          <cell r="Q288"/>
          <cell r="R288">
            <v>4707.5187059783502</v>
          </cell>
          <cell r="S288">
            <v>-6.3205901828932765E-2</v>
          </cell>
        </row>
        <row r="289">
          <cell r="A289" t="str">
            <v>REP-0105</v>
          </cell>
          <cell r="B289" t="str">
            <v>09.03.019</v>
          </cell>
          <cell r="C289" t="str">
            <v>Cable interfaz serial 9/25 para programación ficheros</v>
          </cell>
          <cell r="D289" t="str">
            <v>MIX</v>
          </cell>
          <cell r="E289" t="str">
            <v>EUR</v>
          </cell>
          <cell r="F289">
            <v>46564.1782845548</v>
          </cell>
          <cell r="G289">
            <v>46564.1782845548</v>
          </cell>
          <cell r="H289">
            <v>46564.1782845548</v>
          </cell>
          <cell r="I289">
            <v>103897.62943697644</v>
          </cell>
          <cell r="J289">
            <v>105618.12398249426</v>
          </cell>
          <cell r="K289" t="str">
            <v>STOCK MUERTO</v>
          </cell>
          <cell r="R289">
            <v>98942.435206700684</v>
          </cell>
          <cell r="S289">
            <v>-6.3205901828932723E-2</v>
          </cell>
        </row>
        <row r="290">
          <cell r="A290" t="str">
            <v>REP-0440</v>
          </cell>
          <cell r="B290" t="str">
            <v>46798</v>
          </cell>
          <cell r="C290" t="str">
            <v>Tapón rojo (bomba 3cp) CAT</v>
          </cell>
          <cell r="D290" t="str">
            <v>CAT</v>
          </cell>
          <cell r="E290" t="str">
            <v>USD</v>
          </cell>
          <cell r="F290">
            <v>7780.9376090213609</v>
          </cell>
          <cell r="G290">
            <v>7780.9376090213618</v>
          </cell>
          <cell r="H290">
            <v>7780.9376090213609</v>
          </cell>
          <cell r="I290">
            <v>17646.919585291795</v>
          </cell>
          <cell r="J290">
            <v>17438.270323941633</v>
          </cell>
          <cell r="K290" t="str">
            <v>STOCK MUERTO</v>
          </cell>
          <cell r="R290">
            <v>17174.83232094812</v>
          </cell>
          <cell r="S290">
            <v>-1.5106888361045144E-2</v>
          </cell>
        </row>
        <row r="291">
          <cell r="A291" t="str">
            <v>REP-0180</v>
          </cell>
          <cell r="B291" t="str">
            <v>09.01.524</v>
          </cell>
          <cell r="C291" t="str">
            <v>Lanza para MIX dry completa</v>
          </cell>
          <cell r="D291" t="str">
            <v>MIX</v>
          </cell>
          <cell r="E291" t="str">
            <v>EUR</v>
          </cell>
          <cell r="F291">
            <v>485993.63760074478</v>
          </cell>
          <cell r="G291">
            <v>485993.63760074478</v>
          </cell>
          <cell r="H291">
            <v>485993.63760074473</v>
          </cell>
          <cell r="I291">
            <v>1069980.1457724529</v>
          </cell>
          <cell r="J291">
            <v>1087698.500027403</v>
          </cell>
          <cell r="K291" t="str">
            <v>STOCK MUERTO</v>
          </cell>
          <cell r="R291">
            <v>1018949.5354151935</v>
          </cell>
          <cell r="S291">
            <v>-6.3205901828932778E-2</v>
          </cell>
        </row>
        <row r="292">
          <cell r="A292" t="str">
            <v>REP-0134</v>
          </cell>
          <cell r="B292" t="str">
            <v>29.00.094</v>
          </cell>
          <cell r="C292" t="str">
            <v>Válvula retención europa 3/4\</v>
          </cell>
          <cell r="D292" t="str">
            <v>MIX</v>
          </cell>
          <cell r="E292" t="str">
            <v>EUR</v>
          </cell>
          <cell r="F292">
            <v>9495.0653838035305</v>
          </cell>
          <cell r="G292">
            <v>9495.0653838035305</v>
          </cell>
          <cell r="H292">
            <v>9495.0653838035287</v>
          </cell>
          <cell r="I292">
            <v>20328.750672121569</v>
          </cell>
          <cell r="J292">
            <v>20665.384961451462</v>
          </cell>
          <cell r="K292" t="str">
            <v>STOCK MUERTO</v>
          </cell>
          <cell r="R292">
            <v>19359.210668320859</v>
          </cell>
          <cell r="S292">
            <v>-6.3205901828932709E-2</v>
          </cell>
        </row>
        <row r="293">
          <cell r="A293" t="str">
            <v>REP-0037</v>
          </cell>
          <cell r="B293" t="str">
            <v>09.01.064</v>
          </cell>
          <cell r="C293" t="str">
            <v>Válvula Robex 1/2 entrada mself</v>
          </cell>
          <cell r="D293" t="str">
            <v>MIX</v>
          </cell>
          <cell r="E293" t="str">
            <v>EUR</v>
          </cell>
          <cell r="F293">
            <v>27655.037146242546</v>
          </cell>
          <cell r="G293">
            <v>27655.037146242546</v>
          </cell>
          <cell r="H293">
            <v>27655.037146242546</v>
          </cell>
          <cell r="I293">
            <v>58189.273270991631</v>
          </cell>
          <cell r="J293">
            <v>59152.859522313331</v>
          </cell>
          <cell r="K293" t="str">
            <v>STOCK MUERTO</v>
          </cell>
          <cell r="R293">
            <v>55414.049690445347</v>
          </cell>
          <cell r="S293">
            <v>-6.3205901828932709E-2</v>
          </cell>
        </row>
        <row r="294">
          <cell r="A294" t="str">
            <v>REP-0060</v>
          </cell>
          <cell r="B294" t="str">
            <v>09.01.915</v>
          </cell>
          <cell r="C294" t="str">
            <v>Parada de emergencia rasante</v>
          </cell>
          <cell r="D294" t="str">
            <v>MIX</v>
          </cell>
          <cell r="E294" t="str">
            <v>EUR</v>
          </cell>
          <cell r="F294">
            <v>4679.450722315225</v>
          </cell>
          <cell r="G294">
            <v>4679.4507223152241</v>
          </cell>
          <cell r="H294">
            <v>4679.450722315225</v>
          </cell>
          <cell r="I294">
            <v>9799.8698909020077</v>
          </cell>
          <cell r="J294">
            <v>9962.1510015052936</v>
          </cell>
          <cell r="K294" t="str">
            <v>STOCK MUERTO</v>
          </cell>
          <cell r="R294">
            <v>9332.4842632991458</v>
          </cell>
          <cell r="S294">
            <v>-6.3205901828932765E-2</v>
          </cell>
        </row>
        <row r="295">
          <cell r="A295" t="str">
            <v>REP-0046</v>
          </cell>
          <cell r="B295" t="str">
            <v>09.01.198</v>
          </cell>
          <cell r="C295" t="str">
            <v>Kit válvulas esf aspir/entrega</v>
          </cell>
          <cell r="D295" t="str">
            <v>MIX</v>
          </cell>
          <cell r="E295" t="str">
            <v>EUR</v>
          </cell>
          <cell r="F295">
            <v>23842.570242399117</v>
          </cell>
          <cell r="G295">
            <v>23842.570242399117</v>
          </cell>
          <cell r="H295">
            <v>27984.100555788955</v>
          </cell>
          <cell r="I295">
            <v>49761.782047535562</v>
          </cell>
          <cell r="J295">
            <v>50585.813115924517</v>
          </cell>
          <cell r="K295" t="str">
            <v>STOCK MUERTO</v>
          </cell>
          <cell r="L295">
            <v>0</v>
          </cell>
          <cell r="O295">
            <v>0</v>
          </cell>
          <cell r="P295">
            <v>49761.782047535562</v>
          </cell>
          <cell r="Q295" t="e">
            <v>#DIV/0!</v>
          </cell>
          <cell r="R295">
            <v>47388.491178182652</v>
          </cell>
          <cell r="S295">
            <v>-6.3205901828932765E-2</v>
          </cell>
        </row>
        <row r="296">
          <cell r="A296" t="str">
            <v>REP-0175</v>
          </cell>
          <cell r="B296" t="str">
            <v>23.00.356</v>
          </cell>
          <cell r="C296" t="str">
            <v>Rele mini 24V DC 8A 250V azul</v>
          </cell>
          <cell r="D296" t="str">
            <v>MIX</v>
          </cell>
          <cell r="E296" t="str">
            <v>EUR</v>
          </cell>
          <cell r="F296">
            <v>6865.6074360517814</v>
          </cell>
          <cell r="G296">
            <v>6865.6074360517814</v>
          </cell>
          <cell r="H296">
            <v>6865.6074360517814</v>
          </cell>
          <cell r="I296">
            <v>14313.888612896943</v>
          </cell>
          <cell r="J296">
            <v>14550.919692596191</v>
          </cell>
          <cell r="K296" t="str">
            <v>STOCK MUERTO</v>
          </cell>
          <cell r="R296">
            <v>13631.215690985273</v>
          </cell>
          <cell r="S296">
            <v>-6.3205901828932709E-2</v>
          </cell>
        </row>
        <row r="297">
          <cell r="A297" t="str">
            <v>REP-0183</v>
          </cell>
          <cell r="B297" t="str">
            <v>60.00.031</v>
          </cell>
          <cell r="C297" t="str">
            <v>Ugello pos 23 - boquilla y pistola perfume</v>
          </cell>
          <cell r="D297" t="str">
            <v>MIX</v>
          </cell>
          <cell r="E297" t="str">
            <v>EUR</v>
          </cell>
          <cell r="F297">
            <v>69216.651568977089</v>
          </cell>
          <cell r="G297">
            <v>69216.651568977089</v>
          </cell>
          <cell r="H297">
            <v>72037.996420328767</v>
          </cell>
          <cell r="I297">
            <v>143311.21678355738</v>
          </cell>
          <cell r="J297">
            <v>145684.38129292859</v>
          </cell>
          <cell r="K297" t="str">
            <v>STOCK MUERTO</v>
          </cell>
          <cell r="R297">
            <v>136476.26859091895</v>
          </cell>
          <cell r="S297">
            <v>-6.3205901828932709E-2</v>
          </cell>
        </row>
        <row r="298">
          <cell r="A298" t="str">
            <v>REP-0023</v>
          </cell>
          <cell r="B298" t="str">
            <v>09.00.486</v>
          </cell>
          <cell r="C298" t="str">
            <v>Bomba dosificadora de shampoo</v>
          </cell>
          <cell r="D298" t="str">
            <v>MIX</v>
          </cell>
          <cell r="E298" t="str">
            <v>EUR</v>
          </cell>
          <cell r="F298">
            <v>153541.84486026608</v>
          </cell>
          <cell r="G298">
            <v>153541.84486026608</v>
          </cell>
          <cell r="H298">
            <v>184645.95733973116</v>
          </cell>
          <cell r="I298">
            <v>317867.54788622644</v>
          </cell>
          <cell r="J298">
            <v>323131.28090207081</v>
          </cell>
          <cell r="K298" t="str">
            <v>STOCK MUERTO</v>
          </cell>
          <cell r="L298">
            <v>130607</v>
          </cell>
          <cell r="M298">
            <v>299990</v>
          </cell>
          <cell r="N298">
            <v>224900</v>
          </cell>
          <cell r="O298">
            <v>130607</v>
          </cell>
          <cell r="P298">
            <v>187260.54788622644</v>
          </cell>
          <cell r="Q298">
            <v>1.4337711446264474</v>
          </cell>
          <cell r="R298">
            <v>302707.47688351723</v>
          </cell>
          <cell r="S298">
            <v>-6.3205901828932751E-2</v>
          </cell>
        </row>
        <row r="299">
          <cell r="A299" t="str">
            <v>REP-0030</v>
          </cell>
          <cell r="B299" t="str">
            <v>09.00.815</v>
          </cell>
          <cell r="C299" t="str">
            <v>Lanza AP Mosmatic</v>
          </cell>
          <cell r="D299" t="str">
            <v>MIX</v>
          </cell>
          <cell r="E299" t="str">
            <v>EUR</v>
          </cell>
          <cell r="F299">
            <v>66731.317547262704</v>
          </cell>
          <cell r="G299">
            <v>66731.317547262704</v>
          </cell>
          <cell r="H299">
            <v>66731.317547262719</v>
          </cell>
          <cell r="I299">
            <v>136577.78811611145</v>
          </cell>
          <cell r="J299">
            <v>138839.45029999406</v>
          </cell>
          <cell r="K299" t="str">
            <v>STOCK MUERTO</v>
          </cell>
          <cell r="R299">
            <v>130063.97763434965</v>
          </cell>
          <cell r="S299">
            <v>-6.3205901828932737E-2</v>
          </cell>
        </row>
        <row r="300">
          <cell r="A300" t="str">
            <v>REP-0119</v>
          </cell>
          <cell r="B300" t="str">
            <v>09.00.451</v>
          </cell>
          <cell r="C300" t="str">
            <v>Junta (bomba 3cp) CAT</v>
          </cell>
          <cell r="D300" t="str">
            <v>MIX</v>
          </cell>
          <cell r="E300" t="str">
            <v>EUR</v>
          </cell>
          <cell r="F300">
            <v>82695.077835538483</v>
          </cell>
          <cell r="G300">
            <v>82695.077835538483</v>
          </cell>
          <cell r="H300">
            <v>109556.90832939888</v>
          </cell>
          <cell r="I300">
            <v>168776.46539060981</v>
          </cell>
          <cell r="J300">
            <v>171571.32211342335</v>
          </cell>
          <cell r="K300" t="str">
            <v>STOCK MUERTO</v>
          </cell>
          <cell r="O300"/>
          <cell r="Q300"/>
          <cell r="R300">
            <v>160727.0019712621</v>
          </cell>
          <cell r="S300">
            <v>-6.320590182893282E-2</v>
          </cell>
        </row>
        <row r="301">
          <cell r="A301" t="str">
            <v>REP-0301</v>
          </cell>
          <cell r="B301" t="str">
            <v>V-20</v>
          </cell>
          <cell r="C301" t="str">
            <v>Termostato termo Trotter</v>
          </cell>
          <cell r="D301" t="str">
            <v>URSUS TROTTER</v>
          </cell>
          <cell r="E301" t="str">
            <v>CLP</v>
          </cell>
          <cell r="F301">
            <v>27751.965972222217</v>
          </cell>
          <cell r="G301">
            <v>27751.965972222224</v>
          </cell>
          <cell r="H301">
            <v>27751.965972222217</v>
          </cell>
          <cell r="I301">
            <v>57460</v>
          </cell>
          <cell r="J301">
            <v>57460</v>
          </cell>
          <cell r="K301" t="str">
            <v>STOCK MUERTO</v>
          </cell>
          <cell r="R301">
            <v>57460</v>
          </cell>
          <cell r="S301">
            <v>0</v>
          </cell>
        </row>
        <row r="302">
          <cell r="A302" t="str">
            <v>REP-0191</v>
          </cell>
          <cell r="B302" t="str">
            <v>09.02.153</v>
          </cell>
          <cell r="C302" t="str">
            <v>Extensión 8+8 Siemens</v>
          </cell>
          <cell r="D302" t="str">
            <v>MIX</v>
          </cell>
          <cell r="E302" t="str">
            <v>EUR</v>
          </cell>
          <cell r="F302">
            <v>273837.63987002848</v>
          </cell>
          <cell r="G302">
            <v>273837.63987002848</v>
          </cell>
          <cell r="H302">
            <v>292745.74676809914</v>
          </cell>
          <cell r="I302">
            <v>555833.20445158787</v>
          </cell>
          <cell r="J302">
            <v>565037.53376746259</v>
          </cell>
          <cell r="K302" t="str">
            <v>STOCK MUERTO</v>
          </cell>
          <cell r="R302">
            <v>529323.82687849412</v>
          </cell>
          <cell r="S302">
            <v>-6.3205901828932681E-2</v>
          </cell>
        </row>
        <row r="303">
          <cell r="A303" t="str">
            <v>REP-0362</v>
          </cell>
          <cell r="B303" t="str">
            <v>09.03.164</v>
          </cell>
          <cell r="C303" t="str">
            <v>Pistola mousse (mango)</v>
          </cell>
          <cell r="D303" t="str">
            <v>MIX</v>
          </cell>
          <cell r="E303" t="str">
            <v>EUR</v>
          </cell>
          <cell r="F303">
            <v>77130.83540014179</v>
          </cell>
          <cell r="G303">
            <v>77130.83540014179</v>
          </cell>
          <cell r="H303">
            <v>77130.835400141805</v>
          </cell>
          <cell r="I303">
            <v>156274.65972141051</v>
          </cell>
          <cell r="J303">
            <v>158862.49258256771</v>
          </cell>
          <cell r="K303" t="str">
            <v>STOCK MUERTO</v>
          </cell>
          <cell r="R303">
            <v>148821.44547209438</v>
          </cell>
          <cell r="S303">
            <v>-6.3205901828932737E-2</v>
          </cell>
        </row>
        <row r="304">
          <cell r="A304" t="str">
            <v>REP-0151</v>
          </cell>
          <cell r="B304" t="str">
            <v>09.01.117</v>
          </cell>
          <cell r="C304" t="str">
            <v>Motor trifásico de osmosis para nueva Mself</v>
          </cell>
          <cell r="D304" t="str">
            <v>MIX</v>
          </cell>
          <cell r="E304" t="str">
            <v>EUR</v>
          </cell>
          <cell r="F304">
            <v>165360.79857579511</v>
          </cell>
          <cell r="G304">
            <v>165360.79857579511</v>
          </cell>
          <cell r="H304">
            <v>165360.79857579508</v>
          </cell>
          <cell r="I304">
            <v>334539.75539645436</v>
          </cell>
          <cell r="J304">
            <v>340079.57211352012</v>
          </cell>
          <cell r="K304" t="str">
            <v>STOCK MUERTO</v>
          </cell>
          <cell r="R304">
            <v>318584.53606448753</v>
          </cell>
          <cell r="S304">
            <v>-6.3205901828932681E-2</v>
          </cell>
        </row>
        <row r="305">
          <cell r="A305" t="str">
            <v>REP-0361</v>
          </cell>
          <cell r="B305" t="str">
            <v>09.01.373</v>
          </cell>
          <cell r="C305" t="str">
            <v>Carcasa de membrana de osmosis</v>
          </cell>
          <cell r="D305" t="str">
            <v>MIX</v>
          </cell>
          <cell r="E305" t="str">
            <v>EUR</v>
          </cell>
          <cell r="F305">
            <v>174296.99048318286</v>
          </cell>
          <cell r="G305">
            <v>174296.99048318286</v>
          </cell>
          <cell r="H305">
            <v>174296.99048318283</v>
          </cell>
          <cell r="I305">
            <v>349046.86322813173</v>
          </cell>
          <cell r="J305">
            <v>354826.9106418062</v>
          </cell>
          <cell r="K305" t="str">
            <v>STOCK MUERTO</v>
          </cell>
          <cell r="R305">
            <v>332399.75576151669</v>
          </cell>
          <cell r="S305">
            <v>-6.3205901828932792E-2</v>
          </cell>
        </row>
        <row r="306">
          <cell r="A306" t="str">
            <v>REP-0299</v>
          </cell>
          <cell r="B306" t="str">
            <v>V-38</v>
          </cell>
          <cell r="C306" t="str">
            <v>Bornera de conexión ceramica 3 polos Trotter</v>
          </cell>
          <cell r="D306" t="str">
            <v>URSUS TROTTER</v>
          </cell>
          <cell r="E306" t="str">
            <v>CLP</v>
          </cell>
          <cell r="F306">
            <v>10907.599999999997</v>
          </cell>
          <cell r="G306">
            <v>10907.599999999997</v>
          </cell>
          <cell r="H306">
            <v>10907.599999999995</v>
          </cell>
          <cell r="I306">
            <v>22176</v>
          </cell>
          <cell r="J306">
            <v>22176</v>
          </cell>
          <cell r="K306" t="str">
            <v>STOCK MUERTO</v>
          </cell>
          <cell r="R306">
            <v>22176</v>
          </cell>
          <cell r="S306">
            <v>0</v>
          </cell>
        </row>
        <row r="307">
          <cell r="A307" t="str">
            <v>REP-0101</v>
          </cell>
          <cell r="B307" t="str">
            <v>09.02.680</v>
          </cell>
          <cell r="C307" t="str">
            <v>Caja electrica aspirado Twister&amp;Dry</v>
          </cell>
          <cell r="D307" t="str">
            <v>MIX</v>
          </cell>
          <cell r="E307" t="str">
            <v>EUR</v>
          </cell>
          <cell r="F307">
            <v>25631.784530376604</v>
          </cell>
          <cell r="G307">
            <v>25631.784530376604</v>
          </cell>
          <cell r="H307">
            <v>25631.784530376601</v>
          </cell>
          <cell r="I307">
            <v>51101.783440483152</v>
          </cell>
          <cell r="J307">
            <v>51948.004284519986</v>
          </cell>
          <cell r="K307" t="str">
            <v>STOCK MUERTO</v>
          </cell>
          <cell r="R307">
            <v>48664.583825503636</v>
          </cell>
          <cell r="S307">
            <v>-6.3205901828932778E-2</v>
          </cell>
        </row>
        <row r="308">
          <cell r="A308" t="str">
            <v>REP-0463</v>
          </cell>
          <cell r="B308" t="str">
            <v>29.00.213</v>
          </cell>
          <cell r="C308" t="str">
            <v>Membrana 4040</v>
          </cell>
          <cell r="D308" t="str">
            <v>MIX</v>
          </cell>
          <cell r="E308" t="str">
            <v>EUR</v>
          </cell>
          <cell r="F308">
            <v>267226.52037206601</v>
          </cell>
          <cell r="G308">
            <v>267226.52037206601</v>
          </cell>
          <cell r="H308">
            <v>267226.52037206601</v>
          </cell>
          <cell r="I308">
            <v>530550.73078121967</v>
          </cell>
          <cell r="J308">
            <v>539336.39454829611</v>
          </cell>
          <cell r="K308" t="str">
            <v>STOCK MUERTO</v>
          </cell>
          <cell r="R308">
            <v>505247.15134170599</v>
          </cell>
          <cell r="S308">
            <v>-6.3205901828932709E-2</v>
          </cell>
        </row>
        <row r="309">
          <cell r="A309" t="str">
            <v>REP-0076</v>
          </cell>
          <cell r="B309" t="str">
            <v>23.00.461</v>
          </cell>
          <cell r="C309" t="str">
            <v>Presóstato KP1</v>
          </cell>
          <cell r="D309" t="str">
            <v>MIX</v>
          </cell>
          <cell r="E309" t="str">
            <v>EUR</v>
          </cell>
          <cell r="F309">
            <v>80225.443011281401</v>
          </cell>
          <cell r="G309">
            <v>80225.443011281401</v>
          </cell>
          <cell r="H309">
            <v>81226.623387156636</v>
          </cell>
          <cell r="I309">
            <v>158676.8446035457</v>
          </cell>
          <cell r="J309">
            <v>161304.45648573962</v>
          </cell>
          <cell r="K309" t="str">
            <v>STOCK MUERTO</v>
          </cell>
          <cell r="L309">
            <v>123990</v>
          </cell>
          <cell r="M309">
            <v>45407</v>
          </cell>
          <cell r="O309">
            <v>45407</v>
          </cell>
          <cell r="P309">
            <v>113269.8446035457</v>
          </cell>
          <cell r="Q309">
            <v>2.4945458762645782</v>
          </cell>
          <cell r="R309">
            <v>151109.0628445326</v>
          </cell>
          <cell r="S309">
            <v>-6.3205901828932778E-2</v>
          </cell>
        </row>
        <row r="310">
          <cell r="A310" t="str">
            <v>REP-0104</v>
          </cell>
          <cell r="B310" t="str">
            <v>09.02.582</v>
          </cell>
          <cell r="C310" t="str">
            <v>Display 4 cifras</v>
          </cell>
          <cell r="D310" t="str">
            <v>MIX</v>
          </cell>
          <cell r="E310" t="str">
            <v>EUR</v>
          </cell>
          <cell r="F310">
            <v>200747.18522103547</v>
          </cell>
          <cell r="G310">
            <v>200747.18522103547</v>
          </cell>
          <cell r="H310">
            <v>220107.76371623579</v>
          </cell>
          <cell r="I310">
            <v>396031.51066627708</v>
          </cell>
          <cell r="J310">
            <v>402589.60114097677</v>
          </cell>
          <cell r="K310" t="str">
            <v>STOCK MUERTO</v>
          </cell>
          <cell r="R310">
            <v>377143.56233391102</v>
          </cell>
          <cell r="S310">
            <v>-6.3205901828932695E-2</v>
          </cell>
        </row>
        <row r="311">
          <cell r="A311" t="str">
            <v>REP-0205</v>
          </cell>
          <cell r="B311" t="str">
            <v>60.00.019</v>
          </cell>
          <cell r="C311" t="str">
            <v>Chapa aspirado tambor plástico (TW2013)</v>
          </cell>
          <cell r="D311" t="str">
            <v>MIX</v>
          </cell>
          <cell r="E311" t="str">
            <v>EUR</v>
          </cell>
          <cell r="F311">
            <v>54719.137910875674</v>
          </cell>
          <cell r="G311">
            <v>54719.137910875674</v>
          </cell>
          <cell r="H311">
            <v>54719.137910875674</v>
          </cell>
          <cell r="I311">
            <v>107693.08155075007</v>
          </cell>
          <cell r="J311">
            <v>109476.42694950591</v>
          </cell>
          <cell r="K311" t="str">
            <v>STOCK MUERTO</v>
          </cell>
          <cell r="R311">
            <v>102556.87065515312</v>
          </cell>
          <cell r="S311">
            <v>-6.3205901828932681E-2</v>
          </cell>
        </row>
        <row r="312">
          <cell r="A312" t="str">
            <v>REP-0472</v>
          </cell>
          <cell r="B312" t="str">
            <v/>
          </cell>
          <cell r="C312" t="str">
            <v>Ánodo grueso frontal 4 pernos</v>
          </cell>
          <cell r="D312" t="str">
            <v>NACIONAL</v>
          </cell>
          <cell r="E312" t="str">
            <v>CLP</v>
          </cell>
          <cell r="F312">
            <v>19537.5</v>
          </cell>
          <cell r="G312">
            <v>19537.5</v>
          </cell>
          <cell r="H312">
            <v>19537.5</v>
          </cell>
          <cell r="I312">
            <v>39060</v>
          </cell>
          <cell r="J312">
            <v>39060</v>
          </cell>
          <cell r="K312" t="str">
            <v>STOCK MUERTO</v>
          </cell>
          <cell r="R312">
            <v>39060</v>
          </cell>
          <cell r="S312">
            <v>0</v>
          </cell>
        </row>
        <row r="313">
          <cell r="A313" t="str">
            <v>REP-0500</v>
          </cell>
          <cell r="B313" t="str">
            <v/>
          </cell>
          <cell r="C313" t="str">
            <v>Boquilla interna punta pistola mousse</v>
          </cell>
          <cell r="D313" t="str">
            <v>R+M</v>
          </cell>
          <cell r="E313" t="str">
            <v>CLP</v>
          </cell>
          <cell r="F313">
            <v>14238.263055193094</v>
          </cell>
          <cell r="G313">
            <v>14238.263055193094</v>
          </cell>
          <cell r="H313">
            <v>14238.263055193096</v>
          </cell>
          <cell r="I313">
            <v>28279</v>
          </cell>
          <cell r="J313">
            <v>28279</v>
          </cell>
          <cell r="K313" t="str">
            <v>STOCK MUERTO</v>
          </cell>
          <cell r="R313">
            <v>28279</v>
          </cell>
          <cell r="S313">
            <v>0</v>
          </cell>
        </row>
        <row r="314">
          <cell r="A314" t="str">
            <v>REP-0129</v>
          </cell>
          <cell r="B314" t="str">
            <v>60.00.013</v>
          </cell>
          <cell r="C314" t="str">
            <v>Kit filtro twister M2 (tambor plástico 2013)</v>
          </cell>
          <cell r="D314" t="str">
            <v>MIX</v>
          </cell>
          <cell r="E314" t="str">
            <v>EUR</v>
          </cell>
          <cell r="F314">
            <v>150791.52515695337</v>
          </cell>
          <cell r="G314">
            <v>150791.52515695337</v>
          </cell>
          <cell r="H314">
            <v>150791.52515695337</v>
          </cell>
          <cell r="I314">
            <v>294428.49000584456</v>
          </cell>
          <cell r="J314">
            <v>299304.08354772977</v>
          </cell>
          <cell r="K314" t="str">
            <v>STOCK MUERTO</v>
          </cell>
          <cell r="R314">
            <v>280386.29902601329</v>
          </cell>
          <cell r="S314">
            <v>-6.3205901828932681E-2</v>
          </cell>
        </row>
        <row r="315">
          <cell r="A315" t="str">
            <v>REP-0085</v>
          </cell>
          <cell r="B315" t="str">
            <v>27.00.021</v>
          </cell>
          <cell r="C315" t="str">
            <v>Junta girat 90° br 1/4 M 3/8 F</v>
          </cell>
          <cell r="D315" t="str">
            <v>MIX</v>
          </cell>
          <cell r="E315" t="str">
            <v>EUR</v>
          </cell>
          <cell r="F315">
            <v>77894.906827636849</v>
          </cell>
          <cell r="G315">
            <v>77894.906827636849</v>
          </cell>
          <cell r="H315">
            <v>89263.017710846267</v>
          </cell>
          <cell r="I315">
            <v>151953.860218196</v>
          </cell>
          <cell r="J315">
            <v>154470.14272716671</v>
          </cell>
          <cell r="K315" t="str">
            <v>STOCK MUERTO</v>
          </cell>
          <cell r="R315">
            <v>144706.71805045218</v>
          </cell>
          <cell r="S315">
            <v>-6.3205901828932709E-2</v>
          </cell>
        </row>
        <row r="316">
          <cell r="A316" t="str">
            <v>REP-0441</v>
          </cell>
          <cell r="B316" t="str">
            <v>46616</v>
          </cell>
          <cell r="C316" t="str">
            <v>Culatín (bomba 3cp) CAT</v>
          </cell>
          <cell r="D316" t="str">
            <v>CAT</v>
          </cell>
          <cell r="E316" t="str">
            <v>USD</v>
          </cell>
          <cell r="F316">
            <v>282629.86712580943</v>
          </cell>
          <cell r="G316">
            <v>282629.86712580943</v>
          </cell>
          <cell r="H316">
            <v>282629.86712580943</v>
          </cell>
          <cell r="I316">
            <v>563121.42901709583</v>
          </cell>
          <cell r="J316">
            <v>556463.33383810532</v>
          </cell>
          <cell r="K316" t="str">
            <v>STOCK MUERTO</v>
          </cell>
          <cell r="R316">
            <v>548056.90437679808</v>
          </cell>
          <cell r="S316">
            <v>-1.5106888361045127E-2</v>
          </cell>
        </row>
        <row r="317">
          <cell r="A317" t="str">
            <v>REP-0378</v>
          </cell>
          <cell r="B317" t="str">
            <v>09.03.212</v>
          </cell>
          <cell r="C317" t="str">
            <v>Pulsador rojo luminoso (lava interior)</v>
          </cell>
          <cell r="D317" t="str">
            <v>MIX</v>
          </cell>
          <cell r="E317" t="str">
            <v>EUR</v>
          </cell>
          <cell r="F317">
            <v>40054.415703528517</v>
          </cell>
          <cell r="G317">
            <v>40054.415703528517</v>
          </cell>
          <cell r="H317">
            <v>40054.41570352851</v>
          </cell>
          <cell r="I317">
            <v>77198.911114358081</v>
          </cell>
          <cell r="J317">
            <v>78477.287783892549</v>
          </cell>
          <cell r="K317" t="str">
            <v>STOCK MUERTO</v>
          </cell>
          <cell r="R317">
            <v>73517.060036422932</v>
          </cell>
          <cell r="S317">
            <v>-6.3205901828932765E-2</v>
          </cell>
        </row>
        <row r="318">
          <cell r="A318" t="str">
            <v>REP-0435</v>
          </cell>
          <cell r="B318" t="str">
            <v>09.03.183</v>
          </cell>
          <cell r="C318" t="str">
            <v>Tapa carcasa osmosis</v>
          </cell>
          <cell r="D318" t="str">
            <v>MIX</v>
          </cell>
          <cell r="E318" t="str">
            <v>EUR</v>
          </cell>
          <cell r="F318">
            <v>31576.435936648209</v>
          </cell>
          <cell r="G318">
            <v>31576.435936648209</v>
          </cell>
          <cell r="H318">
            <v>31576.435936648213</v>
          </cell>
          <cell r="I318">
            <v>59861.402834599656</v>
          </cell>
          <cell r="J318">
            <v>60852.678743608223</v>
          </cell>
          <cell r="K318" t="str">
            <v>STOCK MUERTO</v>
          </cell>
          <cell r="R318">
            <v>57006.430304912137</v>
          </cell>
          <cell r="S318">
            <v>-6.3205901828932778E-2</v>
          </cell>
        </row>
        <row r="319">
          <cell r="A319" t="str">
            <v>REP-0149</v>
          </cell>
          <cell r="B319" t="str">
            <v>09.01.396</v>
          </cell>
          <cell r="C319" t="str">
            <v>Kit de sellos de agua interpump</v>
          </cell>
          <cell r="D319" t="str">
            <v>MIX</v>
          </cell>
          <cell r="E319" t="str">
            <v>EUR</v>
          </cell>
          <cell r="F319">
            <v>69166.193899700826</v>
          </cell>
          <cell r="G319">
            <v>69166.193899700826</v>
          </cell>
          <cell r="H319">
            <v>69166.193899700826</v>
          </cell>
          <cell r="I319">
            <v>130766.58955776351</v>
          </cell>
          <cell r="J319">
            <v>132932.02110119033</v>
          </cell>
          <cell r="K319" t="str">
            <v>STOCK MUERTO</v>
          </cell>
          <cell r="R319">
            <v>124529.93282554687</v>
          </cell>
          <cell r="S319">
            <v>-6.3205901828932792E-2</v>
          </cell>
        </row>
        <row r="320">
          <cell r="A320" t="str">
            <v>REP-0283</v>
          </cell>
          <cell r="B320" t="str">
            <v>HT-06</v>
          </cell>
          <cell r="C320" t="str">
            <v>Guardamotor electrobba</v>
          </cell>
          <cell r="D320" t="str">
            <v>HIDROTECNICA- CHI</v>
          </cell>
          <cell r="E320" t="str">
            <v>CLP</v>
          </cell>
          <cell r="F320">
            <v>19795.740996406104</v>
          </cell>
          <cell r="G320">
            <v>19795.740996406104</v>
          </cell>
          <cell r="H320">
            <v>19795.740996406108</v>
          </cell>
          <cell r="I320">
            <v>37787</v>
          </cell>
          <cell r="J320">
            <v>37787</v>
          </cell>
          <cell r="K320" t="str">
            <v>STOCK MUERTO</v>
          </cell>
          <cell r="R320">
            <v>37787</v>
          </cell>
          <cell r="S320">
            <v>0</v>
          </cell>
        </row>
        <row r="321">
          <cell r="A321" t="str">
            <v>REP-0017</v>
          </cell>
          <cell r="B321" t="str">
            <v>09.00.321</v>
          </cell>
          <cell r="C321" t="str">
            <v>Junta bomba de osmosis nueva Mself</v>
          </cell>
          <cell r="D321" t="str">
            <v>MIX</v>
          </cell>
          <cell r="E321" t="str">
            <v>EUR</v>
          </cell>
          <cell r="F321">
            <v>31138.538164020145</v>
          </cell>
          <cell r="G321">
            <v>31138.538164020145</v>
          </cell>
          <cell r="H321">
            <v>29932.493284755263</v>
          </cell>
          <cell r="I321">
            <v>58360.559497369963</v>
          </cell>
          <cell r="J321">
            <v>59326.982165843845</v>
          </cell>
          <cell r="K321" t="str">
            <v>STOCK MUERTO</v>
          </cell>
          <cell r="R321">
            <v>55577.166755262675</v>
          </cell>
          <cell r="S321">
            <v>-6.3205901828932751E-2</v>
          </cell>
        </row>
        <row r="322">
          <cell r="A322" t="str">
            <v>REP-0473</v>
          </cell>
          <cell r="B322" t="str">
            <v/>
          </cell>
          <cell r="C322" t="str">
            <v xml:space="preserve">Orin´g ánodo grueso </v>
          </cell>
          <cell r="D322" t="str">
            <v>NACIONAL</v>
          </cell>
          <cell r="E322" t="str">
            <v>CLP</v>
          </cell>
          <cell r="F322">
            <v>1260.7083333333333</v>
          </cell>
          <cell r="G322">
            <v>1260.7083333333333</v>
          </cell>
          <cell r="H322">
            <v>1260.7083333333333</v>
          </cell>
          <cell r="I322">
            <v>2400</v>
          </cell>
          <cell r="J322">
            <v>2400</v>
          </cell>
          <cell r="K322" t="str">
            <v>STOCK MUERTO</v>
          </cell>
          <cell r="R322">
            <v>2400</v>
          </cell>
          <cell r="S322">
            <v>0</v>
          </cell>
        </row>
        <row r="323">
          <cell r="A323" t="str">
            <v>REP-0075</v>
          </cell>
          <cell r="B323" t="str">
            <v>23.00.035</v>
          </cell>
          <cell r="C323" t="str">
            <v>Contador 24V 55x55mm (horometro)</v>
          </cell>
          <cell r="D323" t="str">
            <v>MIX</v>
          </cell>
          <cell r="E323" t="str">
            <v>EUR</v>
          </cell>
          <cell r="F323">
            <v>22358.623807928456</v>
          </cell>
          <cell r="G323">
            <v>22358.623807928449</v>
          </cell>
          <cell r="H323">
            <v>23934.852752269588</v>
          </cell>
          <cell r="I323">
            <v>41752.062107929094</v>
          </cell>
          <cell r="J323">
            <v>42443.456084000391</v>
          </cell>
          <cell r="K323" t="str">
            <v>STOCK MUERTO</v>
          </cell>
          <cell r="L323">
            <v>0</v>
          </cell>
          <cell r="M323">
            <v>0</v>
          </cell>
          <cell r="O323">
            <v>0</v>
          </cell>
          <cell r="P323">
            <v>41752.062107929094</v>
          </cell>
          <cell r="Q323" t="e">
            <v>#DIV/0!</v>
          </cell>
          <cell r="R323">
            <v>39760.779165474443</v>
          </cell>
          <cell r="S323">
            <v>-6.3205901828932751E-2</v>
          </cell>
        </row>
        <row r="324">
          <cell r="A324" t="str">
            <v>REP-0363</v>
          </cell>
          <cell r="B324" t="str">
            <v>09.03.162</v>
          </cell>
          <cell r="C324" t="str">
            <v>Boquilla y cuerpo lanza mousse</v>
          </cell>
          <cell r="D324" t="str">
            <v>MIX</v>
          </cell>
          <cell r="E324" t="str">
            <v>EUR</v>
          </cell>
          <cell r="F324">
            <v>135795.19308968124</v>
          </cell>
          <cell r="G324">
            <v>135795.19308968124</v>
          </cell>
          <cell r="H324">
            <v>135795.19308968124</v>
          </cell>
          <cell r="I324">
            <v>253309.35139294763</v>
          </cell>
          <cell r="J324">
            <v>257504.0318660434</v>
          </cell>
          <cell r="K324" t="str">
            <v>STOCK MUERTO</v>
          </cell>
          <cell r="R324">
            <v>241228.25730736388</v>
          </cell>
          <cell r="S324">
            <v>-6.3205901828932792E-2</v>
          </cell>
        </row>
        <row r="325">
          <cell r="A325" t="str">
            <v>REP-0020</v>
          </cell>
          <cell r="B325" t="str">
            <v>09.00.441</v>
          </cell>
          <cell r="C325" t="str">
            <v>Bomba 3CP 1140 CAT</v>
          </cell>
          <cell r="D325" t="str">
            <v>MIX</v>
          </cell>
          <cell r="E325" t="str">
            <v>EUR</v>
          </cell>
          <cell r="F325">
            <v>564519.1105886132</v>
          </cell>
          <cell r="G325">
            <v>545214.12532737327</v>
          </cell>
          <cell r="H325">
            <v>560782.66182837321</v>
          </cell>
          <cell r="I325">
            <v>1012305.7756088059</v>
          </cell>
          <cell r="J325">
            <v>1029069.0701591173</v>
          </cell>
          <cell r="K325" t="str">
            <v>STOCK MUERTO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1012305.7756088059</v>
          </cell>
          <cell r="Q325" t="e">
            <v>#DIV/0!</v>
          </cell>
          <cell r="R325">
            <v>964025.83153544902</v>
          </cell>
          <cell r="S325">
            <v>-6.3205901828932792E-2</v>
          </cell>
        </row>
        <row r="326">
          <cell r="A326" t="str">
            <v>REP-0124</v>
          </cell>
          <cell r="B326" t="str">
            <v>09.00.450</v>
          </cell>
          <cell r="C326" t="str">
            <v>Campana (bomba 3p) CAT</v>
          </cell>
          <cell r="D326" t="str">
            <v>MIX</v>
          </cell>
          <cell r="E326" t="str">
            <v>EUR</v>
          </cell>
          <cell r="F326">
            <v>52870.525771724955</v>
          </cell>
          <cell r="G326">
            <v>52870.525771724941</v>
          </cell>
          <cell r="H326">
            <v>62790.406782264217</v>
          </cell>
          <cell r="I326">
            <v>97699.992441067618</v>
          </cell>
          <cell r="J326">
            <v>99317.857112310696</v>
          </cell>
          <cell r="K326" t="str">
            <v>STOCK MUERTO</v>
          </cell>
          <cell r="R326">
            <v>93040.382385810022</v>
          </cell>
          <cell r="S326">
            <v>-6.3205901828932681E-2</v>
          </cell>
        </row>
        <row r="327">
          <cell r="A327" t="str">
            <v>REP-0380</v>
          </cell>
          <cell r="B327" t="str">
            <v>09.03.214</v>
          </cell>
          <cell r="C327" t="str">
            <v xml:space="preserve">Espiral + pistola perfume (lava interior) </v>
          </cell>
          <cell r="D327" t="str">
            <v>MIX</v>
          </cell>
          <cell r="E327" t="str">
            <v>EUR</v>
          </cell>
          <cell r="F327">
            <v>145695.73943083754</v>
          </cell>
          <cell r="G327">
            <v>145695.73943083751</v>
          </cell>
          <cell r="H327">
            <v>165096.31956132411</v>
          </cell>
          <cell r="I327">
            <v>265371.45278589521</v>
          </cell>
          <cell r="J327">
            <v>269765.87583027495</v>
          </cell>
          <cell r="K327" t="str">
            <v>STOCK MUERTO</v>
          </cell>
          <cell r="R327">
            <v>252715.08036575053</v>
          </cell>
          <cell r="S327">
            <v>-6.3205901828932737E-2</v>
          </cell>
        </row>
        <row r="328">
          <cell r="A328" t="str">
            <v>REP-0509</v>
          </cell>
          <cell r="B328" t="str">
            <v/>
          </cell>
          <cell r="C328" t="str">
            <v>BOQUILLA DRY LAVAINTERIOR ALTERNATIVA</v>
          </cell>
          <cell r="D328" t="str">
            <v>INTERNACIONAL</v>
          </cell>
          <cell r="E328" t="str">
            <v>CLP</v>
          </cell>
          <cell r="F328">
            <v>11420.1</v>
          </cell>
          <cell r="G328">
            <v>11420.1</v>
          </cell>
          <cell r="H328">
            <v>11420.100000000002</v>
          </cell>
          <cell r="I328">
            <v>20900</v>
          </cell>
          <cell r="J328">
            <v>20900</v>
          </cell>
          <cell r="K328" t="str">
            <v>STOCK MUERTO</v>
          </cell>
          <cell r="R328">
            <v>20900</v>
          </cell>
          <cell r="S328">
            <v>0</v>
          </cell>
        </row>
        <row r="329">
          <cell r="A329" t="str">
            <v>REP-0364</v>
          </cell>
          <cell r="B329" t="str">
            <v>09.03.165</v>
          </cell>
          <cell r="C329" t="str">
            <v>Bomba dosificadora de mousse</v>
          </cell>
          <cell r="D329" t="str">
            <v>MIX</v>
          </cell>
          <cell r="E329" t="str">
            <v>EUR</v>
          </cell>
          <cell r="F329">
            <v>235502.46969111671</v>
          </cell>
          <cell r="G329">
            <v>235502.46969111671</v>
          </cell>
          <cell r="H329">
            <v>235502.46969111677</v>
          </cell>
          <cell r="I329">
            <v>423522.95000000007</v>
          </cell>
          <cell r="J329">
            <v>430536.28542762523</v>
          </cell>
          <cell r="K329" t="str">
            <v>STOCK MUERTO</v>
          </cell>
          <cell r="R329">
            <v>403323.85123709339</v>
          </cell>
          <cell r="S329">
            <v>-6.3205901828932737E-2</v>
          </cell>
        </row>
        <row r="330">
          <cell r="A330" t="str">
            <v>REP-0066</v>
          </cell>
          <cell r="B330" t="str">
            <v>09.02.152</v>
          </cell>
          <cell r="C330" t="str">
            <v>Plc S7-1200 cpu 1214C</v>
          </cell>
          <cell r="D330" t="str">
            <v>MIX</v>
          </cell>
          <cell r="E330" t="str">
            <v>EUR</v>
          </cell>
          <cell r="F330">
            <v>675778.51965294394</v>
          </cell>
          <cell r="G330">
            <v>675778.51965294394</v>
          </cell>
          <cell r="H330">
            <v>721168.24276340532</v>
          </cell>
          <cell r="I330">
            <v>1208938.1857782975</v>
          </cell>
          <cell r="J330">
            <v>1228957.6180384096</v>
          </cell>
          <cell r="K330" t="str">
            <v>STOCK MUERTO</v>
          </cell>
          <cell r="R330">
            <v>1151280.2434807548</v>
          </cell>
          <cell r="S330">
            <v>-6.320590182893282E-2</v>
          </cell>
        </row>
        <row r="331">
          <cell r="A331" t="str">
            <v>REP-0467</v>
          </cell>
          <cell r="B331" t="str">
            <v/>
          </cell>
          <cell r="C331" t="str">
            <v>Válvula sobre presión 8 BAR</v>
          </cell>
          <cell r="D331" t="str">
            <v>NACIONAL</v>
          </cell>
          <cell r="E331" t="str">
            <v>CLP</v>
          </cell>
          <cell r="F331">
            <v>9453.75</v>
          </cell>
          <cell r="G331">
            <v>9453.75</v>
          </cell>
          <cell r="H331">
            <v>9453.75</v>
          </cell>
          <cell r="I331">
            <v>16900</v>
          </cell>
          <cell r="J331">
            <v>16900</v>
          </cell>
          <cell r="K331" t="str">
            <v>STOCK MUERTO</v>
          </cell>
          <cell r="R331">
            <v>16900</v>
          </cell>
          <cell r="S331">
            <v>0</v>
          </cell>
        </row>
        <row r="332">
          <cell r="A332" t="str">
            <v>REP-0382</v>
          </cell>
          <cell r="B332" t="str">
            <v>09.03.217</v>
          </cell>
          <cell r="C332" t="str">
            <v>Filtro metálico aspirado (lava interior)</v>
          </cell>
          <cell r="D332" t="str">
            <v>MIX</v>
          </cell>
          <cell r="E332" t="str">
            <v>EUR</v>
          </cell>
          <cell r="F332">
            <v>172091.25491729582</v>
          </cell>
          <cell r="G332">
            <v>172091.25491729582</v>
          </cell>
          <cell r="H332">
            <v>172091.25491729585</v>
          </cell>
          <cell r="I332">
            <v>301558.80139294761</v>
          </cell>
          <cell r="J332">
            <v>306552.46944640571</v>
          </cell>
          <cell r="K332" t="str">
            <v>STOCK MUERTO</v>
          </cell>
          <cell r="R332">
            <v>287176.54415715928</v>
          </cell>
          <cell r="S332">
            <v>-6.3205901828932765E-2</v>
          </cell>
        </row>
        <row r="333">
          <cell r="A333" t="str">
            <v>REP-0099</v>
          </cell>
          <cell r="B333" t="str">
            <v>34.00.012</v>
          </cell>
          <cell r="C333" t="str">
            <v>Manómetro glic. 0-12 bar</v>
          </cell>
          <cell r="D333" t="str">
            <v>MIX</v>
          </cell>
          <cell r="E333" t="str">
            <v>EUR</v>
          </cell>
          <cell r="F333">
            <v>13731.993918154758</v>
          </cell>
          <cell r="G333">
            <v>13731.993918154758</v>
          </cell>
          <cell r="H333">
            <v>15601.094745816403</v>
          </cell>
          <cell r="I333">
            <v>23917.406000389637</v>
          </cell>
          <cell r="J333">
            <v>24313.466688103083</v>
          </cell>
          <cell r="K333" t="str">
            <v>STOCK MUERTO</v>
          </cell>
          <cell r="R333">
            <v>22776.712099493812</v>
          </cell>
          <cell r="S333">
            <v>-6.3205901828932751E-2</v>
          </cell>
        </row>
        <row r="334">
          <cell r="A334" t="str">
            <v>REP-0379</v>
          </cell>
          <cell r="B334" t="str">
            <v>09.03.213</v>
          </cell>
          <cell r="C334" t="str">
            <v>Bomba producto electromagnética (lava interior)</v>
          </cell>
          <cell r="D334" t="str">
            <v>MIX</v>
          </cell>
          <cell r="E334" t="str">
            <v>EUR</v>
          </cell>
          <cell r="F334">
            <v>60359.373866248032</v>
          </cell>
          <cell r="G334">
            <v>60359.373866248039</v>
          </cell>
          <cell r="H334">
            <v>60359.373866248017</v>
          </cell>
          <cell r="I334">
            <v>104539.95278589521</v>
          </cell>
          <cell r="J334">
            <v>106271.08389573373</v>
          </cell>
          <cell r="K334" t="str">
            <v>STOCK MUERTO</v>
          </cell>
          <cell r="R334">
            <v>99554.124199765705</v>
          </cell>
          <cell r="S334">
            <v>-6.3205901828932737E-2</v>
          </cell>
        </row>
        <row r="335">
          <cell r="A335" t="str">
            <v>REP-0408</v>
          </cell>
          <cell r="B335" t="str">
            <v>09.03.243</v>
          </cell>
          <cell r="C335" t="str">
            <v>Tubo a espiral para perfume (lava interior)</v>
          </cell>
          <cell r="D335" t="str">
            <v>MIX</v>
          </cell>
          <cell r="E335" t="str">
            <v>EUR</v>
          </cell>
          <cell r="F335">
            <v>57873.156157937119</v>
          </cell>
          <cell r="G335">
            <v>57873.156157937126</v>
          </cell>
          <cell r="H335">
            <v>57873.156157937119</v>
          </cell>
          <cell r="I335">
            <v>99512.075384765252</v>
          </cell>
          <cell r="J335">
            <v>101159.94727405126</v>
          </cell>
          <cell r="K335" t="str">
            <v>STOCK MUERTO</v>
          </cell>
          <cell r="R335">
            <v>94766.041577627562</v>
          </cell>
          <cell r="S335">
            <v>-6.3205901828932737E-2</v>
          </cell>
        </row>
        <row r="336">
          <cell r="A336" t="str">
            <v>REP-0419</v>
          </cell>
          <cell r="B336" t="str">
            <v>09.03.247</v>
          </cell>
          <cell r="C336" t="str">
            <v>Manguera silicona D8/D5 150cm (lava interior)</v>
          </cell>
          <cell r="D336" t="str">
            <v>MIX</v>
          </cell>
          <cell r="E336" t="str">
            <v>EUR</v>
          </cell>
          <cell r="F336">
            <v>16173.677518871897</v>
          </cell>
          <cell r="G336">
            <v>16173.677518871897</v>
          </cell>
          <cell r="H336">
            <v>16173.677518871895</v>
          </cell>
          <cell r="I336">
            <v>27748.368673290475</v>
          </cell>
          <cell r="J336">
            <v>28207.868251944223</v>
          </cell>
          <cell r="K336" t="str">
            <v>STOCK MUERTO</v>
          </cell>
          <cell r="R336">
            <v>26424.964500408369</v>
          </cell>
          <cell r="S336">
            <v>-6.3205901828932709E-2</v>
          </cell>
        </row>
        <row r="337">
          <cell r="A337" t="str">
            <v>REP-0391</v>
          </cell>
          <cell r="B337" t="str">
            <v>09.03.226</v>
          </cell>
          <cell r="C337" t="str">
            <v>Bisagra (lava interior)</v>
          </cell>
          <cell r="D337" t="str">
            <v>MIX</v>
          </cell>
          <cell r="E337" t="str">
            <v>EUR</v>
          </cell>
          <cell r="F337">
            <v>7892.6525605169754</v>
          </cell>
          <cell r="G337">
            <v>7892.6525605169754</v>
          </cell>
          <cell r="H337">
            <v>7892.6525605169754</v>
          </cell>
          <cell r="I337">
            <v>13466.857334891878</v>
          </cell>
          <cell r="J337">
            <v>13689.861985869047</v>
          </cell>
          <cell r="K337" t="str">
            <v>STOCK MUERTO</v>
          </cell>
          <cell r="R337">
            <v>12824.581913138571</v>
          </cell>
          <cell r="S337">
            <v>-6.3205901828932695E-2</v>
          </cell>
        </row>
        <row r="338">
          <cell r="A338" t="str">
            <v>REP-0377</v>
          </cell>
          <cell r="B338" t="str">
            <v>09.03.211</v>
          </cell>
          <cell r="C338" t="str">
            <v xml:space="preserve">Pulsador azul luminoso (lava interior) </v>
          </cell>
          <cell r="D338" t="str">
            <v>MIX</v>
          </cell>
          <cell r="E338" t="str">
            <v>EUR</v>
          </cell>
          <cell r="F338">
            <v>45357.069695765014</v>
          </cell>
          <cell r="G338">
            <v>45357.069695765014</v>
          </cell>
          <cell r="H338">
            <v>45357.069695765014</v>
          </cell>
          <cell r="I338">
            <v>77198.911114358081</v>
          </cell>
          <cell r="J338">
            <v>78477.287783892549</v>
          </cell>
          <cell r="K338" t="str">
            <v>STOCK MUERTO</v>
          </cell>
          <cell r="R338">
            <v>73517.060036422932</v>
          </cell>
          <cell r="S338">
            <v>-6.3205901828932765E-2</v>
          </cell>
        </row>
        <row r="339">
          <cell r="A339" t="str">
            <v>REP-0381</v>
          </cell>
          <cell r="B339" t="str">
            <v>09.03.215</v>
          </cell>
          <cell r="C339" t="str">
            <v>Espiral + pistola renovador (lava interior)</v>
          </cell>
          <cell r="D339" t="str">
            <v>MIX</v>
          </cell>
          <cell r="E339" t="str">
            <v>EUR</v>
          </cell>
          <cell r="F339">
            <v>156356.7730977585</v>
          </cell>
          <cell r="G339">
            <v>156356.77309775847</v>
          </cell>
          <cell r="H339">
            <v>156356.77309775853</v>
          </cell>
          <cell r="I339">
            <v>265371.45278589521</v>
          </cell>
          <cell r="J339">
            <v>269765.87583027495</v>
          </cell>
          <cell r="K339" t="str">
            <v>STOCK MUERTO</v>
          </cell>
          <cell r="R339">
            <v>252715.08036575053</v>
          </cell>
          <cell r="S339">
            <v>-6.3205901828932737E-2</v>
          </cell>
        </row>
        <row r="340">
          <cell r="A340" t="str">
            <v>REP-0394</v>
          </cell>
          <cell r="B340" t="str">
            <v>09.03.229</v>
          </cell>
          <cell r="C340" t="str">
            <v>Interruptor ON/OFF (lava interior)</v>
          </cell>
          <cell r="D340" t="str">
            <v>MIX</v>
          </cell>
          <cell r="E340" t="str">
            <v>EUR</v>
          </cell>
          <cell r="F340">
            <v>91111.595635421982</v>
          </cell>
          <cell r="G340">
            <v>91111.595635421982</v>
          </cell>
          <cell r="H340">
            <v>91111.595635421982</v>
          </cell>
          <cell r="I340">
            <v>151182.02777128387</v>
          </cell>
          <cell r="J340">
            <v>153685.52910784321</v>
          </cell>
          <cell r="K340" t="str">
            <v>STOCK MUERTO</v>
          </cell>
          <cell r="R340">
            <v>143971.69664252529</v>
          </cell>
          <cell r="S340">
            <v>-6.3205901828932695E-2</v>
          </cell>
        </row>
        <row r="341">
          <cell r="A341" t="str">
            <v>REP-0219</v>
          </cell>
          <cell r="B341" t="str">
            <v>09.00.426</v>
          </cell>
          <cell r="C341" t="str">
            <v>Zocalo finder 2S</v>
          </cell>
          <cell r="D341" t="str">
            <v>MIX</v>
          </cell>
          <cell r="E341" t="str">
            <v>EUR</v>
          </cell>
          <cell r="F341">
            <v>5298.1948141735156</v>
          </cell>
          <cell r="G341">
            <v>5298.1948141735156</v>
          </cell>
          <cell r="H341">
            <v>5298.1948141735156</v>
          </cell>
          <cell r="I341">
            <v>8684.4205630235738</v>
          </cell>
          <cell r="J341">
            <v>8828.2303716845909</v>
          </cell>
          <cell r="K341" t="str">
            <v>STOCK MUERTO</v>
          </cell>
          <cell r="R341">
            <v>8270.2341094886924</v>
          </cell>
          <cell r="S341">
            <v>-6.3205901828932723E-2</v>
          </cell>
        </row>
        <row r="342">
          <cell r="A342" t="str">
            <v>REP-0400</v>
          </cell>
          <cell r="B342" t="str">
            <v>09.03.235</v>
          </cell>
          <cell r="C342" t="str">
            <v>Electroválvula 230V 50HZ 1/4 (lava interior)</v>
          </cell>
          <cell r="D342" t="str">
            <v>MIX</v>
          </cell>
          <cell r="E342" t="str">
            <v>EUR</v>
          </cell>
          <cell r="F342">
            <v>77760.44163326401</v>
          </cell>
          <cell r="G342">
            <v>77760.44163326401</v>
          </cell>
          <cell r="H342">
            <v>80800.351237146751</v>
          </cell>
          <cell r="I342">
            <v>127056.78055717905</v>
          </cell>
          <cell r="J342">
            <v>129160.77945594395</v>
          </cell>
          <cell r="K342" t="str">
            <v>STOCK MUERTO</v>
          </cell>
          <cell r="R342">
            <v>120997.05590950312</v>
          </cell>
          <cell r="S342">
            <v>-6.3205901828932765E-2</v>
          </cell>
        </row>
        <row r="343">
          <cell r="A343" t="str">
            <v>REP-0208</v>
          </cell>
          <cell r="B343" t="str">
            <v>09.01.571</v>
          </cell>
          <cell r="C343" t="str">
            <v>Válvula fondo de bidones dispens de producto</v>
          </cell>
          <cell r="D343" t="str">
            <v>MIX</v>
          </cell>
          <cell r="E343" t="str">
            <v>EUR</v>
          </cell>
          <cell r="F343">
            <v>11212.330706384535</v>
          </cell>
          <cell r="G343">
            <v>11212.330706384535</v>
          </cell>
          <cell r="H343">
            <v>11212.330706384537</v>
          </cell>
          <cell r="I343">
            <v>18223.183401519582</v>
          </cell>
          <cell r="J343">
            <v>18524.950514149459</v>
          </cell>
          <cell r="K343" t="str">
            <v>STOCK MUERTO</v>
          </cell>
          <cell r="R343">
            <v>17354.064310566289</v>
          </cell>
          <cell r="S343">
            <v>-6.3205901828932848E-2</v>
          </cell>
        </row>
        <row r="344">
          <cell r="A344" t="str">
            <v>REP-0036</v>
          </cell>
          <cell r="B344" t="str">
            <v>09.01.034</v>
          </cell>
          <cell r="C344" t="str">
            <v>Motor trifásico 2,2Kw 3 HP Bba cat doble bobinado</v>
          </cell>
          <cell r="D344" t="str">
            <v>MIX</v>
          </cell>
          <cell r="E344" t="str">
            <v>EUR</v>
          </cell>
          <cell r="F344">
            <v>886538.59728553274</v>
          </cell>
          <cell r="G344">
            <v>886538.59728553274</v>
          </cell>
          <cell r="H344">
            <v>886538.59728553274</v>
          </cell>
          <cell r="I344">
            <v>1431950.7636664719</v>
          </cell>
          <cell r="J344">
            <v>1455663.1764682741</v>
          </cell>
          <cell r="K344" t="str">
            <v>STOCK MUERTO</v>
          </cell>
          <cell r="R344">
            <v>1363656.6726404279</v>
          </cell>
          <cell r="S344">
            <v>-6.3205901828932751E-2</v>
          </cell>
        </row>
        <row r="345">
          <cell r="A345" t="str">
            <v>REP-0460</v>
          </cell>
          <cell r="B345" t="str">
            <v/>
          </cell>
          <cell r="C345" t="str">
            <v xml:space="preserve">Mariposa para aspirado </v>
          </cell>
          <cell r="D345" t="str">
            <v>NACIONAL</v>
          </cell>
          <cell r="E345" t="str">
            <v>CLP</v>
          </cell>
          <cell r="F345">
            <v>10763.888888888889</v>
          </cell>
          <cell r="G345">
            <v>10763.888888888889</v>
          </cell>
          <cell r="H345">
            <v>10000</v>
          </cell>
          <cell r="I345">
            <v>17503</v>
          </cell>
          <cell r="J345">
            <v>17503</v>
          </cell>
          <cell r="K345" t="str">
            <v>STOCK MUERTO</v>
          </cell>
          <cell r="O345"/>
          <cell r="Q345"/>
          <cell r="R345">
            <v>17503</v>
          </cell>
          <cell r="S345">
            <v>0</v>
          </cell>
        </row>
        <row r="346">
          <cell r="A346" t="str">
            <v>REP-0383</v>
          </cell>
          <cell r="B346" t="str">
            <v>09.03.218</v>
          </cell>
          <cell r="C346" t="str">
            <v>Kit aspiradora, boquilla, manguito y sujetador (lava interior)</v>
          </cell>
          <cell r="D346" t="str">
            <v>MIX</v>
          </cell>
          <cell r="E346" t="str">
            <v>EUR</v>
          </cell>
          <cell r="F346">
            <v>18931.894062048799</v>
          </cell>
          <cell r="G346">
            <v>18931.894062048799</v>
          </cell>
          <cell r="H346">
            <v>18931.894062048799</v>
          </cell>
          <cell r="I346">
            <v>30160.997837521922</v>
          </cell>
          <cell r="J346">
            <v>30660.44938947777</v>
          </cell>
          <cell r="K346" t="str">
            <v>STOCK MUERTO</v>
          </cell>
          <cell r="R346">
            <v>28722.528035335476</v>
          </cell>
          <cell r="S346">
            <v>-6.3205901828932792E-2</v>
          </cell>
        </row>
        <row r="347">
          <cell r="A347" t="str">
            <v>REP-0399</v>
          </cell>
          <cell r="B347" t="str">
            <v>09.03.234</v>
          </cell>
          <cell r="C347" t="str">
            <v>Mango sujetador aspirado interior(lava interior)</v>
          </cell>
          <cell r="D347" t="str">
            <v>MIX</v>
          </cell>
          <cell r="E347" t="str">
            <v>EUR</v>
          </cell>
          <cell r="F347">
            <v>10295.191024434784</v>
          </cell>
          <cell r="G347">
            <v>10295.191024434784</v>
          </cell>
          <cell r="H347">
            <v>10295.191024434784</v>
          </cell>
          <cell r="I347">
            <v>16083.150000000001</v>
          </cell>
          <cell r="J347">
            <v>16349.479193454123</v>
          </cell>
          <cell r="K347" t="str">
            <v>STOCK MUERTO</v>
          </cell>
          <cell r="R347">
            <v>15316.095616598483</v>
          </cell>
          <cell r="S347">
            <v>-6.3205901828932765E-2</v>
          </cell>
        </row>
        <row r="348">
          <cell r="A348" t="str">
            <v>REP-0407</v>
          </cell>
          <cell r="B348" t="str">
            <v>09.03.242</v>
          </cell>
          <cell r="C348" t="str">
            <v>Acople rápido de bombas (lava interior)</v>
          </cell>
          <cell r="D348" t="str">
            <v>MIX</v>
          </cell>
          <cell r="E348" t="str">
            <v>EUR</v>
          </cell>
          <cell r="F348">
            <v>7270.1283149006604</v>
          </cell>
          <cell r="G348">
            <v>7270.1283149006604</v>
          </cell>
          <cell r="H348">
            <v>7270.1283149006613</v>
          </cell>
          <cell r="I348">
            <v>11257.891671537114</v>
          </cell>
          <cell r="J348">
            <v>11444.316918387038</v>
          </cell>
          <cell r="K348" t="str">
            <v>STOCK MUERTO</v>
          </cell>
          <cell r="R348">
            <v>10720.968546744272</v>
          </cell>
          <cell r="S348">
            <v>-6.3205901828932765E-2</v>
          </cell>
        </row>
        <row r="349">
          <cell r="A349" t="str">
            <v>REP-0451</v>
          </cell>
          <cell r="B349" t="str">
            <v/>
          </cell>
          <cell r="C349" t="str">
            <v>Tee acople rápido</v>
          </cell>
          <cell r="D349" t="str">
            <v>MIX</v>
          </cell>
          <cell r="E349" t="str">
            <v>EUR</v>
          </cell>
          <cell r="F349">
            <v>3956.4182142857144</v>
          </cell>
          <cell r="G349">
            <v>3956.4182142857144</v>
          </cell>
          <cell r="H349">
            <v>3956.4182142857171</v>
          </cell>
          <cell r="I349">
            <v>6122.4381648158978</v>
          </cell>
          <cell r="J349">
            <v>6223.8227827799246</v>
          </cell>
          <cell r="K349" t="str">
            <v>STOCK MUERTO</v>
          </cell>
          <cell r="R349">
            <v>5830.440450970862</v>
          </cell>
          <cell r="S349">
            <v>-6.3205901828932695E-2</v>
          </cell>
        </row>
        <row r="350">
          <cell r="A350" t="str">
            <v>REP-0314</v>
          </cell>
          <cell r="B350" t="str">
            <v>09.02.477</v>
          </cell>
          <cell r="C350" t="str">
            <v>Inverter 2,2 KW 3AC380-480V</v>
          </cell>
          <cell r="D350" t="str">
            <v>MIX</v>
          </cell>
          <cell r="E350" t="str">
            <v>EUR</v>
          </cell>
          <cell r="F350">
            <v>582127.95595827117</v>
          </cell>
          <cell r="G350">
            <v>582127.95595827117</v>
          </cell>
          <cell r="H350">
            <v>595612.36891150894</v>
          </cell>
          <cell r="I350">
            <v>879212.20000000007</v>
          </cell>
          <cell r="J350">
            <v>893771.52924215863</v>
          </cell>
          <cell r="K350" t="str">
            <v>STOCK MUERTO</v>
          </cell>
          <cell r="R350">
            <v>837279.89370738366</v>
          </cell>
          <cell r="S350">
            <v>-6.3205901828932751E-2</v>
          </cell>
        </row>
        <row r="351">
          <cell r="A351" t="str">
            <v>REP-0029</v>
          </cell>
          <cell r="B351" t="str">
            <v>09.00.784</v>
          </cell>
          <cell r="C351" t="str">
            <v>Display de 3 cifras</v>
          </cell>
          <cell r="D351" t="str">
            <v>MIX</v>
          </cell>
          <cell r="E351" t="str">
            <v>EUR</v>
          </cell>
          <cell r="F351">
            <v>215655.01467204001</v>
          </cell>
          <cell r="G351">
            <v>215655.01467204001</v>
          </cell>
          <cell r="H351">
            <v>213345.89661097075</v>
          </cell>
          <cell r="I351">
            <v>325694.49288914871</v>
          </cell>
          <cell r="J351">
            <v>331087.83633266663</v>
          </cell>
          <cell r="K351" t="str">
            <v>STOCK MUERTO</v>
          </cell>
          <cell r="R351">
            <v>310161.13105267036</v>
          </cell>
          <cell r="S351">
            <v>-6.3205901828932709E-2</v>
          </cell>
        </row>
        <row r="352">
          <cell r="A352" t="str">
            <v>REP-0409</v>
          </cell>
          <cell r="B352" t="str">
            <v>09.03.250</v>
          </cell>
          <cell r="C352" t="str">
            <v>Telaio SD/TI (lava interior)</v>
          </cell>
          <cell r="D352" t="str">
            <v>MIX</v>
          </cell>
          <cell r="E352" t="str">
            <v>EUR</v>
          </cell>
          <cell r="F352">
            <v>889509.78364590113</v>
          </cell>
          <cell r="G352">
            <v>889509.78364590113</v>
          </cell>
          <cell r="H352">
            <v>889509.78364590113</v>
          </cell>
          <cell r="I352">
            <v>1333700.3575589326</v>
          </cell>
          <cell r="J352">
            <v>1355785.7911051062</v>
          </cell>
          <cell r="K352" t="str">
            <v>STOCK MUERTO</v>
          </cell>
          <cell r="R352">
            <v>1270092.1274914551</v>
          </cell>
          <cell r="S352">
            <v>-6.3205901828932681E-2</v>
          </cell>
        </row>
        <row r="353">
          <cell r="A353" t="str">
            <v>REP-0454</v>
          </cell>
          <cell r="B353" t="str">
            <v>09.00.975</v>
          </cell>
          <cell r="C353" t="str">
            <v xml:space="preserve">Bomba dosificadora de producto </v>
          </cell>
          <cell r="D353" t="str">
            <v>MIX</v>
          </cell>
          <cell r="E353" t="str">
            <v>EUR</v>
          </cell>
          <cell r="F353">
            <v>438444.79732579441</v>
          </cell>
          <cell r="G353">
            <v>438444.79732579441</v>
          </cell>
          <cell r="H353">
            <v>438444.79732579441</v>
          </cell>
          <cell r="I353">
            <v>653802.65937073843</v>
          </cell>
          <cell r="J353">
            <v>664629.31552630302</v>
          </cell>
          <cell r="K353" t="str">
            <v>STOCK MUERTO</v>
          </cell>
          <cell r="R353">
            <v>622620.8202565168</v>
          </cell>
          <cell r="S353">
            <v>-6.3205901828932654E-2</v>
          </cell>
        </row>
        <row r="354">
          <cell r="A354" t="str">
            <v>REP-0455</v>
          </cell>
          <cell r="B354" t="str">
            <v/>
          </cell>
          <cell r="C354" t="str">
            <v>Cabezal multifunción ROHS</v>
          </cell>
          <cell r="D354" t="str">
            <v>ROHS</v>
          </cell>
          <cell r="E354" t="str">
            <v>EUR</v>
          </cell>
          <cell r="F354">
            <v>278147.97964285716</v>
          </cell>
          <cell r="G354">
            <v>278147.97964285716</v>
          </cell>
          <cell r="H354">
            <v>278147.97964285716</v>
          </cell>
          <cell r="I354">
            <v>412108</v>
          </cell>
          <cell r="J354">
            <v>418932.30937073834</v>
          </cell>
          <cell r="K354" t="str">
            <v>STOCK MUERTO</v>
          </cell>
          <cell r="R354">
            <v>392453.31495168339</v>
          </cell>
          <cell r="S354">
            <v>-6.3205901828932681E-2</v>
          </cell>
        </row>
        <row r="355">
          <cell r="A355" t="str">
            <v>REP-0341</v>
          </cell>
          <cell r="B355">
            <v>0</v>
          </cell>
          <cell r="C355" t="str">
            <v>Kit analizador de durezas bajo rango 100 determinaciones</v>
          </cell>
          <cell r="D355" t="str">
            <v>INQUINAT CHILE LIMITADA</v>
          </cell>
          <cell r="E355" t="str">
            <v>CLP</v>
          </cell>
          <cell r="F355">
            <v>36245</v>
          </cell>
          <cell r="G355">
            <v>37403.055555555555</v>
          </cell>
          <cell r="H355">
            <v>44598</v>
          </cell>
          <cell r="I355">
            <v>55944</v>
          </cell>
          <cell r="J355">
            <v>55944</v>
          </cell>
          <cell r="K355" t="str">
            <v>STOCK MUERTO</v>
          </cell>
          <cell r="R355">
            <v>55944</v>
          </cell>
          <cell r="S355">
            <v>0</v>
          </cell>
        </row>
        <row r="356">
          <cell r="A356" t="str">
            <v>REP-0202</v>
          </cell>
          <cell r="B356" t="str">
            <v>23.00.259</v>
          </cell>
          <cell r="C356" t="str">
            <v>Transformador 380 / 18 - 24 V</v>
          </cell>
          <cell r="D356" t="str">
            <v>MIX</v>
          </cell>
          <cell r="E356" t="str">
            <v>EUR</v>
          </cell>
          <cell r="F356">
            <v>55667.003970743099</v>
          </cell>
          <cell r="G356">
            <v>55667.003970743099</v>
          </cell>
          <cell r="H356">
            <v>55667.003970743099</v>
          </cell>
          <cell r="I356">
            <v>81187.582446912143</v>
          </cell>
          <cell r="J356">
            <v>82532.009586594111</v>
          </cell>
          <cell r="K356" t="str">
            <v>STOCK MUERTO</v>
          </cell>
          <cell r="R356">
            <v>77315.499490919305</v>
          </cell>
          <cell r="S356">
            <v>-6.3205901828932778E-2</v>
          </cell>
        </row>
        <row r="357">
          <cell r="A357" t="str">
            <v>REP-0298</v>
          </cell>
          <cell r="B357" t="str">
            <v>V-18</v>
          </cell>
          <cell r="C357" t="str">
            <v>Termo 100 Lt Trotter cincado 6 Kw</v>
          </cell>
          <cell r="D357" t="str">
            <v>URSUS TROTTER</v>
          </cell>
          <cell r="E357" t="str">
            <v>CLP</v>
          </cell>
          <cell r="F357">
            <v>546823.57142857148</v>
          </cell>
          <cell r="G357">
            <v>546823.57142857148</v>
          </cell>
          <cell r="H357">
            <v>546823.57142857148</v>
          </cell>
          <cell r="I357">
            <v>803830</v>
          </cell>
          <cell r="J357">
            <v>803830</v>
          </cell>
          <cell r="K357" t="str">
            <v>STOCK MUERTO</v>
          </cell>
          <cell r="R357">
            <v>803830</v>
          </cell>
          <cell r="S357">
            <v>0</v>
          </cell>
        </row>
        <row r="358">
          <cell r="A358" t="str">
            <v>REP-0403</v>
          </cell>
          <cell r="B358" t="str">
            <v>09.03.238</v>
          </cell>
          <cell r="C358" t="str">
            <v>Módulo regulador y mezcla producto (lava interior)</v>
          </cell>
          <cell r="D358" t="str">
            <v>MIX</v>
          </cell>
          <cell r="E358" t="str">
            <v>EUR</v>
          </cell>
          <cell r="F358">
            <v>2654409.3132830919</v>
          </cell>
          <cell r="G358">
            <v>2654409.3132830919</v>
          </cell>
          <cell r="H358">
            <v>2654409.3132830919</v>
          </cell>
          <cell r="I358">
            <v>3793607.6535554263</v>
          </cell>
          <cell r="J358">
            <v>3856427.9634233811</v>
          </cell>
          <cell r="K358" t="str">
            <v>STOCK MUERTO</v>
          </cell>
          <cell r="R358">
            <v>3612678.9561568918</v>
          </cell>
          <cell r="S358">
            <v>-6.3205901828932765E-2</v>
          </cell>
        </row>
        <row r="359">
          <cell r="A359" t="str">
            <v>REP-0470</v>
          </cell>
          <cell r="B359" t="str">
            <v/>
          </cell>
          <cell r="C359" t="str">
            <v xml:space="preserve">Porta filtro con elemento para compresor lavainterior </v>
          </cell>
          <cell r="D359" t="str">
            <v>NACIONAL</v>
          </cell>
          <cell r="E359" t="str">
            <v>CLP</v>
          </cell>
          <cell r="F359">
            <v>10404</v>
          </cell>
          <cell r="G359">
            <v>10404</v>
          </cell>
          <cell r="H359">
            <v>10404</v>
          </cell>
          <cell r="I359">
            <v>15061</v>
          </cell>
          <cell r="J359">
            <v>15061</v>
          </cell>
          <cell r="K359" t="str">
            <v>STOCK MUERTO</v>
          </cell>
          <cell r="R359">
            <v>15061</v>
          </cell>
          <cell r="S359">
            <v>0</v>
          </cell>
        </row>
        <row r="360">
          <cell r="A360" t="str">
            <v>REP-0397</v>
          </cell>
          <cell r="B360" t="str">
            <v>09.03.232</v>
          </cell>
          <cell r="C360" t="str">
            <v>Contactor 24V NO (lava interior)</v>
          </cell>
          <cell r="D360" t="str">
            <v>MIX</v>
          </cell>
          <cell r="E360" t="str">
            <v>EUR</v>
          </cell>
          <cell r="F360">
            <v>58531.10580850087</v>
          </cell>
          <cell r="G360">
            <v>58531.10580850087</v>
          </cell>
          <cell r="H360">
            <v>49892.373549756412</v>
          </cell>
          <cell r="I360">
            <v>82024.169442820974</v>
          </cell>
          <cell r="J360">
            <v>83382.450058959643</v>
          </cell>
          <cell r="K360" t="str">
            <v>STOCK MUERTO</v>
          </cell>
          <cell r="R360">
            <v>78112.187106277153</v>
          </cell>
          <cell r="S360">
            <v>-6.3205901828932737E-2</v>
          </cell>
        </row>
        <row r="361">
          <cell r="A361" t="str">
            <v>REP-0404</v>
          </cell>
          <cell r="B361" t="str">
            <v>09.03.239</v>
          </cell>
          <cell r="C361" t="str">
            <v>Contactor 230V NO (lava interior)</v>
          </cell>
          <cell r="D361" t="str">
            <v>MIX</v>
          </cell>
          <cell r="E361" t="str">
            <v>EUR</v>
          </cell>
          <cell r="F361">
            <v>93831.199945029352</v>
          </cell>
          <cell r="G361">
            <v>93831.199945029352</v>
          </cell>
          <cell r="H361">
            <v>79969.926602079722</v>
          </cell>
          <cell r="I361">
            <v>131485.15616598481</v>
          </cell>
          <cell r="J361">
            <v>133662.48682526959</v>
          </cell>
          <cell r="K361" t="str">
            <v>STOCK MUERTO</v>
          </cell>
          <cell r="R361">
            <v>125214.22880478058</v>
          </cell>
          <cell r="S361">
            <v>-6.3205901828932778E-2</v>
          </cell>
        </row>
        <row r="362">
          <cell r="A362" t="str">
            <v>REP-0376</v>
          </cell>
          <cell r="B362" t="str">
            <v>09.03.210</v>
          </cell>
          <cell r="C362" t="str">
            <v>Alimentador para tarjeta electrónica (lava interior)</v>
          </cell>
          <cell r="D362" t="str">
            <v>MIX</v>
          </cell>
          <cell r="E362" t="str">
            <v>EUR</v>
          </cell>
          <cell r="F362">
            <v>74031.594071803323</v>
          </cell>
          <cell r="G362">
            <v>74031.594071803323</v>
          </cell>
          <cell r="H362">
            <v>74031.594071803323</v>
          </cell>
          <cell r="I362">
            <v>103736.78749269435</v>
          </cell>
          <cell r="J362">
            <v>105454.61857332537</v>
          </cell>
          <cell r="K362" t="str">
            <v>STOCK MUERTO</v>
          </cell>
          <cell r="R362">
            <v>98789.26430437222</v>
          </cell>
          <cell r="S362">
            <v>-6.3205901828932695E-2</v>
          </cell>
        </row>
        <row r="363">
          <cell r="A363" t="str">
            <v>REP-0398</v>
          </cell>
          <cell r="B363" t="str">
            <v>09.03.233</v>
          </cell>
          <cell r="C363" t="str">
            <v>Interruptor térmico 4.2-5.7A (lava interior)</v>
          </cell>
          <cell r="D363" t="str">
            <v>MIX</v>
          </cell>
          <cell r="E363" t="str">
            <v>EUR</v>
          </cell>
          <cell r="F363">
            <v>72887.79213888786</v>
          </cell>
          <cell r="G363">
            <v>72887.79213888786</v>
          </cell>
          <cell r="H363">
            <v>72887.79213888786</v>
          </cell>
          <cell r="I363">
            <v>102128.36804987339</v>
          </cell>
          <cell r="J363">
            <v>103819.56448163633</v>
          </cell>
          <cell r="K363" t="str">
            <v>STOCK MUERTO</v>
          </cell>
          <cell r="R363">
            <v>97257.55528108748</v>
          </cell>
          <cell r="S363">
            <v>-6.3205901828932709E-2</v>
          </cell>
        </row>
        <row r="364">
          <cell r="A364" t="str">
            <v>REP-0401</v>
          </cell>
          <cell r="B364" t="str">
            <v>09.03.236</v>
          </cell>
          <cell r="C364" t="str">
            <v>Gancho (lava interior)</v>
          </cell>
          <cell r="D364" t="str">
            <v>MIX</v>
          </cell>
          <cell r="E364" t="str">
            <v>EUR</v>
          </cell>
          <cell r="F364">
            <v>44766.041167552889</v>
          </cell>
          <cell r="G364">
            <v>44766.041167552889</v>
          </cell>
          <cell r="H364">
            <v>44766.041167552889</v>
          </cell>
          <cell r="I364">
            <v>62724.180557179046</v>
          </cell>
          <cell r="J364">
            <v>63762.862682127459</v>
          </cell>
          <cell r="K364" t="str">
            <v>STOCK MUERTO</v>
          </cell>
          <cell r="R364">
            <v>59732.67344310919</v>
          </cell>
          <cell r="S364">
            <v>-6.3205901828932778E-2</v>
          </cell>
        </row>
        <row r="365">
          <cell r="A365" t="str">
            <v>REP-0396</v>
          </cell>
          <cell r="B365" t="str">
            <v>09.03.231</v>
          </cell>
          <cell r="C365" t="str">
            <v>Perilla timer de programas (lava interior)</v>
          </cell>
          <cell r="D365" t="str">
            <v>MIX</v>
          </cell>
          <cell r="E365" t="str">
            <v>EUR</v>
          </cell>
          <cell r="F365">
            <v>7178.3431651935007</v>
          </cell>
          <cell r="G365">
            <v>7178.3431651935007</v>
          </cell>
          <cell r="H365">
            <v>7178.3431651935007</v>
          </cell>
          <cell r="I365">
            <v>10057.843658679136</v>
          </cell>
          <cell r="J365">
            <v>10224.396690237236</v>
          </cell>
          <cell r="K365" t="str">
            <v>STOCK MUERTO</v>
          </cell>
          <cell r="R365">
            <v>9578.1544767740361</v>
          </cell>
          <cell r="S365">
            <v>-6.3205901828932751E-2</v>
          </cell>
        </row>
        <row r="366">
          <cell r="A366" t="str">
            <v>REP-0395</v>
          </cell>
          <cell r="B366" t="str">
            <v>09.03.230</v>
          </cell>
          <cell r="C366" t="str">
            <v>Cable (lava interior)</v>
          </cell>
          <cell r="D366" t="str">
            <v>MIX</v>
          </cell>
          <cell r="E366" t="str">
            <v>EUR</v>
          </cell>
          <cell r="F366">
            <v>16499.671561021696</v>
          </cell>
          <cell r="G366">
            <v>16499.671561021696</v>
          </cell>
          <cell r="H366">
            <v>14697.281184627782</v>
          </cell>
          <cell r="I366">
            <v>23116.329563608029</v>
          </cell>
          <cell r="J366">
            <v>23499.124812567057</v>
          </cell>
          <cell r="K366" t="str">
            <v>STOCK MUERTO</v>
          </cell>
          <cell r="R366">
            <v>22013.841436598108</v>
          </cell>
          <cell r="S366">
            <v>-6.3205901828932667E-2</v>
          </cell>
        </row>
        <row r="367">
          <cell r="A367" t="str">
            <v>REP-0405</v>
          </cell>
          <cell r="B367" t="str">
            <v>09.03.240</v>
          </cell>
          <cell r="C367" t="str">
            <v>Motor aspirado con turbina (lava interior)</v>
          </cell>
          <cell r="D367" t="str">
            <v>MIX</v>
          </cell>
          <cell r="E367" t="str">
            <v>EUR</v>
          </cell>
          <cell r="F367">
            <v>1535586.9628106246</v>
          </cell>
          <cell r="G367">
            <v>1535586.9628106246</v>
          </cell>
          <cell r="H367">
            <v>1532465.3885776564</v>
          </cell>
          <cell r="I367">
            <v>2151121.0513929478</v>
          </cell>
          <cell r="J367">
            <v>2186742.5766936298</v>
          </cell>
          <cell r="K367" t="str">
            <v>STOCK MUERTO</v>
          </cell>
          <cell r="R367">
            <v>2048527.5400659847</v>
          </cell>
          <cell r="S367">
            <v>-6.3205901828932806E-2</v>
          </cell>
        </row>
        <row r="368">
          <cell r="A368" t="str">
            <v>REP-0406</v>
          </cell>
          <cell r="B368" t="str">
            <v>09.03.241</v>
          </cell>
          <cell r="C368" t="str">
            <v>Codo 45° entrada tambor aspirado (lava interior)</v>
          </cell>
          <cell r="D368" t="str">
            <v>MIX</v>
          </cell>
          <cell r="E368" t="str">
            <v>EUR</v>
          </cell>
          <cell r="F368">
            <v>7033.7245299972965</v>
          </cell>
          <cell r="G368">
            <v>7033.7245299972965</v>
          </cell>
          <cell r="H368">
            <v>7033.7245299972965</v>
          </cell>
          <cell r="I368">
            <v>9853.1357295928319</v>
          </cell>
          <cell r="J368">
            <v>10016.298896749542</v>
          </cell>
          <cell r="K368" t="str">
            <v>STOCK MUERTO</v>
          </cell>
          <cell r="R368">
            <v>9383.2096919923424</v>
          </cell>
          <cell r="S368">
            <v>-6.320590182893282E-2</v>
          </cell>
        </row>
        <row r="369">
          <cell r="A369" t="str">
            <v>REP-0348</v>
          </cell>
          <cell r="B369" t="str">
            <v>09.03.172</v>
          </cell>
          <cell r="C369" t="str">
            <v>Diferencial tipo B SIEMENE 5SV3342-4</v>
          </cell>
          <cell r="D369" t="str">
            <v>SIEMENS</v>
          </cell>
          <cell r="E369" t="str">
            <v>EUR</v>
          </cell>
          <cell r="F369">
            <v>506666.278918444</v>
          </cell>
          <cell r="G369">
            <v>679602.69262480317</v>
          </cell>
          <cell r="H369">
            <v>596960.74878463801</v>
          </cell>
          <cell r="I369">
            <v>943181.33898305101</v>
          </cell>
          <cell r="J369">
            <v>958799.96626019094</v>
          </cell>
          <cell r="K369" t="str">
            <v>STOCK MUERTO</v>
          </cell>
          <cell r="R369">
            <v>898198.14971916529</v>
          </cell>
          <cell r="S369">
            <v>-6.3205901828932737E-2</v>
          </cell>
        </row>
        <row r="370">
          <cell r="A370" t="str">
            <v>INS-0027</v>
          </cell>
          <cell r="B370" t="str">
            <v>09.03.170</v>
          </cell>
          <cell r="C370" t="str">
            <v xml:space="preserve"> ( Renovador de tableros) cockpit cleaner c4-5</v>
          </cell>
          <cell r="D370" t="str">
            <v>NACIONAL</v>
          </cell>
          <cell r="E370" t="str">
            <v>CLP</v>
          </cell>
          <cell r="F370">
            <v>19636.21794856005</v>
          </cell>
          <cell r="G370">
            <v>19636.217948560083</v>
          </cell>
          <cell r="H370">
            <v>19454.5</v>
          </cell>
          <cell r="I370">
            <v>27092.467757646606</v>
          </cell>
          <cell r="J370">
            <v>27541.105934034676</v>
          </cell>
          <cell r="K370" t="str">
            <v>STOCK MUERTO</v>
          </cell>
          <cell r="R370">
            <v>27541.105934034676</v>
          </cell>
          <cell r="S370">
            <v>0</v>
          </cell>
        </row>
        <row r="371">
          <cell r="A371" t="str">
            <v>REP-0436</v>
          </cell>
          <cell r="B371" t="str">
            <v/>
          </cell>
          <cell r="C371" t="str">
            <v>O´rings tapa carcasa de osmosis</v>
          </cell>
          <cell r="D371" t="str">
            <v>NACIONAL</v>
          </cell>
          <cell r="E371" t="str">
            <v>CLP</v>
          </cell>
          <cell r="F371">
            <v>4418.5714285714284</v>
          </cell>
          <cell r="G371">
            <v>4418.5714285714284</v>
          </cell>
          <cell r="H371">
            <v>4418.5714285714275</v>
          </cell>
          <cell r="I371">
            <v>6189</v>
          </cell>
          <cell r="J371">
            <v>6189</v>
          </cell>
          <cell r="K371" t="str">
            <v>STOCK MUERTO</v>
          </cell>
          <cell r="R371">
            <v>6189</v>
          </cell>
          <cell r="S371">
            <v>0</v>
          </cell>
        </row>
        <row r="372">
          <cell r="A372" t="str">
            <v>REP-0418</v>
          </cell>
          <cell r="B372" t="str">
            <v/>
          </cell>
          <cell r="C372" t="str">
            <v>Unión americana inoxidable de 1/2"</v>
          </cell>
          <cell r="D372" t="str">
            <v>NACIONAL</v>
          </cell>
          <cell r="E372" t="str">
            <v>CLP</v>
          </cell>
          <cell r="F372">
            <v>2120.7142857142858</v>
          </cell>
          <cell r="G372">
            <v>2120.7142857142858</v>
          </cell>
          <cell r="H372">
            <v>2120.7142857142853</v>
          </cell>
          <cell r="I372">
            <v>2969</v>
          </cell>
          <cell r="J372">
            <v>2969</v>
          </cell>
          <cell r="K372" t="str">
            <v>STOCK MUERTO</v>
          </cell>
          <cell r="R372">
            <v>2969</v>
          </cell>
          <cell r="S372">
            <v>0</v>
          </cell>
        </row>
        <row r="373">
          <cell r="A373" t="str">
            <v>REP-0432</v>
          </cell>
          <cell r="B373" t="str">
            <v/>
          </cell>
          <cell r="C373" t="str">
            <v>Codo inox 1/2 HE HI</v>
          </cell>
          <cell r="D373" t="str">
            <v>NACIONAL</v>
          </cell>
          <cell r="E373" t="str">
            <v>CLP</v>
          </cell>
          <cell r="F373">
            <v>6502.8571428571431</v>
          </cell>
          <cell r="G373">
            <v>6502.8571428571431</v>
          </cell>
          <cell r="H373">
            <v>6502.8571428571431</v>
          </cell>
          <cell r="I373">
            <v>9104</v>
          </cell>
          <cell r="J373">
            <v>9104</v>
          </cell>
          <cell r="K373" t="str">
            <v>STOCK MUERTO</v>
          </cell>
          <cell r="R373">
            <v>9104</v>
          </cell>
          <cell r="S373">
            <v>0</v>
          </cell>
        </row>
        <row r="374">
          <cell r="A374" t="str">
            <v>REP-0450</v>
          </cell>
          <cell r="B374" t="str">
            <v/>
          </cell>
          <cell r="C374" t="str">
            <v>Ánodo magnesio delgado</v>
          </cell>
          <cell r="D374" t="str">
            <v>TROTTER</v>
          </cell>
          <cell r="E374" t="str">
            <v>CLP</v>
          </cell>
          <cell r="F374">
            <v>27900</v>
          </cell>
          <cell r="G374">
            <v>27900</v>
          </cell>
          <cell r="H374">
            <v>27900</v>
          </cell>
          <cell r="I374">
            <v>39060</v>
          </cell>
          <cell r="J374">
            <v>39060</v>
          </cell>
          <cell r="K374" t="str">
            <v>STOCK MUERTO</v>
          </cell>
          <cell r="O374"/>
          <cell r="Q374"/>
          <cell r="R374">
            <v>39060</v>
          </cell>
          <cell r="S374">
            <v>0</v>
          </cell>
        </row>
        <row r="375">
          <cell r="A375" t="str">
            <v>REP-0392</v>
          </cell>
          <cell r="B375" t="str">
            <v>09.03.227</v>
          </cell>
          <cell r="C375" t="str">
            <v>Cerradura (lava interior)</v>
          </cell>
          <cell r="D375" t="str">
            <v>MIX</v>
          </cell>
          <cell r="E375" t="str">
            <v>EUR</v>
          </cell>
          <cell r="F375">
            <v>14631.004845773248</v>
          </cell>
          <cell r="G375">
            <v>21214.320417651958</v>
          </cell>
          <cell r="H375">
            <v>17099.748185227763</v>
          </cell>
          <cell r="I375">
            <v>28949.461114358077</v>
          </cell>
          <cell r="J375">
            <v>29428.850203530186</v>
          </cell>
          <cell r="K375" t="str">
            <v>STOCK MUERTO</v>
          </cell>
          <cell r="R375">
            <v>27568.773186627488</v>
          </cell>
          <cell r="S375">
            <v>-6.3205901828932806E-2</v>
          </cell>
        </row>
        <row r="376">
          <cell r="A376" t="str">
            <v>REP-0393</v>
          </cell>
          <cell r="B376" t="str">
            <v>09.03.228</v>
          </cell>
          <cell r="C376" t="str">
            <v>Palanca interior cerradura (lava interior)</v>
          </cell>
          <cell r="D376" t="str">
            <v>MIX</v>
          </cell>
          <cell r="E376" t="str">
            <v>EUR</v>
          </cell>
          <cell r="F376">
            <v>3556.147011125443</v>
          </cell>
          <cell r="G376">
            <v>5158.415276602831</v>
          </cell>
          <cell r="H376">
            <v>4156.9976106794638</v>
          </cell>
          <cell r="I376">
            <v>7033.1795636080278</v>
          </cell>
          <cell r="J376">
            <v>7149.6456191129337</v>
          </cell>
          <cell r="K376" t="str">
            <v>STOCK MUERTO</v>
          </cell>
          <cell r="R376">
            <v>6697.7458199996227</v>
          </cell>
          <cell r="S376">
            <v>-6.3205901828932723E-2</v>
          </cell>
        </row>
        <row r="377">
          <cell r="A377" t="str">
            <v>REP-0504</v>
          </cell>
          <cell r="B377" t="str">
            <v/>
          </cell>
          <cell r="C377" t="str">
            <v>Fusible placa de aspirado</v>
          </cell>
          <cell r="D377" t="str">
            <v>NACIONAL</v>
          </cell>
          <cell r="E377" t="str">
            <v>CLP</v>
          </cell>
          <cell r="F377">
            <v>3100</v>
          </cell>
          <cell r="G377">
            <v>3100</v>
          </cell>
          <cell r="H377">
            <v>3100</v>
          </cell>
          <cell r="I377">
            <v>4200</v>
          </cell>
          <cell r="J377">
            <v>4200</v>
          </cell>
          <cell r="K377" t="str">
            <v>STOCK MUERTO</v>
          </cell>
          <cell r="R377">
            <v>4200</v>
          </cell>
          <cell r="S377">
            <v>0</v>
          </cell>
        </row>
        <row r="378">
          <cell r="A378" t="str">
            <v>INS-0009</v>
          </cell>
          <cell r="B378" t="str">
            <v>09.00.583</v>
          </cell>
          <cell r="C378" t="str">
            <v>Rollo de 500 paños politex (5kg)</v>
          </cell>
          <cell r="D378" t="str">
            <v>NACIONAL</v>
          </cell>
          <cell r="E378" t="str">
            <v>CLP</v>
          </cell>
          <cell r="F378">
            <v>91059.387229249376</v>
          </cell>
          <cell r="G378">
            <v>91059.387229249376</v>
          </cell>
          <cell r="H378">
            <v>91059.387229249376</v>
          </cell>
          <cell r="I378">
            <v>121413</v>
          </cell>
          <cell r="J378">
            <v>123423.54061952075</v>
          </cell>
          <cell r="K378" t="str">
            <v>STOCK MUERTO</v>
          </cell>
          <cell r="R378">
            <v>123423.54061952075</v>
          </cell>
          <cell r="S378">
            <v>0</v>
          </cell>
        </row>
        <row r="379">
          <cell r="A379" t="str">
            <v>REP-0267</v>
          </cell>
          <cell r="B379" t="str">
            <v>V-09</v>
          </cell>
          <cell r="C379" t="str">
            <v>Paños pulidores extra finos (10 unidades)</v>
          </cell>
          <cell r="D379" t="str">
            <v>CUSATTO</v>
          </cell>
          <cell r="E379" t="str">
            <v>USD</v>
          </cell>
          <cell r="F379">
            <v>3275.9534793877447</v>
          </cell>
          <cell r="G379">
            <v>3275.9534793877447</v>
          </cell>
          <cell r="H379">
            <v>3275.9534793877447</v>
          </cell>
          <cell r="I379">
            <v>4362</v>
          </cell>
          <cell r="J379">
            <v>4310.4256686493909</v>
          </cell>
          <cell r="K379" t="str">
            <v>STOCK MUERTO</v>
          </cell>
          <cell r="R379">
            <v>4245.3085492845212</v>
          </cell>
          <cell r="S379">
            <v>-1.5106888361045146E-2</v>
          </cell>
        </row>
        <row r="380">
          <cell r="A380" t="str">
            <v>REP-0355</v>
          </cell>
          <cell r="B380">
            <v>0</v>
          </cell>
          <cell r="C380" t="str">
            <v xml:space="preserve"> O´ring para boquilla pistola mousse </v>
          </cell>
          <cell r="D380" t="str">
            <v>Retenes Uribe</v>
          </cell>
          <cell r="E380" t="str">
            <v>CLP</v>
          </cell>
          <cell r="F380">
            <v>1261</v>
          </cell>
          <cell r="G380">
            <v>1261</v>
          </cell>
          <cell r="H380">
            <v>1261</v>
          </cell>
          <cell r="I380">
            <v>1632</v>
          </cell>
          <cell r="J380">
            <v>1632</v>
          </cell>
          <cell r="K380" t="str">
            <v>STOCK MUERTO</v>
          </cell>
          <cell r="R380">
            <v>1632</v>
          </cell>
          <cell r="S380">
            <v>0</v>
          </cell>
        </row>
        <row r="381">
          <cell r="A381" t="str">
            <v>REP-0390</v>
          </cell>
          <cell r="B381" t="str">
            <v>09.03.225</v>
          </cell>
          <cell r="C381" t="str">
            <v>Bomba modulo lavainteriores dry (lava interior)</v>
          </cell>
          <cell r="D381" t="str">
            <v>MIX</v>
          </cell>
          <cell r="E381" t="str">
            <v>EUR</v>
          </cell>
          <cell r="F381">
            <v>229907.7929372261</v>
          </cell>
          <cell r="G381">
            <v>229907.7929372261</v>
          </cell>
          <cell r="H381">
            <v>229907.79293722607</v>
          </cell>
          <cell r="I381">
            <v>287385</v>
          </cell>
          <cell r="J381">
            <v>292143.95675043832</v>
          </cell>
          <cell r="K381" t="str">
            <v>STOCK MUERTO</v>
          </cell>
          <cell r="R381">
            <v>273678.73450015415</v>
          </cell>
          <cell r="S381">
            <v>-6.3205901828932695E-2</v>
          </cell>
        </row>
        <row r="382">
          <cell r="A382" t="str">
            <v>REP-0375</v>
          </cell>
          <cell r="B382" t="str">
            <v>09.03.209</v>
          </cell>
          <cell r="C382" t="str">
            <v>Tarjeta electrónica lavainterior (lava interior)</v>
          </cell>
          <cell r="D382" t="str">
            <v>MIX</v>
          </cell>
          <cell r="E382" t="str">
            <v>EUR</v>
          </cell>
          <cell r="F382">
            <v>266338.30230953061</v>
          </cell>
          <cell r="G382">
            <v>266338.30230953061</v>
          </cell>
          <cell r="H382">
            <v>266338.30230953055</v>
          </cell>
          <cell r="I382">
            <v>332923</v>
          </cell>
          <cell r="J382">
            <v>338436.04402883304</v>
          </cell>
          <cell r="K382" t="str">
            <v>STOCK MUERTO</v>
          </cell>
          <cell r="R382">
            <v>317044.88865457429</v>
          </cell>
          <cell r="S382">
            <v>-6.3205901828932667E-2</v>
          </cell>
        </row>
        <row r="383">
          <cell r="A383" t="str">
            <v>REP-0387</v>
          </cell>
          <cell r="B383" t="str">
            <v>09.03.222</v>
          </cell>
          <cell r="C383" t="str">
            <v>Espiral lavainteriores dry (lava interior)</v>
          </cell>
          <cell r="D383" t="str">
            <v>MIX</v>
          </cell>
          <cell r="E383" t="str">
            <v>EUR</v>
          </cell>
          <cell r="F383">
            <v>62761.754312999583</v>
          </cell>
          <cell r="G383">
            <v>62761.754312999583</v>
          </cell>
          <cell r="H383">
            <v>67073.172103144549</v>
          </cell>
          <cell r="I383">
            <v>78452</v>
          </cell>
          <cell r="J383">
            <v>79751.127216052992</v>
          </cell>
          <cell r="K383" t="str">
            <v>STOCK MUERTO</v>
          </cell>
          <cell r="R383">
            <v>74710.385298488414</v>
          </cell>
          <cell r="S383">
            <v>-6.320590182893282E-2</v>
          </cell>
        </row>
        <row r="384">
          <cell r="A384" t="str">
            <v>REP-0281</v>
          </cell>
          <cell r="B384" t="str">
            <v>HT-09</v>
          </cell>
          <cell r="C384" t="str">
            <v>Filtro para válvula pie de estanque 1\</v>
          </cell>
          <cell r="D384" t="str">
            <v>HIDROTECNICA- CHI</v>
          </cell>
          <cell r="E384" t="str">
            <v>CLP</v>
          </cell>
          <cell r="F384">
            <v>1492.7906882761033</v>
          </cell>
          <cell r="G384">
            <v>1492.7906882761033</v>
          </cell>
          <cell r="H384">
            <v>625</v>
          </cell>
          <cell r="I384">
            <v>1866</v>
          </cell>
          <cell r="J384">
            <v>1866</v>
          </cell>
          <cell r="K384" t="str">
            <v>STOCK MUERTO</v>
          </cell>
          <cell r="O384"/>
          <cell r="Q384"/>
          <cell r="R384">
            <v>1866</v>
          </cell>
          <cell r="S384">
            <v>0</v>
          </cell>
        </row>
        <row r="385">
          <cell r="A385" t="str">
            <v>REP-0266</v>
          </cell>
          <cell r="B385" t="str">
            <v>V-06</v>
          </cell>
          <cell r="C385" t="str">
            <v>Limpiador spray acero inoxidable 3M</v>
          </cell>
          <cell r="D385" t="str">
            <v>CUSATTO</v>
          </cell>
          <cell r="E385" t="str">
            <v>CLP</v>
          </cell>
          <cell r="F385">
            <v>10380.027517557335</v>
          </cell>
          <cell r="G385">
            <v>10380.027517557337</v>
          </cell>
          <cell r="H385">
            <v>10380.027517557337</v>
          </cell>
          <cell r="I385">
            <v>12975</v>
          </cell>
          <cell r="J385">
            <v>12975</v>
          </cell>
          <cell r="K385" t="str">
            <v>STOCK MUERTO</v>
          </cell>
          <cell r="O385"/>
          <cell r="Q385"/>
          <cell r="R385">
            <v>12975</v>
          </cell>
          <cell r="S385">
            <v>0</v>
          </cell>
        </row>
        <row r="386">
          <cell r="A386" t="str">
            <v>REP-0453</v>
          </cell>
          <cell r="B386" t="str">
            <v/>
          </cell>
          <cell r="C386" t="str">
            <v xml:space="preserve">Compresor cambell lavainteriores </v>
          </cell>
          <cell r="D386" t="str">
            <v>NACIONAL</v>
          </cell>
          <cell r="E386" t="str">
            <v>CLP</v>
          </cell>
          <cell r="F386">
            <v>109990</v>
          </cell>
          <cell r="G386">
            <v>218558.79923605808</v>
          </cell>
          <cell r="H386">
            <v>218403</v>
          </cell>
          <cell r="I386">
            <v>273004</v>
          </cell>
          <cell r="J386">
            <v>273004</v>
          </cell>
          <cell r="K386" t="str">
            <v>STOCK MUERTO</v>
          </cell>
          <cell r="R386">
            <v>273004</v>
          </cell>
          <cell r="S386">
            <v>0</v>
          </cell>
        </row>
        <row r="387">
          <cell r="A387" t="str">
            <v>REP-0287</v>
          </cell>
          <cell r="B387" t="str">
            <v>V-37</v>
          </cell>
          <cell r="C387" t="str">
            <v>Gravilla Inquinat 25kg</v>
          </cell>
          <cell r="D387" t="str">
            <v>INQUINAT</v>
          </cell>
          <cell r="E387" t="str">
            <v>CLP</v>
          </cell>
          <cell r="F387">
            <v>7750</v>
          </cell>
          <cell r="G387">
            <v>7750</v>
          </cell>
          <cell r="H387">
            <v>7750</v>
          </cell>
          <cell r="I387">
            <v>9563</v>
          </cell>
          <cell r="J387">
            <v>9687.5</v>
          </cell>
          <cell r="K387" t="str">
            <v>STOCK MUERTO</v>
          </cell>
          <cell r="R387">
            <v>9687.5</v>
          </cell>
          <cell r="S387">
            <v>0</v>
          </cell>
        </row>
        <row r="388">
          <cell r="A388" t="str">
            <v>REP-0506</v>
          </cell>
          <cell r="B388" t="str">
            <v>09.03.335</v>
          </cell>
          <cell r="C388" t="str">
            <v>Cuerpo cepillo (lava interior)</v>
          </cell>
          <cell r="D388" t="str">
            <v>MIX</v>
          </cell>
          <cell r="E388" t="str">
            <v>CLP</v>
          </cell>
          <cell r="F388">
            <v>58347.923680579297</v>
          </cell>
          <cell r="G388">
            <v>58347.923680579297</v>
          </cell>
          <cell r="H388">
            <v>63586.687295801443</v>
          </cell>
          <cell r="I388">
            <v>71843.599215922804</v>
          </cell>
          <cell r="J388">
            <v>72934.904600724112</v>
          </cell>
          <cell r="K388" t="str">
            <v>STOCK MUERTO</v>
          </cell>
          <cell r="R388">
            <v>70651.874773112708</v>
          </cell>
          <cell r="S388">
            <v>-3.13022940128551E-2</v>
          </cell>
        </row>
        <row r="389">
          <cell r="A389" t="str">
            <v>REP-0491</v>
          </cell>
          <cell r="B389" t="str">
            <v/>
          </cell>
          <cell r="C389" t="str">
            <v>Perno largo Allen electroválvula de 1/2 (442)</v>
          </cell>
          <cell r="D389" t="str">
            <v>NACIONAL</v>
          </cell>
          <cell r="E389" t="str">
            <v>CLP</v>
          </cell>
          <cell r="F389">
            <v>250</v>
          </cell>
          <cell r="G389">
            <v>250</v>
          </cell>
          <cell r="H389">
            <v>250</v>
          </cell>
          <cell r="I389">
            <v>299</v>
          </cell>
          <cell r="J389">
            <v>312.5</v>
          </cell>
          <cell r="K389" t="str">
            <v>STOCK MUERTO</v>
          </cell>
          <cell r="O389"/>
          <cell r="Q389"/>
          <cell r="R389">
            <v>312.5</v>
          </cell>
          <cell r="S389">
            <v>0</v>
          </cell>
        </row>
        <row r="390">
          <cell r="A390" t="str">
            <v>REP-0579</v>
          </cell>
          <cell r="B390" t="str">
            <v>PULSE 2S PRO</v>
          </cell>
          <cell r="C390" t="str">
            <v>REDUCTOR DE TRASLACIÓN PUENTE DE LAVADO DERECHO</v>
          </cell>
          <cell r="D390" t="str">
            <v>MIX</v>
          </cell>
          <cell r="E390" t="str">
            <v>EUR</v>
          </cell>
          <cell r="G390">
            <v>506664</v>
          </cell>
          <cell r="H390">
            <v>506663.79261809681</v>
          </cell>
          <cell r="J390">
            <v>675552</v>
          </cell>
          <cell r="K390" t="str">
            <v>STOCK MUERTO</v>
          </cell>
          <cell r="R390">
            <v>632853.12660766079</v>
          </cell>
          <cell r="S390">
            <v>-6.3205901828932806E-2</v>
          </cell>
        </row>
        <row r="391">
          <cell r="A391" t="str">
            <v>REP-0592</v>
          </cell>
          <cell r="B391" t="str">
            <v>PULSE 2S PRO</v>
          </cell>
          <cell r="C391" t="str">
            <v>REDUCTOR DE TRASLACIÓN PUENTE DE LAVADO IZQUIERDO</v>
          </cell>
          <cell r="D391" t="str">
            <v>MIX</v>
          </cell>
          <cell r="E391" t="str">
            <v>EUR</v>
          </cell>
          <cell r="G391">
            <v>506664</v>
          </cell>
          <cell r="H391">
            <v>506663.79261809681</v>
          </cell>
          <cell r="J391">
            <v>675552</v>
          </cell>
          <cell r="K391" t="str">
            <v>STOCK MUERTO</v>
          </cell>
          <cell r="R391">
            <v>632853.12660766079</v>
          </cell>
          <cell r="S391">
            <v>-6.3205901828932806E-2</v>
          </cell>
        </row>
        <row r="392">
          <cell r="A392" t="str">
            <v>REP-0591</v>
          </cell>
          <cell r="B392" t="str">
            <v>PULSE 2S PRO</v>
          </cell>
          <cell r="C392" t="str">
            <v>MOTO DEL REDUCTOR DE TRASLACIÓN 0.75KW</v>
          </cell>
          <cell r="D392" t="str">
            <v>MIX</v>
          </cell>
          <cell r="E392" t="str">
            <v>EUR</v>
          </cell>
          <cell r="G392">
            <v>741128</v>
          </cell>
          <cell r="H392">
            <v>741127.77512447827</v>
          </cell>
          <cell r="J392">
            <v>988170.66666666663</v>
          </cell>
          <cell r="K392" t="str">
            <v>STOCK MUERTO</v>
          </cell>
          <cell r="R392">
            <v>925712.4485191023</v>
          </cell>
          <cell r="S392">
            <v>-6.3205901828932723E-2</v>
          </cell>
        </row>
        <row r="393">
          <cell r="A393" t="str">
            <v>REP-0595</v>
          </cell>
          <cell r="B393" t="str">
            <v>PULSE 2S PRO</v>
          </cell>
          <cell r="C393" t="str">
            <v>MOTOR KW0, 37 (NEC. JUNTA 09.06.1779)</v>
          </cell>
          <cell r="D393" t="str">
            <v>MIX</v>
          </cell>
          <cell r="E393" t="str">
            <v>EUR</v>
          </cell>
          <cell r="G393">
            <v>228718</v>
          </cell>
          <cell r="H393">
            <v>171641.64824212121</v>
          </cell>
          <cell r="J393">
            <v>304957.33333333331</v>
          </cell>
          <cell r="K393" t="str">
            <v>STOCK MUERTO</v>
          </cell>
          <cell r="R393">
            <v>285682.23006065353</v>
          </cell>
          <cell r="S393">
            <v>-6.3205901828932751E-2</v>
          </cell>
        </row>
        <row r="394">
          <cell r="A394" t="str">
            <v>REP-0598</v>
          </cell>
          <cell r="B394" t="str">
            <v>PULSE 2S PRO</v>
          </cell>
          <cell r="C394" t="str">
            <v>MOTOR SECADO HORIZONTAL</v>
          </cell>
          <cell r="D394" t="str">
            <v>MIX</v>
          </cell>
          <cell r="E394" t="str">
            <v>EUR</v>
          </cell>
          <cell r="G394">
            <v>468395</v>
          </cell>
          <cell r="H394">
            <v>468394.59642470168</v>
          </cell>
          <cell r="J394">
            <v>624526.66666666663</v>
          </cell>
          <cell r="K394" t="str">
            <v>STOCK MUERTO</v>
          </cell>
          <cell r="R394">
            <v>585052.89548378275</v>
          </cell>
          <cell r="S394">
            <v>-6.3205901828932654E-2</v>
          </cell>
        </row>
        <row r="395">
          <cell r="A395" t="str">
            <v>REP-0596</v>
          </cell>
          <cell r="B395" t="str">
            <v>PULSE 2S PRO</v>
          </cell>
          <cell r="C395" t="str">
            <v>MOTOPR DE SECADO CON VENGTILACIÓN TRASERA</v>
          </cell>
          <cell r="D395" t="str">
            <v>MIX</v>
          </cell>
          <cell r="E395" t="str">
            <v>EUR</v>
          </cell>
          <cell r="G395">
            <v>558401</v>
          </cell>
          <cell r="H395">
            <v>558400.54566003836</v>
          </cell>
          <cell r="J395">
            <v>744534.66666666663</v>
          </cell>
          <cell r="K395" t="str">
            <v>STOCK MUERTO</v>
          </cell>
          <cell r="R395">
            <v>697475.68161709607</v>
          </cell>
          <cell r="S395">
            <v>-6.3205901828932834E-2</v>
          </cell>
        </row>
        <row r="396">
          <cell r="A396" t="str">
            <v>REP-0576</v>
          </cell>
          <cell r="B396" t="str">
            <v>PULSE 2S PRO</v>
          </cell>
          <cell r="C396" t="str">
            <v xml:space="preserve"> MOTOR DE TRASLACIÓN CEPILLO VERTICAL (NEC. JUNTA 09061105)</v>
          </cell>
          <cell r="D396" t="str">
            <v>MIX</v>
          </cell>
          <cell r="E396" t="str">
            <v>EUR</v>
          </cell>
          <cell r="G396">
            <v>200777</v>
          </cell>
          <cell r="H396">
            <v>200776.90736496725</v>
          </cell>
          <cell r="J396">
            <v>267702.66666666669</v>
          </cell>
          <cell r="K396" t="str">
            <v>STOCK MUERTO</v>
          </cell>
          <cell r="R396">
            <v>250782.27819798986</v>
          </cell>
          <cell r="S396">
            <v>-6.3205901828932695E-2</v>
          </cell>
        </row>
        <row r="397">
          <cell r="A397" t="str">
            <v>REP-0593</v>
          </cell>
          <cell r="B397" t="str">
            <v>PULSE 2S PRO</v>
          </cell>
          <cell r="C397" t="str">
            <v xml:space="preserve">REDUCTOR PARA LAVALLANTAS </v>
          </cell>
          <cell r="D397" t="str">
            <v>MIX</v>
          </cell>
          <cell r="E397" t="str">
            <v>EUR</v>
          </cell>
          <cell r="G397">
            <v>606379</v>
          </cell>
          <cell r="H397">
            <v>606379.4745588213</v>
          </cell>
          <cell r="J397">
            <v>808505.33333333337</v>
          </cell>
          <cell r="K397" t="str">
            <v>STOCK MUERTO</v>
          </cell>
          <cell r="R397">
            <v>757403.02460649819</v>
          </cell>
          <cell r="S397">
            <v>-6.3205901828932709E-2</v>
          </cell>
        </row>
        <row r="398">
          <cell r="A398" t="str">
            <v>REP-0614</v>
          </cell>
          <cell r="B398" t="str">
            <v>PULSE 2S PRO</v>
          </cell>
          <cell r="C398" t="str">
            <v>PORTA BOQUILLAS DE EMOLIENTE</v>
          </cell>
          <cell r="D398" t="str">
            <v>MIX</v>
          </cell>
          <cell r="E398" t="str">
            <v>EUR</v>
          </cell>
          <cell r="G398">
            <v>3091</v>
          </cell>
          <cell r="H398">
            <v>3091.1134080822703</v>
          </cell>
          <cell r="J398">
            <v>4121.333333333333</v>
          </cell>
          <cell r="K398" t="str">
            <v>STOCK MUERTO</v>
          </cell>
          <cell r="R398">
            <v>3860.840743262358</v>
          </cell>
          <cell r="S398">
            <v>-6.3205901828932792E-2</v>
          </cell>
        </row>
        <row r="399">
          <cell r="A399" t="str">
            <v>REP-0611</v>
          </cell>
          <cell r="B399" t="str">
            <v>PULSE 2S PRO</v>
          </cell>
          <cell r="C399" t="str">
            <v>SOPORTE DE BOQUILLA GIRATORIA FIL.3/8F SIN TUERCA ANULAR</v>
          </cell>
          <cell r="D399" t="str">
            <v>MIX</v>
          </cell>
          <cell r="E399" t="str">
            <v>EUR</v>
          </cell>
          <cell r="G399">
            <v>7007</v>
          </cell>
          <cell r="H399">
            <v>7006.5237249864804</v>
          </cell>
          <cell r="J399">
            <v>9342.6666666666661</v>
          </cell>
          <cell r="K399" t="str">
            <v>STOCK MUERTO</v>
          </cell>
          <cell r="R399">
            <v>8752.15499451289</v>
          </cell>
          <cell r="S399">
            <v>-6.3205901828932792E-2</v>
          </cell>
        </row>
        <row r="400">
          <cell r="A400" t="str">
            <v>REP-0575</v>
          </cell>
          <cell r="B400" t="str">
            <v>PULSE 2S PRO</v>
          </cell>
          <cell r="C400" t="str">
            <v>MOTOR DE GIRO LAVALLANTAS</v>
          </cell>
          <cell r="D400" t="str">
            <v>MIX</v>
          </cell>
          <cell r="E400" t="str">
            <v>EUR</v>
          </cell>
          <cell r="G400">
            <v>229082</v>
          </cell>
          <cell r="H400">
            <v>229081.80857230883</v>
          </cell>
          <cell r="J400">
            <v>305442.66666666669</v>
          </cell>
          <cell r="K400" t="str">
            <v>STOCK MUERTO</v>
          </cell>
          <cell r="R400">
            <v>286136.88746296591</v>
          </cell>
          <cell r="S400">
            <v>-6.3205901828932778E-2</v>
          </cell>
        </row>
        <row r="401">
          <cell r="A401">
            <v>0</v>
          </cell>
          <cell r="B401" t="str">
            <v>PULSE 2S PRO</v>
          </cell>
          <cell r="C401" t="str">
            <v>TRANSMISOR DE FOTOCÉLULA MD MT.30</v>
          </cell>
          <cell r="D401" t="str">
            <v>MIX</v>
          </cell>
          <cell r="E401" t="str">
            <v>EUR</v>
          </cell>
          <cell r="G401">
            <v>65459</v>
          </cell>
          <cell r="H401">
            <v>65459</v>
          </cell>
          <cell r="J401">
            <v>87278.666666666672</v>
          </cell>
          <cell r="K401" t="str">
            <v>STOCK MUERTO</v>
          </cell>
          <cell r="R401">
            <v>81762.139829573192</v>
          </cell>
          <cell r="S401">
            <v>-6.3205901828932751E-2</v>
          </cell>
        </row>
        <row r="402">
          <cell r="A402" t="str">
            <v>REP-0625</v>
          </cell>
          <cell r="B402" t="str">
            <v>PULSE 2S PRO</v>
          </cell>
          <cell r="C402" t="str">
            <v>RECEPTOR DE FOTOCÉLULA MD MT.30</v>
          </cell>
          <cell r="D402" t="str">
            <v>MIX</v>
          </cell>
          <cell r="E402" t="str">
            <v>EUR</v>
          </cell>
          <cell r="G402">
            <v>100819</v>
          </cell>
          <cell r="H402">
            <v>100818.78515694212</v>
          </cell>
          <cell r="J402">
            <v>134425.33333333334</v>
          </cell>
          <cell r="K402" t="str">
            <v>STOCK MUERTO</v>
          </cell>
          <cell r="R402">
            <v>125928.85891134512</v>
          </cell>
          <cell r="S402">
            <v>-6.3205901828932737E-2</v>
          </cell>
        </row>
        <row r="403">
          <cell r="A403" t="str">
            <v>REP-0623</v>
          </cell>
          <cell r="B403" t="str">
            <v>PULSE 2S PRO</v>
          </cell>
          <cell r="C403" t="str">
            <v>INTERRUPTOR REMOTO PROXIMIDAD OMRON -5MT- NO</v>
          </cell>
          <cell r="D403" t="str">
            <v>MIX</v>
          </cell>
          <cell r="E403" t="str">
            <v>EUR</v>
          </cell>
          <cell r="G403">
            <v>31942</v>
          </cell>
          <cell r="H403">
            <v>31941.505216850128</v>
          </cell>
          <cell r="J403">
            <v>42589.333333333336</v>
          </cell>
          <cell r="K403" t="str">
            <v>STOCK MUERTO</v>
          </cell>
          <cell r="R403">
            <v>39897.436111706978</v>
          </cell>
          <cell r="S403">
            <v>-6.3205901828932681E-2</v>
          </cell>
        </row>
        <row r="404">
          <cell r="A404" t="str">
            <v>REP-0622</v>
          </cell>
          <cell r="B404" t="str">
            <v>PULSE 2S PRO</v>
          </cell>
          <cell r="C404" t="str">
            <v>INTERRUPTOR REMOTO PROXIMIDAD D18-5M-NO</v>
          </cell>
          <cell r="D404" t="str">
            <v>MIX</v>
          </cell>
          <cell r="E404" t="str">
            <v>EUR</v>
          </cell>
          <cell r="G404">
            <v>27141</v>
          </cell>
          <cell r="H404">
            <v>27141.18792429884</v>
          </cell>
          <cell r="J404">
            <v>36188</v>
          </cell>
          <cell r="K404" t="str">
            <v>STOCK MUERTO</v>
          </cell>
          <cell r="R404">
            <v>33900.704824614579</v>
          </cell>
          <cell r="S404">
            <v>-6.3205901828932834E-2</v>
          </cell>
        </row>
        <row r="405">
          <cell r="A405" t="str">
            <v>REP-0581</v>
          </cell>
          <cell r="B405" t="str">
            <v>PULSE 2S PRO</v>
          </cell>
          <cell r="C405" t="str">
            <v>BOMBA DOSIFICADORA CHAMPÚ/LLANTAS</v>
          </cell>
          <cell r="D405" t="str">
            <v>MIX</v>
          </cell>
          <cell r="E405" t="str">
            <v>EUR</v>
          </cell>
          <cell r="G405">
            <v>146882</v>
          </cell>
          <cell r="H405">
            <v>146882.43594405049</v>
          </cell>
          <cell r="J405">
            <v>195842.66666666666</v>
          </cell>
          <cell r="K405" t="str">
            <v>STOCK MUERTO</v>
          </cell>
          <cell r="R405">
            <v>183464.25430341694</v>
          </cell>
          <cell r="S405">
            <v>-6.3205901828932695E-2</v>
          </cell>
        </row>
        <row r="406">
          <cell r="A406" t="str">
            <v>REP-0582</v>
          </cell>
          <cell r="B406" t="str">
            <v>PULSE 2S PRO</v>
          </cell>
          <cell r="C406" t="str">
            <v>BOMBA DOSIFICADORA WAX 3L/H CERA</v>
          </cell>
          <cell r="D406" t="str">
            <v>MIX</v>
          </cell>
          <cell r="E406" t="str">
            <v>EUR</v>
          </cell>
          <cell r="G406">
            <v>144179</v>
          </cell>
          <cell r="H406">
            <v>144179.22696364913</v>
          </cell>
          <cell r="J406">
            <v>192238.66666666666</v>
          </cell>
          <cell r="K406" t="str">
            <v>STOCK MUERTO</v>
          </cell>
          <cell r="R406">
            <v>180088.04837360838</v>
          </cell>
          <cell r="S406">
            <v>-6.320590182893282E-2</v>
          </cell>
        </row>
        <row r="407">
          <cell r="A407" t="str">
            <v>REP-0584</v>
          </cell>
          <cell r="B407" t="str">
            <v>PULSE 2S PRO</v>
          </cell>
          <cell r="C407" t="str">
            <v>BOMBA DOSIFICADORA EPDM 12L/H</v>
          </cell>
          <cell r="D407" t="str">
            <v>MIX</v>
          </cell>
          <cell r="E407" t="str">
            <v>EUR</v>
          </cell>
          <cell r="G407">
            <v>146882</v>
          </cell>
          <cell r="H407">
            <v>146882.43594405049</v>
          </cell>
          <cell r="J407">
            <v>195842.66666666666</v>
          </cell>
          <cell r="K407" t="str">
            <v>STOCK MUERTO</v>
          </cell>
          <cell r="R407">
            <v>183464.25430341694</v>
          </cell>
          <cell r="S407">
            <v>-6.3205901828932695E-2</v>
          </cell>
        </row>
        <row r="408">
          <cell r="A408" t="str">
            <v>REP-0613</v>
          </cell>
          <cell r="B408" t="str">
            <v>PULSE 2S PRO</v>
          </cell>
          <cell r="C408" t="str">
            <v>BOQUILLA METALICA (PARAVTUERCAS ROJAS, EMOLIENTE, SH, ETC…)</v>
          </cell>
          <cell r="D408" t="str">
            <v>MIX</v>
          </cell>
          <cell r="E408" t="str">
            <v>EUR</v>
          </cell>
          <cell r="G408">
            <v>3091</v>
          </cell>
          <cell r="H408">
            <v>3091.1134080822708</v>
          </cell>
          <cell r="J408">
            <v>4121.333333333333</v>
          </cell>
          <cell r="K408" t="str">
            <v>STOCK MUERTO</v>
          </cell>
          <cell r="R408">
            <v>3860.840743262358</v>
          </cell>
          <cell r="S408">
            <v>-6.3205901828932792E-2</v>
          </cell>
        </row>
        <row r="409">
          <cell r="A409" t="str">
            <v>REP-0621</v>
          </cell>
          <cell r="B409" t="str">
            <v>PULSE 2S PRO</v>
          </cell>
          <cell r="C409" t="str">
            <v>CILINDRO NEUMATICO PARA INCLINACIÓN DE LAVARUEDAS Y DEFLECTOR</v>
          </cell>
          <cell r="D409" t="str">
            <v>MIX</v>
          </cell>
          <cell r="E409" t="str">
            <v>EUR</v>
          </cell>
          <cell r="G409">
            <v>36596</v>
          </cell>
          <cell r="H409">
            <v>36596.35834902108</v>
          </cell>
          <cell r="J409">
            <v>48794.666666666664</v>
          </cell>
          <cell r="K409" t="str">
            <v>STOCK MUERTO</v>
          </cell>
          <cell r="R409">
            <v>45710.555755557834</v>
          </cell>
          <cell r="S409">
            <v>-6.3205901828932737E-2</v>
          </cell>
        </row>
        <row r="410">
          <cell r="A410" t="str">
            <v>REP-0618</v>
          </cell>
          <cell r="B410" t="str">
            <v>PULSE 2S PRO</v>
          </cell>
          <cell r="C410" t="str">
            <v>HORQUILLA CILINDRO NEUMATICO (FIJACIÓN)</v>
          </cell>
          <cell r="D410" t="str">
            <v>MIX</v>
          </cell>
          <cell r="E410" t="str">
            <v>EUR</v>
          </cell>
          <cell r="G410">
            <v>4473</v>
          </cell>
          <cell r="H410">
            <v>4473.022931695521</v>
          </cell>
          <cell r="J410">
            <v>5964</v>
          </cell>
          <cell r="K410" t="str">
            <v>STOCK MUERTO</v>
          </cell>
          <cell r="R410">
            <v>5587.0400014922452</v>
          </cell>
          <cell r="S410">
            <v>-6.3205901828932723E-2</v>
          </cell>
        </row>
        <row r="411">
          <cell r="A411" t="str">
            <v>REP-0608</v>
          </cell>
          <cell r="B411" t="str">
            <v>PULSE 2S PRO</v>
          </cell>
          <cell r="C411" t="str">
            <v>ELECTROVALVULA PLANO 5/2</v>
          </cell>
          <cell r="D411" t="str">
            <v>MIX</v>
          </cell>
          <cell r="E411" t="str">
            <v>EUR</v>
          </cell>
          <cell r="G411">
            <v>61883</v>
          </cell>
          <cell r="H411">
            <v>61882.878228470552</v>
          </cell>
          <cell r="J411">
            <v>82510.666666666672</v>
          </cell>
          <cell r="K411" t="str">
            <v>STOCK MUERTO</v>
          </cell>
          <cell r="R411">
            <v>77295.505569493544</v>
          </cell>
          <cell r="S411">
            <v>-6.3205901828932751E-2</v>
          </cell>
        </row>
        <row r="412">
          <cell r="A412" t="str">
            <v>REP-0609</v>
          </cell>
          <cell r="B412" t="str">
            <v>PULSE 2S PRO</v>
          </cell>
          <cell r="C412" t="str">
            <v>ELECTROVALVULA FLAT 5/3 1/4" CA SOL</v>
          </cell>
          <cell r="D412" t="str">
            <v>MIX</v>
          </cell>
          <cell r="E412" t="str">
            <v>EUR</v>
          </cell>
          <cell r="G412">
            <v>105934</v>
          </cell>
          <cell r="H412">
            <v>105934.27479698417</v>
          </cell>
          <cell r="J412">
            <v>141245.33333333334</v>
          </cell>
          <cell r="K412" t="str">
            <v>STOCK MUERTO</v>
          </cell>
          <cell r="R412">
            <v>132317.79466087179</v>
          </cell>
          <cell r="S412">
            <v>-6.3205901828932765E-2</v>
          </cell>
        </row>
        <row r="413">
          <cell r="A413" t="str">
            <v>REP-0586</v>
          </cell>
          <cell r="B413" t="str">
            <v>PULSE 2S PRO</v>
          </cell>
          <cell r="C413" t="str">
            <v>BASE MODULAR PLANA PARA EV DE AIRE</v>
          </cell>
          <cell r="D413" t="str">
            <v>MIX</v>
          </cell>
          <cell r="E413" t="str">
            <v>EUR</v>
          </cell>
          <cell r="G413">
            <v>9213</v>
          </cell>
          <cell r="H413">
            <v>9212.730157421669</v>
          </cell>
          <cell r="J413">
            <v>12284</v>
          </cell>
          <cell r="K413" t="str">
            <v>STOCK MUERTO</v>
          </cell>
          <cell r="R413">
            <v>11507.578701933389</v>
          </cell>
          <cell r="S413">
            <v>-6.320590182893282E-2</v>
          </cell>
        </row>
        <row r="414">
          <cell r="A414" t="str">
            <v>REP-0617</v>
          </cell>
          <cell r="B414" t="str">
            <v>PULSE 2S PRO</v>
          </cell>
          <cell r="C414" t="str">
            <v>ELECTROVALVULA DE AIRE 2 VÍAS 1/8 NC 24VDC</v>
          </cell>
          <cell r="D414" t="str">
            <v>MIX</v>
          </cell>
          <cell r="E414" t="str">
            <v>EUR</v>
          </cell>
          <cell r="G414">
            <v>22668</v>
          </cell>
          <cell r="H414">
            <v>22668.164992603317</v>
          </cell>
          <cell r="J414">
            <v>30224</v>
          </cell>
          <cell r="K414" t="str">
            <v>STOCK MUERTO</v>
          </cell>
          <cell r="R414">
            <v>28313.664823122337</v>
          </cell>
          <cell r="S414">
            <v>-6.3205901828932737E-2</v>
          </cell>
        </row>
        <row r="415">
          <cell r="A415" t="str">
            <v>REP-0620</v>
          </cell>
          <cell r="B415" t="str">
            <v>PULSE 2S PRO</v>
          </cell>
          <cell r="C415" t="str">
            <v>BOQUILLA FBL 1686 1/4"4003 ACERO INOXIDABLE</v>
          </cell>
          <cell r="D415" t="str">
            <v>MIX</v>
          </cell>
          <cell r="E415" t="str">
            <v>EUR</v>
          </cell>
          <cell r="G415">
            <v>5128</v>
          </cell>
          <cell r="H415">
            <v>5127.6116534070607</v>
          </cell>
          <cell r="J415">
            <v>6837.333333333333</v>
          </cell>
          <cell r="K415" t="str">
            <v>STOCK MUERTO</v>
          </cell>
          <cell r="R415">
            <v>6405.1735138949771</v>
          </cell>
          <cell r="S415">
            <v>-6.3205901828932723E-2</v>
          </cell>
        </row>
        <row r="416">
          <cell r="A416" t="str">
            <v>REP-0607</v>
          </cell>
          <cell r="B416" t="str">
            <v>PULSE 2S PRO</v>
          </cell>
          <cell r="C416" t="str">
            <v>VÁLVULA PULSAR PARA INTERPUMPS VBXL</v>
          </cell>
          <cell r="D416" t="str">
            <v>MIX</v>
          </cell>
          <cell r="E416" t="str">
            <v>EUR</v>
          </cell>
          <cell r="G416">
            <v>93243</v>
          </cell>
          <cell r="H416">
            <v>93242.526803799308</v>
          </cell>
          <cell r="J416">
            <v>124324</v>
          </cell>
          <cell r="K416" t="str">
            <v>STOCK MUERTO</v>
          </cell>
          <cell r="R416">
            <v>116465.98946101977</v>
          </cell>
          <cell r="S416">
            <v>-6.3205901828932737E-2</v>
          </cell>
        </row>
        <row r="417">
          <cell r="A417" t="str">
            <v>REP-0595</v>
          </cell>
          <cell r="B417" t="str">
            <v>PULSE 2S PRO</v>
          </cell>
          <cell r="C417" t="str">
            <v>ELECTROVALVULA 90 DE AGUA</v>
          </cell>
          <cell r="D417" t="str">
            <v>MIX</v>
          </cell>
          <cell r="E417" t="str">
            <v>EUR</v>
          </cell>
          <cell r="G417">
            <v>114565</v>
          </cell>
          <cell r="H417">
            <v>171641.64824212121</v>
          </cell>
          <cell r="J417">
            <v>304957.33333333331</v>
          </cell>
          <cell r="K417" t="str">
            <v>STOCK MUERTO</v>
          </cell>
          <cell r="R417">
            <v>285682.23006065353</v>
          </cell>
          <cell r="S417">
            <v>-6.3205901828932751E-2</v>
          </cell>
        </row>
        <row r="418">
          <cell r="A418" t="str">
            <v>REP-0619</v>
          </cell>
          <cell r="B418" t="str">
            <v>PULSE 2S PRO</v>
          </cell>
          <cell r="C418" t="str">
            <v>RUEDA DE PERCHA 80X25</v>
          </cell>
          <cell r="D418" t="str">
            <v>MIX</v>
          </cell>
          <cell r="E418" t="str">
            <v>EUR</v>
          </cell>
          <cell r="G418">
            <v>30450</v>
          </cell>
          <cell r="H418">
            <v>30450.497572951623</v>
          </cell>
          <cell r="J418">
            <v>40600</v>
          </cell>
          <cell r="K418" t="str">
            <v>STOCK MUERTO</v>
          </cell>
          <cell r="R418">
            <v>38033.84038574533</v>
          </cell>
          <cell r="S418">
            <v>-6.3205901828932751E-2</v>
          </cell>
        </row>
        <row r="419">
          <cell r="A419" t="str">
            <v>REP-0583</v>
          </cell>
          <cell r="B419" t="str">
            <v>PULSE 2S PRO</v>
          </cell>
          <cell r="C419" t="str">
            <v>BOQUILLA DE ESPUMA 1.2 1/4F</v>
          </cell>
          <cell r="D419" t="str">
            <v>MIX</v>
          </cell>
          <cell r="E419" t="str">
            <v>EUR</v>
          </cell>
          <cell r="G419">
            <v>70441</v>
          </cell>
          <cell r="H419">
            <v>70441.019664180683</v>
          </cell>
          <cell r="J419">
            <v>93921.333333333328</v>
          </cell>
          <cell r="K419" t="str">
            <v>STOCK MUERTO</v>
          </cell>
          <cell r="R419">
            <v>87984.950759024199</v>
          </cell>
          <cell r="S419">
            <v>-6.3205901828932681E-2</v>
          </cell>
        </row>
        <row r="420">
          <cell r="A420" t="str">
            <v>REP-0597</v>
          </cell>
          <cell r="B420" t="str">
            <v>PULSE 2S PRO</v>
          </cell>
          <cell r="C420" t="str">
            <v>MOTOR  TRIFASICO BOMBA DE AP 8.5HP 4P.400/230 EJE HUECO</v>
          </cell>
          <cell r="D420" t="str">
            <v>MIX</v>
          </cell>
          <cell r="E420" t="str">
            <v>EUR</v>
          </cell>
          <cell r="G420">
            <v>653813</v>
          </cell>
          <cell r="H420">
            <v>653812.91285617789</v>
          </cell>
          <cell r="J420">
            <v>871750.66666666663</v>
          </cell>
          <cell r="K420" t="str">
            <v>STOCK MUERTO</v>
          </cell>
          <cell r="R420">
            <v>816650.8796100266</v>
          </cell>
          <cell r="S420">
            <v>-6.3205901828932765E-2</v>
          </cell>
        </row>
        <row r="421">
          <cell r="A421" t="str">
            <v>REP-0594</v>
          </cell>
          <cell r="B421" t="str">
            <v>PULSE 2S PRO</v>
          </cell>
          <cell r="C421" t="str">
            <v xml:space="preserve">BOMBA DE ALTA PRESIÓN </v>
          </cell>
          <cell r="D421" t="str">
            <v>MIX</v>
          </cell>
          <cell r="E421" t="str">
            <v>EUR</v>
          </cell>
          <cell r="G421">
            <v>853147</v>
          </cell>
          <cell r="H421">
            <v>853147.30063070671</v>
          </cell>
          <cell r="J421">
            <v>1137529.3333333333</v>
          </cell>
          <cell r="K421" t="str">
            <v>STOCK MUERTO</v>
          </cell>
          <cell r="R421">
            <v>1065630.7659631353</v>
          </cell>
          <cell r="S421">
            <v>-6.3205901828932737E-2</v>
          </cell>
        </row>
        <row r="422">
          <cell r="A422" t="str">
            <v>REP-0589</v>
          </cell>
          <cell r="B422" t="str">
            <v>PULSE 2S PRO</v>
          </cell>
          <cell r="C422" t="str">
            <v>CILINDRO DE INCLINACIÓN CEPILLO VERTICAL</v>
          </cell>
          <cell r="D422" t="str">
            <v>MIX</v>
          </cell>
          <cell r="E422" t="str">
            <v>EUR</v>
          </cell>
          <cell r="G422">
            <v>211020</v>
          </cell>
          <cell r="H422">
            <v>211020.00865841634</v>
          </cell>
          <cell r="J422">
            <v>281360</v>
          </cell>
          <cell r="K422" t="str">
            <v>STOCK MUERTO</v>
          </cell>
          <cell r="R422">
            <v>263576.38746141148</v>
          </cell>
          <cell r="S422">
            <v>-6.3205901828932765E-2</v>
          </cell>
        </row>
        <row r="423">
          <cell r="A423" t="str">
            <v>REP-0590</v>
          </cell>
          <cell r="B423" t="str">
            <v>PULSE 2S PRO</v>
          </cell>
          <cell r="C423" t="str">
            <v>EXPANSIÓN PLC SCHNEIDER 16</v>
          </cell>
          <cell r="D423" t="str">
            <v>MIX</v>
          </cell>
          <cell r="E423" t="str">
            <v>EUR</v>
          </cell>
          <cell r="G423">
            <v>293377</v>
          </cell>
          <cell r="H423">
            <v>293376.9674604201</v>
          </cell>
          <cell r="J423">
            <v>391169.33333333331</v>
          </cell>
          <cell r="K423" t="str">
            <v>STOCK MUERTO</v>
          </cell>
          <cell r="R423">
            <v>366445.12285217759</v>
          </cell>
          <cell r="S423">
            <v>-6.3205901828932709E-2</v>
          </cell>
        </row>
        <row r="424">
          <cell r="A424" t="str">
            <v>REP-0612</v>
          </cell>
          <cell r="B424" t="str">
            <v>PULSE 2S PRO</v>
          </cell>
          <cell r="C424" t="str">
            <v>EXPANSIÓN DE PLC SCHNEIDER 16DO</v>
          </cell>
          <cell r="D424" t="str">
            <v>MIX</v>
          </cell>
          <cell r="E424" t="str">
            <v>EUR</v>
          </cell>
          <cell r="G424">
            <v>437180</v>
          </cell>
          <cell r="H424">
            <v>437180.41200975329</v>
          </cell>
          <cell r="J424">
            <v>582906.66666666663</v>
          </cell>
          <cell r="K424" t="str">
            <v>STOCK MUERTO</v>
          </cell>
          <cell r="R424">
            <v>546063.5251179029</v>
          </cell>
          <cell r="S424">
            <v>-6.3205901828932695E-2</v>
          </cell>
        </row>
        <row r="425">
          <cell r="A425" t="str">
            <v>REP-0610</v>
          </cell>
          <cell r="B425" t="str">
            <v>PULSE 2S PRO</v>
          </cell>
          <cell r="C425" t="str">
            <v>PLC SCHNEIDER TMC241CECT 24R PLC</v>
          </cell>
          <cell r="D425" t="str">
            <v>MIX</v>
          </cell>
          <cell r="E425" t="str">
            <v>EUR</v>
          </cell>
          <cell r="G425">
            <v>965349</v>
          </cell>
          <cell r="H425">
            <v>965348.65633741068</v>
          </cell>
          <cell r="J425">
            <v>1287132</v>
          </cell>
          <cell r="K425" t="str">
            <v>STOCK MUERTO</v>
          </cell>
          <cell r="R425">
            <v>1205777.6611671222</v>
          </cell>
          <cell r="S425">
            <v>-6.3205901828932709E-2</v>
          </cell>
        </row>
        <row r="426">
          <cell r="A426" t="str">
            <v>REP-0588</v>
          </cell>
          <cell r="B426" t="str">
            <v>PULSE 2S PRO</v>
          </cell>
          <cell r="C426" t="str">
            <v>INVERSOR SCHNEIDER DE 0.75KW-230V 1PH</v>
          </cell>
          <cell r="D426" t="str">
            <v>MIX</v>
          </cell>
          <cell r="E426" t="str">
            <v>EUR</v>
          </cell>
          <cell r="G426">
            <v>453836</v>
          </cell>
          <cell r="H426">
            <v>453836.05837330245</v>
          </cell>
          <cell r="J426">
            <v>605114.66666666663</v>
          </cell>
          <cell r="K426" t="str">
            <v>STOCK MUERTO</v>
          </cell>
          <cell r="R426">
            <v>566867.84845008596</v>
          </cell>
          <cell r="S426">
            <v>-6.3205901828932695E-2</v>
          </cell>
        </row>
        <row r="427">
          <cell r="A427" t="str">
            <v>REP-0615</v>
          </cell>
          <cell r="B427" t="str">
            <v>PULSE 2S PRO</v>
          </cell>
          <cell r="C427" t="str">
            <v>ADAPTADOR DE TARJETA RJ45 DE APERTURA DE LATA</v>
          </cell>
          <cell r="D427" t="str">
            <v>MIX</v>
          </cell>
          <cell r="E427" t="str">
            <v>EUR</v>
          </cell>
          <cell r="G427">
            <v>47991</v>
          </cell>
          <cell r="H427">
            <v>47991.05091214789</v>
          </cell>
          <cell r="J427">
            <v>63988</v>
          </cell>
          <cell r="K427" t="str">
            <v>STOCK MUERTO</v>
          </cell>
          <cell r="R427">
            <v>59943.580753770249</v>
          </cell>
          <cell r="S427">
            <v>-6.3205901828932778E-2</v>
          </cell>
        </row>
        <row r="428">
          <cell r="A428" t="str">
            <v>REP-0587</v>
          </cell>
          <cell r="B428" t="str">
            <v>PULSE 2S PRO</v>
          </cell>
          <cell r="C428" t="str">
            <v xml:space="preserve">MODULO DE ABSORCIÓN DE CEPILLOS </v>
          </cell>
          <cell r="D428" t="str">
            <v>MIX</v>
          </cell>
          <cell r="E428" t="str">
            <v>EUR</v>
          </cell>
          <cell r="G428">
            <v>637109</v>
          </cell>
          <cell r="H428">
            <v>637108.77843916859</v>
          </cell>
          <cell r="J428">
            <v>849478.66666666663</v>
          </cell>
          <cell r="K428" t="str">
            <v>STOCK MUERTO</v>
          </cell>
          <cell r="R428">
            <v>795786.60145556065</v>
          </cell>
          <cell r="S428">
            <v>-6.3205901828932695E-2</v>
          </cell>
        </row>
        <row r="429">
          <cell r="A429">
            <v>0</v>
          </cell>
          <cell r="B429" t="str">
            <v>PULSE 2S PRO</v>
          </cell>
          <cell r="C429" t="str">
            <v>TUBO DE TELA DE GOMA NEGRA 8X15 9</v>
          </cell>
          <cell r="D429" t="str">
            <v>MIX</v>
          </cell>
          <cell r="E429" t="str">
            <v>EUR</v>
          </cell>
          <cell r="G429">
            <v>3843</v>
          </cell>
          <cell r="H429">
            <v>3843</v>
          </cell>
          <cell r="J429">
            <v>6405</v>
          </cell>
          <cell r="K429" t="str">
            <v>STOCK MUERTO</v>
          </cell>
          <cell r="R429">
            <v>6000.166198785686</v>
          </cell>
          <cell r="S429">
            <v>-6.3205901828932709E-2</v>
          </cell>
        </row>
        <row r="430">
          <cell r="A430">
            <v>0</v>
          </cell>
          <cell r="B430" t="str">
            <v>PULSE 2S PRO</v>
          </cell>
          <cell r="C430" t="str">
            <v>CABLE DE INSTALACIÓN MÓVIL 5G6 9</v>
          </cell>
          <cell r="D430" t="str">
            <v>MIX</v>
          </cell>
          <cell r="E430" t="str">
            <v>EUR</v>
          </cell>
          <cell r="G430">
            <v>20341</v>
          </cell>
          <cell r="H430">
            <v>20341</v>
          </cell>
          <cell r="J430">
            <v>29058.571428571431</v>
          </cell>
          <cell r="K430" t="str">
            <v>STOCK MUERTO</v>
          </cell>
          <cell r="R430">
            <v>27221.898215568115</v>
          </cell>
          <cell r="S430">
            <v>-6.3205901828932751E-2</v>
          </cell>
        </row>
        <row r="431">
          <cell r="A431" t="str">
            <v>REP-0616</v>
          </cell>
          <cell r="B431" t="str">
            <v>PULSE 2S PRO</v>
          </cell>
          <cell r="C431" t="str">
            <v xml:space="preserve">MANGUERA DE CONEXIÓN ESTANQUE ACUMULADOR CON BOMBA DE ALTA PRESIÓN </v>
          </cell>
          <cell r="D431" t="str">
            <v>MIX</v>
          </cell>
          <cell r="E431" t="str">
            <v>EUR</v>
          </cell>
          <cell r="G431">
            <v>8013</v>
          </cell>
          <cell r="H431">
            <v>8012.650834283847</v>
          </cell>
          <cell r="J431">
            <v>10684</v>
          </cell>
          <cell r="K431" t="str">
            <v>STOCK MUERTO</v>
          </cell>
          <cell r="R431">
            <v>10008.708144859682</v>
          </cell>
          <cell r="S431">
            <v>-6.3205901828932806E-2</v>
          </cell>
        </row>
        <row r="432">
          <cell r="A432">
            <v>0</v>
          </cell>
          <cell r="B432" t="str">
            <v>PULSE 2S PRO</v>
          </cell>
          <cell r="C432" t="str">
            <v>CABLE 4×2, 5 INSTALACIÓN MÓVIL 9</v>
          </cell>
          <cell r="D432" t="str">
            <v>MIX</v>
          </cell>
          <cell r="E432" t="str">
            <v>EUR</v>
          </cell>
          <cell r="G432">
            <v>7843</v>
          </cell>
          <cell r="H432">
            <v>7843</v>
          </cell>
          <cell r="J432">
            <v>11204.285714285716</v>
          </cell>
          <cell r="K432" t="str">
            <v>STOCK MUERTO</v>
          </cell>
          <cell r="R432">
            <v>10496.108731365259</v>
          </cell>
          <cell r="S432">
            <v>-6.3205901828932765E-2</v>
          </cell>
        </row>
        <row r="433">
          <cell r="A433">
            <v>0</v>
          </cell>
          <cell r="B433" t="str">
            <v>PULSE 2S PRO</v>
          </cell>
          <cell r="C433" t="str">
            <v>CABLE 4X1, 5 INSTALACIÓN MÓVIL APANTALLADA 9</v>
          </cell>
          <cell r="D433" t="str">
            <v>MIX</v>
          </cell>
          <cell r="E433" t="str">
            <v>EUR</v>
          </cell>
          <cell r="G433">
            <v>7491</v>
          </cell>
          <cell r="H433">
            <v>7491</v>
          </cell>
          <cell r="J433">
            <v>10701.428571428572</v>
          </cell>
          <cell r="K433" t="str">
            <v>STOCK MUERTO</v>
          </cell>
          <cell r="R433">
            <v>10025.035127713521</v>
          </cell>
          <cell r="S433">
            <v>-6.3205901828932806E-2</v>
          </cell>
        </row>
        <row r="434">
          <cell r="A434">
            <v>0</v>
          </cell>
          <cell r="B434" t="str">
            <v>PULSE 2S PRO</v>
          </cell>
          <cell r="C434" t="str">
            <v>CABLE 4G1, 5 INSTALACIÓN MÓVIL 9</v>
          </cell>
          <cell r="D434" t="str">
            <v>MIX</v>
          </cell>
          <cell r="E434" t="str">
            <v>EUR</v>
          </cell>
          <cell r="G434">
            <v>6364</v>
          </cell>
          <cell r="H434">
            <v>6364</v>
          </cell>
          <cell r="J434">
            <v>9091.4285714285725</v>
          </cell>
          <cell r="K434" t="str">
            <v>STOCK MUERTO</v>
          </cell>
          <cell r="R434">
            <v>8516.7966296581035</v>
          </cell>
          <cell r="S434">
            <v>-6.3205901828932778E-2</v>
          </cell>
        </row>
        <row r="435">
          <cell r="A435" t="str">
            <v>REP-0624</v>
          </cell>
          <cell r="B435" t="str">
            <v>PULSE 2S PRO</v>
          </cell>
          <cell r="C435" t="str">
            <v>BOQUILLA GIRATORIA 1/4-030-26°</v>
          </cell>
          <cell r="D435" t="str">
            <v>MIX</v>
          </cell>
          <cell r="E435" t="str">
            <v>EUR</v>
          </cell>
          <cell r="G435">
            <v>64683</v>
          </cell>
          <cell r="H435">
            <v>64683.063315792147</v>
          </cell>
          <cell r="J435">
            <v>86244</v>
          </cell>
          <cell r="K435" t="str">
            <v>STOCK MUERTO</v>
          </cell>
          <cell r="R435">
            <v>80792.870202665523</v>
          </cell>
          <cell r="S435">
            <v>-6.3205901828932765E-2</v>
          </cell>
        </row>
        <row r="436">
          <cell r="A436" t="str">
            <v>REP-0578</v>
          </cell>
          <cell r="B436" t="str">
            <v>PULSE 2S PRO</v>
          </cell>
          <cell r="C436" t="str">
            <v>CORREA CINTA PES AZUL 25MM</v>
          </cell>
          <cell r="D436" t="str">
            <v>MIX</v>
          </cell>
          <cell r="E436" t="str">
            <v>EUR</v>
          </cell>
          <cell r="G436">
            <v>10780</v>
          </cell>
          <cell r="H436">
            <v>10780.106485519855</v>
          </cell>
          <cell r="J436">
            <v>14373.333333333334</v>
          </cell>
          <cell r="K436" t="str">
            <v>STOCK MUERTO</v>
          </cell>
          <cell r="R436">
            <v>13464.85383771214</v>
          </cell>
          <cell r="S436">
            <v>-6.3205901828932765E-2</v>
          </cell>
        </row>
        <row r="437">
          <cell r="A437" t="str">
            <v>REP-0580</v>
          </cell>
          <cell r="B437" t="str">
            <v>PULSE 2S PRO</v>
          </cell>
          <cell r="C437" t="str">
            <v>INDICADOR LUMINOSO. LED "DIAMANTE" IZQUIERDA L</v>
          </cell>
          <cell r="D437" t="str">
            <v>MIX</v>
          </cell>
          <cell r="E437" t="str">
            <v>EUR</v>
          </cell>
          <cell r="G437">
            <v>523841</v>
          </cell>
          <cell r="H437">
            <v>523840.68555634213</v>
          </cell>
          <cell r="J437">
            <v>698454.66666666663</v>
          </cell>
          <cell r="K437" t="str">
            <v>STOCK MUERTO</v>
          </cell>
          <cell r="R437">
            <v>654308.20957337331</v>
          </cell>
          <cell r="S437">
            <v>-6.3205901828932806E-2</v>
          </cell>
        </row>
        <row r="438">
          <cell r="A438" t="str">
            <v>REP-0099</v>
          </cell>
          <cell r="B438" t="str">
            <v>PULSE 2S PRO</v>
          </cell>
          <cell r="C438" t="str">
            <v>MANÓMETRO DE GLIC. POSTE 0-12 BAR D. 63</v>
          </cell>
          <cell r="D438" t="str">
            <v>MIX</v>
          </cell>
          <cell r="E438" t="str">
            <v>EUR</v>
          </cell>
          <cell r="G438">
            <v>18086</v>
          </cell>
          <cell r="H438">
            <v>15601.094745816403</v>
          </cell>
          <cell r="J438">
            <v>24313.466688103083</v>
          </cell>
          <cell r="K438" t="str">
            <v>STOCK MUERTO</v>
          </cell>
          <cell r="R438">
            <v>22776.712099493812</v>
          </cell>
          <cell r="S438">
            <v>-6.3205901828932751E-2</v>
          </cell>
        </row>
        <row r="439">
          <cell r="A439" t="str">
            <v>REP-0076</v>
          </cell>
          <cell r="B439" t="str">
            <v>PULSE 2S PRO</v>
          </cell>
          <cell r="C439" t="str">
            <v>PRESOSTATO KPI35 0,2-8 BAR 1/4"</v>
          </cell>
          <cell r="D439" t="str">
            <v>MIX</v>
          </cell>
          <cell r="E439" t="str">
            <v>EUR</v>
          </cell>
          <cell r="G439">
            <v>100249</v>
          </cell>
          <cell r="H439">
            <v>81226.623387156636</v>
          </cell>
          <cell r="J439">
            <v>161304.45648573962</v>
          </cell>
          <cell r="K439" t="str">
            <v>STOCK MUERTO</v>
          </cell>
          <cell r="R439">
            <v>151109.0628445326</v>
          </cell>
          <cell r="S439">
            <v>-6.3205901828932778E-2</v>
          </cell>
        </row>
        <row r="440">
          <cell r="A440" t="str">
            <v>REP-0577</v>
          </cell>
          <cell r="B440" t="str">
            <v>PULSE 2S PRO</v>
          </cell>
          <cell r="C440" t="str">
            <v>ELECTROBOMBA DE ACERO INOXIDABLE JE 120T 0,9KW</v>
          </cell>
          <cell r="D440" t="str">
            <v>MIX</v>
          </cell>
          <cell r="E440" t="str">
            <v>EUR</v>
          </cell>
          <cell r="G440">
            <v>470055</v>
          </cell>
          <cell r="H440">
            <v>470055.3122557106</v>
          </cell>
          <cell r="J440">
            <v>626740</v>
          </cell>
          <cell r="K440" t="str">
            <v>STOCK MUERTO</v>
          </cell>
          <cell r="R440">
            <v>587126.33308773465</v>
          </cell>
          <cell r="S440">
            <v>-6.320590182893282E-2</v>
          </cell>
        </row>
        <row r="441">
          <cell r="A441" t="str">
            <v>REP-0599</v>
          </cell>
          <cell r="B441" t="str">
            <v>PULSE 2S PRO</v>
          </cell>
          <cell r="C441" t="str">
            <v>CAUDALÍMETRO PULSADO DE 1" 53IMP/L</v>
          </cell>
          <cell r="D441" t="str">
            <v>MIX</v>
          </cell>
          <cell r="E441" t="str">
            <v>EUR</v>
          </cell>
          <cell r="G441">
            <v>282976</v>
          </cell>
          <cell r="H441">
            <v>282976.27999322559</v>
          </cell>
          <cell r="J441">
            <v>377301.33333333331</v>
          </cell>
          <cell r="K441" t="str">
            <v>STOCK MUERTO</v>
          </cell>
          <cell r="R441">
            <v>353453.66229874123</v>
          </cell>
          <cell r="S441">
            <v>-6.3205901828932723E-2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W1" t="str">
            <v>REP</v>
          </cell>
          <cell r="X1" t="str">
            <v>COD</v>
          </cell>
          <cell r="Y1" t="str">
            <v>DESCRIPCIÓN</v>
          </cell>
          <cell r="Z1" t="str">
            <v>HABILITADO</v>
          </cell>
        </row>
        <row r="2">
          <cell r="W2" t="str">
            <v>INS-0001</v>
          </cell>
          <cell r="X2" t="str">
            <v>09.01.642</v>
          </cell>
          <cell r="Y2" t="str">
            <v>Shampoo ev14 (22 kg)</v>
          </cell>
          <cell r="Z2" t="str">
            <v>Si</v>
          </cell>
        </row>
        <row r="3">
          <cell r="W3" t="str">
            <v>INS-0002</v>
          </cell>
          <cell r="X3" t="str">
            <v>09.01.642C</v>
          </cell>
          <cell r="Y3" t="str">
            <v>Shampoo ev14 COPEC (22kgs)</v>
          </cell>
          <cell r="Z3" t="str">
            <v>No</v>
          </cell>
        </row>
        <row r="4">
          <cell r="W4" t="str">
            <v>INS-0003</v>
          </cell>
          <cell r="X4" t="str">
            <v>35.00.008</v>
          </cell>
          <cell r="Y4" t="str">
            <v>Shampoo ev8 (22kg)</v>
          </cell>
          <cell r="Z4" t="str">
            <v>No</v>
          </cell>
        </row>
        <row r="5">
          <cell r="W5" t="str">
            <v>INS-0004</v>
          </cell>
          <cell r="X5" t="str">
            <v>35.00.008C</v>
          </cell>
          <cell r="Y5" t="str">
            <v>shampoo ev8 COPEC (22kgs)</v>
          </cell>
          <cell r="Z5" t="str">
            <v>No</v>
          </cell>
        </row>
        <row r="6">
          <cell r="W6" t="str">
            <v>INS-0006</v>
          </cell>
          <cell r="X6" t="str">
            <v>09.01.793</v>
          </cell>
          <cell r="Y6" t="str">
            <v>Abrillantador de gomas</v>
          </cell>
          <cell r="Z6" t="str">
            <v>Si</v>
          </cell>
        </row>
        <row r="7">
          <cell r="W7" t="str">
            <v>INS-0007</v>
          </cell>
          <cell r="X7" t="str">
            <v>09.01.794</v>
          </cell>
          <cell r="Y7" t="str">
            <v>Perfume flowey fresh 12L DESCATALOGADO</v>
          </cell>
          <cell r="Z7" t="str">
            <v>No</v>
          </cell>
        </row>
        <row r="8">
          <cell r="W8" t="str">
            <v>INS-0008</v>
          </cell>
          <cell r="X8" t="str">
            <v>09.01.794A</v>
          </cell>
          <cell r="Y8" t="str">
            <v>Perfume flowey fresh 5lt</v>
          </cell>
          <cell r="Z8" t="str">
            <v>No</v>
          </cell>
        </row>
        <row r="9">
          <cell r="W9" t="str">
            <v>INS-0009</v>
          </cell>
          <cell r="X9" t="str">
            <v>09.00.583</v>
          </cell>
          <cell r="Y9" t="str">
            <v>Rollo de 500 paños politex (5kg)</v>
          </cell>
          <cell r="Z9" t="str">
            <v>Si</v>
          </cell>
        </row>
        <row r="10">
          <cell r="W10" t="str">
            <v>INS-0010</v>
          </cell>
          <cell r="X10" t="str">
            <v>I-01</v>
          </cell>
          <cell r="Y10" t="str">
            <v>Renovador de gomas nacional</v>
          </cell>
          <cell r="Z10" t="str">
            <v>No</v>
          </cell>
        </row>
        <row r="11">
          <cell r="W11" t="str">
            <v>INS-0011</v>
          </cell>
          <cell r="X11" t="str">
            <v>09.01.401C</v>
          </cell>
          <cell r="Y11" t="str">
            <v>Espuma activa super EV17 COPEC (20 litros)</v>
          </cell>
          <cell r="Z11" t="str">
            <v>No</v>
          </cell>
        </row>
        <row r="12">
          <cell r="W12" t="str">
            <v>INS-0012</v>
          </cell>
          <cell r="X12" t="str">
            <v>35.00.007</v>
          </cell>
          <cell r="Y12" t="str">
            <v>Cera base (20 lt)</v>
          </cell>
          <cell r="Z12" t="str">
            <v>No</v>
          </cell>
        </row>
        <row r="13">
          <cell r="W13" t="str">
            <v>INS-0013</v>
          </cell>
          <cell r="X13" t="str">
            <v>35.00.007C</v>
          </cell>
          <cell r="Y13" t="str">
            <v>Cera base E30 COPEC (20lt)</v>
          </cell>
          <cell r="Z13" t="str">
            <v>No</v>
          </cell>
        </row>
        <row r="14">
          <cell r="W14" t="str">
            <v>INS-0015</v>
          </cell>
          <cell r="X14" t="str">
            <v>09.01.322</v>
          </cell>
          <cell r="Y14" t="str">
            <v>Lavallantas r7 (22KG)</v>
          </cell>
          <cell r="Z14" t="str">
            <v>Si</v>
          </cell>
        </row>
        <row r="15">
          <cell r="W15" t="str">
            <v>INS-0016</v>
          </cell>
          <cell r="X15" t="str">
            <v>09.01.322C</v>
          </cell>
          <cell r="Y15" t="str">
            <v>Lavallantas R7 COPEC (22 Kgs)</v>
          </cell>
          <cell r="Z15" t="str">
            <v>No</v>
          </cell>
        </row>
        <row r="16">
          <cell r="W16" t="str">
            <v>INS-0017</v>
          </cell>
          <cell r="X16" t="str">
            <v>09.01.401</v>
          </cell>
          <cell r="Y16" t="str">
            <v>Espuma activa super ev17 (22KG)</v>
          </cell>
          <cell r="Z16" t="str">
            <v>Si</v>
          </cell>
        </row>
        <row r="17">
          <cell r="W17" t="str">
            <v>INS-0018</v>
          </cell>
          <cell r="X17">
            <v>0</v>
          </cell>
          <cell r="Y17" t="str">
            <v>Sanitizante Decutec Concentrado 1 Lt.</v>
          </cell>
          <cell r="Z17" t="str">
            <v>No</v>
          </cell>
        </row>
        <row r="18">
          <cell r="W18" t="str">
            <v>INS-0019</v>
          </cell>
          <cell r="X18" t="str">
            <v>(INS-0019)</v>
          </cell>
          <cell r="Y18" t="str">
            <v>Cera optimum hidrofugante para Copec - D 20Kg</v>
          </cell>
          <cell r="Z18" t="str">
            <v>No</v>
          </cell>
        </row>
        <row r="19">
          <cell r="W19" t="str">
            <v>INS-0020</v>
          </cell>
          <cell r="X19" t="str">
            <v>INS-0020</v>
          </cell>
          <cell r="Y19" t="str">
            <v>CERA QUIMILAB  OPTIMUM HIDROFUGANTE 20KG</v>
          </cell>
          <cell r="Z19" t="str">
            <v>No</v>
          </cell>
        </row>
        <row r="20">
          <cell r="W20" t="str">
            <v>INS-0021</v>
          </cell>
          <cell r="X20" t="str">
            <v>INS-0021</v>
          </cell>
          <cell r="Y20" t="str">
            <v>Shampoo Quimilab 22 kilos bidón Azul Copec</v>
          </cell>
          <cell r="Z20" t="str">
            <v>No</v>
          </cell>
        </row>
        <row r="21">
          <cell r="W21" t="str">
            <v>INS-0022</v>
          </cell>
          <cell r="X21" t="str">
            <v>INS-0022</v>
          </cell>
          <cell r="Y21" t="str">
            <v>Shampoo quimilab 22 kilos bidón azul</v>
          </cell>
          <cell r="Z21" t="str">
            <v>No</v>
          </cell>
        </row>
        <row r="22">
          <cell r="W22" t="str">
            <v>INS-0023</v>
          </cell>
          <cell r="X22" t="str">
            <v>09.03.168</v>
          </cell>
          <cell r="Y22" t="str">
            <v>Shampoo EV47 (22 kg) MIX</v>
          </cell>
          <cell r="Z22" t="str">
            <v>No</v>
          </cell>
        </row>
        <row r="23">
          <cell r="W23" t="str">
            <v>INS-0024</v>
          </cell>
          <cell r="X23" t="str">
            <v>09.03.167</v>
          </cell>
          <cell r="Y23" t="str">
            <v>Cera E48 (20lt) mix</v>
          </cell>
          <cell r="Z23" t="str">
            <v>Si</v>
          </cell>
        </row>
        <row r="24">
          <cell r="W24" t="str">
            <v>INS-0025</v>
          </cell>
          <cell r="X24">
            <v>0</v>
          </cell>
          <cell r="Y24" t="str">
            <v>LAVALLANTAS OCCIMIANO 27L R</v>
          </cell>
          <cell r="Z24" t="str">
            <v>No</v>
          </cell>
        </row>
        <row r="25">
          <cell r="W25" t="str">
            <v>INS-0026</v>
          </cell>
          <cell r="X25" t="str">
            <v>09.03.169</v>
          </cell>
          <cell r="Y25" t="str">
            <v>( Shampoo tapiz) textil cleaner I1-5</v>
          </cell>
          <cell r="Z25" t="str">
            <v>Si</v>
          </cell>
        </row>
        <row r="26">
          <cell r="W26" t="str">
            <v>INS-0027</v>
          </cell>
          <cell r="X26" t="str">
            <v>09.03.170</v>
          </cell>
          <cell r="Y26" t="str">
            <v>( Renovador de tableros) cockpit cleaner c4-5</v>
          </cell>
          <cell r="Z26" t="str">
            <v>Si</v>
          </cell>
        </row>
        <row r="27">
          <cell r="W27" t="str">
            <v>INS-0028</v>
          </cell>
          <cell r="X27" t="str">
            <v>09.03.167</v>
          </cell>
          <cell r="Y27" t="str">
            <v>CERA E48 CAR PROTECT ( BIDONES 22KG)</v>
          </cell>
          <cell r="Z27" t="str">
            <v>No</v>
          </cell>
        </row>
        <row r="28">
          <cell r="W28" t="str">
            <v>INS-0029</v>
          </cell>
          <cell r="X28" t="str">
            <v/>
          </cell>
          <cell r="Y28" t="str">
            <v>Renovador de tableros alt.</v>
          </cell>
          <cell r="Z28" t="str">
            <v>Si</v>
          </cell>
        </row>
        <row r="29">
          <cell r="W29" t="str">
            <v>INS-0030</v>
          </cell>
          <cell r="X29" t="str">
            <v/>
          </cell>
          <cell r="Y29" t="str">
            <v>Perfume citrico alt.</v>
          </cell>
          <cell r="Z29" t="str">
            <v>Si</v>
          </cell>
        </row>
        <row r="30">
          <cell r="W30" t="str">
            <v>INS-0031</v>
          </cell>
          <cell r="X30" t="str">
            <v/>
          </cell>
          <cell r="Y30" t="str">
            <v>Lavatapiz A.</v>
          </cell>
          <cell r="Z30" t="str">
            <v>Si</v>
          </cell>
        </row>
        <row r="31">
          <cell r="W31" t="str">
            <v>INS-0032</v>
          </cell>
          <cell r="X31" t="str">
            <v/>
          </cell>
          <cell r="Y31" t="str">
            <v>R8 Lavallantas  5 litros</v>
          </cell>
          <cell r="Z31" t="str">
            <v>Si</v>
          </cell>
        </row>
        <row r="32">
          <cell r="W32" t="str">
            <v>INS-0033</v>
          </cell>
          <cell r="X32" t="str">
            <v/>
          </cell>
          <cell r="Y32" t="str">
            <v>X5 Process traffic hp 25 litros</v>
          </cell>
          <cell r="Z32" t="str">
            <v>Si</v>
          </cell>
        </row>
        <row r="33">
          <cell r="W33" t="str">
            <v>INS-0034</v>
          </cell>
          <cell r="X33" t="str">
            <v/>
          </cell>
          <cell r="Y33" t="str">
            <v>X8 Process pre wash 25 litros</v>
          </cell>
          <cell r="Z33" t="str">
            <v>Si</v>
          </cell>
        </row>
        <row r="34">
          <cell r="W34" t="str">
            <v>INS-0035</v>
          </cell>
          <cell r="X34" t="str">
            <v/>
          </cell>
          <cell r="Y34" t="str">
            <v>X46 Coatinium 25 litros</v>
          </cell>
          <cell r="Z34" t="str">
            <v>Si</v>
          </cell>
        </row>
        <row r="35">
          <cell r="W35" t="str">
            <v>INS-0036</v>
          </cell>
          <cell r="X35" t="str">
            <v/>
          </cell>
          <cell r="Y35" t="str">
            <v>Ev11-25 brillant wax</v>
          </cell>
          <cell r="Z35" t="str">
            <v>Si</v>
          </cell>
        </row>
        <row r="36">
          <cell r="W36" t="str">
            <v>REP-0001</v>
          </cell>
          <cell r="X36" t="str">
            <v>00.01.039</v>
          </cell>
          <cell r="Y36" t="str">
            <v>Lanza con pistola perdente larga</v>
          </cell>
          <cell r="Z36" t="str">
            <v>Si</v>
          </cell>
        </row>
        <row r="37">
          <cell r="W37" t="str">
            <v>REP-0002</v>
          </cell>
          <cell r="X37" t="str">
            <v>00.01.042BLU</v>
          </cell>
          <cell r="Y37" t="str">
            <v>Manguera azul 3,5m</v>
          </cell>
          <cell r="Z37" t="str">
            <v>No</v>
          </cell>
        </row>
        <row r="38">
          <cell r="W38" t="str">
            <v>REP-0003</v>
          </cell>
          <cell r="X38" t="str">
            <v>00.01.043BLU</v>
          </cell>
          <cell r="Y38" t="str">
            <v>Manguera 4,8m blu AP</v>
          </cell>
          <cell r="Z38" t="str">
            <v>No</v>
          </cell>
        </row>
        <row r="39">
          <cell r="W39" t="str">
            <v>REP-0004</v>
          </cell>
          <cell r="X39" t="str">
            <v>00.01.044BLU</v>
          </cell>
          <cell r="Y39" t="str">
            <v>Manguera azul 4,0m con terminación MIX AP</v>
          </cell>
          <cell r="Z39" t="str">
            <v>No</v>
          </cell>
        </row>
        <row r="40">
          <cell r="W40" t="str">
            <v>REP-0005</v>
          </cell>
          <cell r="X40" t="str">
            <v>00.01.116BLU</v>
          </cell>
          <cell r="Y40" t="str">
            <v>Manguera 4,8m BLU baja presión</v>
          </cell>
          <cell r="Z40" t="str">
            <v>No</v>
          </cell>
        </row>
        <row r="41">
          <cell r="W41" t="str">
            <v>REP-0006</v>
          </cell>
          <cell r="X41" t="str">
            <v>00.01.117BLU</v>
          </cell>
          <cell r="Y41" t="str">
            <v>Manguera azul 4,0m con terminación  MIX baja presión</v>
          </cell>
          <cell r="Z41" t="str">
            <v>No</v>
          </cell>
        </row>
        <row r="42">
          <cell r="W42" t="str">
            <v>REP-0007</v>
          </cell>
          <cell r="X42" t="str">
            <v>09.03.092BLU</v>
          </cell>
          <cell r="Y42" t="str">
            <v>Manguera 4,0 mts color azul</v>
          </cell>
          <cell r="Z42" t="str">
            <v>Si</v>
          </cell>
        </row>
        <row r="43">
          <cell r="W43" t="str">
            <v>REP-0008</v>
          </cell>
          <cell r="X43" t="str">
            <v>09.03.059BLU</v>
          </cell>
          <cell r="Y43" t="str">
            <v>Manguera 3,5 mts color azul</v>
          </cell>
          <cell r="Z43" t="str">
            <v>Si</v>
          </cell>
        </row>
        <row r="44">
          <cell r="W44" t="str">
            <v>REP-0009</v>
          </cell>
          <cell r="X44" t="str">
            <v>09.03.060BLU</v>
          </cell>
          <cell r="Y44" t="str">
            <v>Manguera 4,7 mts color azul</v>
          </cell>
          <cell r="Z44" t="str">
            <v>Si</v>
          </cell>
        </row>
        <row r="45">
          <cell r="W45" t="str">
            <v>REP-0010</v>
          </cell>
          <cell r="X45" t="str">
            <v>09.00.030</v>
          </cell>
          <cell r="Y45" t="str">
            <v>Niple recto bronce con PVC</v>
          </cell>
          <cell r="Z45" t="str">
            <v>Si</v>
          </cell>
        </row>
        <row r="46">
          <cell r="W46" t="str">
            <v>REP-0011</v>
          </cell>
          <cell r="X46" t="str">
            <v>09.00.032</v>
          </cell>
          <cell r="Y46" t="str">
            <v>Tee he 1/4 salida Cat</v>
          </cell>
          <cell r="Z46" t="str">
            <v>Si</v>
          </cell>
        </row>
        <row r="47">
          <cell r="W47" t="str">
            <v>REP-0012</v>
          </cell>
          <cell r="X47" t="str">
            <v>09.00.034</v>
          </cell>
          <cell r="Y47" t="str">
            <v>Codo PVC bronce 1/2</v>
          </cell>
          <cell r="Z47" t="str">
            <v>Si</v>
          </cell>
        </row>
        <row r="48">
          <cell r="W48" t="str">
            <v>REP-0013</v>
          </cell>
          <cell r="X48" t="str">
            <v>09.00.061</v>
          </cell>
          <cell r="Y48" t="str">
            <v>Tubo PVC accoron</v>
          </cell>
          <cell r="Z48" t="str">
            <v>Si</v>
          </cell>
        </row>
        <row r="49">
          <cell r="W49" t="str">
            <v>REP-0014</v>
          </cell>
          <cell r="X49" t="str">
            <v>09.00.208</v>
          </cell>
          <cell r="Y49" t="str">
            <v>Lanza cepillo 1200 mm</v>
          </cell>
          <cell r="Z49" t="str">
            <v>Si</v>
          </cell>
        </row>
        <row r="50">
          <cell r="W50" t="str">
            <v>REP-0015</v>
          </cell>
          <cell r="X50" t="str">
            <v>09.00.275</v>
          </cell>
          <cell r="Y50" t="str">
            <v>Bomba de osmosis</v>
          </cell>
          <cell r="Z50" t="str">
            <v>Si</v>
          </cell>
        </row>
        <row r="51">
          <cell r="W51" t="str">
            <v>REP-0016</v>
          </cell>
          <cell r="X51" t="str">
            <v>09.00.285</v>
          </cell>
          <cell r="Y51" t="str">
            <v>Golilla 1/2</v>
          </cell>
          <cell r="Z51" t="str">
            <v>Si</v>
          </cell>
        </row>
        <row r="52">
          <cell r="W52" t="str">
            <v>REP-0017</v>
          </cell>
          <cell r="X52" t="str">
            <v>09.00.321</v>
          </cell>
          <cell r="Y52" t="str">
            <v>Junta bomba de osmosis</v>
          </cell>
          <cell r="Z52" t="str">
            <v>Si</v>
          </cell>
        </row>
        <row r="53">
          <cell r="W53" t="str">
            <v>REP-0018</v>
          </cell>
          <cell r="X53" t="str">
            <v>09.00.412</v>
          </cell>
          <cell r="Y53" t="str">
            <v>Manguera succion producto</v>
          </cell>
          <cell r="Z53" t="str">
            <v>Si</v>
          </cell>
        </row>
        <row r="54">
          <cell r="W54" t="str">
            <v>REP-0019</v>
          </cell>
          <cell r="X54" t="str">
            <v>09.00.437</v>
          </cell>
          <cell r="Y54" t="str">
            <v>Golilla 3/8</v>
          </cell>
          <cell r="Z54" t="str">
            <v>Si</v>
          </cell>
        </row>
        <row r="55">
          <cell r="W55" t="str">
            <v>REP-0020</v>
          </cell>
          <cell r="X55" t="str">
            <v>09.00.441</v>
          </cell>
          <cell r="Y55" t="str">
            <v>Bomba 3CP 1140 CAT</v>
          </cell>
          <cell r="Z55" t="str">
            <v>Si</v>
          </cell>
        </row>
        <row r="56">
          <cell r="W56" t="str">
            <v>REP-0021</v>
          </cell>
          <cell r="X56" t="str">
            <v>09.00.442</v>
          </cell>
          <cell r="Y56" t="str">
            <v>EV Burkert 287 1/2</v>
          </cell>
          <cell r="Z56" t="str">
            <v>Si</v>
          </cell>
        </row>
        <row r="57">
          <cell r="W57" t="str">
            <v>REP-0022</v>
          </cell>
          <cell r="X57" t="str">
            <v>09.00.443</v>
          </cell>
          <cell r="Y57" t="str">
            <v>Inyector Burket</v>
          </cell>
          <cell r="Z57" t="str">
            <v>Si</v>
          </cell>
        </row>
        <row r="58">
          <cell r="W58" t="str">
            <v>REP-0023</v>
          </cell>
          <cell r="X58" t="str">
            <v>09.00.486</v>
          </cell>
          <cell r="Y58" t="str">
            <v>Bomba dosificadora de shampoo</v>
          </cell>
          <cell r="Z58" t="str">
            <v>Si</v>
          </cell>
        </row>
        <row r="59">
          <cell r="W59" t="str">
            <v>REP-0024</v>
          </cell>
          <cell r="X59" t="str">
            <v>09.00.487</v>
          </cell>
          <cell r="Y59" t="str">
            <v>Bomba dosificadora de  cera</v>
          </cell>
          <cell r="Z59" t="str">
            <v>Si</v>
          </cell>
        </row>
        <row r="60">
          <cell r="W60" t="str">
            <v>REP-0025</v>
          </cell>
          <cell r="X60" t="str">
            <v>09.00.629</v>
          </cell>
          <cell r="Y60" t="str">
            <v>Tuerca inox para cubre fichero</v>
          </cell>
          <cell r="Z60" t="str">
            <v>Si</v>
          </cell>
        </row>
        <row r="61">
          <cell r="W61" t="str">
            <v>REP-0026</v>
          </cell>
          <cell r="X61" t="str">
            <v>09.00.631</v>
          </cell>
          <cell r="Y61" t="str">
            <v>Tornillo cubrefichero</v>
          </cell>
          <cell r="Z61" t="str">
            <v>Si</v>
          </cell>
        </row>
        <row r="62">
          <cell r="W62" t="str">
            <v>REP-0027</v>
          </cell>
          <cell r="X62" t="str">
            <v>09.00.662</v>
          </cell>
          <cell r="Y62" t="str">
            <v>Niple recto 1/2 HEX20</v>
          </cell>
          <cell r="Z62" t="str">
            <v>Si</v>
          </cell>
        </row>
        <row r="63">
          <cell r="W63" t="str">
            <v>REP-0028</v>
          </cell>
          <cell r="X63" t="str">
            <v>09.00.766</v>
          </cell>
          <cell r="Y63" t="str">
            <v>Unión americana 90° 1/2</v>
          </cell>
          <cell r="Z63" t="str">
            <v>Si</v>
          </cell>
        </row>
        <row r="64">
          <cell r="W64" t="str">
            <v>REP-0029</v>
          </cell>
          <cell r="X64" t="str">
            <v>09.00.784</v>
          </cell>
          <cell r="Y64" t="str">
            <v>Display de 3 cifras</v>
          </cell>
          <cell r="Z64" t="str">
            <v>Si</v>
          </cell>
        </row>
        <row r="65">
          <cell r="W65" t="str">
            <v>REP-0030</v>
          </cell>
          <cell r="X65" t="str">
            <v>09.00.815</v>
          </cell>
          <cell r="Y65" t="str">
            <v>Lanza alta presión</v>
          </cell>
          <cell r="Z65" t="str">
            <v>Si</v>
          </cell>
        </row>
        <row r="66">
          <cell r="W66" t="str">
            <v>REP-0031</v>
          </cell>
          <cell r="X66" t="str">
            <v>09.00.827</v>
          </cell>
          <cell r="Y66" t="str">
            <v>Tee inox 1/2 HEHEHI central</v>
          </cell>
          <cell r="Z66" t="str">
            <v>Si</v>
          </cell>
        </row>
        <row r="67">
          <cell r="W67" t="str">
            <v>REP-0032</v>
          </cell>
          <cell r="X67" t="str">
            <v>09.00.961</v>
          </cell>
          <cell r="Y67" t="str">
            <v>Portafichero</v>
          </cell>
          <cell r="Z67" t="str">
            <v>Si</v>
          </cell>
        </row>
        <row r="68">
          <cell r="W68" t="str">
            <v>REP-0033</v>
          </cell>
          <cell r="X68" t="str">
            <v>09.00.984</v>
          </cell>
          <cell r="Y68" t="str">
            <v>Extension EM 223</v>
          </cell>
          <cell r="Z68" t="str">
            <v>Si</v>
          </cell>
        </row>
        <row r="69">
          <cell r="W69" t="str">
            <v>REP-0034</v>
          </cell>
          <cell r="X69" t="str">
            <v>09.00.987</v>
          </cell>
          <cell r="Y69" t="str">
            <v>PLC simatic S7-200</v>
          </cell>
          <cell r="Z69" t="str">
            <v>Si</v>
          </cell>
        </row>
        <row r="70">
          <cell r="W70" t="str">
            <v>REP-0035</v>
          </cell>
          <cell r="X70" t="str">
            <v>09.01.011</v>
          </cell>
          <cell r="Y70" t="str">
            <v>Codo 90° 1/2 HEX20</v>
          </cell>
          <cell r="Z70" t="str">
            <v>Si</v>
          </cell>
        </row>
        <row r="71">
          <cell r="W71" t="str">
            <v>REP-0036</v>
          </cell>
          <cell r="X71" t="str">
            <v>09.01.034</v>
          </cell>
          <cell r="Y71" t="str">
            <v>Motor cat trifásico doble bobinado</v>
          </cell>
          <cell r="Z71" t="str">
            <v>Si</v>
          </cell>
        </row>
        <row r="72">
          <cell r="W72" t="str">
            <v>REP-0037</v>
          </cell>
          <cell r="X72" t="str">
            <v>09.01.064</v>
          </cell>
          <cell r="Y72" t="str">
            <v>Válvula Robex 1/2 entrada mself</v>
          </cell>
          <cell r="Z72" t="str">
            <v>Si</v>
          </cell>
        </row>
        <row r="73">
          <cell r="W73" t="str">
            <v>REP-0038</v>
          </cell>
          <cell r="X73" t="str">
            <v>09.01.065</v>
          </cell>
          <cell r="Y73" t="str">
            <v>Inyector espuma</v>
          </cell>
          <cell r="Z73" t="str">
            <v>Si</v>
          </cell>
        </row>
        <row r="74">
          <cell r="W74" t="str">
            <v>REP-0039</v>
          </cell>
          <cell r="X74" t="str">
            <v>09.01.104</v>
          </cell>
          <cell r="Y74" t="str">
            <v>Tee 1/4 x 6 mm inoxidable</v>
          </cell>
          <cell r="Z74" t="str">
            <v>Si</v>
          </cell>
        </row>
        <row r="75">
          <cell r="W75" t="str">
            <v>REP-0040</v>
          </cell>
          <cell r="X75" t="str">
            <v>09.01.115</v>
          </cell>
          <cell r="Y75" t="str">
            <v>Membrana electroválvula Burkert</v>
          </cell>
          <cell r="Z75" t="str">
            <v>Si</v>
          </cell>
        </row>
        <row r="76">
          <cell r="W76" t="str">
            <v>REP-0041</v>
          </cell>
          <cell r="X76" t="str">
            <v>09.01.159</v>
          </cell>
          <cell r="Y76" t="str">
            <v>Junta giratoria centro MTM 1/4</v>
          </cell>
          <cell r="Z76" t="str">
            <v>Si</v>
          </cell>
        </row>
        <row r="77">
          <cell r="W77" t="str">
            <v>REP-0042</v>
          </cell>
          <cell r="X77" t="str">
            <v>09.01.160</v>
          </cell>
          <cell r="Y77" t="str">
            <v>Junta giratoria extremo MTM 1/4</v>
          </cell>
          <cell r="Z77" t="str">
            <v>Si</v>
          </cell>
        </row>
        <row r="78">
          <cell r="W78" t="str">
            <v>REP-0043</v>
          </cell>
          <cell r="X78" t="str">
            <v>09.01.163</v>
          </cell>
          <cell r="Y78" t="str">
            <v>soporte superior fichero G20</v>
          </cell>
          <cell r="Z78" t="str">
            <v>Si</v>
          </cell>
        </row>
        <row r="79">
          <cell r="W79" t="str">
            <v>REP-0044</v>
          </cell>
          <cell r="X79" t="str">
            <v>09.01.168</v>
          </cell>
          <cell r="Y79" t="str">
            <v>Reduccion 3/8 he x 1/4 hi bronce</v>
          </cell>
          <cell r="Z79" t="str">
            <v>Si</v>
          </cell>
        </row>
        <row r="80">
          <cell r="W80" t="str">
            <v>REP-0045</v>
          </cell>
          <cell r="X80" t="str">
            <v>09.01.190</v>
          </cell>
          <cell r="Y80" t="str">
            <v>Pistón kit reparacion EV Burket</v>
          </cell>
          <cell r="Z80" t="str">
            <v>Si</v>
          </cell>
        </row>
        <row r="81">
          <cell r="W81" t="str">
            <v>REP-0046</v>
          </cell>
          <cell r="X81" t="str">
            <v>09.01.198</v>
          </cell>
          <cell r="Y81" t="str">
            <v>Kit válvulas esf aspir/entrega</v>
          </cell>
          <cell r="Z81" t="str">
            <v>Si</v>
          </cell>
        </row>
        <row r="82">
          <cell r="W82" t="str">
            <v>REP-0047</v>
          </cell>
          <cell r="X82" t="str">
            <v>09.01.408</v>
          </cell>
          <cell r="Y82" t="str">
            <v>Cable fichero 1,50 cm</v>
          </cell>
          <cell r="Z82" t="str">
            <v>Si</v>
          </cell>
        </row>
        <row r="83">
          <cell r="W83" t="str">
            <v>REP-0048</v>
          </cell>
          <cell r="X83" t="str">
            <v>09.01.431</v>
          </cell>
          <cell r="Y83" t="str">
            <v>Cerradura nueva Mself</v>
          </cell>
          <cell r="Z83" t="str">
            <v>Si</v>
          </cell>
        </row>
        <row r="84">
          <cell r="W84" t="str">
            <v>REP-0049</v>
          </cell>
          <cell r="X84" t="str">
            <v>09.01.610</v>
          </cell>
          <cell r="Y84" t="str">
            <v>Niple recto PVC 1/4 x 8 mm</v>
          </cell>
          <cell r="Z84" t="str">
            <v>Si</v>
          </cell>
        </row>
        <row r="85">
          <cell r="W85" t="str">
            <v>REP-0050</v>
          </cell>
          <cell r="X85" t="str">
            <v>09.01.613</v>
          </cell>
          <cell r="Y85" t="str">
            <v>Tee PVC 1/4 x 6 mm</v>
          </cell>
          <cell r="Z85" t="str">
            <v>Si</v>
          </cell>
        </row>
        <row r="86">
          <cell r="W86" t="str">
            <v>REP-0051</v>
          </cell>
          <cell r="X86" t="str">
            <v>09.01.643</v>
          </cell>
          <cell r="Y86" t="str">
            <v>Vaso portafiltro Mself</v>
          </cell>
          <cell r="Z86" t="str">
            <v>Si</v>
          </cell>
        </row>
        <row r="87">
          <cell r="W87" t="str">
            <v>REP-0052</v>
          </cell>
          <cell r="X87" t="str">
            <v>09.01.686</v>
          </cell>
          <cell r="Y87" t="str">
            <v>Bisagras centro puerta Mself</v>
          </cell>
          <cell r="Z87" t="str">
            <v>Si</v>
          </cell>
        </row>
        <row r="88">
          <cell r="W88" t="str">
            <v>REP-0053</v>
          </cell>
          <cell r="X88" t="str">
            <v>09.01.701</v>
          </cell>
          <cell r="Y88" t="str">
            <v>Boquilla manguera soplado Twister&amp;Dry</v>
          </cell>
          <cell r="Z88" t="str">
            <v>Si</v>
          </cell>
        </row>
        <row r="89">
          <cell r="W89" t="str">
            <v>REP-0054</v>
          </cell>
          <cell r="X89" t="str">
            <v>09.01.702</v>
          </cell>
          <cell r="Y89" t="str">
            <v>Manguera soplado Twister&amp;Dry</v>
          </cell>
          <cell r="Z89" t="str">
            <v>Si</v>
          </cell>
        </row>
        <row r="90">
          <cell r="W90" t="str">
            <v>REP-0055</v>
          </cell>
          <cell r="X90" t="str">
            <v>09.01.716</v>
          </cell>
          <cell r="Y90" t="str">
            <v>Filtro aspiradora tambor metálico</v>
          </cell>
          <cell r="Z90" t="str">
            <v>Si</v>
          </cell>
        </row>
        <row r="91">
          <cell r="W91" t="str">
            <v>REP-0056</v>
          </cell>
          <cell r="X91" t="str">
            <v>09.01.726</v>
          </cell>
          <cell r="Y91" t="str">
            <v>Cerradura aspiradora Twister &amp; Dry</v>
          </cell>
          <cell r="Z91" t="str">
            <v>Si</v>
          </cell>
        </row>
        <row r="92">
          <cell r="W92" t="str">
            <v>REP-0057</v>
          </cell>
          <cell r="X92" t="str">
            <v>09.01.741</v>
          </cell>
          <cell r="Y92" t="str">
            <v>Bisagras extremos puerta Mself</v>
          </cell>
          <cell r="Z92" t="str">
            <v>Si</v>
          </cell>
        </row>
        <row r="93">
          <cell r="W93" t="str">
            <v>REP-0058</v>
          </cell>
          <cell r="X93" t="str">
            <v>09.01.757</v>
          </cell>
          <cell r="Y93" t="str">
            <v>Adaptador parada de emergencia</v>
          </cell>
          <cell r="Z93" t="str">
            <v>Si</v>
          </cell>
        </row>
        <row r="94">
          <cell r="W94" t="str">
            <v>REP-0059</v>
          </cell>
          <cell r="X94" t="str">
            <v>09.01.816</v>
          </cell>
          <cell r="Y94" t="str">
            <v>Contacto auxiliar NC para parada de emergencia</v>
          </cell>
          <cell r="Z94" t="str">
            <v>Si</v>
          </cell>
        </row>
        <row r="95">
          <cell r="W95" t="str">
            <v>REP-0060</v>
          </cell>
          <cell r="X95" t="str">
            <v>09.01.915</v>
          </cell>
          <cell r="Y95" t="str">
            <v>Parada de emergencia rasante</v>
          </cell>
          <cell r="Z95" t="str">
            <v>Si</v>
          </cell>
        </row>
        <row r="96">
          <cell r="W96" t="str">
            <v>REP-0061</v>
          </cell>
          <cell r="X96" t="str">
            <v>09.01.925</v>
          </cell>
          <cell r="Y96" t="str">
            <v>Indicador luminoso azul</v>
          </cell>
          <cell r="Z96" t="str">
            <v>Si</v>
          </cell>
        </row>
        <row r="97">
          <cell r="W97" t="str">
            <v>REP-0062</v>
          </cell>
          <cell r="X97" t="str">
            <v>09.01.943</v>
          </cell>
          <cell r="Y97" t="str">
            <v>Sensor de nivel de 2 contactos</v>
          </cell>
          <cell r="Z97" t="str">
            <v>Si</v>
          </cell>
        </row>
        <row r="98">
          <cell r="W98" t="str">
            <v>REP-0063</v>
          </cell>
          <cell r="X98" t="str">
            <v>09.01.957</v>
          </cell>
          <cell r="Y98" t="str">
            <v>Placa electronica aspirado</v>
          </cell>
          <cell r="Z98" t="str">
            <v>Si</v>
          </cell>
        </row>
        <row r="99">
          <cell r="W99" t="str">
            <v>REP-0064</v>
          </cell>
          <cell r="X99" t="str">
            <v>09.02.050</v>
          </cell>
          <cell r="Y99" t="str">
            <v>Cepillo MTM</v>
          </cell>
          <cell r="Z99" t="str">
            <v>Si</v>
          </cell>
        </row>
        <row r="100">
          <cell r="W100" t="str">
            <v>REP-0065</v>
          </cell>
          <cell r="X100" t="str">
            <v>09.02.067</v>
          </cell>
          <cell r="Y100" t="str">
            <v>Placa de aspirado Twister&amp;Dry M2 (tambor plástico-2013)</v>
          </cell>
          <cell r="Z100" t="str">
            <v>Si</v>
          </cell>
        </row>
        <row r="101">
          <cell r="W101" t="str">
            <v>REP-0066</v>
          </cell>
          <cell r="X101" t="str">
            <v>09.02.152</v>
          </cell>
          <cell r="Y101" t="str">
            <v>Plc S7-1200 cpu 1214C</v>
          </cell>
          <cell r="Z101" t="str">
            <v>Si</v>
          </cell>
        </row>
        <row r="102">
          <cell r="W102" t="str">
            <v>REP-0067</v>
          </cell>
          <cell r="X102" t="str">
            <v>09.02.174</v>
          </cell>
          <cell r="Y102" t="str">
            <v>Transformador Twister M2</v>
          </cell>
          <cell r="Z102" t="str">
            <v>Si</v>
          </cell>
        </row>
        <row r="103">
          <cell r="W103" t="str">
            <v>REP-0068</v>
          </cell>
          <cell r="X103" t="str">
            <v>09.02.204</v>
          </cell>
          <cell r="Y103" t="str">
            <v>Codo 45° 3/8</v>
          </cell>
          <cell r="Z103" t="str">
            <v>Si</v>
          </cell>
        </row>
        <row r="104">
          <cell r="W104" t="str">
            <v>REP-0069</v>
          </cell>
          <cell r="X104" t="str">
            <v>09.02.537</v>
          </cell>
          <cell r="Y104" t="str">
            <v>Codo 90° 1/4 inoxidable</v>
          </cell>
          <cell r="Z104" t="str">
            <v>Si</v>
          </cell>
        </row>
        <row r="105">
          <cell r="W105" t="str">
            <v>REP-0070</v>
          </cell>
          <cell r="X105" t="str">
            <v>09.02.544</v>
          </cell>
          <cell r="Y105" t="str">
            <v>Motor soplado twister tambor metálico</v>
          </cell>
          <cell r="Z105" t="str">
            <v>Si</v>
          </cell>
        </row>
        <row r="106">
          <cell r="W106" t="str">
            <v>REP-0071</v>
          </cell>
          <cell r="X106" t="str">
            <v>09.02.777</v>
          </cell>
          <cell r="Y106" t="str">
            <v>Manguito tambor aspirado D38</v>
          </cell>
          <cell r="Z106" t="str">
            <v>Si</v>
          </cell>
        </row>
        <row r="107">
          <cell r="W107" t="str">
            <v>REP-0072</v>
          </cell>
          <cell r="X107" t="str">
            <v>09.02.993</v>
          </cell>
          <cell r="Y107" t="str">
            <v>Guarnición tubo aspirado y soplado TW S2</v>
          </cell>
          <cell r="Z107" t="str">
            <v>Si</v>
          </cell>
        </row>
        <row r="108">
          <cell r="W108" t="str">
            <v>REP-0073</v>
          </cell>
          <cell r="X108" t="str">
            <v>10.10.457-CHI</v>
          </cell>
          <cell r="Y108" t="str">
            <v>Manguera negra 9m 1/4</v>
          </cell>
          <cell r="Z108" t="str">
            <v>Si</v>
          </cell>
        </row>
        <row r="109">
          <cell r="W109" t="str">
            <v>REP-0074</v>
          </cell>
          <cell r="X109" t="str">
            <v>23.00.012</v>
          </cell>
          <cell r="Y109" t="str">
            <v>Fusible rápido 5x20 2A</v>
          </cell>
          <cell r="Z109" t="str">
            <v>Si</v>
          </cell>
        </row>
        <row r="110">
          <cell r="W110" t="str">
            <v>REP-0075</v>
          </cell>
          <cell r="X110" t="str">
            <v>23.00.035</v>
          </cell>
          <cell r="Y110" t="str">
            <v>Horometro 24V 55x55mm</v>
          </cell>
          <cell r="Z110" t="str">
            <v>Si</v>
          </cell>
        </row>
        <row r="111">
          <cell r="W111" t="str">
            <v>REP-0076</v>
          </cell>
          <cell r="X111" t="str">
            <v>23.00.461</v>
          </cell>
          <cell r="Y111" t="str">
            <v>Presóstato osmosis KP1</v>
          </cell>
          <cell r="Z111" t="str">
            <v>Si</v>
          </cell>
        </row>
        <row r="112">
          <cell r="W112" t="str">
            <v>REP-0077</v>
          </cell>
          <cell r="X112" t="str">
            <v>24.00.182</v>
          </cell>
          <cell r="Y112" t="str">
            <v>Válvula pulsar</v>
          </cell>
          <cell r="Z112" t="str">
            <v>Si</v>
          </cell>
        </row>
        <row r="113">
          <cell r="W113" t="str">
            <v>REP-0078</v>
          </cell>
          <cell r="X113" t="str">
            <v>26.00.018</v>
          </cell>
          <cell r="Y113" t="str">
            <v>DESCATALOGADO Flexible aspiración D.38</v>
          </cell>
          <cell r="Z113" t="str">
            <v>No</v>
          </cell>
        </row>
        <row r="114">
          <cell r="W114" t="str">
            <v>REP-0079</v>
          </cell>
          <cell r="X114" t="str">
            <v>26.00.019</v>
          </cell>
          <cell r="Y114" t="str">
            <v>DESCATALOGADO Flexible aspiración D.50</v>
          </cell>
          <cell r="Z114" t="str">
            <v>No</v>
          </cell>
        </row>
        <row r="115">
          <cell r="W115" t="str">
            <v>REP-0080</v>
          </cell>
          <cell r="X115" t="str">
            <v>26.00.111</v>
          </cell>
          <cell r="Y115" t="str">
            <v>DESCATALOGADO Manguera de conexión cat con terminal 1</v>
          </cell>
          <cell r="Z115" t="str">
            <v>No</v>
          </cell>
        </row>
        <row r="116">
          <cell r="W116" t="str">
            <v>REP-0081</v>
          </cell>
          <cell r="X116" t="str">
            <v>26.00.112</v>
          </cell>
          <cell r="Y116" t="str">
            <v>Manguera conexión CAT</v>
          </cell>
          <cell r="Z116" t="str">
            <v>Si</v>
          </cell>
        </row>
        <row r="117">
          <cell r="W117" t="str">
            <v>REP-0082</v>
          </cell>
          <cell r="X117" t="str">
            <v>26.00.113</v>
          </cell>
          <cell r="Y117" t="str">
            <v>Manguera de conexión cat con terminal 2</v>
          </cell>
          <cell r="Z117" t="str">
            <v>No</v>
          </cell>
        </row>
        <row r="118">
          <cell r="W118" t="str">
            <v>REP-0083</v>
          </cell>
          <cell r="X118" t="str">
            <v>26.00.114</v>
          </cell>
          <cell r="Y118" t="str">
            <v>Manguera conexión cat con terminal 3</v>
          </cell>
          <cell r="Z118" t="str">
            <v>No</v>
          </cell>
        </row>
        <row r="119">
          <cell r="W119" t="str">
            <v>REP-0084</v>
          </cell>
          <cell r="X119" t="str">
            <v>26.00.115</v>
          </cell>
          <cell r="Y119" t="str">
            <v>Perno distribución racco 1/2</v>
          </cell>
          <cell r="Z119" t="str">
            <v>Si</v>
          </cell>
        </row>
        <row r="120">
          <cell r="W120" t="str">
            <v>REP-0085</v>
          </cell>
          <cell r="X120" t="str">
            <v>27.00.021</v>
          </cell>
          <cell r="Y120" t="str">
            <v>Junta giratoria centro 3/8</v>
          </cell>
          <cell r="Z120" t="str">
            <v>Si</v>
          </cell>
        </row>
        <row r="121">
          <cell r="W121" t="str">
            <v>REP-0086</v>
          </cell>
          <cell r="X121" t="str">
            <v>27.00.022</v>
          </cell>
          <cell r="Y121" t="str">
            <v>Junta giratoria extremo 3/8</v>
          </cell>
          <cell r="Z121" t="str">
            <v>Si</v>
          </cell>
        </row>
        <row r="122">
          <cell r="W122" t="str">
            <v>REP-0087</v>
          </cell>
          <cell r="X122" t="str">
            <v>27.00.024</v>
          </cell>
          <cell r="Y122" t="str">
            <v>Boquilla plana aspiradora</v>
          </cell>
          <cell r="Z122" t="str">
            <v>Si</v>
          </cell>
        </row>
        <row r="123">
          <cell r="W123" t="str">
            <v>REP-0088</v>
          </cell>
          <cell r="X123" t="str">
            <v>29.00.072</v>
          </cell>
          <cell r="Y123" t="str">
            <v>Valvula viton 1/4 inoxidable</v>
          </cell>
          <cell r="Z123" t="str">
            <v>Si</v>
          </cell>
        </row>
        <row r="124">
          <cell r="W124" t="str">
            <v>REP-0089</v>
          </cell>
          <cell r="X124" t="str">
            <v>29.00.114</v>
          </cell>
          <cell r="Y124" t="str">
            <v>Válvula europa bronce 1/2</v>
          </cell>
          <cell r="Z124" t="str">
            <v>Si</v>
          </cell>
        </row>
        <row r="125">
          <cell r="W125" t="str">
            <v>REP-0090</v>
          </cell>
          <cell r="X125" t="str">
            <v>29.00.243</v>
          </cell>
          <cell r="Y125" t="str">
            <v>Reduccion 1/2 he x 1/4 hi inoxidable</v>
          </cell>
          <cell r="Z125" t="str">
            <v>Si</v>
          </cell>
        </row>
        <row r="126">
          <cell r="W126" t="str">
            <v>REP-0091</v>
          </cell>
          <cell r="X126" t="str">
            <v>30.00.008</v>
          </cell>
          <cell r="Y126" t="str">
            <v>Perno distribución 3/8</v>
          </cell>
          <cell r="Z126" t="str">
            <v>Si</v>
          </cell>
        </row>
        <row r="127">
          <cell r="W127" t="str">
            <v>REP-0092</v>
          </cell>
          <cell r="X127" t="str">
            <v>30.00.010</v>
          </cell>
          <cell r="Y127" t="str">
            <v>Perno conector 3/8 CAT</v>
          </cell>
          <cell r="Z127" t="str">
            <v>Si</v>
          </cell>
        </row>
        <row r="128">
          <cell r="W128" t="str">
            <v>REP-0093</v>
          </cell>
          <cell r="X128" t="str">
            <v>30.00.093</v>
          </cell>
          <cell r="Y128" t="str">
            <v>Manguito giratorio D38</v>
          </cell>
          <cell r="Z128" t="str">
            <v>Si</v>
          </cell>
        </row>
        <row r="129">
          <cell r="W129" t="str">
            <v>REP-0094</v>
          </cell>
          <cell r="X129" t="str">
            <v>30.00.115</v>
          </cell>
          <cell r="Y129" t="str">
            <v>Niple hehe 1/2 inoxidable</v>
          </cell>
          <cell r="Z129" t="str">
            <v>Si</v>
          </cell>
        </row>
        <row r="130">
          <cell r="W130" t="str">
            <v>REP-0095</v>
          </cell>
          <cell r="X130" t="str">
            <v>30.00.214</v>
          </cell>
          <cell r="Y130" t="str">
            <v>Tee hihehi 1/2 inoxidable</v>
          </cell>
          <cell r="Z130" t="str">
            <v>Si</v>
          </cell>
        </row>
        <row r="131">
          <cell r="W131" t="str">
            <v>REP-0096</v>
          </cell>
          <cell r="X131" t="str">
            <v>30.00.216</v>
          </cell>
          <cell r="Y131" t="str">
            <v>Codo 1/4 x 6 mm inoxidable</v>
          </cell>
          <cell r="Z131" t="str">
            <v>Si</v>
          </cell>
        </row>
        <row r="132">
          <cell r="W132" t="str">
            <v>REP-0097</v>
          </cell>
          <cell r="X132" t="str">
            <v>31.00.073</v>
          </cell>
          <cell r="Y132" t="str">
            <v>Protector boquilla lanza</v>
          </cell>
          <cell r="Z132" t="str">
            <v>Si</v>
          </cell>
        </row>
        <row r="133">
          <cell r="W133" t="str">
            <v>REP-0098</v>
          </cell>
          <cell r="X133" t="str">
            <v>31.00.075</v>
          </cell>
          <cell r="Y133" t="str">
            <v>Boquilla lanza 1/8</v>
          </cell>
          <cell r="Z133" t="str">
            <v>Si</v>
          </cell>
        </row>
        <row r="134">
          <cell r="W134" t="str">
            <v>REP-0099</v>
          </cell>
          <cell r="X134" t="str">
            <v>34.00.012</v>
          </cell>
          <cell r="Y134" t="str">
            <v>Manometro 0-12 bar</v>
          </cell>
          <cell r="Z134" t="str">
            <v>Si</v>
          </cell>
        </row>
        <row r="135">
          <cell r="W135" t="str">
            <v>REP-0100</v>
          </cell>
          <cell r="X135" t="str">
            <v>09.02.428</v>
          </cell>
          <cell r="Y135" t="str">
            <v>Cúpula Azul Mself DESCATALOGADO</v>
          </cell>
          <cell r="Z135" t="str">
            <v>No</v>
          </cell>
        </row>
        <row r="136">
          <cell r="W136" t="str">
            <v>REP-0101</v>
          </cell>
          <cell r="X136" t="str">
            <v>09.02.680</v>
          </cell>
          <cell r="Y136" t="str">
            <v>Caja electrica aspirado Twister&amp;Dry</v>
          </cell>
          <cell r="Z136" t="str">
            <v>Si</v>
          </cell>
        </row>
        <row r="137">
          <cell r="W137" t="str">
            <v>REP-0102</v>
          </cell>
          <cell r="X137" t="str">
            <v>09.02.800</v>
          </cell>
          <cell r="Y137" t="str">
            <v>Lanza mousse ST-75</v>
          </cell>
          <cell r="Z137" t="str">
            <v>Si</v>
          </cell>
        </row>
        <row r="138">
          <cell r="W138" t="str">
            <v>REP-0103</v>
          </cell>
          <cell r="X138" t="str">
            <v>HT-04</v>
          </cell>
          <cell r="Y138" t="str">
            <v>Manómetro seco 0-6 bar</v>
          </cell>
          <cell r="Z138" t="str">
            <v>Si</v>
          </cell>
        </row>
        <row r="139">
          <cell r="W139" t="str">
            <v>REP-0104</v>
          </cell>
          <cell r="X139" t="str">
            <v>09.02.582</v>
          </cell>
          <cell r="Y139" t="str">
            <v>Display 4 cifras</v>
          </cell>
          <cell r="Z139" t="str">
            <v>Si</v>
          </cell>
        </row>
        <row r="140">
          <cell r="W140" t="str">
            <v>REP-0105</v>
          </cell>
          <cell r="X140" t="str">
            <v>09.03.019</v>
          </cell>
          <cell r="Y140" t="str">
            <v>Cable interfaz serial 9/25 para programación ficheros</v>
          </cell>
          <cell r="Z140" t="str">
            <v>Si</v>
          </cell>
        </row>
        <row r="141">
          <cell r="W141" t="str">
            <v>REP-0108</v>
          </cell>
          <cell r="X141" t="str">
            <v>09.01.386</v>
          </cell>
          <cell r="Y141" t="str">
            <v>Fichero RM5 Mself-Taifun</v>
          </cell>
          <cell r="Z141" t="str">
            <v>No</v>
          </cell>
        </row>
        <row r="142">
          <cell r="W142" t="str">
            <v>REP-0109</v>
          </cell>
          <cell r="X142" t="str">
            <v>09.01.605</v>
          </cell>
          <cell r="Y142" t="str">
            <v>Lexan para cubrefichero</v>
          </cell>
          <cell r="Z142" t="str">
            <v>Si</v>
          </cell>
        </row>
        <row r="143">
          <cell r="W143" t="str">
            <v>REP-0110</v>
          </cell>
          <cell r="X143" t="str">
            <v>09.02.184</v>
          </cell>
          <cell r="Y143" t="str">
            <v>Grifo Osmosis 1/2</v>
          </cell>
          <cell r="Z143" t="str">
            <v>Si</v>
          </cell>
        </row>
        <row r="144">
          <cell r="W144" t="str">
            <v>REP-0111</v>
          </cell>
          <cell r="X144" t="str">
            <v>30.00.070</v>
          </cell>
          <cell r="Y144" t="str">
            <v>Niple girante hihe 1/2 galvanizado</v>
          </cell>
          <cell r="Z144" t="str">
            <v>Si</v>
          </cell>
        </row>
        <row r="145">
          <cell r="W145" t="str">
            <v>REP-0112</v>
          </cell>
          <cell r="X145" t="str">
            <v>09.00.033</v>
          </cell>
          <cell r="Y145" t="str">
            <v>Manguera rilsan dura</v>
          </cell>
          <cell r="Z145" t="str">
            <v>Si</v>
          </cell>
        </row>
        <row r="146">
          <cell r="W146" t="str">
            <v>REP-0113</v>
          </cell>
          <cell r="X146" t="str">
            <v>09.01.331</v>
          </cell>
          <cell r="Y146" t="str">
            <v>Pulsador de tacto programas</v>
          </cell>
          <cell r="Z146" t="str">
            <v>Si</v>
          </cell>
        </row>
        <row r="147">
          <cell r="W147" t="str">
            <v>REP-0114</v>
          </cell>
          <cell r="X147" t="str">
            <v>09.01.724</v>
          </cell>
          <cell r="Y147" t="str">
            <v>Sello poliuretano filtro aspirado</v>
          </cell>
          <cell r="Z147" t="str">
            <v>Si</v>
          </cell>
        </row>
        <row r="148">
          <cell r="W148" t="str">
            <v>REP-0115</v>
          </cell>
          <cell r="X148" t="str">
            <v>V-13</v>
          </cell>
          <cell r="Y148" t="str">
            <v>Cable fichero (40 cm)</v>
          </cell>
          <cell r="Z148" t="str">
            <v>Si</v>
          </cell>
        </row>
        <row r="149">
          <cell r="W149" t="str">
            <v>REP-0116</v>
          </cell>
          <cell r="X149" t="str">
            <v>23.00.159</v>
          </cell>
          <cell r="Y149" t="str">
            <v>EV 1/2 L18 Salida filtros</v>
          </cell>
          <cell r="Z149" t="str">
            <v>Si</v>
          </cell>
        </row>
        <row r="150">
          <cell r="W150" t="str">
            <v>REP-0117</v>
          </cell>
          <cell r="X150" t="str">
            <v>09.01.729</v>
          </cell>
          <cell r="Y150" t="str">
            <v>Numeral aspirado cable rojo negro</v>
          </cell>
          <cell r="Z150" t="str">
            <v>Si</v>
          </cell>
        </row>
        <row r="151">
          <cell r="W151" t="str">
            <v>REP-0118</v>
          </cell>
          <cell r="X151" t="str">
            <v>34.00.003</v>
          </cell>
          <cell r="Y151" t="str">
            <v>Manómetro ABS 0-250 bar</v>
          </cell>
          <cell r="Z151" t="str">
            <v>Si</v>
          </cell>
        </row>
        <row r="152">
          <cell r="W152" t="str">
            <v>REP-0119</v>
          </cell>
          <cell r="X152" t="str">
            <v>09.00.451</v>
          </cell>
          <cell r="Y152" t="str">
            <v>Junta (bomba 3cp) CAT</v>
          </cell>
          <cell r="Z152" t="str">
            <v>Si</v>
          </cell>
        </row>
        <row r="153">
          <cell r="W153" t="str">
            <v>REP-0120</v>
          </cell>
          <cell r="X153" t="str">
            <v>09.01.440</v>
          </cell>
          <cell r="Y153" t="str">
            <v>Placa fichero pequeña</v>
          </cell>
          <cell r="Z153" t="str">
            <v>Si</v>
          </cell>
        </row>
        <row r="154">
          <cell r="W154" t="str">
            <v>REP-0121</v>
          </cell>
          <cell r="X154" t="str">
            <v>23.00.087</v>
          </cell>
          <cell r="Y154" t="str">
            <v>Presóstato G1/4</v>
          </cell>
          <cell r="Z154" t="str">
            <v>Si</v>
          </cell>
        </row>
        <row r="155">
          <cell r="W155" t="str">
            <v>REP-0122</v>
          </cell>
          <cell r="X155" t="str">
            <v>09.00.521</v>
          </cell>
          <cell r="Y155" t="str">
            <v>Tee 1/4 x 6 mm inoxidable</v>
          </cell>
          <cell r="Z155" t="str">
            <v>Si</v>
          </cell>
        </row>
        <row r="156">
          <cell r="W156" t="str">
            <v>REP-0123</v>
          </cell>
          <cell r="X156" t="str">
            <v>29.00.044</v>
          </cell>
          <cell r="Y156" t="str">
            <v>Manguera Rilsan 8 mm (lavallantas)</v>
          </cell>
          <cell r="Z156" t="str">
            <v>Si</v>
          </cell>
        </row>
        <row r="157">
          <cell r="W157" t="str">
            <v>REP-0124</v>
          </cell>
          <cell r="X157" t="str">
            <v>09.00.450</v>
          </cell>
          <cell r="Y157" t="str">
            <v>Campana (bomba 3p) CAT</v>
          </cell>
          <cell r="Z157" t="str">
            <v>Si</v>
          </cell>
        </row>
        <row r="158">
          <cell r="W158" t="str">
            <v>REP-0125</v>
          </cell>
          <cell r="X158" t="str">
            <v>29.00.171</v>
          </cell>
          <cell r="Y158" t="str">
            <v>Válvula no retorno Inoxidable 1/4</v>
          </cell>
          <cell r="Z158" t="str">
            <v>Si</v>
          </cell>
        </row>
        <row r="159">
          <cell r="W159" t="str">
            <v>REP-0126</v>
          </cell>
          <cell r="X159" t="str">
            <v>09.00.411</v>
          </cell>
          <cell r="Y159" t="str">
            <v>Válvula de fondo para bidón shampoo</v>
          </cell>
          <cell r="Z159" t="str">
            <v>Si</v>
          </cell>
        </row>
        <row r="160">
          <cell r="W160" t="str">
            <v>REP-0127</v>
          </cell>
          <cell r="X160" t="str">
            <v>09.02.453</v>
          </cell>
          <cell r="Y160" t="str">
            <v>Golillas aislantes pulsadores</v>
          </cell>
          <cell r="Z160" t="str">
            <v>Si</v>
          </cell>
        </row>
        <row r="161">
          <cell r="W161" t="str">
            <v>REP-0128</v>
          </cell>
          <cell r="X161" t="str">
            <v>09.01.227</v>
          </cell>
          <cell r="Y161" t="str">
            <v>Membrana EV sirai 3/4</v>
          </cell>
          <cell r="Z161" t="str">
            <v>Si</v>
          </cell>
        </row>
        <row r="162">
          <cell r="W162" t="str">
            <v>REP-0129</v>
          </cell>
          <cell r="X162" t="str">
            <v>60.00.013</v>
          </cell>
          <cell r="Y162" t="str">
            <v>Kit filtro twister M2 (tambor plástico 2013)</v>
          </cell>
          <cell r="Z162" t="str">
            <v>Si</v>
          </cell>
        </row>
        <row r="163">
          <cell r="W163" t="str">
            <v>REP-0130</v>
          </cell>
          <cell r="X163" t="str">
            <v>28.00.145</v>
          </cell>
          <cell r="Y163" t="str">
            <v>Filtro poliester aspiradora</v>
          </cell>
          <cell r="Z163" t="str">
            <v>No</v>
          </cell>
        </row>
        <row r="164">
          <cell r="W164" t="str">
            <v>REP-0131</v>
          </cell>
          <cell r="X164" t="str">
            <v>28.00.143</v>
          </cell>
          <cell r="Y164" t="str">
            <v>Canastillo cónico aspiradora</v>
          </cell>
          <cell r="Z164" t="str">
            <v>No</v>
          </cell>
        </row>
        <row r="165">
          <cell r="W165" t="str">
            <v>REP-0132</v>
          </cell>
          <cell r="X165" t="str">
            <v>09.00.152</v>
          </cell>
          <cell r="Y165" t="str">
            <v>Pistola renovador de neumático punta inoxidable</v>
          </cell>
          <cell r="Z165" t="str">
            <v>Si</v>
          </cell>
        </row>
        <row r="166">
          <cell r="W166" t="str">
            <v>REP-0133</v>
          </cell>
          <cell r="X166" t="str">
            <v>28.00.144</v>
          </cell>
          <cell r="Y166" t="str">
            <v>Anillo portafiltro aspirdora</v>
          </cell>
          <cell r="Z166" t="str">
            <v>No</v>
          </cell>
        </row>
        <row r="167">
          <cell r="W167" t="str">
            <v>REP-0134</v>
          </cell>
          <cell r="X167" t="str">
            <v>29.00.094</v>
          </cell>
          <cell r="Y167" t="str">
            <v>Válvula retención europa 3/4</v>
          </cell>
          <cell r="Z167" t="str">
            <v>Si</v>
          </cell>
        </row>
        <row r="168">
          <cell r="W168" t="str">
            <v>REP-0135</v>
          </cell>
          <cell r="X168" t="str">
            <v>ASP-01</v>
          </cell>
          <cell r="Y168" t="str">
            <v>Resorte conico de sistema vibración aspirado</v>
          </cell>
          <cell r="Z168" t="str">
            <v>Si</v>
          </cell>
        </row>
        <row r="169">
          <cell r="W169" t="str">
            <v>REP-0136</v>
          </cell>
          <cell r="X169" t="str">
            <v>30.00.020</v>
          </cell>
          <cell r="Y169" t="str">
            <v>Manómetro glic. 25 bar</v>
          </cell>
          <cell r="Z169" t="str">
            <v>Si</v>
          </cell>
        </row>
        <row r="170">
          <cell r="W170" t="str">
            <v>REP-0137</v>
          </cell>
          <cell r="X170" t="str">
            <v>60.00.015</v>
          </cell>
          <cell r="Y170" t="str">
            <v>Kit bidone Twister M2 (tambor aspiradora Plástico)</v>
          </cell>
          <cell r="Z170" t="str">
            <v>Si</v>
          </cell>
        </row>
        <row r="171">
          <cell r="W171" t="str">
            <v>REP-0138</v>
          </cell>
          <cell r="X171" t="str">
            <v>09.00.339</v>
          </cell>
          <cell r="Y171" t="str">
            <v>Contactor Siemens 24V</v>
          </cell>
          <cell r="Z171" t="str">
            <v>Si</v>
          </cell>
        </row>
        <row r="172">
          <cell r="W172" t="str">
            <v>REP-0143</v>
          </cell>
          <cell r="X172" t="str">
            <v>34.00.024</v>
          </cell>
          <cell r="Y172" t="str">
            <v>Rubinetto (grifo 1/4\) DESCATALOGADO</v>
          </cell>
          <cell r="Z172" t="str">
            <v>No</v>
          </cell>
        </row>
        <row r="173">
          <cell r="W173" t="str">
            <v>REP-0144</v>
          </cell>
          <cell r="X173" t="str">
            <v>23.00.144</v>
          </cell>
          <cell r="Y173" t="str">
            <v>EV burket 1/4</v>
          </cell>
          <cell r="Z173" t="str">
            <v>Si</v>
          </cell>
        </row>
        <row r="174">
          <cell r="W174" t="str">
            <v>REP-0145</v>
          </cell>
          <cell r="X174" t="str">
            <v>29.00.300</v>
          </cell>
          <cell r="Y174" t="str">
            <v>Manguera transparente 8mm</v>
          </cell>
          <cell r="Z174" t="str">
            <v>Si</v>
          </cell>
        </row>
        <row r="175">
          <cell r="W175" t="str">
            <v>REP-0146</v>
          </cell>
          <cell r="X175" t="str">
            <v>26.00.063</v>
          </cell>
          <cell r="Y175" t="str">
            <v>Manguera negra AP 1/4\ (tiras 8m)</v>
          </cell>
          <cell r="Z175" t="str">
            <v>No</v>
          </cell>
        </row>
        <row r="176">
          <cell r="W176" t="str">
            <v>REP-0147</v>
          </cell>
          <cell r="X176" t="str">
            <v>36.00.051</v>
          </cell>
          <cell r="Y176" t="str">
            <v>Pistón cerámico Interpump</v>
          </cell>
          <cell r="Z176" t="str">
            <v>Si</v>
          </cell>
        </row>
        <row r="177">
          <cell r="W177" t="str">
            <v>REP-0148</v>
          </cell>
          <cell r="X177" t="str">
            <v>09.00.011</v>
          </cell>
          <cell r="Y177" t="str">
            <v>Manguera azul 5/16´´* 4.8 mt</v>
          </cell>
          <cell r="Z177" t="str">
            <v>No</v>
          </cell>
        </row>
        <row r="178">
          <cell r="W178" t="str">
            <v>REP-0149</v>
          </cell>
          <cell r="X178" t="str">
            <v>09.01.396</v>
          </cell>
          <cell r="Y178" t="str">
            <v>Kit de sellos de agua interpump</v>
          </cell>
          <cell r="Z178" t="str">
            <v>Si</v>
          </cell>
        </row>
        <row r="179">
          <cell r="W179" t="str">
            <v>REP-0150</v>
          </cell>
          <cell r="X179" t="str">
            <v>09.00.829</v>
          </cell>
          <cell r="Y179" t="str">
            <v>Manguera poliuretano azul</v>
          </cell>
          <cell r="Z179" t="str">
            <v>No</v>
          </cell>
        </row>
        <row r="180">
          <cell r="W180" t="str">
            <v>REP-0151</v>
          </cell>
          <cell r="X180" t="str">
            <v>09.01.117</v>
          </cell>
          <cell r="Y180" t="str">
            <v>Motor trifásico de osmosis</v>
          </cell>
          <cell r="Z180" t="str">
            <v>Si</v>
          </cell>
        </row>
        <row r="181">
          <cell r="W181" t="str">
            <v>REP-0152</v>
          </cell>
          <cell r="X181" t="str">
            <v>23.00.052</v>
          </cell>
          <cell r="Y181" t="str">
            <v>EV sirai 3/4 bajada osmosis</v>
          </cell>
          <cell r="Z181" t="str">
            <v>Si</v>
          </cell>
        </row>
        <row r="182">
          <cell r="W182" t="str">
            <v>REP-0153</v>
          </cell>
          <cell r="X182" t="str">
            <v>37.00.017</v>
          </cell>
          <cell r="Y182" t="str">
            <v>Motor cat trifásico inverter</v>
          </cell>
          <cell r="Z182" t="str">
            <v>Si</v>
          </cell>
        </row>
        <row r="183">
          <cell r="W183" t="str">
            <v>REP-0154</v>
          </cell>
          <cell r="X183" t="str">
            <v>23.00.488</v>
          </cell>
          <cell r="Y183" t="str">
            <v>Conductivímetro c901</v>
          </cell>
          <cell r="Z183" t="str">
            <v>Si</v>
          </cell>
        </row>
        <row r="184">
          <cell r="W184" t="str">
            <v>REP-0155</v>
          </cell>
          <cell r="X184" t="str">
            <v>24.00.155</v>
          </cell>
          <cell r="Y184" t="str">
            <v>Campana lateral (bomba 3cp) CAT</v>
          </cell>
          <cell r="Z184" t="str">
            <v>Si</v>
          </cell>
        </row>
        <row r="185">
          <cell r="W185" t="str">
            <v>REP-0156</v>
          </cell>
          <cell r="X185" t="str">
            <v>09.01.616</v>
          </cell>
          <cell r="Y185" t="str">
            <v>Inyector colector pvc (blanco o negro)</v>
          </cell>
          <cell r="Z185" t="str">
            <v>Si</v>
          </cell>
        </row>
        <row r="186">
          <cell r="W186" t="str">
            <v>REP-0157</v>
          </cell>
          <cell r="X186" t="str">
            <v>09.00.491</v>
          </cell>
          <cell r="Y186" t="str">
            <v>O-ring separacion E/V</v>
          </cell>
          <cell r="Z186" t="str">
            <v>Si</v>
          </cell>
        </row>
        <row r="187">
          <cell r="W187" t="str">
            <v>REP-0158</v>
          </cell>
          <cell r="X187" t="str">
            <v>09.01.010</v>
          </cell>
          <cell r="Y187" t="str">
            <v>Conector recto 1/4 HI X 6mm</v>
          </cell>
          <cell r="Z187" t="str">
            <v>Si</v>
          </cell>
        </row>
        <row r="188">
          <cell r="W188" t="str">
            <v>REP-0159</v>
          </cell>
          <cell r="X188" t="str">
            <v>09.01.158</v>
          </cell>
          <cell r="Y188" t="str">
            <v>Flujometro 250 lt</v>
          </cell>
          <cell r="Z188" t="str">
            <v>Si</v>
          </cell>
        </row>
        <row r="189">
          <cell r="W189" t="str">
            <v>REP-0160</v>
          </cell>
          <cell r="X189" t="str">
            <v>09.01.231</v>
          </cell>
          <cell r="Y189" t="str">
            <v>Kit EV L180 Salida filtros</v>
          </cell>
          <cell r="Z189" t="str">
            <v>Si</v>
          </cell>
        </row>
        <row r="190">
          <cell r="W190" t="str">
            <v>REP-0161</v>
          </cell>
          <cell r="X190" t="str">
            <v>23.00.603</v>
          </cell>
          <cell r="Y190" t="str">
            <v>Relé mini 24VCC finder</v>
          </cell>
          <cell r="Z190" t="str">
            <v>Si</v>
          </cell>
        </row>
        <row r="191">
          <cell r="W191" t="str">
            <v>REP-0162</v>
          </cell>
          <cell r="X191" t="str">
            <v>23.00.361</v>
          </cell>
          <cell r="Y191" t="str">
            <v>Numeral cable gris</v>
          </cell>
          <cell r="Z191" t="str">
            <v>Si</v>
          </cell>
        </row>
        <row r="192">
          <cell r="W192" t="str">
            <v>REP-0163</v>
          </cell>
          <cell r="X192" t="str">
            <v>29.00.221</v>
          </cell>
          <cell r="Y192" t="str">
            <v>Colector bronce</v>
          </cell>
          <cell r="Z192" t="str">
            <v>No</v>
          </cell>
        </row>
        <row r="193">
          <cell r="W193" t="str">
            <v>REP-0164</v>
          </cell>
          <cell r="X193" t="str">
            <v>23.00.153</v>
          </cell>
          <cell r="Y193" t="str">
            <v>EV L180 Burket 3/4</v>
          </cell>
          <cell r="Z193" t="str">
            <v>Si</v>
          </cell>
        </row>
        <row r="194">
          <cell r="W194" t="str">
            <v>REP-0165</v>
          </cell>
          <cell r="X194" t="str">
            <v>09.00.452</v>
          </cell>
          <cell r="Y194" t="str">
            <v>Ingreso lateral Burket</v>
          </cell>
          <cell r="Z194" t="str">
            <v>Si</v>
          </cell>
        </row>
        <row r="195">
          <cell r="W195" t="str">
            <v>REP-0166</v>
          </cell>
          <cell r="X195" t="str">
            <v>09.02.175</v>
          </cell>
          <cell r="Y195" t="str">
            <v>Cuentaimpulso Twsiter M2</v>
          </cell>
          <cell r="Z195" t="str">
            <v>No</v>
          </cell>
        </row>
        <row r="196">
          <cell r="W196" t="str">
            <v>REP-0167</v>
          </cell>
          <cell r="X196" t="str">
            <v>28.00.054</v>
          </cell>
          <cell r="Y196" t="str">
            <v>Manguito p/flexible D.38 DESCATALOGADO</v>
          </cell>
          <cell r="Z196" t="str">
            <v>No</v>
          </cell>
        </row>
        <row r="197">
          <cell r="W197" t="str">
            <v>REP-0168</v>
          </cell>
          <cell r="X197" t="str">
            <v>09.00.058</v>
          </cell>
          <cell r="Y197" t="str">
            <v>Niple Conexion rapida 1/4 x 10 mm</v>
          </cell>
          <cell r="Z197" t="str">
            <v>Si</v>
          </cell>
        </row>
        <row r="198">
          <cell r="W198" t="str">
            <v>REP-0169</v>
          </cell>
          <cell r="X198" t="str">
            <v>30.00.072</v>
          </cell>
          <cell r="Y198" t="str">
            <v>Niple galvanizado hehe 1/2</v>
          </cell>
          <cell r="Z198" t="str">
            <v>Si</v>
          </cell>
        </row>
        <row r="199">
          <cell r="W199" t="str">
            <v>REP-0171</v>
          </cell>
          <cell r="X199" t="str">
            <v>09.00.067</v>
          </cell>
          <cell r="Y199" t="str">
            <v>Cuerpo bba R0-400 OT</v>
          </cell>
          <cell r="Z199" t="str">
            <v>No</v>
          </cell>
        </row>
        <row r="200">
          <cell r="W200" t="str">
            <v>REP-0172</v>
          </cell>
          <cell r="X200" t="str">
            <v>09.00.050</v>
          </cell>
          <cell r="Y200" t="str">
            <v>Codo Conexion rapida 1/4 x 10 mm</v>
          </cell>
          <cell r="Z200" t="str">
            <v>Si</v>
          </cell>
        </row>
        <row r="201">
          <cell r="W201" t="str">
            <v>REP-0173</v>
          </cell>
          <cell r="X201" t="str">
            <v>60.00.022</v>
          </cell>
          <cell r="Y201" t="str">
            <v>Motor aspiradora M2 (tambor plastico)</v>
          </cell>
          <cell r="Z201" t="str">
            <v>Si</v>
          </cell>
        </row>
        <row r="202">
          <cell r="W202" t="str">
            <v>REP-0174</v>
          </cell>
          <cell r="X202" t="str">
            <v>09.01.305</v>
          </cell>
          <cell r="Y202" t="str">
            <v>Pompa pos 15 - bomba perfume</v>
          </cell>
          <cell r="Z202" t="str">
            <v>No</v>
          </cell>
        </row>
        <row r="203">
          <cell r="W203" t="str">
            <v>REP-0175</v>
          </cell>
          <cell r="X203" t="str">
            <v>23.00.356</v>
          </cell>
          <cell r="Y203" t="str">
            <v>Rele mini 24V DC 8A 250V azul</v>
          </cell>
          <cell r="Z203" t="str">
            <v>Si</v>
          </cell>
        </row>
        <row r="204">
          <cell r="W204" t="str">
            <v>REP-0176</v>
          </cell>
          <cell r="X204" t="str">
            <v>09.01.502</v>
          </cell>
          <cell r="Y204" t="str">
            <v>Motor secado 220v 7a</v>
          </cell>
          <cell r="Z204" t="str">
            <v>Si</v>
          </cell>
        </row>
        <row r="205">
          <cell r="W205" t="str">
            <v>REP-0177</v>
          </cell>
          <cell r="X205" t="str">
            <v>23.00.240</v>
          </cell>
          <cell r="Y205" t="str">
            <v>Led verde</v>
          </cell>
          <cell r="Z205" t="str">
            <v>No</v>
          </cell>
        </row>
        <row r="206">
          <cell r="W206" t="str">
            <v>REP-0178</v>
          </cell>
          <cell r="X206" t="str">
            <v>09.00.448</v>
          </cell>
          <cell r="Y206" t="str">
            <v>Pieza cierre lateral Burket</v>
          </cell>
          <cell r="Z206" t="str">
            <v>Si</v>
          </cell>
        </row>
        <row r="207">
          <cell r="W207" t="str">
            <v>REP-0179</v>
          </cell>
          <cell r="X207" t="str">
            <v>09.01.754</v>
          </cell>
          <cell r="Y207" t="str">
            <v>Transformador 400/220 a 24v ac</v>
          </cell>
          <cell r="Z207" t="str">
            <v>Si</v>
          </cell>
        </row>
        <row r="208">
          <cell r="W208" t="str">
            <v>REP-0180</v>
          </cell>
          <cell r="X208" t="str">
            <v>09.01.524</v>
          </cell>
          <cell r="Y208" t="str">
            <v>Lanza para MIX dry completa</v>
          </cell>
          <cell r="Z208" t="str">
            <v>Si</v>
          </cell>
        </row>
        <row r="209">
          <cell r="W209" t="str">
            <v>REP-0181</v>
          </cell>
          <cell r="X209" t="str">
            <v>23.00.354</v>
          </cell>
          <cell r="Y209" t="str">
            <v>Contactor siemens 24V ac/dc</v>
          </cell>
          <cell r="Z209" t="str">
            <v>Si</v>
          </cell>
        </row>
        <row r="210">
          <cell r="W210" t="str">
            <v>REP-0182</v>
          </cell>
          <cell r="X210" t="str">
            <v>09.00.382</v>
          </cell>
          <cell r="Y210" t="str">
            <v>Relé mini 24VCA finder</v>
          </cell>
          <cell r="Z210" t="str">
            <v>Si</v>
          </cell>
        </row>
        <row r="211">
          <cell r="W211" t="str">
            <v>REP-0183</v>
          </cell>
          <cell r="X211" t="str">
            <v>60.00.031</v>
          </cell>
          <cell r="Y211" t="str">
            <v>Pistola perfume boquilla verde mango gris</v>
          </cell>
          <cell r="Z211" t="str">
            <v>Si</v>
          </cell>
        </row>
        <row r="212">
          <cell r="W212" t="str">
            <v>REP-0184</v>
          </cell>
          <cell r="X212" t="str">
            <v>09.00.816</v>
          </cell>
          <cell r="Y212" t="str">
            <v>Relé auxiliar 10A</v>
          </cell>
          <cell r="Z212" t="str">
            <v>Si</v>
          </cell>
        </row>
        <row r="213">
          <cell r="W213" t="str">
            <v>REP-0185</v>
          </cell>
          <cell r="X213" t="str">
            <v>09.01.400</v>
          </cell>
          <cell r="Y213" t="str">
            <v>Rodillo lavatapete LTS400</v>
          </cell>
          <cell r="Z213" t="str">
            <v>Si</v>
          </cell>
        </row>
        <row r="214">
          <cell r="W214" t="str">
            <v>REP-0186</v>
          </cell>
          <cell r="X214" t="str">
            <v>29.00.219</v>
          </cell>
          <cell r="Y214" t="str">
            <v>Tapa manifold</v>
          </cell>
          <cell r="Z214" t="str">
            <v>No</v>
          </cell>
        </row>
        <row r="215">
          <cell r="W215" t="str">
            <v>REP-0187</v>
          </cell>
          <cell r="X215" t="str">
            <v>23.00.489</v>
          </cell>
          <cell r="Y215" t="str">
            <v>Sensor conductivímetro</v>
          </cell>
          <cell r="Z215" t="str">
            <v>Si</v>
          </cell>
        </row>
        <row r="216">
          <cell r="W216" t="str">
            <v>REP-0188</v>
          </cell>
          <cell r="X216" t="str">
            <v>24.00.190</v>
          </cell>
          <cell r="Y216" t="str">
            <v>Junta bomba B14-M71</v>
          </cell>
          <cell r="Z216" t="str">
            <v>No</v>
          </cell>
        </row>
        <row r="217">
          <cell r="W217" t="str">
            <v>REP-0189</v>
          </cell>
          <cell r="X217" t="str">
            <v>09.00.472</v>
          </cell>
          <cell r="Y217" t="str">
            <v>Zocalo 4S  F194</v>
          </cell>
          <cell r="Z217" t="str">
            <v>No</v>
          </cell>
        </row>
        <row r="218">
          <cell r="W218" t="str">
            <v>REP-0190</v>
          </cell>
          <cell r="X218" t="str">
            <v>09.01.560</v>
          </cell>
          <cell r="Y218" t="str">
            <v>Kit de sellos brazo giratorio</v>
          </cell>
          <cell r="Z218" t="str">
            <v>No</v>
          </cell>
        </row>
        <row r="219">
          <cell r="W219" t="str">
            <v>REP-0191</v>
          </cell>
          <cell r="X219" t="str">
            <v>09.02.153</v>
          </cell>
          <cell r="Y219" t="str">
            <v>Extensión PLC 8+8 Siemens</v>
          </cell>
          <cell r="Z219" t="str">
            <v>Si</v>
          </cell>
        </row>
        <row r="220">
          <cell r="W220" t="str">
            <v>REP-0192</v>
          </cell>
          <cell r="X220" t="str">
            <v>09.01.770</v>
          </cell>
          <cell r="Y220" t="str">
            <v>Microinterruptor contactor motor trifásico</v>
          </cell>
          <cell r="Z220" t="str">
            <v>Si</v>
          </cell>
        </row>
        <row r="221">
          <cell r="W221" t="str">
            <v>REP-0193</v>
          </cell>
          <cell r="X221" t="str">
            <v>09.01.146</v>
          </cell>
          <cell r="Y221" t="str">
            <v>Piezas reparac fichero</v>
          </cell>
          <cell r="Z221" t="str">
            <v>No</v>
          </cell>
        </row>
        <row r="222">
          <cell r="W222" t="str">
            <v>REP-0194</v>
          </cell>
          <cell r="X222" t="str">
            <v>43.00.009</v>
          </cell>
          <cell r="Y222" t="str">
            <v>Portafichas</v>
          </cell>
          <cell r="Z222" t="str">
            <v>No</v>
          </cell>
        </row>
        <row r="223">
          <cell r="W223" t="str">
            <v>REP-0195</v>
          </cell>
          <cell r="X223" t="str">
            <v>23.00.613</v>
          </cell>
          <cell r="Y223" t="str">
            <v>Rele termico 4.5-6.3 Amp</v>
          </cell>
          <cell r="Z223" t="str">
            <v>No</v>
          </cell>
        </row>
        <row r="224">
          <cell r="W224" t="str">
            <v>REP-0196</v>
          </cell>
          <cell r="X224" t="str">
            <v>09.00.161</v>
          </cell>
          <cell r="Y224" t="str">
            <v>Tapas manifold bronce con perforación</v>
          </cell>
          <cell r="Z224" t="str">
            <v>No</v>
          </cell>
        </row>
        <row r="225">
          <cell r="W225" t="str">
            <v>REP-0197</v>
          </cell>
          <cell r="X225" t="str">
            <v>34.00.015</v>
          </cell>
          <cell r="Y225" t="str">
            <v>Sensor de nivel inferior estanque</v>
          </cell>
          <cell r="Z225" t="str">
            <v>No</v>
          </cell>
        </row>
        <row r="226">
          <cell r="W226" t="str">
            <v>REP-0198</v>
          </cell>
          <cell r="X226" t="str">
            <v>09.00.628</v>
          </cell>
          <cell r="Y226" t="str">
            <v>Valvula robex 3/4</v>
          </cell>
          <cell r="Z226" t="str">
            <v>Si</v>
          </cell>
        </row>
        <row r="227">
          <cell r="W227" t="str">
            <v>REP-0199</v>
          </cell>
          <cell r="X227" t="str">
            <v>09.01.772</v>
          </cell>
          <cell r="Y227" t="str">
            <v>Int.protettore 2,5A PKZMO</v>
          </cell>
          <cell r="Z227" t="str">
            <v>No</v>
          </cell>
        </row>
        <row r="228">
          <cell r="W228" t="str">
            <v>REP-0202</v>
          </cell>
          <cell r="X228" t="str">
            <v>23.00.259</v>
          </cell>
          <cell r="Y228" t="str">
            <v>Transformador 380/220 a 18/24V ac</v>
          </cell>
          <cell r="Z228" t="str">
            <v>Si</v>
          </cell>
        </row>
        <row r="229">
          <cell r="W229" t="str">
            <v>REP-0203</v>
          </cell>
          <cell r="X229" t="str">
            <v>09.00.456</v>
          </cell>
          <cell r="Y229" t="str">
            <v>Sujecion EV Burket</v>
          </cell>
          <cell r="Z229" t="str">
            <v>Si</v>
          </cell>
        </row>
        <row r="230">
          <cell r="W230" t="str">
            <v>REP-0204</v>
          </cell>
          <cell r="X230" t="str">
            <v>09.00.004</v>
          </cell>
          <cell r="Y230" t="str">
            <v>Bomba cat 5 cp</v>
          </cell>
          <cell r="Z230" t="str">
            <v>Si</v>
          </cell>
        </row>
        <row r="231">
          <cell r="W231" t="str">
            <v>REP-0205</v>
          </cell>
          <cell r="X231" t="str">
            <v>60.00.019</v>
          </cell>
          <cell r="Y231" t="str">
            <v>Chapa aspirado tambor plástico (TW2013)</v>
          </cell>
          <cell r="Z231" t="str">
            <v>Si</v>
          </cell>
        </row>
        <row r="232">
          <cell r="W232" t="str">
            <v>REP-0206</v>
          </cell>
          <cell r="X232" t="str">
            <v>23.00.257</v>
          </cell>
          <cell r="Y232" t="str">
            <v>Temporizador 24V,aspirado</v>
          </cell>
          <cell r="Z232" t="str">
            <v>No</v>
          </cell>
        </row>
        <row r="233">
          <cell r="W233" t="str">
            <v>REP-0207</v>
          </cell>
          <cell r="X233" t="str">
            <v>M-29023</v>
          </cell>
          <cell r="Y233" t="str">
            <v>Filtro interior lanza AP</v>
          </cell>
          <cell r="Z233" t="str">
            <v>No</v>
          </cell>
        </row>
        <row r="234">
          <cell r="W234" t="str">
            <v>REP-0208</v>
          </cell>
          <cell r="X234" t="str">
            <v>09.01.571</v>
          </cell>
          <cell r="Y234" t="str">
            <v>Válvula fondo de bidones dispens de producto</v>
          </cell>
          <cell r="Z234" t="str">
            <v>Si</v>
          </cell>
        </row>
        <row r="235">
          <cell r="W235" t="str">
            <v>REP-0209</v>
          </cell>
          <cell r="X235" t="str">
            <v>09.01.972</v>
          </cell>
          <cell r="Y235" t="str">
            <v>Motor 4Kw/2,8 Kw (Camiones)</v>
          </cell>
          <cell r="Z235" t="str">
            <v>Si</v>
          </cell>
        </row>
        <row r="236">
          <cell r="W236" t="str">
            <v>REP-0210</v>
          </cell>
          <cell r="X236" t="str">
            <v>09.00.198</v>
          </cell>
          <cell r="Y236" t="str">
            <v>Lexan para cubre fichero</v>
          </cell>
          <cell r="Z236" t="str">
            <v>No</v>
          </cell>
        </row>
        <row r="237">
          <cell r="W237" t="str">
            <v>REP-0212</v>
          </cell>
          <cell r="X237" t="str">
            <v>23.00.430</v>
          </cell>
          <cell r="Y237" t="str">
            <v>Microinterruptor puerta</v>
          </cell>
          <cell r="Z237" t="str">
            <v>No</v>
          </cell>
        </row>
        <row r="238">
          <cell r="W238" t="str">
            <v>REP-0213</v>
          </cell>
          <cell r="X238" t="str">
            <v>23.00.507</v>
          </cell>
          <cell r="Y238" t="str">
            <v>Boton blanco katix</v>
          </cell>
          <cell r="Z238" t="str">
            <v>No</v>
          </cell>
        </row>
        <row r="239">
          <cell r="W239" t="str">
            <v>REP-0215</v>
          </cell>
          <cell r="X239" t="str">
            <v>09.00.212</v>
          </cell>
          <cell r="Y239" t="str">
            <v>Llave plastica fichero</v>
          </cell>
          <cell r="Z239" t="str">
            <v>No</v>
          </cell>
        </row>
        <row r="240">
          <cell r="W240" t="str">
            <v>REP-0216</v>
          </cell>
          <cell r="X240" t="str">
            <v>23.00.355</v>
          </cell>
          <cell r="Y240" t="str">
            <v>Siemens 3RT2017-1AB01 (CONTACTOR 24V)</v>
          </cell>
          <cell r="Z240" t="str">
            <v>No</v>
          </cell>
        </row>
        <row r="241">
          <cell r="W241" t="str">
            <v>REP-0217</v>
          </cell>
          <cell r="X241" t="str">
            <v>23.00.531</v>
          </cell>
          <cell r="Y241" t="str">
            <v>Contacto auxiliar NC</v>
          </cell>
          <cell r="Z241" t="str">
            <v>No</v>
          </cell>
        </row>
        <row r="242">
          <cell r="W242" t="str">
            <v>REP-0218</v>
          </cell>
          <cell r="X242" t="str">
            <v>23.00.210</v>
          </cell>
          <cell r="Y242" t="str">
            <v>Toma 10A con pantalla</v>
          </cell>
          <cell r="Z242" t="str">
            <v>No</v>
          </cell>
        </row>
        <row r="243">
          <cell r="W243" t="str">
            <v>REP-0219</v>
          </cell>
          <cell r="X243" t="str">
            <v>09.00.426</v>
          </cell>
          <cell r="Y243" t="str">
            <v>Zocalo finder 2S</v>
          </cell>
          <cell r="Z243" t="str">
            <v>Si</v>
          </cell>
        </row>
        <row r="244">
          <cell r="W244" t="str">
            <v>REP-0220</v>
          </cell>
          <cell r="X244" t="str">
            <v>09.01.503</v>
          </cell>
          <cell r="Y244" t="str">
            <v>Boquilla mix dry (sólo terminal)</v>
          </cell>
          <cell r="Z244" t="str">
            <v>No</v>
          </cell>
        </row>
        <row r="245">
          <cell r="W245" t="str">
            <v>REP-0221</v>
          </cell>
          <cell r="X245" t="str">
            <v>09.02.097</v>
          </cell>
          <cell r="Y245" t="str">
            <v>Kit protector de Boquilla lanza AP</v>
          </cell>
          <cell r="Z245" t="str">
            <v>No</v>
          </cell>
        </row>
        <row r="246">
          <cell r="W246" t="str">
            <v>REP-0222</v>
          </cell>
          <cell r="X246" t="str">
            <v>09.01.916</v>
          </cell>
          <cell r="Y246" t="str">
            <v>Chapa inferior aspiradora 2008</v>
          </cell>
          <cell r="Z246" t="str">
            <v>No</v>
          </cell>
        </row>
        <row r="247">
          <cell r="W247" t="str">
            <v>REP-0223</v>
          </cell>
          <cell r="X247" t="str">
            <v>09.01.008</v>
          </cell>
          <cell r="Y247" t="str">
            <v>Tee conexion rapida x3 1/4</v>
          </cell>
          <cell r="Z247" t="str">
            <v>Si</v>
          </cell>
        </row>
        <row r="248">
          <cell r="W248" t="str">
            <v>REP-0224</v>
          </cell>
          <cell r="X248" t="str">
            <v>09.00.666</v>
          </cell>
          <cell r="Y248" t="str">
            <v>Rilsan PA11 8X6 azul espiral</v>
          </cell>
          <cell r="Z248" t="str">
            <v>No</v>
          </cell>
        </row>
        <row r="249">
          <cell r="W249" t="str">
            <v>REP-0225</v>
          </cell>
          <cell r="X249" t="str">
            <v>09.01.723</v>
          </cell>
          <cell r="Y249" t="str">
            <v>Pomolo leva inversione tabla 21- pos.21</v>
          </cell>
          <cell r="Z249" t="str">
            <v>No</v>
          </cell>
        </row>
        <row r="250">
          <cell r="W250" t="str">
            <v>REP-0226</v>
          </cell>
          <cell r="X250" t="str">
            <v>23.00.219</v>
          </cell>
          <cell r="Y250" t="str">
            <v>Zocalo Morsetto</v>
          </cell>
          <cell r="Z250" t="str">
            <v>No</v>
          </cell>
        </row>
        <row r="251">
          <cell r="W251" t="str">
            <v>REP-0227</v>
          </cell>
          <cell r="X251" t="str">
            <v>23.00.067</v>
          </cell>
          <cell r="Y251" t="str">
            <v>Módulo eléctrico 6 posiciones Horizontal</v>
          </cell>
          <cell r="Z251" t="str">
            <v>No</v>
          </cell>
        </row>
        <row r="252">
          <cell r="W252" t="str">
            <v>REP-0228</v>
          </cell>
          <cell r="X252" t="str">
            <v>09.01.381</v>
          </cell>
          <cell r="Y252" t="str">
            <v>Placa electronica aspirado (Display contador)</v>
          </cell>
          <cell r="Z252" t="str">
            <v>No</v>
          </cell>
        </row>
        <row r="253">
          <cell r="W253" t="str">
            <v>REP-0229</v>
          </cell>
          <cell r="X253" t="str">
            <v>09.01.722</v>
          </cell>
          <cell r="Y253" t="str">
            <v>Manometro de presión de fuerza de aspirado</v>
          </cell>
          <cell r="Z253" t="str">
            <v>No</v>
          </cell>
        </row>
        <row r="254">
          <cell r="W254" t="str">
            <v>REP-0230</v>
          </cell>
          <cell r="X254" t="str">
            <v>34.00.018</v>
          </cell>
          <cell r="Y254" t="str">
            <v>Flujometro 100Lt/hr</v>
          </cell>
          <cell r="Z254" t="str">
            <v>No</v>
          </cell>
        </row>
        <row r="255">
          <cell r="W255" t="str">
            <v>REP-0231</v>
          </cell>
          <cell r="X255" t="str">
            <v>36.00.041</v>
          </cell>
          <cell r="Y255" t="str">
            <v>Kit de válvulas de agua interpump</v>
          </cell>
          <cell r="Z255" t="str">
            <v>No</v>
          </cell>
        </row>
        <row r="256">
          <cell r="W256" t="str">
            <v>REP-0232</v>
          </cell>
          <cell r="X256" t="str">
            <v>23.00.630</v>
          </cell>
          <cell r="Y256" t="str">
            <v>Display botonera Mself</v>
          </cell>
          <cell r="Z256" t="str">
            <v>No</v>
          </cell>
        </row>
        <row r="257">
          <cell r="W257" t="str">
            <v>REP-0233</v>
          </cell>
          <cell r="X257" t="str">
            <v>09.01.955</v>
          </cell>
          <cell r="Y257" t="str">
            <v>Kit Leva Inversore Twister&amp;Dry</v>
          </cell>
          <cell r="Z257" t="str">
            <v>No</v>
          </cell>
        </row>
        <row r="258">
          <cell r="W258" t="str">
            <v>REP-0234</v>
          </cell>
          <cell r="X258" t="str">
            <v>30.00.092</v>
          </cell>
          <cell r="Y258" t="str">
            <v>sujetador manguera aspiradora</v>
          </cell>
          <cell r="Z258" t="str">
            <v>Si</v>
          </cell>
        </row>
        <row r="259">
          <cell r="W259" t="str">
            <v>REP-0235</v>
          </cell>
          <cell r="X259" t="str">
            <v>V-35</v>
          </cell>
          <cell r="Y259" t="str">
            <v>Termostato Termo Rheem</v>
          </cell>
          <cell r="Z259" t="str">
            <v>No</v>
          </cell>
        </row>
        <row r="260">
          <cell r="W260" t="str">
            <v>REP-0236</v>
          </cell>
          <cell r="X260" t="str">
            <v>39.00.008</v>
          </cell>
          <cell r="Y260" t="str">
            <v>Tuerca inoxidable protector fichero</v>
          </cell>
          <cell r="Z260" t="str">
            <v>Si</v>
          </cell>
        </row>
        <row r="261">
          <cell r="W261" t="str">
            <v>REP-0237</v>
          </cell>
          <cell r="X261" t="str">
            <v>46541</v>
          </cell>
          <cell r="Y261" t="str">
            <v>Separador pvc (bomba 3cp) CAT</v>
          </cell>
          <cell r="Z261" t="str">
            <v>Si</v>
          </cell>
        </row>
        <row r="262">
          <cell r="W262" t="str">
            <v>REP-0238</v>
          </cell>
          <cell r="X262" t="str">
            <v>46839</v>
          </cell>
          <cell r="Y262" t="str">
            <v>Sello de aceite (bomba 3cp) CAT</v>
          </cell>
          <cell r="Z262" t="str">
            <v>Si</v>
          </cell>
        </row>
        <row r="263">
          <cell r="W263" t="str">
            <v>REP-0239</v>
          </cell>
          <cell r="X263" t="str">
            <v>46976</v>
          </cell>
          <cell r="Y263" t="str">
            <v>Pistón cerámicos (bomba 3cp) CAT</v>
          </cell>
          <cell r="Z263" t="str">
            <v>Si</v>
          </cell>
        </row>
        <row r="264">
          <cell r="W264" t="str">
            <v>REP-0240</v>
          </cell>
          <cell r="X264" t="str">
            <v>126512</v>
          </cell>
          <cell r="Y264" t="str">
            <v>Perno culatín m8x65 (bomba 3cp) CAT</v>
          </cell>
          <cell r="Z264" t="str">
            <v>Si</v>
          </cell>
        </row>
        <row r="265">
          <cell r="W265" t="str">
            <v>REP-0241</v>
          </cell>
          <cell r="X265" t="str">
            <v>09.00.787</v>
          </cell>
          <cell r="Y265" t="str">
            <v>Kit de válvulas 33062 (bomba 3cp) CAT</v>
          </cell>
          <cell r="Z265" t="str">
            <v>Si</v>
          </cell>
        </row>
        <row r="266">
          <cell r="W266" t="str">
            <v>REP-0242</v>
          </cell>
          <cell r="X266" t="str">
            <v>09.00.788</v>
          </cell>
          <cell r="Y266" t="str">
            <v>Kit sellos de agua 33983 (bomba 3cp) CAT</v>
          </cell>
          <cell r="Z266" t="str">
            <v>Si</v>
          </cell>
        </row>
        <row r="267">
          <cell r="W267" t="str">
            <v>REP-0243</v>
          </cell>
          <cell r="X267" t="str">
            <v>43900</v>
          </cell>
          <cell r="Y267" t="str">
            <v>Golilla cóncava pistón (bomba 3cp) CAT</v>
          </cell>
          <cell r="Z267" t="str">
            <v>Si</v>
          </cell>
        </row>
        <row r="268">
          <cell r="W268" t="str">
            <v>REP-0244</v>
          </cell>
          <cell r="X268" t="str">
            <v>43222</v>
          </cell>
          <cell r="Y268" t="str">
            <v>Cat seal oil, 3/5cp</v>
          </cell>
          <cell r="Z268" t="str">
            <v>No</v>
          </cell>
        </row>
        <row r="269">
          <cell r="W269" t="str">
            <v>REP-0245</v>
          </cell>
          <cell r="X269" t="str">
            <v>14041</v>
          </cell>
          <cell r="Y269" t="str">
            <v>O-ring tapa (bomba 3cp) CAT</v>
          </cell>
          <cell r="Z269" t="str">
            <v>Si</v>
          </cell>
        </row>
        <row r="270">
          <cell r="W270" t="str">
            <v>REP-0246</v>
          </cell>
          <cell r="X270" t="str">
            <v>45697</v>
          </cell>
          <cell r="Y270" t="str">
            <v>Golilla pistón ranurada (bomba 3cp) CAT</v>
          </cell>
          <cell r="Z270" t="str">
            <v>Si</v>
          </cell>
        </row>
        <row r="271">
          <cell r="W271" t="str">
            <v>REP-0247</v>
          </cell>
          <cell r="X271" t="str">
            <v>14028</v>
          </cell>
          <cell r="Y271" t="str">
            <v>O-ring tapa rodamiento (bomba 3cp) CAT</v>
          </cell>
          <cell r="Z271" t="str">
            <v>Si</v>
          </cell>
        </row>
        <row r="272">
          <cell r="W272" t="str">
            <v>REP-0248</v>
          </cell>
          <cell r="X272" t="str">
            <v>48201</v>
          </cell>
          <cell r="Y272" t="str">
            <v>Retainer, plunger w/stud3/5cp</v>
          </cell>
          <cell r="Z272" t="str">
            <v>Si</v>
          </cell>
        </row>
        <row r="273">
          <cell r="W273" t="str">
            <v>REP-0249</v>
          </cell>
          <cell r="X273" t="str">
            <v>23170</v>
          </cell>
          <cell r="Y273" t="str">
            <v>O-ring tapón inferior aceite (bomba 3cp) CAT</v>
          </cell>
          <cell r="Z273" t="str">
            <v>Si</v>
          </cell>
        </row>
        <row r="274">
          <cell r="W274" t="str">
            <v>REP-0250</v>
          </cell>
          <cell r="X274" t="str">
            <v>44428</v>
          </cell>
          <cell r="Y274" t="str">
            <v>Cat gasket oil gauge 3/5cp</v>
          </cell>
          <cell r="Z274" t="str">
            <v>No</v>
          </cell>
        </row>
        <row r="275">
          <cell r="W275" t="str">
            <v>REP-0251</v>
          </cell>
          <cell r="X275" t="str">
            <v>14179</v>
          </cell>
          <cell r="Y275" t="str">
            <v>Cap filler cap gasket 3/5cp</v>
          </cell>
          <cell r="Z275" t="str">
            <v>No</v>
          </cell>
        </row>
        <row r="276">
          <cell r="W276" t="str">
            <v>REP-0252</v>
          </cell>
          <cell r="X276" t="str">
            <v>46625</v>
          </cell>
          <cell r="Y276" t="str">
            <v>Portasello (bomba 3cp) CAT</v>
          </cell>
          <cell r="Z276" t="str">
            <v>Si</v>
          </cell>
        </row>
        <row r="277">
          <cell r="W277" t="str">
            <v>REP-0253</v>
          </cell>
          <cell r="X277" t="str">
            <v>14480</v>
          </cell>
          <cell r="Y277" t="str">
            <v>Rodamiento (bomba 3cp) CAT</v>
          </cell>
          <cell r="Z277" t="str">
            <v>Si</v>
          </cell>
        </row>
        <row r="278">
          <cell r="W278" t="str">
            <v>REP-0254</v>
          </cell>
          <cell r="X278" t="str">
            <v>25625</v>
          </cell>
          <cell r="Y278" t="str">
            <v>Tapón inferior aceite (bomba 3cp) CAT</v>
          </cell>
          <cell r="Z278" t="str">
            <v>Si</v>
          </cell>
        </row>
        <row r="279">
          <cell r="W279" t="str">
            <v>REP-0255</v>
          </cell>
          <cell r="X279" t="str">
            <v>46756</v>
          </cell>
          <cell r="Y279" t="str">
            <v>Tapa válvula (bomba 3cp) CAT</v>
          </cell>
          <cell r="Z279" t="str">
            <v>Si</v>
          </cell>
        </row>
        <row r="280">
          <cell r="W280" t="str">
            <v>REP-0256</v>
          </cell>
          <cell r="X280" t="str">
            <v>92241</v>
          </cell>
          <cell r="Y280" t="str">
            <v>Visor nivel de aceite (bomba 3cp) CAT</v>
          </cell>
          <cell r="Z280" t="str">
            <v>Si</v>
          </cell>
        </row>
        <row r="281">
          <cell r="W281" t="str">
            <v>REP-0257</v>
          </cell>
          <cell r="X281" t="str">
            <v>09.01.114</v>
          </cell>
          <cell r="Y281" t="str">
            <v>Tapón divisorio EV con O'ring</v>
          </cell>
          <cell r="Z281" t="str">
            <v>No</v>
          </cell>
        </row>
        <row r="282">
          <cell r="W282" t="str">
            <v>REP-0258</v>
          </cell>
          <cell r="X282" t="str">
            <v>45690</v>
          </cell>
          <cell r="Y282" t="str">
            <v>cat oil filter cap 3cp</v>
          </cell>
          <cell r="Z282" t="str">
            <v>No</v>
          </cell>
        </row>
        <row r="283">
          <cell r="W283" t="str">
            <v>REP-0259</v>
          </cell>
          <cell r="X283" t="str">
            <v>V-31</v>
          </cell>
          <cell r="Y283" t="str">
            <v>Resina cationica purolite C100 (25lt) DESCATALOGADO</v>
          </cell>
          <cell r="Z283" t="str">
            <v>No</v>
          </cell>
        </row>
        <row r="284">
          <cell r="W284" t="str">
            <v>REP-0260</v>
          </cell>
          <cell r="X284" t="str">
            <v>AG-03</v>
          </cell>
          <cell r="Y284" t="str">
            <v>Ablandador en fibra, modelo HAF 1800 DA, operación automática.</v>
          </cell>
          <cell r="Z284" t="str">
            <v>Si</v>
          </cell>
        </row>
        <row r="285">
          <cell r="W285" t="str">
            <v>REP-0261</v>
          </cell>
          <cell r="X285" t="str">
            <v>AG-01</v>
          </cell>
          <cell r="Y285" t="str">
            <v>Ablandador en fibra, modelo HAF 1200, operación automática. DESCATALOGADO</v>
          </cell>
          <cell r="Z285" t="str">
            <v>No</v>
          </cell>
        </row>
        <row r="286">
          <cell r="W286" t="str">
            <v>REP-0262</v>
          </cell>
          <cell r="X286" t="str">
            <v>09.01.374</v>
          </cell>
          <cell r="Y286" t="str">
            <v>Membrana de osmosis</v>
          </cell>
          <cell r="Z286" t="str">
            <v>Si</v>
          </cell>
        </row>
        <row r="287">
          <cell r="W287" t="str">
            <v>REP-0263</v>
          </cell>
          <cell r="X287" t="str">
            <v>28.00.081</v>
          </cell>
          <cell r="Y287" t="str">
            <v>Filtro sedimentos</v>
          </cell>
          <cell r="Z287" t="str">
            <v>Si</v>
          </cell>
        </row>
        <row r="288">
          <cell r="W288" t="str">
            <v>REP-0264</v>
          </cell>
          <cell r="X288" t="str">
            <v>28.00.130</v>
          </cell>
          <cell r="Y288" t="str">
            <v>Filtro carbón activo</v>
          </cell>
          <cell r="Z288" t="str">
            <v>Si</v>
          </cell>
        </row>
        <row r="289">
          <cell r="W289" t="str">
            <v>REP-0265</v>
          </cell>
          <cell r="X289" t="str">
            <v>29.00.211</v>
          </cell>
          <cell r="Y289" t="str">
            <v>DESCATALOGADO M embrana o smosis HF4</v>
          </cell>
          <cell r="Z289" t="str">
            <v>No</v>
          </cell>
        </row>
        <row r="290">
          <cell r="W290" t="str">
            <v>REP-0266</v>
          </cell>
          <cell r="X290" t="str">
            <v>V-06</v>
          </cell>
          <cell r="Y290" t="str">
            <v>Limpiador spray acero inoxidable 3M</v>
          </cell>
          <cell r="Z290" t="str">
            <v>Si</v>
          </cell>
        </row>
        <row r="291">
          <cell r="W291" t="str">
            <v>REP-0267</v>
          </cell>
          <cell r="X291" t="str">
            <v>V-09</v>
          </cell>
          <cell r="Y291" t="str">
            <v>Paños pulidores extra finos (10 unidades)</v>
          </cell>
          <cell r="Z291" t="str">
            <v>Si</v>
          </cell>
        </row>
        <row r="292">
          <cell r="W292" t="str">
            <v>REP-0268</v>
          </cell>
          <cell r="X292" t="str">
            <v>V-04</v>
          </cell>
          <cell r="Y292" t="str">
            <v>Paños pulidores</v>
          </cell>
          <cell r="Z292" t="str">
            <v>Si</v>
          </cell>
        </row>
        <row r="293">
          <cell r="W293" t="str">
            <v>REP-0269</v>
          </cell>
          <cell r="X293" t="str">
            <v>D-01</v>
          </cell>
          <cell r="Y293" t="str">
            <v>Pulsador armado doble 1NA+1NC- LAY5- EL8325</v>
          </cell>
          <cell r="Z293" t="str">
            <v>Si</v>
          </cell>
        </row>
        <row r="294">
          <cell r="W294" t="str">
            <v>REP-0270</v>
          </cell>
          <cell r="X294" t="str">
            <v>D-02</v>
          </cell>
          <cell r="Y294" t="str">
            <v>Pulsador armadoverde 1NA+1NC- LAY5- EA31</v>
          </cell>
          <cell r="Z294" t="str">
            <v>Si</v>
          </cell>
        </row>
        <row r="295">
          <cell r="W295" t="str">
            <v>REP-0271</v>
          </cell>
          <cell r="X295" t="str">
            <v>D-03</v>
          </cell>
          <cell r="Y295" t="str">
            <v>Pulsador armado rojo 1NA+1NC - LAY5- EA42</v>
          </cell>
          <cell r="Z295" t="str">
            <v>Si</v>
          </cell>
        </row>
        <row r="296">
          <cell r="W296" t="str">
            <v>REP-0272</v>
          </cell>
          <cell r="X296" t="str">
            <v>V-02</v>
          </cell>
          <cell r="Y296" t="str">
            <v>Visera para display</v>
          </cell>
          <cell r="Z296" t="str">
            <v>No</v>
          </cell>
        </row>
        <row r="297">
          <cell r="W297" t="str">
            <v>REP-0273</v>
          </cell>
          <cell r="X297" t="str">
            <v>27.00.017-B</v>
          </cell>
          <cell r="Y297" t="str">
            <v>Cepillo largo (USA)</v>
          </cell>
          <cell r="Z297" t="str">
            <v>Si</v>
          </cell>
        </row>
        <row r="298">
          <cell r="W298" t="str">
            <v>REP-0274</v>
          </cell>
          <cell r="X298" t="str">
            <v>09.00.794N</v>
          </cell>
          <cell r="Y298" t="str">
            <v>Manguera brazo giratorio 1,55 mt</v>
          </cell>
          <cell r="Z298" t="str">
            <v>Si</v>
          </cell>
        </row>
        <row r="299">
          <cell r="W299" t="str">
            <v>REP-0275</v>
          </cell>
          <cell r="X299" t="str">
            <v>09.00.795N</v>
          </cell>
          <cell r="Y299" t="str">
            <v>Manguera brazo giratorio 1,67 mt NAC</v>
          </cell>
          <cell r="Z299" t="str">
            <v>No</v>
          </cell>
        </row>
        <row r="300">
          <cell r="W300" t="str">
            <v>REP-0276</v>
          </cell>
          <cell r="X300" t="str">
            <v>HT-02</v>
          </cell>
          <cell r="Y300" t="str">
            <v>Electrobomba Espa 15,5M</v>
          </cell>
          <cell r="Z300" t="str">
            <v>Si</v>
          </cell>
        </row>
        <row r="301">
          <cell r="W301" t="str">
            <v>REP-0277</v>
          </cell>
          <cell r="X301" t="str">
            <v>HT-03</v>
          </cell>
          <cell r="Y301" t="str">
            <v>Presostato hidropack</v>
          </cell>
          <cell r="Z301" t="str">
            <v>Si</v>
          </cell>
        </row>
        <row r="302">
          <cell r="W302" t="str">
            <v>REP-0278</v>
          </cell>
          <cell r="X302" t="str">
            <v>HT-05</v>
          </cell>
          <cell r="Y302" t="str">
            <v>Valvula retencion 1 fondo estanque 500 lts</v>
          </cell>
          <cell r="Z302" t="str">
            <v>Si</v>
          </cell>
        </row>
        <row r="303">
          <cell r="W303" t="str">
            <v>REP-0279</v>
          </cell>
          <cell r="X303" t="str">
            <v>HT-07</v>
          </cell>
          <cell r="Y303" t="str">
            <v>kit hidroneumático Varen</v>
          </cell>
          <cell r="Z303" t="str">
            <v>No</v>
          </cell>
        </row>
        <row r="304">
          <cell r="W304" t="str">
            <v>REP-0280</v>
          </cell>
          <cell r="X304" t="str">
            <v>HT-08</v>
          </cell>
          <cell r="Y304" t="str">
            <v>Esfera hidropack</v>
          </cell>
          <cell r="Z304" t="str">
            <v>Si</v>
          </cell>
        </row>
        <row r="305">
          <cell r="W305" t="str">
            <v>REP-0281</v>
          </cell>
          <cell r="X305" t="str">
            <v>HT-09</v>
          </cell>
          <cell r="Y305" t="str">
            <v>Filtro valvula retencion 1</v>
          </cell>
          <cell r="Z305" t="str">
            <v>Si</v>
          </cell>
        </row>
        <row r="306">
          <cell r="W306" t="str">
            <v>REP-0282</v>
          </cell>
          <cell r="X306" t="str">
            <v>HT-10</v>
          </cell>
          <cell r="Y306" t="str">
            <v>Válvula 5 vías bronce</v>
          </cell>
          <cell r="Z306" t="str">
            <v>Si</v>
          </cell>
        </row>
        <row r="307">
          <cell r="W307" t="str">
            <v>REP-0283</v>
          </cell>
          <cell r="X307" t="str">
            <v>HT-06</v>
          </cell>
          <cell r="Y307" t="str">
            <v>Guardamotor electrobba</v>
          </cell>
          <cell r="Z307" t="str">
            <v>Si</v>
          </cell>
        </row>
        <row r="308">
          <cell r="W308" t="str">
            <v>REP-0284</v>
          </cell>
          <cell r="X308" t="str">
            <v>V-30</v>
          </cell>
          <cell r="Y308" t="str">
            <v>Manguera protección 1m Amarilla Procaucho</v>
          </cell>
          <cell r="Z308" t="str">
            <v>No</v>
          </cell>
        </row>
        <row r="309">
          <cell r="W309" t="str">
            <v>REP-0286</v>
          </cell>
          <cell r="X309" t="str">
            <v>V-39</v>
          </cell>
          <cell r="Y309" t="str">
            <v>Flexible airflex 10m DESCATALOGADO</v>
          </cell>
          <cell r="Z309" t="str">
            <v>No</v>
          </cell>
        </row>
        <row r="310">
          <cell r="W310" t="str">
            <v>REP-0287</v>
          </cell>
          <cell r="X310" t="str">
            <v>V-37</v>
          </cell>
          <cell r="Y310" t="str">
            <v>Gravilla Inquinat 25kg</v>
          </cell>
          <cell r="Z310" t="str">
            <v>Si</v>
          </cell>
        </row>
        <row r="311">
          <cell r="W311" t="str">
            <v>REP-0289</v>
          </cell>
          <cell r="X311" t="str">
            <v>ASP-04</v>
          </cell>
          <cell r="Y311" t="str">
            <v>Resorte filtro de aspirado</v>
          </cell>
          <cell r="Z311" t="str">
            <v>Si</v>
          </cell>
        </row>
        <row r="312">
          <cell r="W312" t="str">
            <v>REP-0290</v>
          </cell>
          <cell r="X312" t="str">
            <v>ASP-05</v>
          </cell>
          <cell r="Y312" t="str">
            <v>Golilla filtro aspirado</v>
          </cell>
          <cell r="Z312" t="str">
            <v>Si</v>
          </cell>
        </row>
        <row r="313">
          <cell r="W313" t="str">
            <v>REP-0292</v>
          </cell>
          <cell r="X313" t="str">
            <v>V-29</v>
          </cell>
          <cell r="Y313" t="str">
            <v>Termo Rheem 125 lts</v>
          </cell>
          <cell r="Z313" t="str">
            <v>No</v>
          </cell>
        </row>
        <row r="314">
          <cell r="W314" t="str">
            <v>REP-0293</v>
          </cell>
          <cell r="X314" t="str">
            <v>V-33</v>
          </cell>
          <cell r="Y314" t="str">
            <v>Resistencia 2000w Rheem</v>
          </cell>
          <cell r="Z314" t="str">
            <v>No</v>
          </cell>
        </row>
        <row r="315">
          <cell r="W315" t="str">
            <v>REP-0294</v>
          </cell>
          <cell r="X315" t="str">
            <v>V-10</v>
          </cell>
          <cell r="Y315" t="str">
            <v>Ánodo magnesio frontal</v>
          </cell>
          <cell r="Z315" t="str">
            <v>Si</v>
          </cell>
        </row>
        <row r="316">
          <cell r="W316" t="str">
            <v>REP-0295</v>
          </cell>
          <cell r="X316" t="str">
            <v>V-11</v>
          </cell>
          <cell r="Y316" t="str">
            <v>Arosello para ánodo</v>
          </cell>
          <cell r="Z316" t="str">
            <v>Si</v>
          </cell>
        </row>
        <row r="317">
          <cell r="W317" t="str">
            <v>REP-0296</v>
          </cell>
          <cell r="X317" t="str">
            <v>V-12</v>
          </cell>
          <cell r="Y317" t="str">
            <v>Calefactor 3 Kw (Resistencia monofasica)</v>
          </cell>
          <cell r="Z317" t="str">
            <v>Si</v>
          </cell>
        </row>
        <row r="318">
          <cell r="W318" t="str">
            <v>REP-0297</v>
          </cell>
          <cell r="X318" t="str">
            <v>V-15</v>
          </cell>
          <cell r="Y318" t="str">
            <v>Termo Trotter 100 Lt cincado 220V 3kw</v>
          </cell>
          <cell r="Z318" t="str">
            <v>No</v>
          </cell>
        </row>
        <row r="319">
          <cell r="W319" t="str">
            <v>REP-0298</v>
          </cell>
          <cell r="X319" t="str">
            <v>V-18</v>
          </cell>
          <cell r="Y319" t="str">
            <v>Termo 100 Lt Trotter cincado 6 Kw</v>
          </cell>
          <cell r="Z319" t="str">
            <v>Si</v>
          </cell>
        </row>
        <row r="320">
          <cell r="W320" t="str">
            <v>REP-0299</v>
          </cell>
          <cell r="X320" t="str">
            <v>V-38</v>
          </cell>
          <cell r="Y320" t="str">
            <v>Bornera de conexión ceramica 3 polos Trotter</v>
          </cell>
          <cell r="Z320" t="str">
            <v>Si</v>
          </cell>
        </row>
        <row r="321">
          <cell r="W321" t="str">
            <v>REP-0300</v>
          </cell>
          <cell r="X321" t="str">
            <v>V-40</v>
          </cell>
          <cell r="Y321" t="str">
            <v>Calefactor 6KW (resistencia trifasica)</v>
          </cell>
          <cell r="Z321" t="str">
            <v>Si</v>
          </cell>
        </row>
        <row r="322">
          <cell r="W322" t="str">
            <v>REP-0301</v>
          </cell>
          <cell r="X322" t="str">
            <v>V-20</v>
          </cell>
          <cell r="Y322" t="str">
            <v>Termostato termo Trotter</v>
          </cell>
          <cell r="Z322" t="str">
            <v>Si</v>
          </cell>
        </row>
        <row r="323">
          <cell r="W323" t="str">
            <v>REP-0304</v>
          </cell>
          <cell r="X323" t="str">
            <v>T900-047-047</v>
          </cell>
          <cell r="Y323" t="str">
            <v>Ficha aspirado vacuum token/vacuum token dorada (Abast, Socobar, Recabarren, Biec)</v>
          </cell>
          <cell r="Z323" t="str">
            <v>Si</v>
          </cell>
        </row>
        <row r="324">
          <cell r="W324" t="str">
            <v>REP-0305</v>
          </cell>
          <cell r="X324" t="str">
            <v>X260-655-001</v>
          </cell>
          <cell r="Y324" t="str">
            <v>Ficha lavado ESMAX save water save the world/car wash dorada</v>
          </cell>
          <cell r="Z324" t="str">
            <v>Si</v>
          </cell>
        </row>
        <row r="325">
          <cell r="W325" t="str">
            <v>REP-0306</v>
          </cell>
          <cell r="X325" t="str">
            <v>09.01.801</v>
          </cell>
          <cell r="Y325" t="str">
            <v>Ficha Aspirado ESMAX MOD \E\ Plateada</v>
          </cell>
          <cell r="Z325" t="str">
            <v>No</v>
          </cell>
        </row>
        <row r="326">
          <cell r="W326" t="str">
            <v>REP-0307</v>
          </cell>
          <cell r="X326" t="str">
            <v>09.01.126</v>
          </cell>
          <cell r="Y326" t="str">
            <v>Ficha aspirado COPEC mod \C\ personalizadas Lavamax</v>
          </cell>
          <cell r="Z326" t="str">
            <v>Si</v>
          </cell>
        </row>
        <row r="327">
          <cell r="W327" t="str">
            <v>REP-0308</v>
          </cell>
          <cell r="X327" t="str">
            <v>TRB984-316-317</v>
          </cell>
          <cell r="Y327" t="str">
            <v>Ficha lavado autos/crown dorada (Recabarren-Bascuñan)</v>
          </cell>
          <cell r="Z327" t="str">
            <v>Si</v>
          </cell>
        </row>
        <row r="328">
          <cell r="W328" t="str">
            <v>REP-0309</v>
          </cell>
          <cell r="X328" t="str">
            <v>09.00.296</v>
          </cell>
          <cell r="Y328" t="str">
            <v>Ficha lavado COPEC mod \A\ personalizadas Lavamax</v>
          </cell>
          <cell r="Z328" t="str">
            <v>Si</v>
          </cell>
        </row>
        <row r="329">
          <cell r="W329" t="str">
            <v>REP-0310</v>
          </cell>
          <cell r="X329" t="str">
            <v>V-23</v>
          </cell>
          <cell r="Y329" t="str">
            <v>Ficha Acanalada aspirado MIX (PANATT y EING)</v>
          </cell>
          <cell r="Z329" t="str">
            <v>No</v>
          </cell>
        </row>
        <row r="330">
          <cell r="W330" t="str">
            <v>REP-0311</v>
          </cell>
          <cell r="X330" t="str">
            <v>TRB984-490-446</v>
          </cell>
          <cell r="Y330" t="str">
            <v>Ficha lavado part auto chico/no cash value red brass (Zambra, Socobar)</v>
          </cell>
          <cell r="Z330" t="str">
            <v>Si</v>
          </cell>
        </row>
        <row r="331">
          <cell r="W331" t="str">
            <v>REP-0312</v>
          </cell>
          <cell r="X331" t="str">
            <v>X260-660-201</v>
          </cell>
          <cell r="Y331" t="str">
            <v>Ficha aspirado ESMAX vacuum token/aguila estrellas plateada</v>
          </cell>
          <cell r="Z331" t="str">
            <v>Si</v>
          </cell>
        </row>
        <row r="332">
          <cell r="W332" t="str">
            <v>REP-0313</v>
          </cell>
          <cell r="X332" t="str">
            <v>T1073-836-1521</v>
          </cell>
          <cell r="Y332" t="str">
            <v>Ficha lavado corona/escudo Dorada PANATT/EING</v>
          </cell>
          <cell r="Z332" t="str">
            <v>Si</v>
          </cell>
        </row>
        <row r="333">
          <cell r="W333" t="str">
            <v>REP-0314</v>
          </cell>
          <cell r="X333" t="str">
            <v>09.02.477</v>
          </cell>
          <cell r="Y333" t="str">
            <v>Inverter 2,2 KW 3AC380-480V</v>
          </cell>
          <cell r="Z333" t="str">
            <v>Si</v>
          </cell>
        </row>
        <row r="334">
          <cell r="W334" t="str">
            <v>REP-0315</v>
          </cell>
          <cell r="X334" t="str">
            <v>09.03.015</v>
          </cell>
          <cell r="Y334" t="str">
            <v>Ventilador 80x80 24V AC</v>
          </cell>
          <cell r="Z334" t="str">
            <v>Si</v>
          </cell>
        </row>
        <row r="335">
          <cell r="W335" t="str">
            <v>REP-0316</v>
          </cell>
          <cell r="X335" t="str">
            <v>23.00.274</v>
          </cell>
          <cell r="Y335" t="str">
            <v>automatico 3P 16A</v>
          </cell>
          <cell r="Z335" t="str">
            <v>Si</v>
          </cell>
        </row>
        <row r="336">
          <cell r="W336" t="str">
            <v>REP-0317</v>
          </cell>
          <cell r="X336" t="str">
            <v>09.02.983</v>
          </cell>
          <cell r="Y336" t="str">
            <v>Int. MT 6KA 1N 1MOD 2A C</v>
          </cell>
          <cell r="Z336" t="str">
            <v>Si</v>
          </cell>
        </row>
        <row r="337">
          <cell r="W337" t="str">
            <v>REP-0318</v>
          </cell>
          <cell r="X337" t="str">
            <v>09.02.974</v>
          </cell>
          <cell r="Y337" t="str">
            <v>Int. MT 10 KA 1P+1N D 2A</v>
          </cell>
          <cell r="Z337" t="str">
            <v>Si</v>
          </cell>
        </row>
        <row r="338">
          <cell r="W338" t="str">
            <v>REP-0319</v>
          </cell>
          <cell r="X338" t="str">
            <v>09.02.985</v>
          </cell>
          <cell r="Y338" t="str">
            <v>Int. mt 6KA 1N 1MOD 6A C</v>
          </cell>
          <cell r="Z338" t="str">
            <v>Si</v>
          </cell>
        </row>
        <row r="339">
          <cell r="W339" t="str">
            <v>REP-0320</v>
          </cell>
          <cell r="X339" t="str">
            <v>60.00.131</v>
          </cell>
          <cell r="Y339" t="str">
            <v>kit completo para sanitizado</v>
          </cell>
          <cell r="Z339" t="str">
            <v>Si</v>
          </cell>
        </row>
        <row r="340">
          <cell r="W340" t="str">
            <v>REP-0321</v>
          </cell>
          <cell r="X340" t="str">
            <v>09.03.163</v>
          </cell>
          <cell r="Y340" t="str">
            <v>Filtro pistola mousse</v>
          </cell>
          <cell r="Z340" t="str">
            <v>Si</v>
          </cell>
        </row>
        <row r="341">
          <cell r="W341" t="str">
            <v>REP-0322</v>
          </cell>
          <cell r="X341" t="str">
            <v>ab-03</v>
          </cell>
          <cell r="Y341" t="str">
            <v>Saco de gravilla 25 Kg (Aguasin) DESCATAOGADO</v>
          </cell>
          <cell r="Z341" t="str">
            <v>No</v>
          </cell>
        </row>
        <row r="342">
          <cell r="W342" t="str">
            <v>REP-0323</v>
          </cell>
          <cell r="X342" t="str">
            <v>09.03.092BLU NAC</v>
          </cell>
          <cell r="Y342" t="str">
            <v>Manguera 4,0m BLU baja presión nacional DESCATALOGADO</v>
          </cell>
          <cell r="Z342" t="str">
            <v>No</v>
          </cell>
        </row>
        <row r="343">
          <cell r="W343" t="str">
            <v>REP-0324</v>
          </cell>
          <cell r="X343" t="str">
            <v>X230-409-001</v>
          </cell>
          <cell r="Y343" t="str">
            <v>Ficha lavado part autos/rueda (La Serena Florida, Llolleo part)</v>
          </cell>
          <cell r="Z343" t="str">
            <v>Si</v>
          </cell>
        </row>
        <row r="344">
          <cell r="W344" t="str">
            <v>REP-0325</v>
          </cell>
          <cell r="X344" t="str">
            <v>X260-630-201</v>
          </cell>
          <cell r="Y344" t="str">
            <v>Ficha asp part estrella-winner</v>
          </cell>
          <cell r="Z344" t="str">
            <v>Si</v>
          </cell>
        </row>
        <row r="345">
          <cell r="W345" t="str">
            <v>REP-0326</v>
          </cell>
          <cell r="X345" t="str">
            <v>09.03.114</v>
          </cell>
          <cell r="Y345" t="str">
            <v>Válvula de inyección verde</v>
          </cell>
          <cell r="Z345" t="str">
            <v>Si</v>
          </cell>
        </row>
        <row r="346">
          <cell r="W346" t="str">
            <v>REP-0327</v>
          </cell>
          <cell r="X346" t="str">
            <v>09.03.113</v>
          </cell>
          <cell r="Y346" t="str">
            <v>Válvula de inyección blanca</v>
          </cell>
          <cell r="Z346" t="str">
            <v>Si</v>
          </cell>
        </row>
        <row r="347">
          <cell r="W347" t="str">
            <v>REP-0328</v>
          </cell>
          <cell r="X347">
            <v>0</v>
          </cell>
          <cell r="Y347" t="str">
            <v>Resina sunresin SC 130</v>
          </cell>
          <cell r="Z347" t="str">
            <v>Si</v>
          </cell>
        </row>
        <row r="348">
          <cell r="W348" t="str">
            <v>REP-0329</v>
          </cell>
          <cell r="X348" t="str">
            <v>60.00.030</v>
          </cell>
          <cell r="Y348" t="str">
            <v>Manguera espiral + terminales para sanitizado</v>
          </cell>
          <cell r="Z348" t="str">
            <v>Si</v>
          </cell>
        </row>
        <row r="349">
          <cell r="W349" t="str">
            <v>REP-0330</v>
          </cell>
          <cell r="X349">
            <v>0</v>
          </cell>
          <cell r="Y349" t="str">
            <v>Fichas antiguas lavado ESMAX MIX MOD D</v>
          </cell>
          <cell r="Z349" t="str">
            <v>No</v>
          </cell>
        </row>
        <row r="350">
          <cell r="W350" t="str">
            <v>REP-0331</v>
          </cell>
          <cell r="X350">
            <v>0</v>
          </cell>
          <cell r="Y350" t="str">
            <v>Fichas MIX MOD C no personalizadas</v>
          </cell>
          <cell r="Z350" t="str">
            <v>No</v>
          </cell>
        </row>
        <row r="351">
          <cell r="W351" t="str">
            <v>REP-0332</v>
          </cell>
          <cell r="X351">
            <v>0</v>
          </cell>
          <cell r="Y351" t="str">
            <v>Fichas antiguas MIX Morano</v>
          </cell>
          <cell r="Z351" t="str">
            <v>No</v>
          </cell>
        </row>
        <row r="352">
          <cell r="W352" t="str">
            <v>REP-0333</v>
          </cell>
          <cell r="X352" t="str">
            <v>28.00.082</v>
          </cell>
          <cell r="Y352" t="str">
            <v>Filtro de sedimento texpro</v>
          </cell>
          <cell r="Z352" t="str">
            <v>Si</v>
          </cell>
        </row>
        <row r="353">
          <cell r="W353" t="str">
            <v>REP-0334</v>
          </cell>
          <cell r="X353" t="str">
            <v>28.00.081</v>
          </cell>
          <cell r="Y353" t="str">
            <v>Filtro de sedimento vigaflow DESCATALOGADO</v>
          </cell>
          <cell r="Z353" t="str">
            <v>No</v>
          </cell>
        </row>
        <row r="354">
          <cell r="W354" t="str">
            <v>REP-0335</v>
          </cell>
          <cell r="X354" t="str">
            <v/>
          </cell>
          <cell r="Y354" t="str">
            <v>Filtro de carbón block Vigaflow DESCATALOGADO</v>
          </cell>
          <cell r="Z354" t="str">
            <v>No</v>
          </cell>
        </row>
        <row r="355">
          <cell r="W355" t="str">
            <v>REP-0336</v>
          </cell>
          <cell r="X355">
            <v>0</v>
          </cell>
          <cell r="Y355" t="str">
            <v>Visera para display de 4 cifras</v>
          </cell>
          <cell r="Z355" t="str">
            <v>Si</v>
          </cell>
        </row>
        <row r="356">
          <cell r="W356" t="str">
            <v>REP-0337</v>
          </cell>
          <cell r="X356">
            <v>0</v>
          </cell>
          <cell r="Y356" t="str">
            <v>Valvula bola 1/2</v>
          </cell>
          <cell r="Z356" t="str">
            <v>Si</v>
          </cell>
        </row>
        <row r="357">
          <cell r="W357" t="str">
            <v>REP-0338</v>
          </cell>
          <cell r="X357">
            <v>0</v>
          </cell>
          <cell r="Y357" t="str">
            <v>Copla bronce hihi 1/2 nacional</v>
          </cell>
          <cell r="Z357" t="str">
            <v>Si</v>
          </cell>
        </row>
        <row r="358">
          <cell r="W358" t="str">
            <v>REP-0339</v>
          </cell>
          <cell r="X358">
            <v>0</v>
          </cell>
          <cell r="Y358" t="str">
            <v>Kit analizador de durezas de alto rango 100 determinaciones</v>
          </cell>
          <cell r="Z358" t="str">
            <v>Si</v>
          </cell>
        </row>
        <row r="359">
          <cell r="W359" t="str">
            <v>REP-0340</v>
          </cell>
          <cell r="X359">
            <v>0</v>
          </cell>
          <cell r="Y359" t="str">
            <v>Pulsador armado azul contacto NO</v>
          </cell>
          <cell r="Z359" t="str">
            <v>Si</v>
          </cell>
        </row>
        <row r="360">
          <cell r="W360" t="str">
            <v>REP-0341</v>
          </cell>
          <cell r="X360">
            <v>0</v>
          </cell>
          <cell r="Y360" t="str">
            <v>Kit analizador de durezas bajo rango 100 determinaciones</v>
          </cell>
          <cell r="Z360" t="str">
            <v>Si</v>
          </cell>
        </row>
        <row r="361">
          <cell r="W361" t="str">
            <v>REP-0342</v>
          </cell>
          <cell r="X361">
            <v>0</v>
          </cell>
          <cell r="Y361" t="str">
            <v>Protector negro pistola lanza perdente DESCATALOGADO</v>
          </cell>
          <cell r="Z361" t="str">
            <v>No</v>
          </cell>
        </row>
        <row r="362">
          <cell r="W362" t="str">
            <v>REP-0343</v>
          </cell>
          <cell r="X362" t="str">
            <v/>
          </cell>
          <cell r="Y362" t="str">
            <v>Puerta mself para display 4 cifras DESCATALOGADO</v>
          </cell>
          <cell r="Z362" t="str">
            <v>No</v>
          </cell>
        </row>
        <row r="363">
          <cell r="W363" t="str">
            <v>REP-0344</v>
          </cell>
          <cell r="X363" t="str">
            <v>09.02.088</v>
          </cell>
          <cell r="Y363" t="str">
            <v>EV 1/2 100 bar mousse</v>
          </cell>
          <cell r="Z363" t="str">
            <v>Si</v>
          </cell>
        </row>
        <row r="364">
          <cell r="W364" t="str">
            <v>REP-0345</v>
          </cell>
          <cell r="X364" t="str">
            <v>V-17</v>
          </cell>
          <cell r="Y364" t="str">
            <v>Termo 100lt Trotter inoxidable 6 kw</v>
          </cell>
          <cell r="Z364" t="str">
            <v>Si</v>
          </cell>
        </row>
        <row r="365">
          <cell r="W365" t="str">
            <v>REP-0346</v>
          </cell>
          <cell r="X365" t="str">
            <v/>
          </cell>
          <cell r="Y365" t="str">
            <v>Soporte de plástico para manguera de soplado</v>
          </cell>
          <cell r="Z365" t="str">
            <v>Si</v>
          </cell>
        </row>
        <row r="366">
          <cell r="W366" t="str">
            <v>REP-0347</v>
          </cell>
          <cell r="X366" t="str">
            <v>09.01.786</v>
          </cell>
          <cell r="Y366" t="str">
            <v>Contactor eaton 24V</v>
          </cell>
          <cell r="Z366" t="str">
            <v>Si</v>
          </cell>
        </row>
        <row r="367">
          <cell r="W367" t="str">
            <v>REP-0348</v>
          </cell>
          <cell r="X367" t="str">
            <v>09.03.172</v>
          </cell>
          <cell r="Y367" t="str">
            <v>Diferencial tipo B SIEMENE 5SV3342-4</v>
          </cell>
          <cell r="Z367" t="str">
            <v>Si</v>
          </cell>
        </row>
        <row r="368">
          <cell r="W368" t="str">
            <v>REP-0349</v>
          </cell>
          <cell r="X368" t="str">
            <v>REP- 0349</v>
          </cell>
          <cell r="Y368" t="str">
            <v>Ablandador residencial 13x54" vigaflow DESCATALOGADO</v>
          </cell>
          <cell r="Z368" t="str">
            <v>No</v>
          </cell>
        </row>
        <row r="369">
          <cell r="W369" t="str">
            <v>REP-0350</v>
          </cell>
          <cell r="X369" t="str">
            <v>09.03.059ROSSO</v>
          </cell>
          <cell r="Y369" t="str">
            <v>Manguera 3,5 mts color rojo</v>
          </cell>
          <cell r="Z369" t="str">
            <v>Si</v>
          </cell>
        </row>
        <row r="370">
          <cell r="W370" t="str">
            <v>REP-0351</v>
          </cell>
          <cell r="X370" t="str">
            <v>09.03.060GRIGIO</v>
          </cell>
          <cell r="Y370" t="str">
            <v>Manguera 4,7 mts color gris</v>
          </cell>
          <cell r="Z370" t="str">
            <v>Si</v>
          </cell>
        </row>
        <row r="371">
          <cell r="W371" t="str">
            <v>REP-0352</v>
          </cell>
          <cell r="X371" t="str">
            <v>09.03.092GRIGIO</v>
          </cell>
          <cell r="Y371" t="str">
            <v>Manguera 4,0 mts color gris</v>
          </cell>
          <cell r="Z371" t="str">
            <v>Si</v>
          </cell>
        </row>
        <row r="372">
          <cell r="W372" t="str">
            <v>REP-0353</v>
          </cell>
          <cell r="X372" t="str">
            <v>09.01.386S</v>
          </cell>
          <cell r="Y372" t="str">
            <v>Fichero RM5</v>
          </cell>
          <cell r="Z372" t="str">
            <v>Si</v>
          </cell>
        </row>
        <row r="373">
          <cell r="W373" t="str">
            <v>REP-0354</v>
          </cell>
          <cell r="X373">
            <v>0</v>
          </cell>
          <cell r="Y373" t="str">
            <v>Reducción 1/2 he x 1/4 hi bronce</v>
          </cell>
          <cell r="Z373" t="str">
            <v>Si</v>
          </cell>
        </row>
        <row r="374">
          <cell r="W374" t="str">
            <v>REP-0355</v>
          </cell>
          <cell r="X374">
            <v>0</v>
          </cell>
          <cell r="Y374" t="str">
            <v>Oring para boquilla pistola mousse</v>
          </cell>
          <cell r="Z374" t="str">
            <v>Si</v>
          </cell>
        </row>
        <row r="375">
          <cell r="W375" t="str">
            <v>REP-0356</v>
          </cell>
          <cell r="X375" t="str">
            <v>X752-915-001</v>
          </cell>
          <cell r="Y375" t="str">
            <v>Ficha lavado Abastible self service car wash/tu lavas tu brillas</v>
          </cell>
          <cell r="Z375" t="str">
            <v>Si</v>
          </cell>
        </row>
        <row r="376">
          <cell r="W376" t="str">
            <v>REP-0357</v>
          </cell>
          <cell r="X376" t="str">
            <v>09.03.092ROSSO</v>
          </cell>
          <cell r="Y376" t="str">
            <v>Manguera 4,0 mts color rojo</v>
          </cell>
          <cell r="Z376" t="str">
            <v>Si</v>
          </cell>
        </row>
        <row r="377">
          <cell r="W377" t="str">
            <v>REP-0358</v>
          </cell>
          <cell r="X377">
            <v>0</v>
          </cell>
          <cell r="Y377" t="str">
            <v>28.00.130 Filtro de carbón granular vigaflow HDF-10 DESCATALOGADO</v>
          </cell>
          <cell r="Z377" t="str">
            <v>No</v>
          </cell>
        </row>
        <row r="378">
          <cell r="W378" t="str">
            <v>REP-0359</v>
          </cell>
          <cell r="X378" t="str">
            <v>XTST-107-001</v>
          </cell>
          <cell r="Y378" t="str">
            <v>FICHA ASPIRADO PBR COBRE  Time Saver Token</v>
          </cell>
          <cell r="Z378" t="str">
            <v>No</v>
          </cell>
        </row>
        <row r="379">
          <cell r="W379" t="str">
            <v>REP-0360</v>
          </cell>
          <cell r="X379" t="str">
            <v>X230-440-001</v>
          </cell>
          <cell r="Y379" t="str">
            <v>Ficha dorada lava interni Lavamax multifunción</v>
          </cell>
          <cell r="Z379" t="str">
            <v>Si</v>
          </cell>
        </row>
        <row r="380">
          <cell r="W380" t="str">
            <v>REP-0361</v>
          </cell>
          <cell r="X380" t="str">
            <v>09.01.373</v>
          </cell>
          <cell r="Y380" t="str">
            <v>Carcasa de membrana de osmosis</v>
          </cell>
          <cell r="Z380" t="str">
            <v>Si</v>
          </cell>
        </row>
        <row r="381">
          <cell r="W381" t="str">
            <v>REP-0362</v>
          </cell>
          <cell r="X381" t="str">
            <v>09.03.164</v>
          </cell>
          <cell r="Y381" t="str">
            <v>Mango pistola mousse</v>
          </cell>
          <cell r="Z381" t="str">
            <v>Si</v>
          </cell>
        </row>
        <row r="382">
          <cell r="W382" t="str">
            <v>REP-0363</v>
          </cell>
          <cell r="X382" t="str">
            <v>09.03.162</v>
          </cell>
          <cell r="Y382" t="str">
            <v>Boquilla y cuerpo lanza mousse</v>
          </cell>
          <cell r="Z382" t="str">
            <v>Si</v>
          </cell>
        </row>
        <row r="383">
          <cell r="W383" t="str">
            <v>REP-0364</v>
          </cell>
          <cell r="X383" t="str">
            <v>09.03.165</v>
          </cell>
          <cell r="Y383" t="str">
            <v>Bomba dosificadora de mousse</v>
          </cell>
          <cell r="Z383" t="str">
            <v>Si</v>
          </cell>
        </row>
        <row r="384">
          <cell r="W384" t="str">
            <v>REP-0365</v>
          </cell>
          <cell r="X384">
            <v>0</v>
          </cell>
          <cell r="Y384" t="str">
            <v>Extension Manguera color rojo 1 mt</v>
          </cell>
          <cell r="Z384" t="str">
            <v>Si</v>
          </cell>
        </row>
        <row r="385">
          <cell r="W385" t="str">
            <v>REP-0366</v>
          </cell>
          <cell r="X385" t="str">
            <v/>
          </cell>
          <cell r="Y385" t="str">
            <v>Codo bronce 1/4 hehi</v>
          </cell>
          <cell r="Z385" t="str">
            <v>Si</v>
          </cell>
        </row>
        <row r="386">
          <cell r="W386" t="str">
            <v>REP-0367</v>
          </cell>
          <cell r="X386" t="str">
            <v>REP-0367</v>
          </cell>
          <cell r="Y386" t="str">
            <v>Resina catiónica G8 CG8 saco de 28,32L</v>
          </cell>
          <cell r="Z386" t="str">
            <v>Si</v>
          </cell>
        </row>
        <row r="387">
          <cell r="W387" t="str">
            <v>REP-0368</v>
          </cell>
          <cell r="X387" t="str">
            <v>REP-0368</v>
          </cell>
          <cell r="Y387" t="str">
            <v>Gravilla silica malla 4"-8" saco</v>
          </cell>
          <cell r="Z387" t="str">
            <v>Si</v>
          </cell>
        </row>
        <row r="388">
          <cell r="W388" t="str">
            <v>REP-0369</v>
          </cell>
          <cell r="X388" t="str">
            <v/>
          </cell>
          <cell r="Y388" t="str">
            <v>Membrana de osmosis HF1</v>
          </cell>
          <cell r="Z388" t="str">
            <v>Si</v>
          </cell>
        </row>
        <row r="389">
          <cell r="W389" t="str">
            <v>REP-0370</v>
          </cell>
          <cell r="X389" t="str">
            <v/>
          </cell>
          <cell r="Y389" t="str">
            <v>Membrana de osmosis HR3</v>
          </cell>
          <cell r="Z389" t="str">
            <v>Si</v>
          </cell>
        </row>
        <row r="390">
          <cell r="W390" t="str">
            <v>REP-0371</v>
          </cell>
          <cell r="X390" t="str">
            <v/>
          </cell>
          <cell r="Y390" t="str">
            <v>Ficha mod "B" no personalizadas (ex Abastible)</v>
          </cell>
          <cell r="Z390" t="str">
            <v>Si</v>
          </cell>
        </row>
        <row r="391">
          <cell r="W391" t="str">
            <v>REP-0372</v>
          </cell>
          <cell r="X391" t="str">
            <v/>
          </cell>
          <cell r="Y391" t="str">
            <v>Ficha vacuum plateada (aspiradora)</v>
          </cell>
          <cell r="Z391" t="str">
            <v>Si</v>
          </cell>
        </row>
        <row r="392">
          <cell r="W392" t="str">
            <v>REP-0373</v>
          </cell>
          <cell r="X392" t="str">
            <v/>
          </cell>
          <cell r="Y392" t="str">
            <v>Ficha carwash dorada (auto covertible)</v>
          </cell>
          <cell r="Z392" t="str">
            <v>Si</v>
          </cell>
        </row>
        <row r="393">
          <cell r="W393" t="str">
            <v>REP-0374</v>
          </cell>
          <cell r="X393" t="str">
            <v>09.03.207</v>
          </cell>
          <cell r="Y393" t="str">
            <v>Cubre fichero (lava interior)</v>
          </cell>
          <cell r="Z393" t="str">
            <v>Si</v>
          </cell>
        </row>
        <row r="394">
          <cell r="W394" t="str">
            <v>REP-0375</v>
          </cell>
          <cell r="X394" t="str">
            <v>09.03.209</v>
          </cell>
          <cell r="Y394" t="str">
            <v>Tarjeta electrónica lavainterior (lava interior)</v>
          </cell>
          <cell r="Z394" t="str">
            <v>Si</v>
          </cell>
        </row>
        <row r="395">
          <cell r="W395" t="str">
            <v>REP-0376</v>
          </cell>
          <cell r="X395" t="str">
            <v>09.03.210</v>
          </cell>
          <cell r="Y395" t="str">
            <v>Alimentador para tarjeta electrónica (lava interior)</v>
          </cell>
          <cell r="Z395" t="str">
            <v>Si</v>
          </cell>
        </row>
        <row r="396">
          <cell r="W396" t="str">
            <v>REP-0377</v>
          </cell>
          <cell r="X396" t="str">
            <v>09.03.211</v>
          </cell>
          <cell r="Y396" t="str">
            <v>Pulsador azul luminoso (lava interior)</v>
          </cell>
          <cell r="Z396" t="str">
            <v>Si</v>
          </cell>
        </row>
        <row r="397">
          <cell r="W397" t="str">
            <v>REP-0378</v>
          </cell>
          <cell r="X397" t="str">
            <v>09.03.212</v>
          </cell>
          <cell r="Y397" t="str">
            <v>Pulsador rojo luminoso (lava interior)</v>
          </cell>
          <cell r="Z397" t="str">
            <v>Si</v>
          </cell>
        </row>
        <row r="398">
          <cell r="W398" t="str">
            <v>REP-0379</v>
          </cell>
          <cell r="X398" t="str">
            <v>09.03.213</v>
          </cell>
          <cell r="Y398" t="str">
            <v>Bomba producto electromagnética (lava interior)</v>
          </cell>
          <cell r="Z398" t="str">
            <v>Si</v>
          </cell>
        </row>
        <row r="399">
          <cell r="W399" t="str">
            <v>REP-0380</v>
          </cell>
          <cell r="X399" t="str">
            <v>09.03.214</v>
          </cell>
          <cell r="Y399" t="str">
            <v>Espiral + pistola perfume (lava interior)</v>
          </cell>
          <cell r="Z399" t="str">
            <v>Si</v>
          </cell>
        </row>
        <row r="400">
          <cell r="W400" t="str">
            <v>REP-0381</v>
          </cell>
          <cell r="X400" t="str">
            <v>09.03.215</v>
          </cell>
          <cell r="Y400" t="str">
            <v>Espiral + pistola renovador (lava interior)</v>
          </cell>
          <cell r="Z400" t="str">
            <v>Si</v>
          </cell>
        </row>
        <row r="401">
          <cell r="W401" t="str">
            <v>REP-0382</v>
          </cell>
          <cell r="X401" t="str">
            <v>09.03.217</v>
          </cell>
          <cell r="Y401" t="str">
            <v>Filtro metálico aspirado (lava interior)</v>
          </cell>
          <cell r="Z401" t="str">
            <v>Si</v>
          </cell>
        </row>
        <row r="402">
          <cell r="W402" t="str">
            <v>REP-0383</v>
          </cell>
          <cell r="X402" t="str">
            <v>09.03.218</v>
          </cell>
          <cell r="Y402" t="str">
            <v>Kit aspiradora, boquilla, manguito y sujetador (lava interior)</v>
          </cell>
          <cell r="Z402" t="str">
            <v>Si</v>
          </cell>
        </row>
        <row r="403">
          <cell r="W403" t="str">
            <v>REP-0384</v>
          </cell>
          <cell r="X403" t="str">
            <v>09.03.219</v>
          </cell>
          <cell r="Y403" t="str">
            <v>Manguera flexible aspirador (lava interior)</v>
          </cell>
          <cell r="Z403" t="str">
            <v>No</v>
          </cell>
        </row>
        <row r="404">
          <cell r="W404" t="str">
            <v>REP-0385</v>
          </cell>
          <cell r="X404" t="str">
            <v>09.03.220</v>
          </cell>
          <cell r="Y404" t="str">
            <v>Boquilla lavainteriores dry (lava interior)</v>
          </cell>
          <cell r="Z404" t="str">
            <v>Si</v>
          </cell>
        </row>
        <row r="405">
          <cell r="W405" t="str">
            <v>REP-0386</v>
          </cell>
          <cell r="X405" t="str">
            <v>09.03.221</v>
          </cell>
          <cell r="Y405" t="str">
            <v>Cepillo completo lavainteriores (lava interior)</v>
          </cell>
          <cell r="Z405" t="str">
            <v>Si</v>
          </cell>
        </row>
        <row r="406">
          <cell r="W406" t="str">
            <v>REP-0387</v>
          </cell>
          <cell r="X406" t="str">
            <v>09.03.222</v>
          </cell>
          <cell r="Y406" t="str">
            <v>Espiral lavainteriores dry (lava interior)</v>
          </cell>
          <cell r="Z406" t="str">
            <v>Si</v>
          </cell>
        </row>
        <row r="407">
          <cell r="W407" t="str">
            <v>REP-0388</v>
          </cell>
          <cell r="X407" t="str">
            <v>09.03.223</v>
          </cell>
          <cell r="Y407" t="str">
            <v>Manguera aspiración agua delgada (lava interior)</v>
          </cell>
          <cell r="Z407" t="str">
            <v>Si</v>
          </cell>
        </row>
        <row r="408">
          <cell r="W408" t="str">
            <v>REP-0389</v>
          </cell>
          <cell r="X408" t="str">
            <v>09.03.224</v>
          </cell>
          <cell r="Y408" t="str">
            <v>Motor modulo aspiración agua (lava interior)</v>
          </cell>
          <cell r="Z408" t="str">
            <v>Si</v>
          </cell>
        </row>
        <row r="409">
          <cell r="W409" t="str">
            <v>REP-0390</v>
          </cell>
          <cell r="X409" t="str">
            <v>09.03.225</v>
          </cell>
          <cell r="Y409" t="str">
            <v>Bomba modulo lavainteriores dry (lava interior)</v>
          </cell>
          <cell r="Z409" t="str">
            <v>Si</v>
          </cell>
        </row>
        <row r="410">
          <cell r="W410" t="str">
            <v>REP-0391</v>
          </cell>
          <cell r="X410" t="str">
            <v>09.03.226</v>
          </cell>
          <cell r="Y410" t="str">
            <v>Bisagra (lava interior)</v>
          </cell>
          <cell r="Z410" t="str">
            <v>Si</v>
          </cell>
        </row>
        <row r="411">
          <cell r="W411" t="str">
            <v>REP-0392</v>
          </cell>
          <cell r="X411" t="str">
            <v>09.03.227</v>
          </cell>
          <cell r="Y411" t="str">
            <v>Cerradura (lava interior)</v>
          </cell>
          <cell r="Z411" t="str">
            <v>Si</v>
          </cell>
        </row>
        <row r="412">
          <cell r="W412" t="str">
            <v>REP-0393</v>
          </cell>
          <cell r="X412" t="str">
            <v>09.03.228</v>
          </cell>
          <cell r="Y412" t="str">
            <v>Palanca interior cerradura (lava interior)</v>
          </cell>
          <cell r="Z412" t="str">
            <v>Si</v>
          </cell>
        </row>
        <row r="413">
          <cell r="W413" t="str">
            <v>REP-0394</v>
          </cell>
          <cell r="X413" t="str">
            <v>09.03.229</v>
          </cell>
          <cell r="Y413" t="str">
            <v>Interruptor ON/OFF (lava interior)</v>
          </cell>
          <cell r="Z413" t="str">
            <v>Si</v>
          </cell>
        </row>
        <row r="414">
          <cell r="W414" t="str">
            <v>REP-0395</v>
          </cell>
          <cell r="X414" t="str">
            <v>09.03.230</v>
          </cell>
          <cell r="Y414" t="str">
            <v>Cable (lava interior)</v>
          </cell>
          <cell r="Z414" t="str">
            <v>Si</v>
          </cell>
        </row>
        <row r="415">
          <cell r="W415" t="str">
            <v>REP-0396</v>
          </cell>
          <cell r="X415" t="str">
            <v>09.03.231</v>
          </cell>
          <cell r="Y415" t="str">
            <v>Perilla timer de programas (lava interior)</v>
          </cell>
          <cell r="Z415" t="str">
            <v>Si</v>
          </cell>
        </row>
        <row r="416">
          <cell r="W416" t="str">
            <v>REP-0397</v>
          </cell>
          <cell r="X416" t="str">
            <v>09.03.232</v>
          </cell>
          <cell r="Y416" t="str">
            <v>Contactor 24V NO (lava interior)</v>
          </cell>
          <cell r="Z416" t="str">
            <v>Si</v>
          </cell>
        </row>
        <row r="417">
          <cell r="W417" t="str">
            <v>REP-0398</v>
          </cell>
          <cell r="X417" t="str">
            <v>09.03.233</v>
          </cell>
          <cell r="Y417" t="str">
            <v>Interruptor térmico 4.2-5.7A (lava interior)</v>
          </cell>
          <cell r="Z417" t="str">
            <v>Si</v>
          </cell>
        </row>
        <row r="418">
          <cell r="W418" t="str">
            <v>REP-0399</v>
          </cell>
          <cell r="X418" t="str">
            <v>09.03.234</v>
          </cell>
          <cell r="Y418" t="str">
            <v>Mango sujetador aspirado interior(lava interior)</v>
          </cell>
          <cell r="Z418" t="str">
            <v>Si</v>
          </cell>
        </row>
        <row r="419">
          <cell r="W419" t="str">
            <v>REP-0400</v>
          </cell>
          <cell r="X419" t="str">
            <v>09.03.235</v>
          </cell>
          <cell r="Y419" t="str">
            <v>Electroválvula 230V 50HZ 1/4 (lava interior)</v>
          </cell>
          <cell r="Z419" t="str">
            <v>Si</v>
          </cell>
        </row>
        <row r="420">
          <cell r="W420" t="str">
            <v>REP-0401</v>
          </cell>
          <cell r="X420" t="str">
            <v>09.03.236</v>
          </cell>
          <cell r="Y420" t="str">
            <v>Gancho (lava interior)</v>
          </cell>
          <cell r="Z420" t="str">
            <v>Si</v>
          </cell>
        </row>
        <row r="421">
          <cell r="W421" t="str">
            <v>REP-0402</v>
          </cell>
          <cell r="X421" t="str">
            <v>09.03.237</v>
          </cell>
          <cell r="Y421" t="str">
            <v>Boquilla plana (lava interior)</v>
          </cell>
          <cell r="Z421" t="str">
            <v>No</v>
          </cell>
        </row>
        <row r="422">
          <cell r="W422" t="str">
            <v>REP-0403</v>
          </cell>
          <cell r="X422" t="str">
            <v>09.03.238</v>
          </cell>
          <cell r="Y422" t="str">
            <v>Módulo regulador y mezcla producto (lava interior)</v>
          </cell>
          <cell r="Z422" t="str">
            <v>Si</v>
          </cell>
        </row>
        <row r="423">
          <cell r="W423" t="str">
            <v>REP-0404</v>
          </cell>
          <cell r="X423" t="str">
            <v>09.03.239</v>
          </cell>
          <cell r="Y423" t="str">
            <v>Contactor 230V NO (lava interior)</v>
          </cell>
          <cell r="Z423" t="str">
            <v>Si</v>
          </cell>
        </row>
        <row r="424">
          <cell r="W424" t="str">
            <v>REP-0405</v>
          </cell>
          <cell r="X424" t="str">
            <v>09.03.240</v>
          </cell>
          <cell r="Y424" t="str">
            <v>Motor aspirado con turbina (lava interior)</v>
          </cell>
          <cell r="Z424" t="str">
            <v>Si</v>
          </cell>
        </row>
        <row r="425">
          <cell r="W425" t="str">
            <v>REP-0406</v>
          </cell>
          <cell r="X425" t="str">
            <v>09.03.241</v>
          </cell>
          <cell r="Y425" t="str">
            <v>Codo 45° entrada tambor aspirado (lava interior)</v>
          </cell>
          <cell r="Z425" t="str">
            <v>Si</v>
          </cell>
        </row>
        <row r="426">
          <cell r="W426" t="str">
            <v>REP-0407</v>
          </cell>
          <cell r="X426" t="str">
            <v>09.03.242</v>
          </cell>
          <cell r="Y426" t="str">
            <v>Acople rápido de bombas (lava interior)</v>
          </cell>
          <cell r="Z426" t="str">
            <v>Si</v>
          </cell>
        </row>
        <row r="427">
          <cell r="W427" t="str">
            <v>REP-0408</v>
          </cell>
          <cell r="X427" t="str">
            <v>09.03.243</v>
          </cell>
          <cell r="Y427" t="str">
            <v>Tubo a espiral para perfume (lava interior)</v>
          </cell>
          <cell r="Z427" t="str">
            <v>Si</v>
          </cell>
        </row>
        <row r="428">
          <cell r="W428" t="str">
            <v>REP-0409</v>
          </cell>
          <cell r="X428" t="str">
            <v>09.03.245</v>
          </cell>
          <cell r="Y428" t="str">
            <v>Telaio SD/TI (lava interior)</v>
          </cell>
          <cell r="Z428" t="str">
            <v>Si</v>
          </cell>
        </row>
        <row r="429">
          <cell r="W429" t="str">
            <v>REP-0410</v>
          </cell>
          <cell r="X429" t="str">
            <v>09.03.246</v>
          </cell>
          <cell r="Y429" t="str">
            <v>Boquilla bronce para pistola (lava interior)</v>
          </cell>
          <cell r="Z429" t="str">
            <v>Si</v>
          </cell>
        </row>
        <row r="430">
          <cell r="W430" t="str">
            <v>REP-0411</v>
          </cell>
          <cell r="X430" t="str">
            <v/>
          </cell>
          <cell r="Y430" t="str">
            <v>Tubo (lava interior)</v>
          </cell>
          <cell r="Z430" t="str">
            <v>No</v>
          </cell>
        </row>
        <row r="431">
          <cell r="W431" t="str">
            <v>REP-0412</v>
          </cell>
          <cell r="X431" t="str">
            <v>09.03.248</v>
          </cell>
          <cell r="Y431" t="str">
            <v>Boquilla verde para pistola (lava interior)</v>
          </cell>
          <cell r="Z431" t="str">
            <v>Si</v>
          </cell>
        </row>
        <row r="432">
          <cell r="W432" t="str">
            <v>REP-0413</v>
          </cell>
          <cell r="X432" t="str">
            <v>09.03.249</v>
          </cell>
          <cell r="Y432" t="str">
            <v>Tambor cilíndrico filtro aspirado</v>
          </cell>
          <cell r="Z432" t="str">
            <v>Si</v>
          </cell>
        </row>
        <row r="433">
          <cell r="W433" t="str">
            <v>REP-0414</v>
          </cell>
          <cell r="X433" t="str">
            <v>09.03.250</v>
          </cell>
          <cell r="Y433" t="str">
            <v>Manguito boquilla aspirado lava tapiz (lava interior)</v>
          </cell>
          <cell r="Z433" t="str">
            <v>Si</v>
          </cell>
        </row>
        <row r="434">
          <cell r="W434" t="str">
            <v>REP-0415</v>
          </cell>
          <cell r="X434" t="str">
            <v>09.03.251</v>
          </cell>
          <cell r="Y434" t="str">
            <v>Display (lava interior)</v>
          </cell>
          <cell r="Z434" t="str">
            <v>Si</v>
          </cell>
        </row>
        <row r="435">
          <cell r="W435" t="str">
            <v>REP-0416</v>
          </cell>
          <cell r="X435" t="str">
            <v>09.03.186</v>
          </cell>
          <cell r="Y435" t="str">
            <v>Cubrefichero inox plus 2022</v>
          </cell>
          <cell r="Z435" t="str">
            <v>Si</v>
          </cell>
        </row>
        <row r="436">
          <cell r="W436" t="str">
            <v>REP-0417</v>
          </cell>
          <cell r="X436" t="str">
            <v>09.03.187</v>
          </cell>
          <cell r="Y436" t="str">
            <v>Lexan para cubrefichero plus 2022</v>
          </cell>
          <cell r="Z436" t="str">
            <v>Si</v>
          </cell>
        </row>
        <row r="437">
          <cell r="W437" t="str">
            <v>REP-0418</v>
          </cell>
          <cell r="X437" t="str">
            <v/>
          </cell>
          <cell r="Y437" t="str">
            <v>Unión americana inox 1/2</v>
          </cell>
          <cell r="Z437" t="str">
            <v>Si</v>
          </cell>
        </row>
        <row r="438">
          <cell r="W438" t="str">
            <v>REP-0419</v>
          </cell>
          <cell r="X438" t="str">
            <v>09.03.247</v>
          </cell>
          <cell r="Y438" t="str">
            <v>Manguera silicona D8/D5 150cm (lava interior)</v>
          </cell>
          <cell r="Z438" t="str">
            <v>Si</v>
          </cell>
        </row>
        <row r="439">
          <cell r="W439" t="str">
            <v>REP-0420</v>
          </cell>
          <cell r="X439" t="str">
            <v>09.03.248</v>
          </cell>
          <cell r="Y439" t="str">
            <v>DESCATALOGADO BOQUILLA ATOMIZADORA DE PERFUME 1/4 (EQUIPOLAVAINTERIORES)</v>
          </cell>
          <cell r="Z439" t="str">
            <v>No</v>
          </cell>
        </row>
        <row r="440">
          <cell r="W440" t="str">
            <v>REP-0421</v>
          </cell>
          <cell r="X440" t="str">
            <v>09.03.249</v>
          </cell>
          <cell r="Y440" t="str">
            <v>Cilindro D365 inox 55L</v>
          </cell>
          <cell r="Z440" t="str">
            <v>No</v>
          </cell>
        </row>
        <row r="441">
          <cell r="W441" t="str">
            <v>REP-0422</v>
          </cell>
          <cell r="X441" t="str">
            <v>09.03.250</v>
          </cell>
          <cell r="Y441" t="str">
            <v>DESCATALOGADO MANGUITO GIRATORIO MACHO D36 (EQUIPOLAVAINTERIOR)</v>
          </cell>
          <cell r="Z441" t="str">
            <v>No</v>
          </cell>
        </row>
        <row r="442">
          <cell r="W442" t="str">
            <v>REP-0423</v>
          </cell>
          <cell r="X442" t="str">
            <v>09.03.251</v>
          </cell>
          <cell r="Y442" t="str">
            <v>DISPLAY CGD (LAVAINTERIORES)</v>
          </cell>
          <cell r="Z442" t="str">
            <v>No</v>
          </cell>
        </row>
        <row r="443">
          <cell r="W443" t="str">
            <v>REP-0424</v>
          </cell>
          <cell r="X443" t="str">
            <v/>
          </cell>
          <cell r="Y443" t="str">
            <v>Niple bronce 3/8 he x 1/4 he</v>
          </cell>
          <cell r="Z443" t="str">
            <v>Si</v>
          </cell>
        </row>
        <row r="444">
          <cell r="W444" t="str">
            <v>REP-0425</v>
          </cell>
          <cell r="X444" t="str">
            <v/>
          </cell>
          <cell r="Y444" t="str">
            <v>Niple bronce 1/4 hehe</v>
          </cell>
          <cell r="Z444" t="str">
            <v>Si</v>
          </cell>
        </row>
        <row r="445">
          <cell r="W445" t="str">
            <v>REP-0426</v>
          </cell>
          <cell r="X445" t="str">
            <v/>
          </cell>
          <cell r="Y445" t="str">
            <v>Niple bronce 3/4 he x 1/2 hi</v>
          </cell>
          <cell r="Z445" t="str">
            <v>Si</v>
          </cell>
        </row>
        <row r="446">
          <cell r="W446" t="str">
            <v>REP-0427</v>
          </cell>
          <cell r="X446" t="str">
            <v/>
          </cell>
          <cell r="Y446" t="str">
            <v>Niple bronce 3/4 hi x 1/2 he</v>
          </cell>
          <cell r="Z446" t="str">
            <v>Si</v>
          </cell>
        </row>
        <row r="447">
          <cell r="W447" t="str">
            <v>REP-0428</v>
          </cell>
          <cell r="X447" t="str">
            <v/>
          </cell>
          <cell r="Y447" t="str">
            <v>Terminal cachimba 1/2 HI</v>
          </cell>
          <cell r="Z447" t="str">
            <v>Si</v>
          </cell>
        </row>
        <row r="448">
          <cell r="W448" t="str">
            <v>REP-0429</v>
          </cell>
          <cell r="X448" t="str">
            <v/>
          </cell>
          <cell r="Y448" t="str">
            <v>Terminal cachimba 1/2 HE</v>
          </cell>
          <cell r="Z448" t="str">
            <v>Si</v>
          </cell>
        </row>
        <row r="449">
          <cell r="W449" t="str">
            <v>REP-0430</v>
          </cell>
          <cell r="X449" t="str">
            <v/>
          </cell>
          <cell r="Y449" t="str">
            <v>membranas de osmosis de CSM RE4021-BLN-K</v>
          </cell>
          <cell r="Z449" t="str">
            <v>Si</v>
          </cell>
        </row>
        <row r="450">
          <cell r="W450" t="str">
            <v>REP-0431</v>
          </cell>
          <cell r="X450" t="str">
            <v>V1CIDMF</v>
          </cell>
          <cell r="Y450" t="str">
            <v>Cabezal ablandador down flow válvula cleck</v>
          </cell>
          <cell r="Z450" t="str">
            <v>Si</v>
          </cell>
        </row>
        <row r="451">
          <cell r="W451" t="str">
            <v>REP-0432</v>
          </cell>
          <cell r="X451" t="str">
            <v>30.00.073</v>
          </cell>
          <cell r="Y451" t="str">
            <v>Codo inox 1/2 hehi</v>
          </cell>
          <cell r="Z451" t="str">
            <v>Si</v>
          </cell>
        </row>
        <row r="452">
          <cell r="W452" t="str">
            <v>REP-0433</v>
          </cell>
          <cell r="X452" t="str">
            <v>KIT 269</v>
          </cell>
          <cell r="Y452" t="str">
            <v>Kit 269 Interpump</v>
          </cell>
          <cell r="Z452" t="str">
            <v>Si</v>
          </cell>
        </row>
        <row r="453">
          <cell r="W453" t="str">
            <v>REP-0434</v>
          </cell>
          <cell r="X453" t="str">
            <v>KIT 271</v>
          </cell>
          <cell r="Y453" t="str">
            <v>Kit 271 Interpump</v>
          </cell>
          <cell r="Z453" t="str">
            <v>Si</v>
          </cell>
        </row>
        <row r="454">
          <cell r="W454" t="str">
            <v>REP-0435</v>
          </cell>
          <cell r="X454" t="str">
            <v>09.03.183</v>
          </cell>
          <cell r="Y454" t="str">
            <v>Tapa carcasa osmosis</v>
          </cell>
          <cell r="Z454" t="str">
            <v>Si</v>
          </cell>
        </row>
        <row r="455">
          <cell r="W455" t="str">
            <v>REP-0436</v>
          </cell>
          <cell r="X455" t="str">
            <v/>
          </cell>
          <cell r="Y455" t="str">
            <v>O´rings tapa carcasa de osmosis</v>
          </cell>
          <cell r="Z455" t="str">
            <v>Si</v>
          </cell>
        </row>
        <row r="456">
          <cell r="W456" t="str">
            <v>REP-0437</v>
          </cell>
          <cell r="X456" t="str">
            <v>343</v>
          </cell>
          <cell r="Y456" t="str">
            <v>Kit 343 bomba CAT</v>
          </cell>
          <cell r="Z456" t="str">
            <v>Si</v>
          </cell>
        </row>
        <row r="457">
          <cell r="W457" t="str">
            <v>REP-0438</v>
          </cell>
          <cell r="X457" t="str">
            <v>342</v>
          </cell>
          <cell r="Y457" t="str">
            <v>Kit 342 bomba CAT DESCATALOGADO</v>
          </cell>
          <cell r="Z457" t="str">
            <v>No</v>
          </cell>
        </row>
        <row r="458">
          <cell r="W458" t="str">
            <v>REP-0439</v>
          </cell>
          <cell r="X458" t="str">
            <v/>
          </cell>
          <cell r="Y458" t="str">
            <v>Bomba espa prisma 25 5M.</v>
          </cell>
          <cell r="Z458" t="str">
            <v>Si</v>
          </cell>
        </row>
        <row r="459">
          <cell r="W459" t="str">
            <v>REP-0440</v>
          </cell>
          <cell r="X459" t="str">
            <v>46798</v>
          </cell>
          <cell r="Y459" t="str">
            <v>Tapón rojo (bomba 3cp) CAT</v>
          </cell>
          <cell r="Z459" t="str">
            <v>Si</v>
          </cell>
        </row>
        <row r="460">
          <cell r="W460" t="str">
            <v>REP-0441</v>
          </cell>
          <cell r="X460" t="str">
            <v>46616</v>
          </cell>
          <cell r="Y460" t="str">
            <v>Culatín (bomba 3cp) CAT</v>
          </cell>
          <cell r="Z460" t="str">
            <v>Si</v>
          </cell>
        </row>
        <row r="461">
          <cell r="W461" t="str">
            <v>REP-0442</v>
          </cell>
          <cell r="X461" t="str">
            <v>504586951</v>
          </cell>
          <cell r="Y461" t="str">
            <v>Válvula rompe vacío</v>
          </cell>
          <cell r="Z461" t="str">
            <v>Si</v>
          </cell>
        </row>
        <row r="462">
          <cell r="W462" t="str">
            <v>REP-0443</v>
          </cell>
          <cell r="X462" t="str">
            <v/>
          </cell>
          <cell r="Y462" t="str">
            <v>Manguera espiral 8MM sin terminales color rojo</v>
          </cell>
          <cell r="Z462" t="str">
            <v>Si</v>
          </cell>
        </row>
        <row r="463">
          <cell r="W463" t="str">
            <v>REP-0444</v>
          </cell>
          <cell r="X463" t="str">
            <v/>
          </cell>
          <cell r="Y463" t="str">
            <v>Manguera 1mts 1/4 color negro</v>
          </cell>
          <cell r="Z463" t="str">
            <v>No</v>
          </cell>
        </row>
        <row r="464">
          <cell r="W464" t="str">
            <v>REP-0445</v>
          </cell>
          <cell r="X464" t="str">
            <v/>
          </cell>
          <cell r="Y464" t="str">
            <v>Kit mousse mix</v>
          </cell>
          <cell r="Z464" t="str">
            <v>Si</v>
          </cell>
        </row>
        <row r="465">
          <cell r="W465" t="str">
            <v>REP-0446</v>
          </cell>
          <cell r="X465" t="str">
            <v/>
          </cell>
          <cell r="Y465" t="str">
            <v>Resistencia termo Rheem 3200W</v>
          </cell>
          <cell r="Z465" t="str">
            <v>Si</v>
          </cell>
        </row>
        <row r="466">
          <cell r="W466" t="str">
            <v>REP-0447</v>
          </cell>
          <cell r="X466" t="str">
            <v/>
          </cell>
          <cell r="Y466" t="str">
            <v>Cabezal ablandador Aguasin HAF-1200</v>
          </cell>
          <cell r="Z466" t="str">
            <v>Si</v>
          </cell>
        </row>
        <row r="467">
          <cell r="W467" t="str">
            <v>REP-0448</v>
          </cell>
          <cell r="X467" t="str">
            <v>60.00.012</v>
          </cell>
          <cell r="Y467" t="str">
            <v>Sello para separador tambor aspirado</v>
          </cell>
          <cell r="Z467" t="str">
            <v>Si</v>
          </cell>
        </row>
        <row r="468">
          <cell r="W468" t="str">
            <v>REP-0449</v>
          </cell>
          <cell r="X468" t="str">
            <v>09.01.709</v>
          </cell>
          <cell r="Y468" t="str">
            <v>ACCESORIO CHAPA DE LAVADO</v>
          </cell>
          <cell r="Z468" t="str">
            <v>No</v>
          </cell>
        </row>
        <row r="469">
          <cell r="W469" t="str">
            <v>REP-0450</v>
          </cell>
          <cell r="X469" t="str">
            <v/>
          </cell>
          <cell r="Y469" t="str">
            <v>Ánodo magnesio delgado</v>
          </cell>
          <cell r="Z469" t="str">
            <v>Si</v>
          </cell>
        </row>
        <row r="470">
          <cell r="W470" t="str">
            <v>REP-0451</v>
          </cell>
          <cell r="X470" t="str">
            <v/>
          </cell>
          <cell r="Y470" t="str">
            <v>Tee acople rápido</v>
          </cell>
          <cell r="Z470" t="str">
            <v>Si</v>
          </cell>
        </row>
        <row r="471">
          <cell r="W471" t="str">
            <v>REP-0452</v>
          </cell>
          <cell r="X471" t="str">
            <v>37.00.048</v>
          </cell>
          <cell r="Y471" t="str">
            <v>Motor trifásico</v>
          </cell>
          <cell r="Z471" t="str">
            <v>Si</v>
          </cell>
        </row>
        <row r="472">
          <cell r="W472" t="str">
            <v>REP-0453</v>
          </cell>
          <cell r="X472" t="str">
            <v/>
          </cell>
          <cell r="Y472" t="str">
            <v>Compresor lavainteriores</v>
          </cell>
          <cell r="Z472" t="str">
            <v>Si</v>
          </cell>
        </row>
        <row r="473">
          <cell r="W473" t="str">
            <v>REP-0454</v>
          </cell>
          <cell r="X473" t="str">
            <v>09.01.975</v>
          </cell>
          <cell r="Y473" t="str">
            <v>Bomba dosificadora de producto</v>
          </cell>
          <cell r="Z473" t="str">
            <v>Si</v>
          </cell>
        </row>
        <row r="474">
          <cell r="W474" t="str">
            <v>REP-0455</v>
          </cell>
          <cell r="X474" t="str">
            <v/>
          </cell>
          <cell r="Y474" t="str">
            <v>Cabezal multifunción ROHS</v>
          </cell>
          <cell r="Z474" t="str">
            <v>Si</v>
          </cell>
        </row>
        <row r="475">
          <cell r="W475" t="str">
            <v>REP-0456</v>
          </cell>
          <cell r="X475" t="str">
            <v>23.00.173</v>
          </cell>
          <cell r="Y475" t="str">
            <v>Punto de control</v>
          </cell>
          <cell r="Z475" t="str">
            <v>Si</v>
          </cell>
        </row>
        <row r="476">
          <cell r="W476" t="str">
            <v>REP-0457</v>
          </cell>
          <cell r="X476" t="str">
            <v>23.00.270</v>
          </cell>
          <cell r="Y476" t="str">
            <v>Cuerpo de válvula 2000PF2</v>
          </cell>
          <cell r="Z476" t="str">
            <v>Si</v>
          </cell>
        </row>
        <row r="477">
          <cell r="W477" t="str">
            <v>REP-0458</v>
          </cell>
          <cell r="X477" t="str">
            <v>23.00.391</v>
          </cell>
          <cell r="Y477" t="str">
            <v>Disyuntor automático 4 polos</v>
          </cell>
          <cell r="Z477" t="str">
            <v>Si</v>
          </cell>
        </row>
        <row r="478">
          <cell r="W478" t="str">
            <v>REP-0459</v>
          </cell>
          <cell r="X478" t="str">
            <v/>
          </cell>
          <cell r="Y478" t="str">
            <v>Bomba Interpump W-150</v>
          </cell>
          <cell r="Z478" t="str">
            <v>Si</v>
          </cell>
        </row>
        <row r="479">
          <cell r="W479" t="str">
            <v>REP-0460</v>
          </cell>
          <cell r="X479" t="str">
            <v/>
          </cell>
          <cell r="Y479" t="str">
            <v>Mariposa para aspirado</v>
          </cell>
          <cell r="Z479" t="str">
            <v>Si</v>
          </cell>
        </row>
        <row r="480">
          <cell r="W480" t="str">
            <v>REP-0461</v>
          </cell>
          <cell r="X480" t="str">
            <v>09.02.682</v>
          </cell>
          <cell r="Y480" t="str">
            <v>Bomba Interpump C2W2012 DX 10LT/H DESCATALOGADO</v>
          </cell>
          <cell r="Z480" t="str">
            <v>No</v>
          </cell>
        </row>
        <row r="481">
          <cell r="W481" t="str">
            <v>REP-0462</v>
          </cell>
          <cell r="X481" t="str">
            <v>09.00.477</v>
          </cell>
          <cell r="Y481" t="str">
            <v>Motor Hp3 M100 200/380B3</v>
          </cell>
          <cell r="Z481" t="str">
            <v>Si</v>
          </cell>
        </row>
        <row r="482">
          <cell r="W482" t="str">
            <v>REP-0463</v>
          </cell>
          <cell r="X482" t="str">
            <v>29.00.213</v>
          </cell>
          <cell r="Y482" t="str">
            <v>Membrana 4040</v>
          </cell>
          <cell r="Z482" t="str">
            <v>Si</v>
          </cell>
        </row>
        <row r="483">
          <cell r="W483" t="str">
            <v>REP-0464</v>
          </cell>
          <cell r="X483" t="str">
            <v>09.03.181</v>
          </cell>
          <cell r="Y483" t="str">
            <v>Kit anello tenutadi 18 bomba C2W2012</v>
          </cell>
          <cell r="Z483" t="str">
            <v>Si</v>
          </cell>
        </row>
        <row r="484">
          <cell r="W484" t="str">
            <v>REP-0465</v>
          </cell>
          <cell r="X484" t="str">
            <v>09.03.182</v>
          </cell>
          <cell r="Y484" t="str">
            <v>Kit anello radialed 15 bomba C2W2012</v>
          </cell>
          <cell r="Z484" t="str">
            <v>Si</v>
          </cell>
        </row>
        <row r="485">
          <cell r="W485" t="str">
            <v>REP-0466</v>
          </cell>
          <cell r="X485" t="str">
            <v>09.03.180</v>
          </cell>
          <cell r="Y485" t="str">
            <v>Kit válvula a/m bomba C2W2012</v>
          </cell>
          <cell r="Z485" t="str">
            <v>Si</v>
          </cell>
        </row>
        <row r="486">
          <cell r="W486" t="str">
            <v>REP-0467</v>
          </cell>
          <cell r="X486" t="str">
            <v>09.00.672</v>
          </cell>
          <cell r="Y486" t="str">
            <v>Válvula sobre presión 8 BAR</v>
          </cell>
          <cell r="Z486" t="str">
            <v>Si</v>
          </cell>
        </row>
        <row r="487">
          <cell r="W487" t="str">
            <v>REP-0468</v>
          </cell>
          <cell r="X487" t="str">
            <v/>
          </cell>
          <cell r="Y487" t="str">
            <v>Interruptor luminoso termo Trotter</v>
          </cell>
          <cell r="Z487" t="str">
            <v>Si</v>
          </cell>
        </row>
        <row r="488">
          <cell r="W488" t="str">
            <v>REP-0469</v>
          </cell>
          <cell r="X488" t="str">
            <v/>
          </cell>
          <cell r="Y488" t="str">
            <v>Válvula Seg 1/2 10 BAR termo Trotter</v>
          </cell>
          <cell r="Z488" t="str">
            <v>Si</v>
          </cell>
        </row>
        <row r="489">
          <cell r="W489" t="str">
            <v>REP-0470</v>
          </cell>
          <cell r="X489" t="str">
            <v/>
          </cell>
          <cell r="Y489" t="str">
            <v>Porta filtro con elemento para compresor lavainterior</v>
          </cell>
          <cell r="Z489" t="str">
            <v>Si</v>
          </cell>
        </row>
        <row r="490">
          <cell r="W490" t="str">
            <v>REP-0472</v>
          </cell>
          <cell r="X490" t="str">
            <v/>
          </cell>
          <cell r="Y490" t="str">
            <v>Ánodo grueso frontal 4 pernos</v>
          </cell>
          <cell r="Z490" t="str">
            <v>Si</v>
          </cell>
        </row>
        <row r="491">
          <cell r="W491" t="str">
            <v>REP-0473</v>
          </cell>
          <cell r="X491" t="str">
            <v/>
          </cell>
          <cell r="Y491" t="str">
            <v>Orin´g ánodo grueso</v>
          </cell>
          <cell r="Z491" t="str">
            <v>Si</v>
          </cell>
        </row>
        <row r="492">
          <cell r="W492" t="str">
            <v>REP-0475</v>
          </cell>
          <cell r="X492" t="str">
            <v>09.01.566</v>
          </cell>
          <cell r="Y492" t="str">
            <v>Bomba dosificadora de cera Smart pro</v>
          </cell>
          <cell r="Z492" t="str">
            <v>Si</v>
          </cell>
        </row>
        <row r="493">
          <cell r="W493" t="str">
            <v>REP-0476</v>
          </cell>
          <cell r="X493" t="str">
            <v>09.01.567</v>
          </cell>
          <cell r="Y493" t="str">
            <v>Bomba dosificadora de shampoo/lava llantas Smart pro</v>
          </cell>
          <cell r="Z493" t="str">
            <v>Si</v>
          </cell>
        </row>
        <row r="494">
          <cell r="W494" t="str">
            <v>REP-0477</v>
          </cell>
          <cell r="X494" t="str">
            <v>09.01.569</v>
          </cell>
          <cell r="Y494" t="str">
            <v>Cuerpo reparación bomba Smart pro</v>
          </cell>
          <cell r="Z494" t="str">
            <v>Si</v>
          </cell>
        </row>
        <row r="495">
          <cell r="W495" t="str">
            <v>REP-0478</v>
          </cell>
          <cell r="X495" t="str">
            <v>09.01.568</v>
          </cell>
          <cell r="Y495" t="str">
            <v>Cuerpo reparación de bomba cera Smart pro</v>
          </cell>
          <cell r="Z495" t="str">
            <v>Si</v>
          </cell>
        </row>
        <row r="496">
          <cell r="W496" t="str">
            <v>REP-0479</v>
          </cell>
          <cell r="X496" t="str">
            <v>09.01.571</v>
          </cell>
          <cell r="Y496" t="str">
            <v>Válvula de fondo shampoo/lava llantas Smart pro</v>
          </cell>
          <cell r="Z496" t="str">
            <v>Si</v>
          </cell>
        </row>
        <row r="497">
          <cell r="W497" t="str">
            <v>REP-0480</v>
          </cell>
          <cell r="X497" t="str">
            <v>09.01.570</v>
          </cell>
          <cell r="Y497" t="str">
            <v>Válvula de fondo bidón cera Smart pro</v>
          </cell>
          <cell r="Z497" t="str">
            <v>Si</v>
          </cell>
        </row>
        <row r="498">
          <cell r="W498" t="str">
            <v>REP-0481</v>
          </cell>
          <cell r="X498" t="str">
            <v>28.00.186</v>
          </cell>
          <cell r="Y498" t="str">
            <v>Contenedor membrana osmosis Smart pro</v>
          </cell>
          <cell r="Z498" t="str">
            <v>Si</v>
          </cell>
        </row>
        <row r="499">
          <cell r="W499" t="str">
            <v>REP-0482</v>
          </cell>
          <cell r="X499" t="str">
            <v>09.01.045</v>
          </cell>
          <cell r="Y499" t="str">
            <v>Adaptador grifo Smart pro</v>
          </cell>
          <cell r="Z499" t="str">
            <v>Si</v>
          </cell>
        </row>
        <row r="500">
          <cell r="W500" t="str">
            <v>REP-0483</v>
          </cell>
          <cell r="X500" t="str">
            <v>09.01.043</v>
          </cell>
          <cell r="Y500" t="str">
            <v>Grifo 1/4 Smart pro</v>
          </cell>
          <cell r="Z500" t="str">
            <v>Si</v>
          </cell>
        </row>
        <row r="501">
          <cell r="W501" t="str">
            <v>REP-0484</v>
          </cell>
          <cell r="X501" t="str">
            <v>24.00.156</v>
          </cell>
          <cell r="Y501" t="str">
            <v>Válvula retención inox 1/2</v>
          </cell>
          <cell r="Z501" t="str">
            <v>Si</v>
          </cell>
        </row>
        <row r="502">
          <cell r="W502" t="str">
            <v>REP-0485</v>
          </cell>
          <cell r="X502" t="str">
            <v>09.02.469</v>
          </cell>
          <cell r="Y502" t="str">
            <v>Tee 1/2 HI,HI,HI, Inox Smart pro</v>
          </cell>
          <cell r="Z502" t="str">
            <v>Si</v>
          </cell>
        </row>
        <row r="503">
          <cell r="W503" t="str">
            <v>REP-0486</v>
          </cell>
          <cell r="X503" t="str">
            <v>09.01.232</v>
          </cell>
          <cell r="Y503" t="str">
            <v>Salida estanque agua desmineralizada</v>
          </cell>
          <cell r="Z503" t="str">
            <v>Si</v>
          </cell>
        </row>
        <row r="504">
          <cell r="W504" t="str">
            <v>REP-0487</v>
          </cell>
          <cell r="X504" t="str">
            <v>09.02.745</v>
          </cell>
          <cell r="Y504" t="str">
            <v>Foco esquina exterior Smart pro</v>
          </cell>
          <cell r="Z504" t="str">
            <v>Si</v>
          </cell>
        </row>
        <row r="505">
          <cell r="W505" t="str">
            <v>REP-0488</v>
          </cell>
          <cell r="X505" t="str">
            <v>09.02.681</v>
          </cell>
          <cell r="Y505" t="str">
            <v>Ampolleta led foco exterior Smart pro</v>
          </cell>
          <cell r="Z505" t="str">
            <v>Si</v>
          </cell>
        </row>
        <row r="506">
          <cell r="W506" t="str">
            <v>REP-0489</v>
          </cell>
          <cell r="X506" t="str">
            <v>09.01.437</v>
          </cell>
          <cell r="Y506" t="str">
            <v>Bisagra puerta frontal</v>
          </cell>
          <cell r="Z506" t="str">
            <v>Si</v>
          </cell>
        </row>
        <row r="507">
          <cell r="W507" t="str">
            <v>REP-0490</v>
          </cell>
          <cell r="X507" t="str">
            <v>09.02.255</v>
          </cell>
          <cell r="Y507" t="str">
            <v>Placa mini protección entrada fichero Smart pro</v>
          </cell>
          <cell r="Z507" t="str">
            <v>Si</v>
          </cell>
        </row>
        <row r="508">
          <cell r="W508" t="str">
            <v>REP-0491</v>
          </cell>
          <cell r="X508" t="str">
            <v/>
          </cell>
          <cell r="Y508" t="str">
            <v>Perno largo Allen electroválvula de 1/2 (442)</v>
          </cell>
          <cell r="Z508" t="str">
            <v>Si</v>
          </cell>
        </row>
        <row r="509">
          <cell r="W509" t="str">
            <v>REP-0492</v>
          </cell>
          <cell r="X509" t="str">
            <v/>
          </cell>
          <cell r="Y509" t="str">
            <v>Perno corto Allen electroválvula (442)</v>
          </cell>
          <cell r="Z509" t="str">
            <v>Si</v>
          </cell>
        </row>
        <row r="510">
          <cell r="W510" t="str">
            <v>REP-0493</v>
          </cell>
          <cell r="X510" t="str">
            <v>29.00.020</v>
          </cell>
          <cell r="Y510" t="str">
            <v>Filtro tipo Y</v>
          </cell>
          <cell r="Z510" t="str">
            <v>Si</v>
          </cell>
        </row>
        <row r="511">
          <cell r="W511" t="str">
            <v>REP-0494</v>
          </cell>
          <cell r="X511" t="str">
            <v/>
          </cell>
          <cell r="Y511" t="str">
            <v>Contactor ABB para termo trifásico</v>
          </cell>
          <cell r="Z511" t="str">
            <v>Si</v>
          </cell>
        </row>
        <row r="512">
          <cell r="W512" t="str">
            <v>REP-0495</v>
          </cell>
          <cell r="X512" t="str">
            <v>V-30</v>
          </cell>
          <cell r="Y512" t="str">
            <v>Espiral de protección 10m</v>
          </cell>
          <cell r="Z512" t="str">
            <v>Si</v>
          </cell>
        </row>
        <row r="513">
          <cell r="W513" t="str">
            <v>REP-0496</v>
          </cell>
          <cell r="X513" t="str">
            <v>09.00.829</v>
          </cell>
          <cell r="Y513" t="str">
            <v>Manguera baja presión poliuretano 10M</v>
          </cell>
          <cell r="Z513" t="str">
            <v>Si</v>
          </cell>
        </row>
        <row r="514">
          <cell r="W514" t="str">
            <v>REP-0497</v>
          </cell>
          <cell r="X514" t="str">
            <v>26.00.018</v>
          </cell>
          <cell r="Y514" t="str">
            <v>Flexible aspiradora D.38</v>
          </cell>
          <cell r="Z514" t="str">
            <v>Si</v>
          </cell>
        </row>
        <row r="515">
          <cell r="W515" t="str">
            <v>REP-0498</v>
          </cell>
          <cell r="X515" t="str">
            <v>09.03.311</v>
          </cell>
          <cell r="Y515" t="str">
            <v>Válvula fondo bidón (lava interior)</v>
          </cell>
          <cell r="Z515" t="str">
            <v>Si</v>
          </cell>
        </row>
        <row r="516">
          <cell r="W516" t="str">
            <v>REP-0499</v>
          </cell>
          <cell r="X516" t="str">
            <v/>
          </cell>
          <cell r="Y516" t="str">
            <v>Mango lanza AP</v>
          </cell>
          <cell r="Z516" t="str">
            <v>Si</v>
          </cell>
        </row>
        <row r="517">
          <cell r="W517" t="str">
            <v>REP-0500</v>
          </cell>
          <cell r="X517" t="str">
            <v/>
          </cell>
          <cell r="Y517" t="str">
            <v>Boquilla metálica pistola mousse</v>
          </cell>
          <cell r="Z517" t="str">
            <v>Si</v>
          </cell>
        </row>
        <row r="518">
          <cell r="W518" t="str">
            <v>REP-0501</v>
          </cell>
          <cell r="X518" t="str">
            <v/>
          </cell>
          <cell r="Y518" t="str">
            <v>Punta pistola de mousse</v>
          </cell>
          <cell r="Z518" t="str">
            <v>Si</v>
          </cell>
        </row>
        <row r="519">
          <cell r="W519" t="str">
            <v>REP-0502</v>
          </cell>
          <cell r="X519" t="str">
            <v/>
          </cell>
          <cell r="Y519" t="str">
            <v>Termo eléctrico 200L 6kw.380v. ac. inox</v>
          </cell>
          <cell r="Z519" t="str">
            <v>Si</v>
          </cell>
        </row>
        <row r="520">
          <cell r="W520" t="str">
            <v>REP-0503</v>
          </cell>
          <cell r="X520" t="str">
            <v/>
          </cell>
          <cell r="Y520" t="str">
            <v>Manguera entrada EV alta presión</v>
          </cell>
          <cell r="Z520" t="str">
            <v>Si</v>
          </cell>
        </row>
        <row r="521">
          <cell r="W521" t="str">
            <v>REP-0504</v>
          </cell>
          <cell r="X521" t="str">
            <v/>
          </cell>
          <cell r="Y521" t="str">
            <v>Fusible placa de aspirado</v>
          </cell>
          <cell r="Z521" t="str">
            <v>Si</v>
          </cell>
        </row>
        <row r="522">
          <cell r="W522" t="str">
            <v>REP-0505</v>
          </cell>
          <cell r="X522" t="str">
            <v/>
          </cell>
          <cell r="Y522" t="str">
            <v>Oring pequeño EV alta presión</v>
          </cell>
          <cell r="Z522" t="str">
            <v>Si</v>
          </cell>
        </row>
        <row r="523">
          <cell r="W523" t="str">
            <v>REP-0506</v>
          </cell>
          <cell r="X523" t="str">
            <v>09.03.335</v>
          </cell>
          <cell r="Y523" t="str">
            <v>Cuerpo cepillo (lava interior)</v>
          </cell>
          <cell r="Z523" t="str">
            <v>Si</v>
          </cell>
        </row>
        <row r="524">
          <cell r="W524" t="str">
            <v>REP-0507</v>
          </cell>
          <cell r="X524" t="str">
            <v>09.03.336</v>
          </cell>
          <cell r="Y524" t="str">
            <v>Lanza+pistola corta+acople 3/8 proyecto DESCATALOGADO</v>
          </cell>
          <cell r="Z524" t="str">
            <v>No</v>
          </cell>
        </row>
        <row r="525">
          <cell r="W525" t="str">
            <v>REP-0508</v>
          </cell>
          <cell r="X525" t="str">
            <v>09.03.336</v>
          </cell>
          <cell r="Y525" t="str">
            <v>Lanza pistola perdente corta</v>
          </cell>
          <cell r="Z525" t="str">
            <v>Si</v>
          </cell>
        </row>
        <row r="526">
          <cell r="W526" t="str">
            <v>REP-0509</v>
          </cell>
          <cell r="X526" t="str">
            <v/>
          </cell>
          <cell r="Y526" t="str">
            <v>Boquilla dry lavainterior alternativa</v>
          </cell>
          <cell r="Z526" t="str">
            <v>Si</v>
          </cell>
        </row>
        <row r="527">
          <cell r="W527" t="str">
            <v>REP-0510</v>
          </cell>
          <cell r="X527" t="str">
            <v/>
          </cell>
          <cell r="Y527" t="str">
            <v>Ablandador twin 1600 kit completo</v>
          </cell>
          <cell r="Z527" t="str">
            <v>Si</v>
          </cell>
        </row>
        <row r="528">
          <cell r="W528" t="str">
            <v>REP-0511</v>
          </cell>
          <cell r="X528" t="str">
            <v/>
          </cell>
          <cell r="Y528" t="str">
            <v>BIPASS CABEZAL 1"</v>
          </cell>
          <cell r="Z528" t="str">
            <v>Si</v>
          </cell>
        </row>
        <row r="529">
          <cell r="W529" t="str">
            <v>REP-0512</v>
          </cell>
          <cell r="X529" t="str">
            <v/>
          </cell>
          <cell r="Y529" t="str">
            <v>CANASTILLO CABEZAL CON ORING.</v>
          </cell>
          <cell r="Z529" t="str">
            <v>Si</v>
          </cell>
        </row>
        <row r="530">
          <cell r="W530" t="str">
            <v>REP-0513</v>
          </cell>
          <cell r="X530" t="str">
            <v>09.00.517</v>
          </cell>
          <cell r="Y530" t="str">
            <v>RELE FINDER ZOCALO (KIT MOUSSE ECO)</v>
          </cell>
          <cell r="Z530" t="str">
            <v>Si</v>
          </cell>
        </row>
        <row r="531">
          <cell r="W531" t="str">
            <v>REP-0514</v>
          </cell>
          <cell r="X531" t="str">
            <v>09.03.339</v>
          </cell>
          <cell r="Y531" t="str">
            <v>BOUILLA PISTOLA MOUSSE ST-75 05 (KIT MOUSSE ECO )</v>
          </cell>
          <cell r="Z531" t="str">
            <v>Si</v>
          </cell>
        </row>
        <row r="532">
          <cell r="W532" t="str">
            <v>REP-0515</v>
          </cell>
          <cell r="X532" t="str">
            <v/>
          </cell>
          <cell r="Y532" t="str">
            <v>PASADOR PUNTA PISTOLA DE MOUSSE</v>
          </cell>
          <cell r="Z532" t="str">
            <v>Si</v>
          </cell>
        </row>
        <row r="533">
          <cell r="W533" t="str">
            <v>REP-0516</v>
          </cell>
          <cell r="X533" t="str">
            <v>P-179</v>
          </cell>
          <cell r="Y533" t="str">
            <v>Sensor flotante de nivel ON / OFF</v>
          </cell>
          <cell r="Z533" t="str">
            <v>Si</v>
          </cell>
        </row>
        <row r="534">
          <cell r="W534" t="str">
            <v>REP-0517</v>
          </cell>
          <cell r="X534" t="str">
            <v/>
          </cell>
          <cell r="Y534" t="str">
            <v>RELE ULTRADELGADO 24V</v>
          </cell>
          <cell r="Z534" t="str">
            <v>Si</v>
          </cell>
        </row>
        <row r="535">
          <cell r="W535" t="str">
            <v>REP-0518</v>
          </cell>
          <cell r="X535" t="str">
            <v/>
          </cell>
          <cell r="Y535" t="str">
            <v>TUBO INOXIDABLE MANGO DE LANZA AP</v>
          </cell>
          <cell r="Z535" t="str">
            <v>Si</v>
          </cell>
        </row>
        <row r="536">
          <cell r="W536" t="str">
            <v>REP-0519</v>
          </cell>
          <cell r="X536" t="str">
            <v/>
          </cell>
          <cell r="Y536" t="str">
            <v>TAPA INTERIOR LAVAINTERIOR</v>
          </cell>
          <cell r="Z536" t="str">
            <v>Si</v>
          </cell>
        </row>
        <row r="537">
          <cell r="W537" t="str">
            <v>REP-0520</v>
          </cell>
          <cell r="X537" t="str">
            <v/>
          </cell>
          <cell r="Y537" t="str">
            <v>GATILLO PISTOLA NO PERDENTE AZUL</v>
          </cell>
          <cell r="Z537" t="str">
            <v>Si</v>
          </cell>
        </row>
        <row r="538">
          <cell r="W538" t="str">
            <v>REP-0521</v>
          </cell>
          <cell r="X538" t="str">
            <v/>
          </cell>
          <cell r="Y538" t="str">
            <v>GATILLO PISTOLA PERDENTE CELESTE</v>
          </cell>
          <cell r="Z538" t="str">
            <v>Si</v>
          </cell>
        </row>
        <row r="539">
          <cell r="W539" t="str">
            <v>REP-0522</v>
          </cell>
          <cell r="X539" t="str">
            <v/>
          </cell>
          <cell r="Y539" t="str">
            <v>CODO 3/8 HIHI</v>
          </cell>
          <cell r="Z539" t="str">
            <v>Si</v>
          </cell>
        </row>
        <row r="540">
          <cell r="W540" t="str">
            <v>REP-0523</v>
          </cell>
          <cell r="X540" t="str">
            <v>GALF</v>
          </cell>
          <cell r="Y540" t="str">
            <v>CERRADURA TUBULAR</v>
          </cell>
          <cell r="Z540" t="str">
            <v>Si</v>
          </cell>
        </row>
        <row r="541">
          <cell r="W541" t="str">
            <v>REP-0524</v>
          </cell>
          <cell r="X541" t="str">
            <v/>
          </cell>
          <cell r="Y541" t="str">
            <v>CODO 3/8 HE 1/4HI BROCE</v>
          </cell>
          <cell r="Z541" t="str">
            <v>Si</v>
          </cell>
        </row>
        <row r="542">
          <cell r="W542" t="str">
            <v>REP-0525</v>
          </cell>
          <cell r="X542" t="str">
            <v/>
          </cell>
          <cell r="Y542" t="str">
            <v>BOMBA INTER W154</v>
          </cell>
          <cell r="Z542" t="str">
            <v>Si</v>
          </cell>
        </row>
        <row r="543">
          <cell r="W543" t="str">
            <v>REP-0526</v>
          </cell>
          <cell r="X543" t="str">
            <v/>
          </cell>
          <cell r="Y543" t="str">
            <v>KIT 127 ANILLOS AGUA BOMBA INTER SHELL</v>
          </cell>
          <cell r="Z543" t="str">
            <v>Si</v>
          </cell>
        </row>
        <row r="544">
          <cell r="W544" t="str">
            <v>REP-0527</v>
          </cell>
          <cell r="X544" t="str">
            <v/>
          </cell>
          <cell r="Y544" t="str">
            <v>KIT 129 ANILLO EXPANSOR BOMBA INTER SHELL</v>
          </cell>
          <cell r="Z544" t="str">
            <v>Si</v>
          </cell>
        </row>
        <row r="545">
          <cell r="W545" t="str">
            <v>REP-0528</v>
          </cell>
          <cell r="X545" t="str">
            <v/>
          </cell>
          <cell r="Y545" t="str">
            <v>KIT 123 VALVULAS ASPIRACION BOMBA INTER SHELL</v>
          </cell>
          <cell r="Z545" t="str">
            <v>Si</v>
          </cell>
        </row>
        <row r="546">
          <cell r="W546" t="str">
            <v>REP-0529</v>
          </cell>
          <cell r="X546" t="str">
            <v/>
          </cell>
          <cell r="Y546" t="str">
            <v>KIT 23 SELLOS BOMBA INTER SHELL</v>
          </cell>
          <cell r="Z546" t="str">
            <v>Si</v>
          </cell>
        </row>
        <row r="547">
          <cell r="W547" t="str">
            <v>REP-0530</v>
          </cell>
          <cell r="X547" t="str">
            <v/>
          </cell>
          <cell r="Y547" t="str">
            <v>LANZA CURVA 600MM</v>
          </cell>
          <cell r="Z547" t="str">
            <v>Si</v>
          </cell>
        </row>
        <row r="548">
          <cell r="W548" t="str">
            <v>REP-0531</v>
          </cell>
          <cell r="X548" t="str">
            <v>09.01.689</v>
          </cell>
          <cell r="Y548" t="str">
            <v>GUIA ASTA MSELF</v>
          </cell>
          <cell r="Z548" t="str">
            <v>Si</v>
          </cell>
        </row>
        <row r="549">
          <cell r="W549" t="str">
            <v>REP-0532</v>
          </cell>
          <cell r="X549" t="str">
            <v>09.01.688</v>
          </cell>
          <cell r="Y549" t="str">
            <v>ASTA MSELF</v>
          </cell>
          <cell r="Z549" t="str">
            <v>Si</v>
          </cell>
        </row>
        <row r="550">
          <cell r="W550" t="str">
            <v>REP-0533</v>
          </cell>
          <cell r="X550" t="str">
            <v>09.01.687</v>
          </cell>
          <cell r="Y550" t="str">
            <v>UNION CENTRAL MSELF</v>
          </cell>
          <cell r="Z550" t="str">
            <v>Si</v>
          </cell>
        </row>
        <row r="551">
          <cell r="W551" t="str">
            <v>REP-0534</v>
          </cell>
          <cell r="X551" t="str">
            <v>09.01.187</v>
          </cell>
          <cell r="Y551" t="str">
            <v>BOQUILLA RECTA DE LATON 1/2</v>
          </cell>
          <cell r="Z551" t="str">
            <v>Si</v>
          </cell>
        </row>
        <row r="552">
          <cell r="W552" t="str">
            <v>REP-0535</v>
          </cell>
          <cell r="X552" t="str">
            <v>29.00.098</v>
          </cell>
          <cell r="Y552" t="str">
            <v>Valvula mariposa bola 3/4</v>
          </cell>
          <cell r="Z552" t="str">
            <v>Si</v>
          </cell>
        </row>
        <row r="553">
          <cell r="W553" t="str">
            <v>REP-0536</v>
          </cell>
          <cell r="X553" t="str">
            <v>09.00.128</v>
          </cell>
          <cell r="Y553" t="str">
            <v>Union americana 3/4 hihe</v>
          </cell>
          <cell r="Z553" t="str">
            <v>Si</v>
          </cell>
        </row>
        <row r="554">
          <cell r="W554" t="str">
            <v>REP-0537</v>
          </cell>
          <cell r="X554" t="str">
            <v>09.03.060ROSSO</v>
          </cell>
          <cell r="Y554" t="str">
            <v>Manguera 4,7 mts color rojo</v>
          </cell>
          <cell r="Z554" t="str">
            <v>Si</v>
          </cell>
        </row>
        <row r="555">
          <cell r="W555" t="str">
            <v>REP-0538</v>
          </cell>
          <cell r="X555" t="str">
            <v>09.02.846</v>
          </cell>
          <cell r="Y555" t="str">
            <v>BISAGRA DE ASPIRADO</v>
          </cell>
          <cell r="Z555" t="str">
            <v>Si</v>
          </cell>
        </row>
        <row r="556">
          <cell r="W556" t="str">
            <v>REP-0539</v>
          </cell>
          <cell r="X556" t="str">
            <v>09.02.847</v>
          </cell>
          <cell r="Y556" t="str">
            <v>MARCO NEGRO DE PUERTA DE ASPIRADO</v>
          </cell>
          <cell r="Z556" t="str">
            <v>Si</v>
          </cell>
        </row>
        <row r="557">
          <cell r="W557" t="str">
            <v>REP-0540</v>
          </cell>
          <cell r="X557" t="str">
            <v>09.01.727</v>
          </cell>
          <cell r="Y557" t="str">
            <v>ASTA SUPERIOR E INFERIOR ASPIRADO</v>
          </cell>
          <cell r="Z557" t="str">
            <v>Si</v>
          </cell>
        </row>
        <row r="558">
          <cell r="W558" t="str">
            <v>REP-0541</v>
          </cell>
          <cell r="X558" t="str">
            <v>42.00.023</v>
          </cell>
          <cell r="Y558" t="str">
            <v>STIKER PARADA EMERGENCIA ASPIRADO</v>
          </cell>
          <cell r="Z558" t="str">
            <v>Si</v>
          </cell>
        </row>
        <row r="559">
          <cell r="W559" t="str">
            <v>REP-0542</v>
          </cell>
          <cell r="X559" t="str">
            <v/>
          </cell>
          <cell r="Y559" t="str">
            <v>FICHERO ELECTRONICO SHELL</v>
          </cell>
          <cell r="Z559" t="str">
            <v>Si</v>
          </cell>
        </row>
        <row r="560">
          <cell r="W560" t="str">
            <v>REP-0543</v>
          </cell>
          <cell r="X560" t="str">
            <v/>
          </cell>
          <cell r="Y560" t="str">
            <v>CAPUCHA SILICONA PULSADOR 22MM</v>
          </cell>
          <cell r="Z560" t="str">
            <v>Si</v>
          </cell>
        </row>
        <row r="561">
          <cell r="W561" t="str">
            <v>REP-0544</v>
          </cell>
          <cell r="X561" t="str">
            <v/>
          </cell>
          <cell r="Y561" t="str">
            <v>TAPA PULSADORES 22 MM</v>
          </cell>
          <cell r="Z561" t="str">
            <v>Si</v>
          </cell>
        </row>
        <row r="562">
          <cell r="W562" t="str">
            <v>REP-0545</v>
          </cell>
          <cell r="X562" t="str">
            <v/>
          </cell>
          <cell r="Y562" t="str">
            <v>VALVULA PULSAR BYPASS INCLUIDO</v>
          </cell>
          <cell r="Z562" t="str">
            <v>Si</v>
          </cell>
        </row>
        <row r="563">
          <cell r="W563" t="str">
            <v>REP-0546</v>
          </cell>
          <cell r="X563" t="str">
            <v/>
          </cell>
          <cell r="Y563" t="str">
            <v>NIPLE RECTO 3/8 3/8 BRONCE</v>
          </cell>
          <cell r="Z563" t="str">
            <v>Si</v>
          </cell>
        </row>
        <row r="564">
          <cell r="W564" t="str">
            <v>REP-0547</v>
          </cell>
          <cell r="X564" t="str">
            <v/>
          </cell>
          <cell r="Y564" t="str">
            <v>FICHA DORADA LAVADO SHELL</v>
          </cell>
          <cell r="Z564" t="str">
            <v>Si</v>
          </cell>
        </row>
        <row r="565">
          <cell r="W565" t="str">
            <v>REP-0548</v>
          </cell>
          <cell r="X565" t="str">
            <v/>
          </cell>
          <cell r="Y565" t="str">
            <v>FICHA DE ASPIRADO SHELL</v>
          </cell>
          <cell r="Z565" t="str">
            <v>Si</v>
          </cell>
        </row>
        <row r="566">
          <cell r="W566" t="str">
            <v>REP-0549</v>
          </cell>
          <cell r="X566" t="str">
            <v/>
          </cell>
          <cell r="Y566" t="str">
            <v>FICHERO COMPARACION PUNTO ROJO</v>
          </cell>
          <cell r="Z566" t="str">
            <v>Si</v>
          </cell>
        </row>
        <row r="567">
          <cell r="W567" t="str">
            <v>REP-0550</v>
          </cell>
          <cell r="X567" t="str">
            <v/>
          </cell>
          <cell r="Y567" t="str">
            <v>FILTRO ASPIRADORA SHELL</v>
          </cell>
          <cell r="Z567" t="str">
            <v>Si</v>
          </cell>
        </row>
        <row r="568">
          <cell r="W568" t="str">
            <v>REP-0551</v>
          </cell>
          <cell r="X568" t="str">
            <v/>
          </cell>
          <cell r="Y568" t="str">
            <v>Ablandador completo 13x54" (cabezal clack estanques e insumos)</v>
          </cell>
          <cell r="Z568" t="str">
            <v>Si</v>
          </cell>
        </row>
        <row r="569">
          <cell r="W569" t="str">
            <v>REP-0552</v>
          </cell>
          <cell r="X569" t="str">
            <v/>
          </cell>
          <cell r="Y569" t="str">
            <v>Numeral nacional</v>
          </cell>
          <cell r="Z569" t="str">
            <v>Si</v>
          </cell>
        </row>
        <row r="570">
          <cell r="W570" t="str">
            <v>REP-0553</v>
          </cell>
          <cell r="X570" t="str">
            <v/>
          </cell>
          <cell r="Y570" t="str">
            <v>Tee 3/8 HE X 3/8 HE X 3/8 HI</v>
          </cell>
          <cell r="Z570" t="str">
            <v>Si</v>
          </cell>
        </row>
        <row r="571">
          <cell r="W571" t="str">
            <v>REP-0554</v>
          </cell>
          <cell r="X571" t="str">
            <v/>
          </cell>
          <cell r="Y571" t="str">
            <v>Junta nacional inter</v>
          </cell>
          <cell r="Z571" t="str">
            <v>Si</v>
          </cell>
        </row>
        <row r="572">
          <cell r="W572" t="str">
            <v>REP-0555</v>
          </cell>
          <cell r="X572" t="str">
            <v/>
          </cell>
          <cell r="Y572" t="str">
            <v>Union tipo Y 14 MM</v>
          </cell>
          <cell r="Z572" t="str">
            <v>Si</v>
          </cell>
        </row>
        <row r="573">
          <cell r="W573" t="str">
            <v>REP-0556</v>
          </cell>
          <cell r="X573" t="str">
            <v/>
          </cell>
          <cell r="Y573" t="str">
            <v>Reduccion 1/2x3/8</v>
          </cell>
          <cell r="Z573" t="str">
            <v>Si</v>
          </cell>
        </row>
        <row r="574">
          <cell r="W574" t="str">
            <v>REP-0557</v>
          </cell>
          <cell r="X574" t="str">
            <v/>
          </cell>
          <cell r="Y574" t="str">
            <v>Niple conexion rapida 14MM</v>
          </cell>
          <cell r="Z574" t="str">
            <v>Si</v>
          </cell>
        </row>
        <row r="575">
          <cell r="W575" t="str">
            <v>REP-0558</v>
          </cell>
          <cell r="X575" t="str">
            <v/>
          </cell>
          <cell r="Y575" t="str">
            <v>Kit porta fichero N</v>
          </cell>
          <cell r="Z575" t="str">
            <v>Si</v>
          </cell>
        </row>
        <row r="576">
          <cell r="W576" t="str">
            <v>REP-0559</v>
          </cell>
          <cell r="X576" t="str">
            <v/>
          </cell>
          <cell r="Y576" t="str">
            <v>Pulsador 22 mm luz azul</v>
          </cell>
          <cell r="Z576" t="str">
            <v>Si</v>
          </cell>
        </row>
        <row r="577">
          <cell r="W577" t="str">
            <v>REP-0560</v>
          </cell>
          <cell r="X577" t="str">
            <v/>
          </cell>
          <cell r="Y577" t="str">
            <v>Zocalo 5 pines pulsador 22</v>
          </cell>
          <cell r="Z577" t="str">
            <v>Si</v>
          </cell>
        </row>
        <row r="578">
          <cell r="W578" t="str">
            <v>REP-0561</v>
          </cell>
          <cell r="X578" t="str">
            <v/>
          </cell>
          <cell r="Y578" t="str">
            <v>Brazo doble MTM</v>
          </cell>
          <cell r="Z578" t="str">
            <v>Si</v>
          </cell>
        </row>
        <row r="579">
          <cell r="W579" t="str">
            <v>REP-0562</v>
          </cell>
          <cell r="X579" t="str">
            <v/>
          </cell>
          <cell r="Y579" t="str">
            <v>Brazo giratorio tipo Z</v>
          </cell>
          <cell r="Z579" t="str">
            <v>Si</v>
          </cell>
        </row>
        <row r="580">
          <cell r="W580" t="str">
            <v>REP-0563</v>
          </cell>
          <cell r="X580" t="str">
            <v/>
          </cell>
          <cell r="Y580" t="str">
            <v>Controlador de agua</v>
          </cell>
          <cell r="Z580" t="str">
            <v>Si</v>
          </cell>
        </row>
        <row r="581">
          <cell r="W581" t="str">
            <v>REP-0564</v>
          </cell>
          <cell r="X581" t="str">
            <v/>
          </cell>
          <cell r="Y581" t="str">
            <v>Sistema kit invierno</v>
          </cell>
          <cell r="Z581" t="str">
            <v>Si</v>
          </cell>
        </row>
        <row r="582">
          <cell r="W582" t="str">
            <v>REP-0565</v>
          </cell>
          <cell r="X582" t="str">
            <v/>
          </cell>
          <cell r="Y582" t="str">
            <v>Boquilla lanza shell 1/8</v>
          </cell>
          <cell r="Z582" t="str">
            <v>Si</v>
          </cell>
        </row>
        <row r="583">
          <cell r="W583" t="str">
            <v>REP-0566</v>
          </cell>
          <cell r="X583" t="str">
            <v/>
          </cell>
          <cell r="Y583" t="str">
            <v>Manguera 1.63 hehe 1/4 recta y codo 90° brazo doble</v>
          </cell>
          <cell r="Z583" t="str">
            <v>Si</v>
          </cell>
        </row>
        <row r="584">
          <cell r="W584" t="str">
            <v>REP-0567</v>
          </cell>
          <cell r="X584" t="str">
            <v/>
          </cell>
          <cell r="Y584" t="str">
            <v>Manguera 1.77 hehe 1/4 recta y codo 90° brazo doble</v>
          </cell>
          <cell r="Z584" t="str">
            <v>Si</v>
          </cell>
        </row>
        <row r="585">
          <cell r="W585" t="str">
            <v>REP-0568</v>
          </cell>
          <cell r="X585" t="str">
            <v/>
          </cell>
          <cell r="Y585" t="str">
            <v>Aspiradora Luster</v>
          </cell>
          <cell r="Z585" t="str">
            <v>Si</v>
          </cell>
        </row>
        <row r="586">
          <cell r="W586" t="str">
            <v>REP-0569</v>
          </cell>
          <cell r="X586" t="str">
            <v/>
          </cell>
          <cell r="Y586" t="str">
            <v>Motor 5.5 hp 1450rpm</v>
          </cell>
          <cell r="Z586" t="str">
            <v>Si</v>
          </cell>
        </row>
        <row r="587">
          <cell r="W587" t="str">
            <v>REP-0570</v>
          </cell>
          <cell r="X587" t="str">
            <v/>
          </cell>
          <cell r="Y587" t="str">
            <v>Motor aspiración agua y polo</v>
          </cell>
          <cell r="Z587" t="str">
            <v>Si</v>
          </cell>
        </row>
        <row r="588">
          <cell r="W588" t="str">
            <v>REP-0571</v>
          </cell>
          <cell r="X588" t="str">
            <v>09.06.736</v>
          </cell>
          <cell r="Y588" t="str">
            <v>Fuente de alimentacion 220 ac/24dc puente lavado</v>
          </cell>
          <cell r="Z588" t="str">
            <v>Si</v>
          </cell>
        </row>
        <row r="589">
          <cell r="W589" t="str">
            <v>REP-0572</v>
          </cell>
          <cell r="X589" t="str">
            <v>09.06.132</v>
          </cell>
          <cell r="Y589" t="str">
            <v>Reductor de traslacion cepillo vertical puente lavado</v>
          </cell>
          <cell r="Z589" t="str">
            <v>Si</v>
          </cell>
        </row>
        <row r="590">
          <cell r="W590" t="str">
            <v>REP-0573</v>
          </cell>
          <cell r="X590" t="str">
            <v>0906.1318</v>
          </cell>
          <cell r="Y590" t="str">
            <v>Inversor 1, 1KW-230V 1ph schneider puente lavado</v>
          </cell>
          <cell r="Z590" t="str">
            <v>Si</v>
          </cell>
        </row>
        <row r="591">
          <cell r="W591" t="str">
            <v>REP-0574</v>
          </cell>
          <cell r="X591" t="str">
            <v>09.06.142</v>
          </cell>
          <cell r="Y591" t="str">
            <v>Motor de cepillo horizontal KW0.5 puente lavado</v>
          </cell>
          <cell r="Z591" t="str">
            <v>Si</v>
          </cell>
        </row>
        <row r="592">
          <cell r="W592" t="str">
            <v>REP-0575</v>
          </cell>
          <cell r="X592" t="str">
            <v>09.06.1426</v>
          </cell>
          <cell r="Y592" t="str">
            <v>Motor de giro lavallantas puente lavado</v>
          </cell>
          <cell r="Z592" t="str">
            <v>Si</v>
          </cell>
        </row>
        <row r="593">
          <cell r="W593" t="str">
            <v>REP-0576</v>
          </cell>
          <cell r="X593" t="str">
            <v>09.06.148</v>
          </cell>
          <cell r="Y593" t="str">
            <v>Motor de traslacion cepillo vertical puente lavado</v>
          </cell>
          <cell r="Z593" t="str">
            <v>Si</v>
          </cell>
        </row>
        <row r="594">
          <cell r="W594" t="str">
            <v>REP-0577</v>
          </cell>
          <cell r="X594" t="str">
            <v>24.00.098</v>
          </cell>
          <cell r="Y594" t="str">
            <v>Eletrobomba de acero inoxidable je 120T 0.9KW puente lavado</v>
          </cell>
          <cell r="Z594" t="str">
            <v>Si</v>
          </cell>
        </row>
        <row r="595">
          <cell r="W595" t="str">
            <v>REP-0578</v>
          </cell>
          <cell r="X595" t="str">
            <v>0906.1786</v>
          </cell>
          <cell r="Y595" t="str">
            <v>Correa cinta pes azul 25mm puente lavado</v>
          </cell>
          <cell r="Z595" t="str">
            <v>Si</v>
          </cell>
        </row>
        <row r="596">
          <cell r="W596" t="str">
            <v>REP-0579</v>
          </cell>
          <cell r="X596" t="str">
            <v>09.06.134</v>
          </cell>
          <cell r="Y596" t="str">
            <v>Reductor de traslacion puente derecho puente lavado</v>
          </cell>
          <cell r="Z596" t="str">
            <v>Si</v>
          </cell>
        </row>
        <row r="597">
          <cell r="W597" t="str">
            <v>REP-0580</v>
          </cell>
          <cell r="X597" t="str">
            <v>80.00069</v>
          </cell>
          <cell r="Y597" t="str">
            <v>Indicador luminoso led diamante izquierda L puente lavado</v>
          </cell>
          <cell r="Z597" t="str">
            <v>Si</v>
          </cell>
        </row>
        <row r="598">
          <cell r="W598" t="str">
            <v>REP-0581</v>
          </cell>
          <cell r="X598" t="str">
            <v>09.06.236</v>
          </cell>
          <cell r="Y598" t="str">
            <v>Bomba dosificadora champu/llantas puente lavado</v>
          </cell>
          <cell r="Z598" t="str">
            <v>Si</v>
          </cell>
        </row>
        <row r="599">
          <cell r="W599" t="str">
            <v>REP-0582</v>
          </cell>
          <cell r="X599" t="str">
            <v>06.06.237</v>
          </cell>
          <cell r="Y599" t="str">
            <v>Bomba dosificadora WAX 3L/H cera puente lavado</v>
          </cell>
          <cell r="Z599" t="str">
            <v>Si</v>
          </cell>
        </row>
        <row r="600">
          <cell r="W600" t="str">
            <v>REP-0583</v>
          </cell>
          <cell r="X600" t="str">
            <v>09.06.1165</v>
          </cell>
          <cell r="Y600" t="str">
            <v>Boquilla de espuma 1.2 1/4F puente lavado</v>
          </cell>
          <cell r="Z600" t="str">
            <v>Si</v>
          </cell>
        </row>
        <row r="601">
          <cell r="W601" t="str">
            <v>REP-0584</v>
          </cell>
          <cell r="X601" t="str">
            <v>09.06.239</v>
          </cell>
          <cell r="Y601" t="str">
            <v>Bomba dosificadora EPDM 12L/H puente lavado</v>
          </cell>
          <cell r="Z601" t="str">
            <v>Si</v>
          </cell>
        </row>
        <row r="602">
          <cell r="W602" t="str">
            <v>REP-0585</v>
          </cell>
          <cell r="X602" t="str">
            <v>09.06.669</v>
          </cell>
          <cell r="Y602" t="str">
            <v>Electrovalvula 90 de agua puente lavado</v>
          </cell>
          <cell r="Z602" t="str">
            <v>Si</v>
          </cell>
        </row>
        <row r="603">
          <cell r="W603" t="str">
            <v>REP-0586</v>
          </cell>
          <cell r="X603" t="str">
            <v>09.06.416</v>
          </cell>
          <cell r="Y603" t="str">
            <v>Base modular plana para EV de aire puente lavado</v>
          </cell>
          <cell r="Z603" t="str">
            <v>Si</v>
          </cell>
        </row>
        <row r="604">
          <cell r="W604" t="str">
            <v>REP-0587</v>
          </cell>
          <cell r="X604" t="str">
            <v>09.06.1595</v>
          </cell>
          <cell r="Y604" t="str">
            <v>Modulo de absorcion de cepillos puente lavado</v>
          </cell>
          <cell r="Z604" t="str">
            <v>Si</v>
          </cell>
        </row>
        <row r="605">
          <cell r="W605" t="str">
            <v>REP-0588</v>
          </cell>
          <cell r="X605" t="str">
            <v>09.06.1320</v>
          </cell>
          <cell r="Y605" t="str">
            <v>Inversor schneider de 0.75KW-230V 1PH puente lavado</v>
          </cell>
          <cell r="Z605" t="str">
            <v>Si</v>
          </cell>
        </row>
        <row r="606">
          <cell r="W606" t="str">
            <v>REP-0589</v>
          </cell>
          <cell r="X606" t="str">
            <v>09.06.797</v>
          </cell>
          <cell r="Y606" t="str">
            <v>Cilindro de inclinacion cepillo vertical puente lavado</v>
          </cell>
          <cell r="Z606" t="str">
            <v>Si</v>
          </cell>
        </row>
        <row r="607">
          <cell r="W607" t="str">
            <v>REP-0590</v>
          </cell>
          <cell r="X607" t="str">
            <v>09.06.1316</v>
          </cell>
          <cell r="Y607" t="str">
            <v>Expansion PL schneider 16 puente lavado</v>
          </cell>
          <cell r="Z607" t="str">
            <v>Si</v>
          </cell>
        </row>
        <row r="608">
          <cell r="W608" t="str">
            <v>REP-0591</v>
          </cell>
          <cell r="X608" t="str">
            <v>09.06.1330</v>
          </cell>
          <cell r="Y608" t="str">
            <v>Motor del reductor de traslacion 0.75KW puente lavado</v>
          </cell>
          <cell r="Z608" t="str">
            <v>Si</v>
          </cell>
        </row>
        <row r="609">
          <cell r="W609" t="str">
            <v>REP-0592</v>
          </cell>
          <cell r="X609" t="str">
            <v>09.06.133</v>
          </cell>
          <cell r="Y609" t="str">
            <v>Reductor de traslacion puente de lavado izquierdo puente lavado</v>
          </cell>
          <cell r="Z609" t="str">
            <v>Si</v>
          </cell>
        </row>
        <row r="610">
          <cell r="W610" t="str">
            <v>REP-0593</v>
          </cell>
          <cell r="X610" t="str">
            <v>09.06.1425</v>
          </cell>
          <cell r="Y610" t="str">
            <v>Reductor para lavallantas puente lavado</v>
          </cell>
          <cell r="Z610" t="str">
            <v>Si</v>
          </cell>
        </row>
        <row r="611">
          <cell r="W611" t="str">
            <v>REP-0594</v>
          </cell>
          <cell r="X611" t="str">
            <v>09.02.070</v>
          </cell>
          <cell r="Y611" t="str">
            <v>Bomba de alta presion puente lavado</v>
          </cell>
          <cell r="Z611" t="str">
            <v>Si</v>
          </cell>
        </row>
        <row r="612">
          <cell r="W612" t="str">
            <v>REP-0595</v>
          </cell>
          <cell r="X612" t="str">
            <v>09.06.143</v>
          </cell>
          <cell r="Y612" t="str">
            <v>Motor KW0. 37 puente lavado</v>
          </cell>
          <cell r="Z612" t="str">
            <v>Si</v>
          </cell>
        </row>
        <row r="613">
          <cell r="W613" t="str">
            <v>REP-0596</v>
          </cell>
          <cell r="X613" t="str">
            <v>09.06.146</v>
          </cell>
          <cell r="Y613" t="str">
            <v>Motor de secado con ventilacion trasera puente lavado</v>
          </cell>
          <cell r="Z613" t="str">
            <v>Si</v>
          </cell>
        </row>
        <row r="614">
          <cell r="W614" t="str">
            <v>REP-0597</v>
          </cell>
          <cell r="X614" t="str">
            <v>09.02.069</v>
          </cell>
          <cell r="Y614" t="str">
            <v>Motor trifasico bomba de AP 8.5HP 4P 400/230 eje hueco puente lavado</v>
          </cell>
          <cell r="Z614" t="str">
            <v>Si</v>
          </cell>
        </row>
        <row r="615">
          <cell r="W615" t="str">
            <v>REP-0598</v>
          </cell>
          <cell r="X615" t="str">
            <v>09.06.145</v>
          </cell>
          <cell r="Y615" t="str">
            <v>Motor secado horizontal puente lavado</v>
          </cell>
          <cell r="Z615" t="str">
            <v>Si</v>
          </cell>
        </row>
        <row r="616">
          <cell r="W616" t="str">
            <v>REP-0599</v>
          </cell>
          <cell r="X616" t="str">
            <v>09.03.350</v>
          </cell>
          <cell r="Y616" t="str">
            <v>Caudalimetro pulsador de 1" 53IMP/L puente lavado</v>
          </cell>
          <cell r="Z616" t="str">
            <v>Si</v>
          </cell>
        </row>
        <row r="617">
          <cell r="W617" t="str">
            <v>REP-0600</v>
          </cell>
          <cell r="X617" t="str">
            <v>09.06.202</v>
          </cell>
          <cell r="Y617" t="str">
            <v>Correa dentada de kevlar para cepillo horizontal puente lavado</v>
          </cell>
          <cell r="Z617" t="str">
            <v>Si</v>
          </cell>
        </row>
        <row r="618">
          <cell r="W618" t="str">
            <v>REP-0601</v>
          </cell>
          <cell r="X618" t="str">
            <v>09.06.486</v>
          </cell>
          <cell r="Y618" t="str">
            <v>Colector EV de agua puente lavado</v>
          </cell>
          <cell r="Z618" t="str">
            <v>Si</v>
          </cell>
        </row>
        <row r="619">
          <cell r="W619" t="str">
            <v>REP-0602</v>
          </cell>
          <cell r="X619" t="str">
            <v>90.06.1324</v>
          </cell>
          <cell r="Y619" t="str">
            <v>Conexion RJ45 CAN-OPEN puente lavado</v>
          </cell>
          <cell r="Z619" t="str">
            <v>Si</v>
          </cell>
        </row>
        <row r="620">
          <cell r="W620" t="str">
            <v>REP-0603</v>
          </cell>
          <cell r="X620" t="str">
            <v>09.06.378</v>
          </cell>
          <cell r="Y620" t="str">
            <v>Regulador de presion 1/4 tuerca anular con monom puente lavado</v>
          </cell>
          <cell r="Z620" t="str">
            <v>Si</v>
          </cell>
        </row>
        <row r="621">
          <cell r="W621" t="str">
            <v>REP-0604</v>
          </cell>
          <cell r="X621" t="str">
            <v>09.06.411</v>
          </cell>
          <cell r="Y621" t="str">
            <v>Admision de aire 1/4 puente lavado</v>
          </cell>
          <cell r="Z621" t="str">
            <v>Si</v>
          </cell>
        </row>
        <row r="622">
          <cell r="W622" t="str">
            <v>REP-0605</v>
          </cell>
          <cell r="X622" t="str">
            <v>09.06.377</v>
          </cell>
          <cell r="Y622" t="str">
            <v>Unidad de filtro de aire manometro1/4 fil. librar puente lavado</v>
          </cell>
          <cell r="Z622" t="str">
            <v>Si</v>
          </cell>
        </row>
        <row r="623">
          <cell r="W623" t="str">
            <v>REP-0606</v>
          </cell>
          <cell r="X623" t="str">
            <v>09.06.1619</v>
          </cell>
          <cell r="Y623" t="str">
            <v>Modulo de seguridad 8DI puente lavado</v>
          </cell>
          <cell r="Z623" t="str">
            <v>Si</v>
          </cell>
        </row>
        <row r="624">
          <cell r="W624" t="str">
            <v>REP-0607</v>
          </cell>
          <cell r="X624" t="str">
            <v>09.06.604</v>
          </cell>
          <cell r="Y624" t="str">
            <v>Valvula pulsar para interpmps VBX puente lavado</v>
          </cell>
          <cell r="Z624" t="str">
            <v>Si</v>
          </cell>
        </row>
        <row r="625">
          <cell r="W625" t="str">
            <v>REP-0608</v>
          </cell>
          <cell r="X625" t="str">
            <v>09.06.413</v>
          </cell>
          <cell r="Y625" t="str">
            <v>Electrovalvula plano 5/2 puente lavado</v>
          </cell>
          <cell r="Z625" t="str">
            <v>Si</v>
          </cell>
        </row>
        <row r="626">
          <cell r="W626" t="str">
            <v>REP-0609</v>
          </cell>
          <cell r="X626" t="str">
            <v>09.06.414</v>
          </cell>
          <cell r="Y626" t="str">
            <v>Electrovalvula flat 5/3 1/4 casol puente lavado</v>
          </cell>
          <cell r="Z626" t="str">
            <v>Si</v>
          </cell>
        </row>
        <row r="627">
          <cell r="W627" t="str">
            <v>REP-0610</v>
          </cell>
          <cell r="X627" t="str">
            <v>09.06.1315</v>
          </cell>
          <cell r="Y627" t="str">
            <v>PLC schneirder TMC241CECT 24R puente lavado</v>
          </cell>
          <cell r="Z627" t="str">
            <v>Si</v>
          </cell>
        </row>
        <row r="628">
          <cell r="W628" t="str">
            <v>REP-0611</v>
          </cell>
          <cell r="X628" t="str">
            <v/>
          </cell>
          <cell r="Y628" t="str">
            <v>Soporte de boquilla giratoria fil. 3/8 sin tuerca anular puente lavado</v>
          </cell>
          <cell r="Z628" t="str">
            <v>Si</v>
          </cell>
        </row>
        <row r="629">
          <cell r="W629" t="str">
            <v>REP-0612</v>
          </cell>
          <cell r="X629" t="str">
            <v>09.06.1317</v>
          </cell>
          <cell r="Y629" t="str">
            <v>Expansion de PLC sche 16DO puente lavado</v>
          </cell>
          <cell r="Z629" t="str">
            <v>Si</v>
          </cell>
        </row>
        <row r="630">
          <cell r="W630" t="str">
            <v>REP-0613</v>
          </cell>
          <cell r="X630" t="str">
            <v>09.0.240</v>
          </cell>
          <cell r="Y630" t="str">
            <v>Boquilla metalica para tuercas rojas puente lavado</v>
          </cell>
          <cell r="Z630" t="str">
            <v>Si</v>
          </cell>
        </row>
        <row r="631">
          <cell r="W631" t="str">
            <v>REP-0614</v>
          </cell>
          <cell r="X631" t="str">
            <v>09.06.373</v>
          </cell>
          <cell r="Y631" t="str">
            <v>Porta boquillas de emoliente puente lavado</v>
          </cell>
          <cell r="Z631" t="str">
            <v>Si</v>
          </cell>
        </row>
        <row r="632">
          <cell r="W632" t="str">
            <v>REP-0615</v>
          </cell>
          <cell r="X632" t="str">
            <v>09.0.1337</v>
          </cell>
          <cell r="Y632" t="str">
            <v>Adaptador de tarjeta rj45 de apertura de lata puente lavado</v>
          </cell>
          <cell r="Z632" t="str">
            <v>Si</v>
          </cell>
        </row>
        <row r="633">
          <cell r="W633" t="str">
            <v>REP-0616</v>
          </cell>
          <cell r="X633" t="str">
            <v>09.01.511</v>
          </cell>
          <cell r="Y633" t="str">
            <v>Mnguera de conexon estanque cumulador de bombas de alta presion puente lavado</v>
          </cell>
          <cell r="Z633" t="str">
            <v>Si</v>
          </cell>
        </row>
        <row r="634">
          <cell r="W634" t="str">
            <v>REP-0617</v>
          </cell>
          <cell r="X634" t="str">
            <v>09.06.448</v>
          </cell>
          <cell r="Y634" t="str">
            <v>Electrovalvula de aire 2 vias 1/8 NC 24VDC puente lavado</v>
          </cell>
          <cell r="Z634" t="str">
            <v>Si</v>
          </cell>
        </row>
        <row r="635">
          <cell r="W635" t="str">
            <v>REP-0618</v>
          </cell>
          <cell r="X635" t="str">
            <v>09.06.361</v>
          </cell>
          <cell r="Y635" t="str">
            <v>Horquilla cilindro nuematico puente lavado</v>
          </cell>
          <cell r="Z635" t="str">
            <v>Si</v>
          </cell>
        </row>
        <row r="636">
          <cell r="W636" t="str">
            <v>REP-0619</v>
          </cell>
          <cell r="X636" t="str">
            <v>09.06.115</v>
          </cell>
          <cell r="Y636" t="str">
            <v>Rueda de percha 80x25 puente lavado</v>
          </cell>
          <cell r="Z636" t="str">
            <v>Si</v>
          </cell>
        </row>
        <row r="637">
          <cell r="W637" t="str">
            <v>REP-0620</v>
          </cell>
          <cell r="X637" t="str">
            <v>09.06.243</v>
          </cell>
          <cell r="Y637" t="str">
            <v>Boquilla fbl 686 1/4 4003 acero inox  puente lavado</v>
          </cell>
          <cell r="Z637" t="str">
            <v>Si</v>
          </cell>
        </row>
        <row r="638">
          <cell r="W638" t="str">
            <v>REP-0621</v>
          </cell>
          <cell r="X638" t="str">
            <v>09.06.380</v>
          </cell>
          <cell r="Y638" t="str">
            <v>Clindro neumatico para inclinacion de lavaruedas y deflector puente lavado</v>
          </cell>
          <cell r="Z638" t="str">
            <v>Si</v>
          </cell>
        </row>
        <row r="639">
          <cell r="W639" t="str">
            <v>REP-0622</v>
          </cell>
          <cell r="X639" t="str">
            <v>09.06.1775</v>
          </cell>
          <cell r="Y639" t="str">
            <v>Interrptor remoto proximidad D18-5M-NO puente lavado</v>
          </cell>
          <cell r="Z639" t="str">
            <v>Si</v>
          </cell>
        </row>
        <row r="640">
          <cell r="W640" t="str">
            <v>REP-0623</v>
          </cell>
          <cell r="X640" t="str">
            <v>09.06.230</v>
          </cell>
          <cell r="Y640" t="str">
            <v>Interruptor remoto proximidad omron 5mt-no puente lavado</v>
          </cell>
          <cell r="Z640" t="str">
            <v>Si</v>
          </cell>
        </row>
        <row r="641">
          <cell r="W641" t="str">
            <v>REP-0624</v>
          </cell>
          <cell r="X641" t="str">
            <v>09.06.1722</v>
          </cell>
          <cell r="Y641" t="str">
            <v>Boquilla giratoria 1/4-030-26° puente lavado</v>
          </cell>
          <cell r="Z641" t="str">
            <v>Si</v>
          </cell>
        </row>
        <row r="642">
          <cell r="W642" t="str">
            <v>REP-0625</v>
          </cell>
          <cell r="X642" t="str">
            <v/>
          </cell>
          <cell r="Y642" t="str">
            <v>Receptor de fotocelula md mt 30 puente lavado</v>
          </cell>
          <cell r="Z642" t="str">
            <v>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UESTOS"/>
      <sheetName val="INSUMOS"/>
    </sheetNames>
    <sheetDataSet>
      <sheetData sheetId="0">
        <row r="1">
          <cell r="B1" t="str">
            <v>CODIGO</v>
          </cell>
          <cell r="C1" t="str">
            <v>PROVEEDOR</v>
          </cell>
          <cell r="D1" t="str">
            <v>TIEMPO DE REPOSICIÓN MESES</v>
          </cell>
          <cell r="E1" t="str">
            <v>CENTRAL</v>
          </cell>
          <cell r="F1" t="str">
            <v>LUCAS</v>
          </cell>
          <cell r="G1" t="str">
            <v>FICHAS</v>
          </cell>
          <cell r="H1" t="str">
            <v>CONCEPCION</v>
          </cell>
          <cell r="I1" t="str">
            <v>LA SERENA</v>
          </cell>
          <cell r="J1" t="str">
            <v>HECTOR HUERTA
LLEVADO A CERO HASTA NUEVO AVISO</v>
          </cell>
          <cell r="K1" t="str">
            <v>AUTEC ANF</v>
          </cell>
          <cell r="L1" t="str">
            <v>AUTEC IQQ</v>
          </cell>
          <cell r="M1" t="str">
            <v>AUTEC ARICA</v>
          </cell>
          <cell r="N1" t="str">
            <v>BREYANS</v>
          </cell>
          <cell r="O1" t="str">
            <v>JAVIER HEIN</v>
          </cell>
          <cell r="P1" t="str">
            <v>JUAN GALLARDO</v>
          </cell>
          <cell r="Q1" t="str">
            <v>LUIS PINTO</v>
          </cell>
          <cell r="R1" t="str">
            <v>JUAN FRANCISCO</v>
          </cell>
          <cell r="S1" t="str">
            <v>EDUARDO TORO</v>
          </cell>
          <cell r="T1" t="str">
            <v>VICTOR B.</v>
          </cell>
          <cell r="U1" t="str">
            <v>IVAN VERGARA</v>
          </cell>
          <cell r="V1" t="str">
            <v>EDISON CARRASCO</v>
          </cell>
          <cell r="W1" t="str">
            <v>JORGE RODRÍGEZ</v>
          </cell>
          <cell r="X1" t="str">
            <v>MARTIN FLORES</v>
          </cell>
          <cell r="Y1" t="str">
            <v>TOTAL</v>
          </cell>
          <cell r="AA1" t="str">
            <v>TOTAL STOCK + IMPORTACIONES</v>
          </cell>
          <cell r="AB1" t="str">
            <v>CONSUMO DE 6 MESES 2021</v>
          </cell>
          <cell r="AC1" t="str">
            <v>PROMEDIO CONSUMO 6 MESES 2022</v>
          </cell>
          <cell r="AD1" t="str">
            <v>CONSUMO PROMEDIO DIARIO 6 MESES</v>
          </cell>
          <cell r="AE1" t="str">
            <v>PROMEDIO MENSUAL 2022</v>
          </cell>
          <cell r="AF1" t="str">
            <v>PROMEDIO MENSUAL 2023</v>
          </cell>
          <cell r="AG1" t="str">
            <v>PROMEDIO ACUMULADO 2024</v>
          </cell>
          <cell r="AH1" t="str">
            <v>PROMEDIO AÑO 2025</v>
          </cell>
          <cell r="AI1" t="str">
            <v>PROMEDIO ULTIMOS 6 MESES</v>
          </cell>
          <cell r="AJ1" t="str">
            <v>PROMEDIO AÑO 2026</v>
          </cell>
          <cell r="AK1" t="str">
            <v>CONSUMO PARA CÁLCULO</v>
          </cell>
          <cell r="AL1" t="str">
            <v>DESVIACIÓN ESTANDAR</v>
          </cell>
          <cell r="AM1" t="str">
            <v>PROMEDIO</v>
          </cell>
          <cell r="AN1" t="str">
            <v>COEF VARIACIÓN</v>
          </cell>
          <cell r="AO1" t="str">
            <v>POR LLEGAR ENERO</v>
          </cell>
          <cell r="AP1" t="str">
            <v>STOCK ESTIMADO  AL 31-01-2025</v>
          </cell>
          <cell r="AQ1" t="str">
            <v>MESES DE STOCK</v>
          </cell>
          <cell r="AR1" t="str">
            <v>POR LLEGAR FEBRERO</v>
          </cell>
          <cell r="AS1" t="str">
            <v>STOCK ESTIMADO  AL 28-02-2025</v>
          </cell>
          <cell r="AT1" t="str">
            <v>STOCK REAL  AL 28-02-2025</v>
          </cell>
          <cell r="AU1" t="str">
            <v>MESES DE STOCK</v>
          </cell>
          <cell r="AV1" t="str">
            <v>POR LLEGAR MARZO</v>
          </cell>
          <cell r="AW1" t="str">
            <v>STOCK ESTIMADO  AL 31-03-2025</v>
          </cell>
          <cell r="AX1" t="str">
            <v>STOCK REAL AL 31-03-2025</v>
          </cell>
          <cell r="AY1" t="str">
            <v>MESES DE STOCK</v>
          </cell>
          <cell r="AZ1" t="str">
            <v>POR LLEGAR ABRIL</v>
          </cell>
          <cell r="BA1" t="str">
            <v>STOCK ESTIMADO  AL 30-04-2025</v>
          </cell>
          <cell r="BB1" t="str">
            <v>STOCK REAL AL 30-04-2025</v>
          </cell>
          <cell r="BC1" t="str">
            <v>MESES DE STOCK</v>
          </cell>
          <cell r="BD1" t="str">
            <v>POR LLEGAR MAYO</v>
          </cell>
          <cell r="BE1" t="str">
            <v>STOCK ESTIMADO  AL 31-05-2025</v>
          </cell>
          <cell r="BF1" t="str">
            <v>MESES DE STOCK</v>
          </cell>
          <cell r="BG1" t="str">
            <v>POR LLEGAR JUNIO</v>
          </cell>
          <cell r="BH1" t="str">
            <v>STOCK ESTIMADO  AL 30-06-2025</v>
          </cell>
          <cell r="BI1" t="str">
            <v>STOCK REAL AL 30-06-2025</v>
          </cell>
          <cell r="BJ1" t="str">
            <v>MESES DE STOCK</v>
          </cell>
          <cell r="BK1" t="str">
            <v>POR LLEGAR JULIO</v>
          </cell>
          <cell r="BL1" t="str">
            <v>STOCK ESTIMADO  AL 31-07-2025</v>
          </cell>
          <cell r="BM1" t="str">
            <v>STOCK REAL  AL 31-07-2025</v>
          </cell>
          <cell r="BN1" t="str">
            <v>MESES DE STOCK</v>
          </cell>
          <cell r="BO1" t="str">
            <v>POR LLEGAR AGOSTO</v>
          </cell>
          <cell r="BP1" t="str">
            <v>STOCK ESTIMADO  AL 31-08-2025</v>
          </cell>
          <cell r="BQ1" t="str">
            <v>STOCK REAL  AL 31-08-2025</v>
          </cell>
          <cell r="BR1" t="str">
            <v>MESES DE STOCK</v>
          </cell>
          <cell r="BS1" t="str">
            <v>POR LLEGAR SEPTIEMBRE</v>
          </cell>
          <cell r="BT1" t="str">
            <v>STOCK ESTIMADO  AL 30-09-2025</v>
          </cell>
          <cell r="BU1" t="str">
            <v>STOCK REAL  AL 30-09-2025</v>
          </cell>
          <cell r="BV1" t="str">
            <v>MESES DE STOCK</v>
          </cell>
          <cell r="BW1" t="str">
            <v>STOCK FALTANTE PARA REPOSICIÓN</v>
          </cell>
          <cell r="BX1" t="str">
            <v>POR LLEGAR OCTUBRE</v>
          </cell>
          <cell r="BY1" t="str">
            <v>STOCK ESTIMADO  AL 31-10-2025</v>
          </cell>
          <cell r="BZ1" t="str">
            <v>STOCK REAL  AL 31-10-2025</v>
          </cell>
          <cell r="CA1" t="str">
            <v>MESES DE STOCK</v>
          </cell>
          <cell r="CB1" t="str">
            <v>STOCK FALTANTE PARA REPOSICIÓN</v>
          </cell>
          <cell r="CC1" t="str">
            <v>POR LLEGAR NOVIEMBRE</v>
          </cell>
          <cell r="CD1" t="str">
            <v>STOCK ESTIMADO  AL 30-11-2025</v>
          </cell>
          <cell r="CE1" t="str">
            <v>STOCK REAL  AL 30-11-2025</v>
          </cell>
          <cell r="CF1" t="str">
            <v>MESES DE STOCK</v>
          </cell>
          <cell r="CG1" t="str">
            <v>STOCK FALTANTE PARA REPOSICIÓN</v>
          </cell>
          <cell r="CH1" t="str">
            <v>POR LLEGAR DICIEMBRE</v>
          </cell>
          <cell r="CI1" t="str">
            <v>STOCK ESTIMADO  AL 31-12-2025</v>
          </cell>
          <cell r="CJ1" t="str">
            <v>STOCK REAL  AL 31-12-2025</v>
          </cell>
          <cell r="CK1" t="str">
            <v>MESES DE STOCK</v>
          </cell>
          <cell r="CL1" t="str">
            <v>STOCK FALTANTE PARA REPOSICIÓN</v>
          </cell>
          <cell r="CM1" t="str">
            <v>POR LLEGAR ENERO</v>
          </cell>
          <cell r="CN1" t="str">
            <v>STOCK ESTIMADO  AL 31-01-2026</v>
          </cell>
          <cell r="CO1" t="str">
            <v>STOCK REAL 31-01-2026</v>
          </cell>
          <cell r="CP1" t="str">
            <v>MESES DE STOCK</v>
          </cell>
          <cell r="CQ1" t="str">
            <v>STOCK FALTANTE PARA REPOSICIÓN</v>
          </cell>
          <cell r="CR1" t="str">
            <v>POR LLEGAR FEBRERO</v>
          </cell>
          <cell r="CS1" t="str">
            <v>STOCK ESTIMADO  AL 28-02-2026</v>
          </cell>
          <cell r="CT1" t="str">
            <v>STOCK REAL  AL 28-02-2026</v>
          </cell>
          <cell r="CU1" t="str">
            <v>MESES DE STOCK</v>
          </cell>
          <cell r="CV1" t="str">
            <v>STOCK FALTANTE PARA REPOSICIÓN</v>
          </cell>
          <cell r="CW1" t="str">
            <v>POR LLEGAR MARZO</v>
          </cell>
          <cell r="CX1" t="str">
            <v>STOCK ESTIMADO  AL 31-03-2026</v>
          </cell>
          <cell r="CY1" t="str">
            <v>STOCK REAL  AL 31-03-2026</v>
          </cell>
          <cell r="CZ1" t="str">
            <v>MESES DE STOCK</v>
          </cell>
          <cell r="DA1" t="str">
            <v>STOCK FALTANTE PARA REPOSICIÓN</v>
          </cell>
          <cell r="DB1" t="str">
            <v>POR LLEGAR ABRIL</v>
          </cell>
          <cell r="DC1" t="str">
            <v>STOCK ESTIMADO  AL 30-04-2026</v>
          </cell>
          <cell r="DD1" t="str">
            <v>STOCK REAL  AL 30-04-2026</v>
          </cell>
          <cell r="DE1" t="str">
            <v>MESES DE STOCK</v>
          </cell>
          <cell r="DF1" t="str">
            <v>STOCK FALTANTE PARA REPOSICIÓN</v>
          </cell>
          <cell r="DG1" t="str">
            <v>POR LLEGAR MAYO</v>
          </cell>
          <cell r="DH1" t="str">
            <v>STOCK ESTIMADO  AL 30-05-2026</v>
          </cell>
          <cell r="DI1" t="str">
            <v>STOCK REAL AL 31-05-2026</v>
          </cell>
          <cell r="DJ1" t="str">
            <v>MESES DE STOCK</v>
          </cell>
          <cell r="DK1" t="str">
            <v>STOCK FALTANTE PARA REPOSICIÓN</v>
          </cell>
          <cell r="DL1" t="str">
            <v>POR LLEGAR JUNIO</v>
          </cell>
          <cell r="DM1" t="str">
            <v>STOCK ESTIMADO  AL 30-06-2026</v>
          </cell>
          <cell r="DN1" t="str">
            <v>STOCK ESTIMADO  AL 30-06-2026</v>
          </cell>
          <cell r="DO1" t="str">
            <v>MESES DE STOCK</v>
          </cell>
          <cell r="DP1" t="str">
            <v>STOCK FALTANTE PARA REPOSICIÓN</v>
          </cell>
          <cell r="DQ1" t="str">
            <v>POR LLEGAR AL 31-07-2026</v>
          </cell>
          <cell r="DR1" t="str">
            <v>STOCK ESTIMADO  AL 31-07-2026</v>
          </cell>
          <cell r="DS1" t="str">
            <v>STOCK REAL  AL 31-07-2026</v>
          </cell>
          <cell r="DT1" t="str">
            <v>MESES DE STOCK</v>
          </cell>
          <cell r="DU1" t="str">
            <v>STOCK FALTANTE PARA REPOSICIÓN</v>
          </cell>
          <cell r="DV1" t="str">
            <v>POR LLEGAR AL 31-08-2026</v>
          </cell>
          <cell r="DW1" t="str">
            <v>STOCK ESTIMADO  AL 30-08-2026</v>
          </cell>
          <cell r="DX1" t="str">
            <v>STOCK REAL  AL 31-08-2026</v>
          </cell>
          <cell r="DY1" t="str">
            <v>MESES DE STOCK</v>
          </cell>
          <cell r="DZ1" t="str">
            <v>STOCK FALTANTE PARA REPOSICIÓN</v>
          </cell>
          <cell r="EA1" t="str">
            <v>POR LLEGAR AL 30-09-2026</v>
          </cell>
          <cell r="EB1" t="str">
            <v>STOCK ESTIMADO  AL 30-09-2026</v>
          </cell>
          <cell r="EC1" t="str">
            <v>STOCK REAL  AL 30-09-2026</v>
          </cell>
          <cell r="ED1" t="str">
            <v>MESES DE STOCK</v>
          </cell>
          <cell r="EE1" t="str">
            <v>STOCK FALTANTE PARA REPOSICIÓN</v>
          </cell>
          <cell r="EF1" t="str">
            <v>POR LLEGAR AL 31-10-2026</v>
          </cell>
          <cell r="EG1" t="str">
            <v>STOCK ESTIMADO  AL 30-10-2026</v>
          </cell>
          <cell r="EH1" t="str">
            <v>STOCK REAL  AL 31-10-2026</v>
          </cell>
          <cell r="EI1" t="str">
            <v>MESES DE STOCK</v>
          </cell>
          <cell r="EJ1" t="str">
            <v>STOCK FALTANTE PARA REPOSICIÓN</v>
          </cell>
          <cell r="EK1" t="str">
            <v>POR LLEGAR AL 30-11-2026</v>
          </cell>
          <cell r="EL1" t="str">
            <v>STOCK ESTIMADO  AL 30-11-2026</v>
          </cell>
          <cell r="EM1" t="str">
            <v>STOCK REAL  AL 30-11-2026</v>
          </cell>
          <cell r="EN1" t="str">
            <v>MESES DE STOCK</v>
          </cell>
          <cell r="EO1" t="str">
            <v>STOCK FALTANTE PARA REPOSICIÓN</v>
          </cell>
          <cell r="EP1" t="str">
            <v>POR LLEGAR AL 31-12-2026</v>
          </cell>
          <cell r="EQ1" t="str">
            <v>STOCK ESTIMADO  AL 30-12-2026</v>
          </cell>
          <cell r="ER1" t="str">
            <v>STOCK REAL  AL 31-12-2026</v>
          </cell>
          <cell r="ES1" t="str">
            <v>MESES DE STOCK</v>
          </cell>
          <cell r="ET1" t="str">
            <v>STOCK FALTANTE PARA REPOSICIÓN</v>
          </cell>
          <cell r="EU1" t="str">
            <v>POR LLEGAR AL 31-01-2027</v>
          </cell>
          <cell r="EV1" t="str">
            <v>STOCK ESTIMADO  AL 31-01-2027</v>
          </cell>
          <cell r="EW1" t="str">
            <v>STOCK REAL  AL 31-01-2027</v>
          </cell>
          <cell r="EX1" t="str">
            <v>MESES DE STOCK</v>
          </cell>
          <cell r="EY1" t="str">
            <v>STOCK FALTANTE PARA REPOSICIÓN</v>
          </cell>
          <cell r="EZ1" t="str">
            <v>POR LLEGAR AL 28-02-2027</v>
          </cell>
          <cell r="FA1" t="str">
            <v>STOCK ESTIMADO  AL 28-02-2027</v>
          </cell>
          <cell r="FB1" t="str">
            <v>STOCK REAL  AL 28-02-2027</v>
          </cell>
          <cell r="FC1" t="str">
            <v>MESES DE STOCK</v>
          </cell>
          <cell r="FD1" t="str">
            <v>STOCK FALTANTE PARA REPOSICIÓN</v>
          </cell>
          <cell r="FE1" t="str">
            <v>POR LLEGAR AL 31-03-2027</v>
          </cell>
          <cell r="FF1" t="str">
            <v>STOCK ESTIMADO  AL 28-03-2027</v>
          </cell>
          <cell r="FG1" t="str">
            <v>STOCK REAL  AL 31-03-2027</v>
          </cell>
          <cell r="FH1" t="str">
            <v>MESES DE STOCK</v>
          </cell>
          <cell r="FI1" t="str">
            <v>STOCK FALTANTE PARA REPOSICIÓN</v>
          </cell>
          <cell r="FJ1" t="str">
            <v>POR LLEGAR AL 30-04-2027</v>
          </cell>
          <cell r="FK1" t="str">
            <v>STOCK ESTIMADO  AL 28-04-2027</v>
          </cell>
          <cell r="FL1" t="str">
            <v>STOCK REAL  AL 30-04-2027</v>
          </cell>
          <cell r="FM1" t="str">
            <v>MESES DE STOCK</v>
          </cell>
          <cell r="FN1" t="str">
            <v>STOCK FALTANTE PARA REPOSICIÓN</v>
          </cell>
          <cell r="FO1" t="str">
            <v>POR LLEGAR AL 31-05-2027</v>
          </cell>
          <cell r="FP1" t="str">
            <v>STOCK ESTIMADO  AL 31-05-2027</v>
          </cell>
          <cell r="FQ1" t="str">
            <v>STOCK REAL  AL 31-05-2027</v>
          </cell>
          <cell r="FR1" t="str">
            <v>MESES DE STOCK</v>
          </cell>
          <cell r="FS1" t="str">
            <v>STOCK FALTANTE PARA REPOSICIÓN</v>
          </cell>
          <cell r="FT1" t="str">
            <v>STOCK DE REPOSICIÓN</v>
          </cell>
          <cell r="FU1" t="str">
            <v>TIEMPO DE REPOSICIÓN
MESES</v>
          </cell>
          <cell r="FV1" t="str">
            <v>REVISAR</v>
          </cell>
          <cell r="FW1" t="str">
            <v>NIVEL DE STOCK</v>
          </cell>
          <cell r="FX1" t="str">
            <v>TIPO DE REPUESTO</v>
          </cell>
          <cell r="FY1" t="str">
            <v>HABILITADO</v>
          </cell>
        </row>
        <row r="2">
          <cell r="B2" t="str">
            <v>REP-0001</v>
          </cell>
          <cell r="C2" t="str">
            <v>MIX</v>
          </cell>
          <cell r="D2">
            <v>0</v>
          </cell>
          <cell r="E2">
            <v>1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2</v>
          </cell>
          <cell r="AA2">
            <v>2</v>
          </cell>
          <cell r="AB2">
            <v>13</v>
          </cell>
          <cell r="AC2">
            <v>2.1666666666666665</v>
          </cell>
          <cell r="AD2">
            <v>7.2222222222222215E-2</v>
          </cell>
          <cell r="AE2">
            <v>2.1666666666666665</v>
          </cell>
          <cell r="AF2">
            <v>2.5833333333333335</v>
          </cell>
          <cell r="AG2">
            <v>3.4166666666666665</v>
          </cell>
          <cell r="AH2">
            <v>4.583333333333333</v>
          </cell>
          <cell r="AI2">
            <v>1.8333333333333333</v>
          </cell>
          <cell r="AJ2">
            <v>1.8333333333333333</v>
          </cell>
          <cell r="AK2">
            <v>0</v>
          </cell>
          <cell r="AL2">
            <v>1.1687481431951976</v>
          </cell>
          <cell r="AM2">
            <v>2.916666666666667</v>
          </cell>
          <cell r="AN2">
            <v>0.40071364909549628</v>
          </cell>
          <cell r="AO2">
            <v>0</v>
          </cell>
          <cell r="AP2">
            <v>36.333333333333336</v>
          </cell>
          <cell r="AQ2">
            <v>10.707317073170733</v>
          </cell>
          <cell r="AR2">
            <v>0</v>
          </cell>
          <cell r="AS2">
            <v>33</v>
          </cell>
          <cell r="AT2">
            <v>32</v>
          </cell>
          <cell r="AU2">
            <v>9.1428571428571423</v>
          </cell>
          <cell r="AV2">
            <v>0</v>
          </cell>
          <cell r="AW2">
            <v>28.5</v>
          </cell>
          <cell r="AX2">
            <v>22</v>
          </cell>
          <cell r="AY2" t="str">
            <v/>
          </cell>
          <cell r="AZ2">
            <v>0</v>
          </cell>
          <cell r="BA2">
            <v>17</v>
          </cell>
          <cell r="BB2">
            <v>16</v>
          </cell>
          <cell r="BC2">
            <v>2.1818181818181821</v>
          </cell>
          <cell r="BD2">
            <v>0</v>
          </cell>
          <cell r="BE2">
            <v>8.6666666666666679</v>
          </cell>
          <cell r="BF2">
            <v>1.1818181818181821</v>
          </cell>
          <cell r="BG2">
            <v>0</v>
          </cell>
          <cell r="BH2">
            <v>1.3333333333333348</v>
          </cell>
          <cell r="BI2">
            <v>2</v>
          </cell>
          <cell r="BJ2" t="str">
            <v/>
          </cell>
          <cell r="BK2">
            <v>0</v>
          </cell>
          <cell r="BL2">
            <v>2</v>
          </cell>
          <cell r="BM2">
            <v>6</v>
          </cell>
          <cell r="BN2">
            <v>1.161290322580645</v>
          </cell>
          <cell r="BO2">
            <v>0</v>
          </cell>
          <cell r="BP2">
            <v>30.833333333333332</v>
          </cell>
          <cell r="BQ2">
            <v>36</v>
          </cell>
          <cell r="BR2" t="str">
            <v/>
          </cell>
          <cell r="BS2">
            <v>0</v>
          </cell>
          <cell r="BT2">
            <v>31.833333333333332</v>
          </cell>
          <cell r="BU2">
            <v>35</v>
          </cell>
          <cell r="BV2">
            <v>9.545454545454545</v>
          </cell>
          <cell r="BW2">
            <v>0</v>
          </cell>
          <cell r="BX2">
            <v>0</v>
          </cell>
          <cell r="BY2">
            <v>31.333333333333332</v>
          </cell>
          <cell r="BZ2">
            <v>33</v>
          </cell>
          <cell r="CA2">
            <v>9.4285714285714288</v>
          </cell>
          <cell r="CB2">
            <v>0</v>
          </cell>
          <cell r="CC2">
            <v>0</v>
          </cell>
          <cell r="CD2">
            <v>29.5</v>
          </cell>
          <cell r="CE2">
            <v>27</v>
          </cell>
          <cell r="CF2">
            <v>7.0714285714285712</v>
          </cell>
          <cell r="CG2">
            <v>3</v>
          </cell>
          <cell r="CH2">
            <v>0</v>
          </cell>
          <cell r="CI2">
            <v>28.68181818181818</v>
          </cell>
          <cell r="CJ2">
            <v>14</v>
          </cell>
          <cell r="CK2">
            <v>3.0545454545454547</v>
          </cell>
          <cell r="CL2">
            <v>22</v>
          </cell>
          <cell r="CM2">
            <v>0</v>
          </cell>
          <cell r="CN2">
            <v>9.4166666666666679</v>
          </cell>
          <cell r="CO2">
            <v>5</v>
          </cell>
          <cell r="CP2" t="str">
            <v/>
          </cell>
          <cell r="CQ2">
            <v>26.583333333333332</v>
          </cell>
          <cell r="CR2">
            <v>0</v>
          </cell>
          <cell r="CS2">
            <v>5</v>
          </cell>
          <cell r="CT2">
            <v>3</v>
          </cell>
          <cell r="CU2" t="str">
            <v/>
          </cell>
          <cell r="CV2">
            <v>9</v>
          </cell>
          <cell r="CW2">
            <v>0</v>
          </cell>
          <cell r="CX2">
            <v>3</v>
          </cell>
          <cell r="CY2">
            <v>2</v>
          </cell>
          <cell r="CZ2" t="str">
            <v/>
          </cell>
          <cell r="DA2">
            <v>7</v>
          </cell>
          <cell r="DB2">
            <v>0</v>
          </cell>
          <cell r="DC2">
            <v>2</v>
          </cell>
          <cell r="DD2">
            <v>2</v>
          </cell>
          <cell r="DE2" t="str">
            <v/>
          </cell>
          <cell r="DF2">
            <v>0</v>
          </cell>
          <cell r="DG2">
            <v>0</v>
          </cell>
          <cell r="DH2">
            <v>2</v>
          </cell>
          <cell r="DI2">
            <v>2</v>
          </cell>
          <cell r="DJ2" t="str">
            <v/>
          </cell>
          <cell r="DK2">
            <v>0</v>
          </cell>
          <cell r="DL2">
            <v>0</v>
          </cell>
          <cell r="DM2">
            <v>2</v>
          </cell>
          <cell r="DN2">
            <v>2</v>
          </cell>
          <cell r="DO2" t="str">
            <v/>
          </cell>
          <cell r="DP2">
            <v>0</v>
          </cell>
          <cell r="DR2">
            <v>2</v>
          </cell>
          <cell r="DS2">
            <v>2</v>
          </cell>
          <cell r="DT2" t="str">
            <v/>
          </cell>
          <cell r="DU2">
            <v>0</v>
          </cell>
          <cell r="DV2">
            <v>0</v>
          </cell>
          <cell r="DW2">
            <v>2</v>
          </cell>
          <cell r="DX2">
            <v>2</v>
          </cell>
          <cell r="DY2" t="str">
            <v/>
          </cell>
          <cell r="DZ2">
            <v>0</v>
          </cell>
          <cell r="EA2">
            <v>0</v>
          </cell>
          <cell r="EB2">
            <v>2</v>
          </cell>
          <cell r="EC2">
            <v>2</v>
          </cell>
          <cell r="ED2" t="str">
            <v/>
          </cell>
          <cell r="EE2">
            <v>0</v>
          </cell>
          <cell r="EF2">
            <v>0</v>
          </cell>
          <cell r="EG2">
            <v>2</v>
          </cell>
          <cell r="EH2">
            <v>2</v>
          </cell>
          <cell r="EI2" t="str">
            <v/>
          </cell>
          <cell r="EJ2">
            <v>0</v>
          </cell>
          <cell r="EK2">
            <v>0</v>
          </cell>
          <cell r="EL2">
            <v>2</v>
          </cell>
          <cell r="EM2">
            <v>2</v>
          </cell>
          <cell r="EN2" t="str">
            <v/>
          </cell>
          <cell r="EO2">
            <v>0</v>
          </cell>
          <cell r="EP2">
            <v>0</v>
          </cell>
          <cell r="EQ2">
            <v>2</v>
          </cell>
          <cell r="ER2">
            <v>2</v>
          </cell>
          <cell r="ES2" t="str">
            <v/>
          </cell>
          <cell r="ET2">
            <v>0</v>
          </cell>
          <cell r="EU2">
            <v>0</v>
          </cell>
          <cell r="EV2">
            <v>2</v>
          </cell>
          <cell r="EW2">
            <v>2</v>
          </cell>
          <cell r="EX2" t="str">
            <v/>
          </cell>
          <cell r="EY2">
            <v>0</v>
          </cell>
          <cell r="EZ2">
            <v>0</v>
          </cell>
          <cell r="FA2">
            <v>2</v>
          </cell>
          <cell r="FB2">
            <v>2</v>
          </cell>
          <cell r="FC2" t="str">
            <v/>
          </cell>
          <cell r="FD2">
            <v>0</v>
          </cell>
          <cell r="FE2">
            <v>0</v>
          </cell>
          <cell r="FF2">
            <v>2</v>
          </cell>
          <cell r="FG2">
            <v>2</v>
          </cell>
          <cell r="FH2" t="str">
            <v/>
          </cell>
          <cell r="FI2">
            <v>0</v>
          </cell>
          <cell r="FJ2">
            <v>0</v>
          </cell>
          <cell r="FK2">
            <v>2</v>
          </cell>
          <cell r="FL2">
            <v>2</v>
          </cell>
          <cell r="FM2" t="str">
            <v/>
          </cell>
          <cell r="FN2">
            <v>0</v>
          </cell>
          <cell r="FO2">
            <v>0</v>
          </cell>
          <cell r="FP2">
            <v>2</v>
          </cell>
          <cell r="FQ2">
            <v>2</v>
          </cell>
          <cell r="FR2" t="str">
            <v/>
          </cell>
          <cell r="FS2">
            <v>0</v>
          </cell>
          <cell r="FT2">
            <v>0</v>
          </cell>
          <cell r="FU2">
            <v>2.0333333333333332</v>
          </cell>
          <cell r="FV2" t="str">
            <v>DAR DE BAJA</v>
          </cell>
          <cell r="FW2" t="str">
            <v>SIN ROTACIÓN</v>
          </cell>
          <cell r="FX2" t="str">
            <v>B</v>
          </cell>
          <cell r="FY2" t="str">
            <v>Si</v>
          </cell>
        </row>
        <row r="3">
          <cell r="B3" t="str">
            <v>REP-0002</v>
          </cell>
          <cell r="C3" t="str">
            <v>NO VIGENTE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AA3">
            <v>0</v>
          </cell>
          <cell r="AB3">
            <v>1</v>
          </cell>
          <cell r="AC3">
            <v>0</v>
          </cell>
          <cell r="AD3">
            <v>0</v>
          </cell>
          <cell r="AE3">
            <v>8.3333333333333329E-2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M3">
            <v>0</v>
          </cell>
          <cell r="AO3">
            <v>0</v>
          </cell>
          <cell r="AP3">
            <v>0</v>
          </cell>
          <cell r="AQ3" t="str">
            <v/>
          </cell>
          <cell r="AR3">
            <v>0</v>
          </cell>
          <cell r="AS3">
            <v>0</v>
          </cell>
          <cell r="AT3">
            <v>0</v>
          </cell>
          <cell r="AU3" t="str">
            <v/>
          </cell>
          <cell r="AV3">
            <v>0</v>
          </cell>
          <cell r="AW3">
            <v>0</v>
          </cell>
          <cell r="AX3">
            <v>0</v>
          </cell>
          <cell r="AY3" t="str">
            <v/>
          </cell>
          <cell r="AZ3">
            <v>0</v>
          </cell>
          <cell r="BA3">
            <v>0</v>
          </cell>
          <cell r="BB3">
            <v>0</v>
          </cell>
          <cell r="BC3" t="str">
            <v/>
          </cell>
          <cell r="BD3">
            <v>0</v>
          </cell>
          <cell r="BE3">
            <v>0</v>
          </cell>
          <cell r="BF3" t="str">
            <v/>
          </cell>
          <cell r="BG3">
            <v>0</v>
          </cell>
          <cell r="BH3">
            <v>0</v>
          </cell>
          <cell r="BI3">
            <v>0</v>
          </cell>
          <cell r="BJ3" t="str">
            <v/>
          </cell>
          <cell r="BK3">
            <v>0</v>
          </cell>
          <cell r="BL3">
            <v>0</v>
          </cell>
          <cell r="BM3">
            <v>0</v>
          </cell>
          <cell r="BN3" t="str">
            <v/>
          </cell>
          <cell r="BO3">
            <v>0</v>
          </cell>
          <cell r="BP3">
            <v>0</v>
          </cell>
          <cell r="BQ3">
            <v>0</v>
          </cell>
          <cell r="BR3" t="str">
            <v/>
          </cell>
          <cell r="BS3">
            <v>0</v>
          </cell>
          <cell r="BT3">
            <v>0</v>
          </cell>
          <cell r="BU3">
            <v>0</v>
          </cell>
          <cell r="BV3" t="str">
            <v/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 t="str">
            <v/>
          </cell>
          <cell r="CB3">
            <v>0</v>
          </cell>
          <cell r="CD3">
            <v>0</v>
          </cell>
          <cell r="CE3">
            <v>0</v>
          </cell>
          <cell r="CF3" t="str">
            <v/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 t="str">
            <v/>
          </cell>
          <cell r="CL3">
            <v>0</v>
          </cell>
          <cell r="CN3">
            <v>0</v>
          </cell>
          <cell r="CO3">
            <v>0</v>
          </cell>
          <cell r="CP3" t="str">
            <v/>
          </cell>
          <cell r="CQ3">
            <v>0</v>
          </cell>
          <cell r="CS3">
            <v>0</v>
          </cell>
          <cell r="CT3">
            <v>0</v>
          </cell>
          <cell r="CU3" t="str">
            <v/>
          </cell>
          <cell r="CV3">
            <v>0</v>
          </cell>
          <cell r="CX3">
            <v>0</v>
          </cell>
          <cell r="CY3">
            <v>0</v>
          </cell>
          <cell r="CZ3" t="str">
            <v/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 t="str">
            <v/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 t="str">
            <v/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 t="str">
            <v/>
          </cell>
          <cell r="DP3">
            <v>0</v>
          </cell>
          <cell r="DR3">
            <v>0</v>
          </cell>
          <cell r="DS3">
            <v>0</v>
          </cell>
          <cell r="DT3" t="str">
            <v/>
          </cell>
          <cell r="DU3">
            <v>0</v>
          </cell>
          <cell r="DV3">
            <v>0</v>
          </cell>
          <cell r="DW3">
            <v>0</v>
          </cell>
          <cell r="DX3">
            <v>0</v>
          </cell>
          <cell r="DY3" t="str">
            <v/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D3" t="str">
            <v/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 t="str">
            <v/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 t="str">
            <v/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 t="str">
            <v/>
          </cell>
          <cell r="ET3">
            <v>0</v>
          </cell>
          <cell r="EU3">
            <v>0</v>
          </cell>
          <cell r="EV3">
            <v>0</v>
          </cell>
          <cell r="EW3">
            <v>0</v>
          </cell>
          <cell r="EX3" t="str">
            <v/>
          </cell>
          <cell r="EY3">
            <v>0</v>
          </cell>
          <cell r="EZ3">
            <v>0</v>
          </cell>
          <cell r="FA3">
            <v>0</v>
          </cell>
          <cell r="FB3">
            <v>0</v>
          </cell>
          <cell r="FC3" t="str">
            <v/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 t="str">
            <v/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M3" t="str">
            <v/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 t="str">
            <v/>
          </cell>
          <cell r="FS3">
            <v>0</v>
          </cell>
          <cell r="FT3">
            <v>0</v>
          </cell>
          <cell r="FU3">
            <v>66.666666666666671</v>
          </cell>
          <cell r="FW3" t="str">
            <v>SIN ROTACIÓN</v>
          </cell>
          <cell r="FX3">
            <v>0</v>
          </cell>
          <cell r="FY3" t="str">
            <v>No</v>
          </cell>
        </row>
        <row r="4">
          <cell r="B4" t="str">
            <v>REP-0003</v>
          </cell>
          <cell r="C4" t="str">
            <v>NO VIGENTE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M4">
            <v>0</v>
          </cell>
          <cell r="AO4">
            <v>0</v>
          </cell>
          <cell r="AP4">
            <v>0</v>
          </cell>
          <cell r="AQ4" t="str">
            <v/>
          </cell>
          <cell r="AR4">
            <v>0</v>
          </cell>
          <cell r="AS4">
            <v>0</v>
          </cell>
          <cell r="AT4">
            <v>0</v>
          </cell>
          <cell r="AU4" t="str">
            <v/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 t="str">
            <v/>
          </cell>
          <cell r="BD4">
            <v>0</v>
          </cell>
          <cell r="BE4">
            <v>0</v>
          </cell>
          <cell r="BF4" t="str">
            <v/>
          </cell>
          <cell r="BG4">
            <v>0</v>
          </cell>
          <cell r="BH4">
            <v>0</v>
          </cell>
          <cell r="BI4">
            <v>0</v>
          </cell>
          <cell r="BJ4" t="str">
            <v/>
          </cell>
          <cell r="BK4">
            <v>0</v>
          </cell>
          <cell r="BL4">
            <v>0</v>
          </cell>
          <cell r="BM4">
            <v>0</v>
          </cell>
          <cell r="BN4" t="str">
            <v/>
          </cell>
          <cell r="BO4">
            <v>0</v>
          </cell>
          <cell r="BP4">
            <v>0</v>
          </cell>
          <cell r="BQ4">
            <v>0</v>
          </cell>
          <cell r="BR4" t="str">
            <v/>
          </cell>
          <cell r="BS4">
            <v>0</v>
          </cell>
          <cell r="BT4">
            <v>0</v>
          </cell>
          <cell r="BU4">
            <v>0</v>
          </cell>
          <cell r="BV4" t="str">
            <v/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 t="str">
            <v/>
          </cell>
          <cell r="CB4">
            <v>0</v>
          </cell>
          <cell r="CD4">
            <v>0</v>
          </cell>
          <cell r="CE4">
            <v>0</v>
          </cell>
          <cell r="CF4" t="str">
            <v/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 t="str">
            <v/>
          </cell>
          <cell r="CL4">
            <v>0</v>
          </cell>
          <cell r="CN4">
            <v>0</v>
          </cell>
          <cell r="CO4">
            <v>0</v>
          </cell>
          <cell r="CP4" t="str">
            <v/>
          </cell>
          <cell r="CQ4">
            <v>0</v>
          </cell>
          <cell r="CS4">
            <v>0</v>
          </cell>
          <cell r="CT4">
            <v>0</v>
          </cell>
          <cell r="CU4" t="str">
            <v/>
          </cell>
          <cell r="CV4">
            <v>0</v>
          </cell>
          <cell r="CX4">
            <v>0</v>
          </cell>
          <cell r="CY4">
            <v>0</v>
          </cell>
          <cell r="CZ4" t="str">
            <v/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 t="str">
            <v/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 t="str">
            <v/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 t="str">
            <v/>
          </cell>
          <cell r="DP4">
            <v>0</v>
          </cell>
          <cell r="DR4">
            <v>0</v>
          </cell>
          <cell r="DS4">
            <v>0</v>
          </cell>
          <cell r="DT4" t="str">
            <v/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 t="str">
            <v/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 t="str">
            <v/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 t="str">
            <v/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 t="str">
            <v/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 t="str">
            <v/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 t="str">
            <v/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 t="str">
            <v/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 t="str">
            <v/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 t="str">
            <v/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 t="str">
            <v/>
          </cell>
          <cell r="FS4">
            <v>0</v>
          </cell>
          <cell r="FT4">
            <v>0</v>
          </cell>
          <cell r="FU4">
            <v>66.666666666666671</v>
          </cell>
          <cell r="FW4" t="str">
            <v>SIN ROTACIÓN</v>
          </cell>
          <cell r="FX4">
            <v>0</v>
          </cell>
          <cell r="FY4" t="str">
            <v>No</v>
          </cell>
        </row>
        <row r="5">
          <cell r="B5" t="str">
            <v>REP-0004</v>
          </cell>
          <cell r="C5" t="str">
            <v>NO VIGENTE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M5">
            <v>0</v>
          </cell>
          <cell r="AO5">
            <v>0</v>
          </cell>
          <cell r="AP5">
            <v>0</v>
          </cell>
          <cell r="AQ5" t="str">
            <v/>
          </cell>
          <cell r="AR5">
            <v>0</v>
          </cell>
          <cell r="AS5">
            <v>0</v>
          </cell>
          <cell r="AT5">
            <v>0</v>
          </cell>
          <cell r="AU5" t="str">
            <v/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 t="str">
            <v/>
          </cell>
          <cell r="BD5">
            <v>0</v>
          </cell>
          <cell r="BE5">
            <v>0</v>
          </cell>
          <cell r="BF5" t="str">
            <v/>
          </cell>
          <cell r="BG5">
            <v>0</v>
          </cell>
          <cell r="BH5">
            <v>0</v>
          </cell>
          <cell r="BI5">
            <v>0</v>
          </cell>
          <cell r="BJ5" t="str">
            <v/>
          </cell>
          <cell r="BK5">
            <v>0</v>
          </cell>
          <cell r="BL5">
            <v>0</v>
          </cell>
          <cell r="BM5">
            <v>0</v>
          </cell>
          <cell r="BN5" t="str">
            <v/>
          </cell>
          <cell r="BO5">
            <v>0</v>
          </cell>
          <cell r="BP5">
            <v>0</v>
          </cell>
          <cell r="BQ5">
            <v>0</v>
          </cell>
          <cell r="BR5" t="str">
            <v/>
          </cell>
          <cell r="BS5">
            <v>0</v>
          </cell>
          <cell r="BT5">
            <v>0</v>
          </cell>
          <cell r="BU5">
            <v>0</v>
          </cell>
          <cell r="BV5" t="str">
            <v/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 t="str">
            <v/>
          </cell>
          <cell r="CB5">
            <v>0</v>
          </cell>
          <cell r="CD5">
            <v>0</v>
          </cell>
          <cell r="CE5">
            <v>0</v>
          </cell>
          <cell r="CF5" t="str">
            <v/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 t="str">
            <v/>
          </cell>
          <cell r="CL5">
            <v>0</v>
          </cell>
          <cell r="CN5">
            <v>0</v>
          </cell>
          <cell r="CO5">
            <v>0</v>
          </cell>
          <cell r="CP5" t="str">
            <v/>
          </cell>
          <cell r="CQ5">
            <v>0</v>
          </cell>
          <cell r="CS5">
            <v>0</v>
          </cell>
          <cell r="CT5">
            <v>0</v>
          </cell>
          <cell r="CU5" t="str">
            <v/>
          </cell>
          <cell r="CV5">
            <v>0</v>
          </cell>
          <cell r="CX5">
            <v>0</v>
          </cell>
          <cell r="CY5">
            <v>0</v>
          </cell>
          <cell r="CZ5" t="str">
            <v/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 t="str">
            <v/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 t="str">
            <v/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 t="str">
            <v/>
          </cell>
          <cell r="DP5">
            <v>0</v>
          </cell>
          <cell r="DR5">
            <v>0</v>
          </cell>
          <cell r="DS5">
            <v>0</v>
          </cell>
          <cell r="DT5" t="str">
            <v/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 t="str">
            <v/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 t="str">
            <v/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 t="str">
            <v/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 t="str">
            <v/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 t="str">
            <v/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 t="str">
            <v/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 t="str">
            <v/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 t="str">
            <v/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 t="str">
            <v/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 t="str">
            <v/>
          </cell>
          <cell r="FS5">
            <v>0</v>
          </cell>
          <cell r="FT5">
            <v>0</v>
          </cell>
          <cell r="FU5">
            <v>66.666666666666671</v>
          </cell>
          <cell r="FW5" t="str">
            <v>SIN ROTACIÓN</v>
          </cell>
          <cell r="FX5">
            <v>0</v>
          </cell>
          <cell r="FY5" t="str">
            <v>No</v>
          </cell>
        </row>
        <row r="6">
          <cell r="B6" t="str">
            <v>REP-0005</v>
          </cell>
          <cell r="C6" t="str">
            <v>NO VIGENTE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M6">
            <v>0</v>
          </cell>
          <cell r="AO6">
            <v>0</v>
          </cell>
          <cell r="AP6">
            <v>0</v>
          </cell>
          <cell r="AQ6" t="str">
            <v/>
          </cell>
          <cell r="AR6">
            <v>0</v>
          </cell>
          <cell r="AS6">
            <v>0</v>
          </cell>
          <cell r="AT6">
            <v>0</v>
          </cell>
          <cell r="AU6" t="str">
            <v/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 t="str">
            <v/>
          </cell>
          <cell r="BD6">
            <v>0</v>
          </cell>
          <cell r="BE6">
            <v>0</v>
          </cell>
          <cell r="BF6" t="str">
            <v/>
          </cell>
          <cell r="BG6">
            <v>0</v>
          </cell>
          <cell r="BH6">
            <v>0</v>
          </cell>
          <cell r="BI6">
            <v>0</v>
          </cell>
          <cell r="BJ6" t="str">
            <v/>
          </cell>
          <cell r="BK6">
            <v>0</v>
          </cell>
          <cell r="BL6">
            <v>0</v>
          </cell>
          <cell r="BM6">
            <v>0</v>
          </cell>
          <cell r="BN6" t="str">
            <v/>
          </cell>
          <cell r="BO6">
            <v>0</v>
          </cell>
          <cell r="BP6">
            <v>0</v>
          </cell>
          <cell r="BQ6">
            <v>0</v>
          </cell>
          <cell r="BR6" t="str">
            <v/>
          </cell>
          <cell r="BS6">
            <v>0</v>
          </cell>
          <cell r="BT6">
            <v>0</v>
          </cell>
          <cell r="BU6">
            <v>0</v>
          </cell>
          <cell r="BV6" t="str">
            <v/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 t="str">
            <v/>
          </cell>
          <cell r="CB6">
            <v>0</v>
          </cell>
          <cell r="CD6">
            <v>0</v>
          </cell>
          <cell r="CE6">
            <v>0</v>
          </cell>
          <cell r="CF6" t="str">
            <v/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 t="str">
            <v/>
          </cell>
          <cell r="CL6">
            <v>0</v>
          </cell>
          <cell r="CN6">
            <v>0</v>
          </cell>
          <cell r="CO6">
            <v>0</v>
          </cell>
          <cell r="CP6" t="str">
            <v/>
          </cell>
          <cell r="CQ6">
            <v>0</v>
          </cell>
          <cell r="CS6">
            <v>0</v>
          </cell>
          <cell r="CT6">
            <v>0</v>
          </cell>
          <cell r="CU6" t="str">
            <v/>
          </cell>
          <cell r="CV6">
            <v>0</v>
          </cell>
          <cell r="CX6">
            <v>0</v>
          </cell>
          <cell r="CY6">
            <v>0</v>
          </cell>
          <cell r="CZ6" t="str">
            <v/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 t="str">
            <v/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 t="str">
            <v/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 t="str">
            <v/>
          </cell>
          <cell r="DP6">
            <v>0</v>
          </cell>
          <cell r="DR6">
            <v>0</v>
          </cell>
          <cell r="DS6">
            <v>0</v>
          </cell>
          <cell r="DT6" t="str">
            <v/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 t="str">
            <v/>
          </cell>
          <cell r="DZ6">
            <v>0</v>
          </cell>
          <cell r="EA6">
            <v>0</v>
          </cell>
          <cell r="EB6">
            <v>0</v>
          </cell>
          <cell r="EC6">
            <v>0</v>
          </cell>
          <cell r="ED6" t="str">
            <v/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 t="str">
            <v/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 t="str">
            <v/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 t="str">
            <v/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 t="str">
            <v/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 t="str">
            <v/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 t="str">
            <v/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 t="str">
            <v/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 t="str">
            <v/>
          </cell>
          <cell r="FS6">
            <v>0</v>
          </cell>
          <cell r="FT6">
            <v>0</v>
          </cell>
          <cell r="FU6">
            <v>66.666666666666671</v>
          </cell>
          <cell r="FW6" t="str">
            <v>SIN ROTACIÓN</v>
          </cell>
          <cell r="FX6">
            <v>0</v>
          </cell>
          <cell r="FY6" t="str">
            <v>No</v>
          </cell>
        </row>
        <row r="7">
          <cell r="B7" t="str">
            <v>REP-0006</v>
          </cell>
          <cell r="C7" t="str">
            <v>NO VIGENTE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O7">
            <v>0</v>
          </cell>
          <cell r="AP7">
            <v>0</v>
          </cell>
          <cell r="AQ7" t="str">
            <v/>
          </cell>
          <cell r="AR7">
            <v>0</v>
          </cell>
          <cell r="AS7">
            <v>0</v>
          </cell>
          <cell r="AT7">
            <v>0</v>
          </cell>
          <cell r="AU7" t="str">
            <v/>
          </cell>
          <cell r="AV7">
            <v>0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 t="str">
            <v/>
          </cell>
          <cell r="BD7">
            <v>0</v>
          </cell>
          <cell r="BE7">
            <v>0</v>
          </cell>
          <cell r="BF7" t="str">
            <v/>
          </cell>
          <cell r="BG7">
            <v>0</v>
          </cell>
          <cell r="BH7">
            <v>0</v>
          </cell>
          <cell r="BI7">
            <v>0</v>
          </cell>
          <cell r="BJ7" t="str">
            <v/>
          </cell>
          <cell r="BK7">
            <v>0</v>
          </cell>
          <cell r="BL7">
            <v>0</v>
          </cell>
          <cell r="BM7">
            <v>0</v>
          </cell>
          <cell r="BN7" t="str">
            <v/>
          </cell>
          <cell r="BO7">
            <v>0</v>
          </cell>
          <cell r="BP7">
            <v>0</v>
          </cell>
          <cell r="BQ7">
            <v>0</v>
          </cell>
          <cell r="BR7" t="str">
            <v/>
          </cell>
          <cell r="BS7">
            <v>0</v>
          </cell>
          <cell r="BT7">
            <v>0</v>
          </cell>
          <cell r="BU7">
            <v>0</v>
          </cell>
          <cell r="BV7" t="str">
            <v/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 t="str">
            <v/>
          </cell>
          <cell r="CB7">
            <v>0</v>
          </cell>
          <cell r="CD7">
            <v>0</v>
          </cell>
          <cell r="CE7">
            <v>0</v>
          </cell>
          <cell r="CF7" t="str">
            <v/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 t="str">
            <v/>
          </cell>
          <cell r="CL7">
            <v>0</v>
          </cell>
          <cell r="CN7">
            <v>0</v>
          </cell>
          <cell r="CO7">
            <v>0</v>
          </cell>
          <cell r="CP7" t="str">
            <v/>
          </cell>
          <cell r="CQ7">
            <v>0</v>
          </cell>
          <cell r="CS7">
            <v>0</v>
          </cell>
          <cell r="CT7">
            <v>0</v>
          </cell>
          <cell r="CU7" t="str">
            <v/>
          </cell>
          <cell r="CV7">
            <v>0</v>
          </cell>
          <cell r="CX7">
            <v>0</v>
          </cell>
          <cell r="CY7">
            <v>0</v>
          </cell>
          <cell r="CZ7" t="str">
            <v/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 t="str">
            <v/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 t="str">
            <v/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 t="str">
            <v/>
          </cell>
          <cell r="DP7">
            <v>0</v>
          </cell>
          <cell r="DR7">
            <v>0</v>
          </cell>
          <cell r="DS7">
            <v>0</v>
          </cell>
          <cell r="DT7" t="str">
            <v/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 t="str">
            <v/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 t="str">
            <v/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 t="str">
            <v/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 t="str">
            <v/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 t="str">
            <v/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 t="str">
            <v/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 t="str">
            <v/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 t="str">
            <v/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 t="str">
            <v/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 t="str">
            <v/>
          </cell>
          <cell r="FS7">
            <v>0</v>
          </cell>
          <cell r="FT7">
            <v>0</v>
          </cell>
          <cell r="FU7">
            <v>66.666666666666671</v>
          </cell>
          <cell r="FW7" t="str">
            <v>SIN ROTACIÓN</v>
          </cell>
          <cell r="FX7">
            <v>0</v>
          </cell>
          <cell r="FY7" t="str">
            <v>No</v>
          </cell>
        </row>
        <row r="8">
          <cell r="B8" t="str">
            <v>REP-0007</v>
          </cell>
          <cell r="C8" t="str">
            <v>MIX</v>
          </cell>
          <cell r="D8">
            <v>0</v>
          </cell>
          <cell r="E8">
            <v>54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6</v>
          </cell>
          <cell r="L8">
            <v>0</v>
          </cell>
          <cell r="M8">
            <v>4</v>
          </cell>
          <cell r="N8">
            <v>2</v>
          </cell>
          <cell r="O8">
            <v>2</v>
          </cell>
          <cell r="P8">
            <v>2</v>
          </cell>
          <cell r="Q8">
            <v>1</v>
          </cell>
          <cell r="R8">
            <v>3</v>
          </cell>
          <cell r="S8">
            <v>2</v>
          </cell>
          <cell r="T8">
            <v>1</v>
          </cell>
          <cell r="U8">
            <v>2</v>
          </cell>
          <cell r="V8">
            <v>2</v>
          </cell>
          <cell r="W8">
            <v>0</v>
          </cell>
          <cell r="X8">
            <v>2</v>
          </cell>
          <cell r="Y8">
            <v>83</v>
          </cell>
          <cell r="AA8">
            <v>83</v>
          </cell>
          <cell r="AB8">
            <v>48</v>
          </cell>
          <cell r="AC8">
            <v>6.833333333333333</v>
          </cell>
          <cell r="AD8">
            <v>0.22777777777777777</v>
          </cell>
          <cell r="AE8">
            <v>7</v>
          </cell>
          <cell r="AF8">
            <v>5.583333333333333</v>
          </cell>
          <cell r="AG8">
            <v>4.333333333333333</v>
          </cell>
          <cell r="AH8">
            <v>6.333333333333333</v>
          </cell>
          <cell r="AI8">
            <v>8.6666666666666661</v>
          </cell>
          <cell r="AJ8">
            <v>8.6666666666666661</v>
          </cell>
          <cell r="AK8">
            <v>8.6666666666666661</v>
          </cell>
          <cell r="AL8">
            <v>1.9181153945127165</v>
          </cell>
          <cell r="AM8">
            <v>7</v>
          </cell>
          <cell r="AN8">
            <v>0.27401648493038805</v>
          </cell>
          <cell r="AO8">
            <v>0</v>
          </cell>
          <cell r="AP8">
            <v>64.666666666666671</v>
          </cell>
          <cell r="AQ8">
            <v>12.074626865671643</v>
          </cell>
          <cell r="AR8">
            <v>0</v>
          </cell>
          <cell r="AS8">
            <v>61.833333333333336</v>
          </cell>
          <cell r="AT8">
            <v>65</v>
          </cell>
          <cell r="AU8">
            <v>15.000000000000002</v>
          </cell>
          <cell r="AV8">
            <v>0</v>
          </cell>
          <cell r="AW8">
            <v>60.666666666666664</v>
          </cell>
          <cell r="AX8">
            <v>59</v>
          </cell>
          <cell r="AY8">
            <v>6.8076923076923084</v>
          </cell>
          <cell r="AZ8">
            <v>0</v>
          </cell>
          <cell r="BA8">
            <v>54.666666666666664</v>
          </cell>
          <cell r="BB8">
            <v>51</v>
          </cell>
          <cell r="BC8">
            <v>9</v>
          </cell>
          <cell r="BD8">
            <v>0</v>
          </cell>
          <cell r="BE8">
            <v>45.333333333333336</v>
          </cell>
          <cell r="BF8">
            <v>8</v>
          </cell>
          <cell r="BG8">
            <v>0</v>
          </cell>
          <cell r="BH8">
            <v>39.666666666666671</v>
          </cell>
          <cell r="BI8">
            <v>83</v>
          </cell>
          <cell r="BJ8">
            <v>9.5769230769230784</v>
          </cell>
          <cell r="BK8">
            <v>0</v>
          </cell>
          <cell r="BL8">
            <v>27.166666666666668</v>
          </cell>
          <cell r="BM8">
            <v>33</v>
          </cell>
          <cell r="BN8">
            <v>4.5</v>
          </cell>
          <cell r="BO8">
            <v>0</v>
          </cell>
          <cell r="BP8">
            <v>25.666666666666668</v>
          </cell>
          <cell r="BQ8">
            <v>30</v>
          </cell>
          <cell r="BR8">
            <v>3.4615384615384617</v>
          </cell>
          <cell r="BS8">
            <v>0</v>
          </cell>
          <cell r="BT8">
            <v>22.166666666666668</v>
          </cell>
          <cell r="BU8">
            <v>22</v>
          </cell>
          <cell r="BV8">
            <v>2.6399999999999997</v>
          </cell>
          <cell r="BW8">
            <v>54</v>
          </cell>
          <cell r="BX8">
            <v>0</v>
          </cell>
          <cell r="BY8">
            <v>13.666666666666666</v>
          </cell>
          <cell r="BZ8">
            <v>23</v>
          </cell>
          <cell r="CA8">
            <v>3.3658536585365857</v>
          </cell>
          <cell r="CB8">
            <v>53</v>
          </cell>
          <cell r="CC8">
            <v>0</v>
          </cell>
          <cell r="CD8">
            <v>56.166666666666664</v>
          </cell>
          <cell r="CE8">
            <v>15</v>
          </cell>
          <cell r="CF8">
            <v>2.5</v>
          </cell>
          <cell r="CG8">
            <v>61</v>
          </cell>
          <cell r="CH8">
            <v>40</v>
          </cell>
          <cell r="CI8">
            <v>111.16666666666666</v>
          </cell>
          <cell r="CJ8">
            <v>50</v>
          </cell>
          <cell r="CK8">
            <v>7.3170731707317076</v>
          </cell>
          <cell r="CL8">
            <v>26</v>
          </cell>
          <cell r="CM8">
            <v>0</v>
          </cell>
          <cell r="CN8">
            <v>43.166666666666664</v>
          </cell>
          <cell r="CO8">
            <v>37</v>
          </cell>
          <cell r="CP8">
            <v>4.625</v>
          </cell>
          <cell r="CQ8">
            <v>32.833333333333336</v>
          </cell>
          <cell r="CR8">
            <v>0</v>
          </cell>
          <cell r="CS8">
            <v>29</v>
          </cell>
          <cell r="CT8">
            <v>30</v>
          </cell>
          <cell r="CU8">
            <v>4</v>
          </cell>
          <cell r="CV8">
            <v>8</v>
          </cell>
          <cell r="CW8">
            <v>40</v>
          </cell>
          <cell r="CX8">
            <v>62.5</v>
          </cell>
          <cell r="CY8">
            <v>66</v>
          </cell>
          <cell r="CZ8">
            <v>9.9</v>
          </cell>
          <cell r="DA8">
            <v>0</v>
          </cell>
          <cell r="DB8">
            <v>60</v>
          </cell>
          <cell r="DC8">
            <v>119</v>
          </cell>
          <cell r="DD8">
            <v>112</v>
          </cell>
          <cell r="DE8">
            <v>9.5483870967741939</v>
          </cell>
          <cell r="DF8">
            <v>0</v>
          </cell>
          <cell r="DG8">
            <v>0</v>
          </cell>
          <cell r="DH8">
            <v>104.25</v>
          </cell>
          <cell r="DI8">
            <v>100</v>
          </cell>
          <cell r="DJ8">
            <v>9.2093023255813957</v>
          </cell>
          <cell r="DK8">
            <v>0</v>
          </cell>
          <cell r="DL8">
            <v>0</v>
          </cell>
          <cell r="DM8">
            <v>95.65</v>
          </cell>
          <cell r="DN8">
            <v>83</v>
          </cell>
          <cell r="DO8">
            <v>7.1923076923076925</v>
          </cell>
          <cell r="DP8">
            <v>0</v>
          </cell>
          <cell r="DQ8">
            <v>0</v>
          </cell>
          <cell r="DR8">
            <v>74.333333333333329</v>
          </cell>
          <cell r="DS8">
            <v>74.333333333333329</v>
          </cell>
          <cell r="DT8">
            <v>6.1923076923076916</v>
          </cell>
          <cell r="DU8">
            <v>0</v>
          </cell>
          <cell r="DV8">
            <v>0</v>
          </cell>
          <cell r="DW8">
            <v>65.666666666666657</v>
          </cell>
          <cell r="DX8">
            <v>65.666666666666657</v>
          </cell>
          <cell r="DY8">
            <v>5.1923076923076916</v>
          </cell>
          <cell r="DZ8">
            <v>0</v>
          </cell>
          <cell r="EA8">
            <v>0</v>
          </cell>
          <cell r="EB8">
            <v>56.999999999999993</v>
          </cell>
          <cell r="EC8">
            <v>56.999999999999993</v>
          </cell>
          <cell r="ED8">
            <v>4.1923076923076916</v>
          </cell>
          <cell r="EE8">
            <v>0</v>
          </cell>
          <cell r="EF8">
            <v>0</v>
          </cell>
          <cell r="EG8">
            <v>48.333333333333329</v>
          </cell>
          <cell r="EH8">
            <v>48.333333333333329</v>
          </cell>
          <cell r="EI8">
            <v>3.1923076923076916</v>
          </cell>
          <cell r="EJ8">
            <v>0</v>
          </cell>
          <cell r="EK8">
            <v>0</v>
          </cell>
          <cell r="EL8">
            <v>39.666666666666664</v>
          </cell>
          <cell r="EM8">
            <v>39.666666666666664</v>
          </cell>
          <cell r="EN8">
            <v>2.1923076923076921</v>
          </cell>
          <cell r="EO8">
            <v>0</v>
          </cell>
          <cell r="EP8">
            <v>0</v>
          </cell>
          <cell r="EQ8">
            <v>31</v>
          </cell>
          <cell r="ER8">
            <v>31</v>
          </cell>
          <cell r="ES8">
            <v>1.1923076923076923</v>
          </cell>
          <cell r="ET8">
            <v>7</v>
          </cell>
          <cell r="EV8">
            <v>22.333333333333336</v>
          </cell>
          <cell r="EW8">
            <v>22.333333333333336</v>
          </cell>
          <cell r="EX8">
            <v>0.19230769230769251</v>
          </cell>
          <cell r="EY8">
            <v>15.666666666666664</v>
          </cell>
          <cell r="EZ8">
            <v>0</v>
          </cell>
          <cell r="FA8">
            <v>13.66666666666667</v>
          </cell>
          <cell r="FB8">
            <v>13.66666666666667</v>
          </cell>
          <cell r="FC8">
            <v>-0.80769230769230749</v>
          </cell>
          <cell r="FD8">
            <v>24.333333333333329</v>
          </cell>
          <cell r="FE8">
            <v>40</v>
          </cell>
          <cell r="FF8">
            <v>45.000000000000007</v>
          </cell>
          <cell r="FG8">
            <v>45.000000000000007</v>
          </cell>
          <cell r="FH8">
            <v>2.8076923076923084</v>
          </cell>
          <cell r="FI8">
            <v>0</v>
          </cell>
          <cell r="FJ8">
            <v>0</v>
          </cell>
          <cell r="FK8">
            <v>36.333333333333343</v>
          </cell>
          <cell r="FL8">
            <v>36.333333333333343</v>
          </cell>
          <cell r="FM8">
            <v>1.8076923076923088</v>
          </cell>
          <cell r="FN8">
            <v>1.6666666666666572</v>
          </cell>
          <cell r="FO8">
            <v>0</v>
          </cell>
          <cell r="FP8">
            <v>27.666666666666679</v>
          </cell>
          <cell r="FQ8">
            <v>27.666666666666679</v>
          </cell>
          <cell r="FR8">
            <v>0.80769230769230904</v>
          </cell>
          <cell r="FS8">
            <v>10.333333333333321</v>
          </cell>
          <cell r="FT8">
            <v>38</v>
          </cell>
          <cell r="FU8">
            <v>2.0333333333333332</v>
          </cell>
          <cell r="FV8" t="str">
            <v>SI</v>
          </cell>
          <cell r="FW8" t="str">
            <v>SOBRESTOCK</v>
          </cell>
          <cell r="FX8" t="str">
            <v>A</v>
          </cell>
          <cell r="FY8" t="str">
            <v>Si</v>
          </cell>
        </row>
        <row r="9">
          <cell r="B9" t="str">
            <v>REP-0008</v>
          </cell>
          <cell r="C9" t="str">
            <v>MIX</v>
          </cell>
          <cell r="D9">
            <v>0</v>
          </cell>
          <cell r="E9">
            <v>120</v>
          </cell>
          <cell r="F9">
            <v>0</v>
          </cell>
          <cell r="G9">
            <v>0</v>
          </cell>
          <cell r="H9">
            <v>6</v>
          </cell>
          <cell r="I9">
            <v>6</v>
          </cell>
          <cell r="J9">
            <v>0</v>
          </cell>
          <cell r="K9">
            <v>8</v>
          </cell>
          <cell r="L9">
            <v>1</v>
          </cell>
          <cell r="M9">
            <v>3</v>
          </cell>
          <cell r="N9">
            <v>2</v>
          </cell>
          <cell r="O9">
            <v>3</v>
          </cell>
          <cell r="P9">
            <v>3</v>
          </cell>
          <cell r="Q9">
            <v>1</v>
          </cell>
          <cell r="R9">
            <v>2</v>
          </cell>
          <cell r="S9">
            <v>1</v>
          </cell>
          <cell r="T9">
            <v>4</v>
          </cell>
          <cell r="U9">
            <v>2</v>
          </cell>
          <cell r="V9">
            <v>10</v>
          </cell>
          <cell r="W9">
            <v>2</v>
          </cell>
          <cell r="X9">
            <v>2</v>
          </cell>
          <cell r="Y9">
            <v>176</v>
          </cell>
          <cell r="AA9">
            <v>176</v>
          </cell>
          <cell r="AB9">
            <v>107</v>
          </cell>
          <cell r="AC9">
            <v>15.666666666666666</v>
          </cell>
          <cell r="AD9">
            <v>0.52222222222222225</v>
          </cell>
          <cell r="AE9">
            <v>16.166666666666668</v>
          </cell>
          <cell r="AF9">
            <v>18.833333333333332</v>
          </cell>
          <cell r="AG9">
            <v>13.916666666666666</v>
          </cell>
          <cell r="AH9">
            <v>15.083333333333334</v>
          </cell>
          <cell r="AI9">
            <v>15.5</v>
          </cell>
          <cell r="AJ9">
            <v>15.5</v>
          </cell>
          <cell r="AK9">
            <v>15.5</v>
          </cell>
          <cell r="AL9">
            <v>1.8327650634431214</v>
          </cell>
          <cell r="AM9">
            <v>15</v>
          </cell>
          <cell r="AN9">
            <v>0.12218433756287476</v>
          </cell>
          <cell r="AO9">
            <v>0</v>
          </cell>
          <cell r="AP9">
            <v>130</v>
          </cell>
          <cell r="AQ9">
            <v>6.9115044247787614</v>
          </cell>
          <cell r="AR9">
            <v>0</v>
          </cell>
          <cell r="AS9">
            <v>171.33333333333331</v>
          </cell>
          <cell r="AT9">
            <v>188</v>
          </cell>
          <cell r="AU9">
            <v>13.508982035928144</v>
          </cell>
          <cell r="AV9">
            <v>0</v>
          </cell>
          <cell r="AW9">
            <v>174.08333333333334</v>
          </cell>
          <cell r="AX9">
            <v>175</v>
          </cell>
          <cell r="AY9">
            <v>11.290322580645162</v>
          </cell>
          <cell r="AZ9">
            <v>0</v>
          </cell>
          <cell r="BA9">
            <v>161.08333333333334</v>
          </cell>
          <cell r="BB9">
            <v>157</v>
          </cell>
          <cell r="BC9">
            <v>9.0576923076923084</v>
          </cell>
          <cell r="BD9">
            <v>0</v>
          </cell>
          <cell r="BE9">
            <v>139.66666666666666</v>
          </cell>
          <cell r="BF9">
            <v>8.0576923076923084</v>
          </cell>
          <cell r="BG9">
            <v>0</v>
          </cell>
          <cell r="BH9">
            <v>122.33333333333333</v>
          </cell>
          <cell r="BI9">
            <v>176</v>
          </cell>
          <cell r="BJ9">
            <v>11.35483870967742</v>
          </cell>
          <cell r="BK9">
            <v>0</v>
          </cell>
          <cell r="BL9">
            <v>96.166666666666671</v>
          </cell>
          <cell r="BM9">
            <v>95</v>
          </cell>
          <cell r="BN9">
            <v>5.2293577981651369</v>
          </cell>
          <cell r="BO9">
            <v>0</v>
          </cell>
          <cell r="BP9">
            <v>76.833333333333329</v>
          </cell>
          <cell r="BQ9">
            <v>77</v>
          </cell>
          <cell r="BR9">
            <v>4.967741935483871</v>
          </cell>
          <cell r="BS9">
            <v>0</v>
          </cell>
          <cell r="BT9">
            <v>58.333333333333329</v>
          </cell>
          <cell r="BU9">
            <v>68</v>
          </cell>
          <cell r="BV9">
            <v>3.5789473684210527</v>
          </cell>
          <cell r="BW9">
            <v>84</v>
          </cell>
          <cell r="BX9">
            <v>0</v>
          </cell>
          <cell r="BY9">
            <v>49</v>
          </cell>
          <cell r="BZ9">
            <v>44</v>
          </cell>
          <cell r="CA9">
            <v>2.3157894736842106</v>
          </cell>
          <cell r="CB9">
            <v>108</v>
          </cell>
          <cell r="CC9">
            <v>0</v>
          </cell>
          <cell r="CD9">
            <v>105</v>
          </cell>
          <cell r="CE9">
            <v>41</v>
          </cell>
          <cell r="CF9">
            <v>2.435643564356436</v>
          </cell>
          <cell r="CG9">
            <v>93</v>
          </cell>
          <cell r="CH9">
            <v>80</v>
          </cell>
          <cell r="CI9">
            <v>181.16666666666666</v>
          </cell>
          <cell r="CJ9">
            <v>120</v>
          </cell>
          <cell r="CK9">
            <v>7.9558011049723758</v>
          </cell>
          <cell r="CL9">
            <v>0</v>
          </cell>
          <cell r="CM9">
            <v>0</v>
          </cell>
          <cell r="CN9">
            <v>104.91666666666667</v>
          </cell>
          <cell r="CO9">
            <v>102</v>
          </cell>
          <cell r="CP9">
            <v>6.7624309392265189</v>
          </cell>
          <cell r="CQ9">
            <v>15.083333333333329</v>
          </cell>
          <cell r="CR9">
            <v>0</v>
          </cell>
          <cell r="CS9">
            <v>86.916666666666671</v>
          </cell>
          <cell r="CT9">
            <v>81</v>
          </cell>
          <cell r="CU9">
            <v>4.3783783783783781</v>
          </cell>
          <cell r="CV9">
            <v>0</v>
          </cell>
          <cell r="CW9">
            <v>70</v>
          </cell>
          <cell r="CX9">
            <v>132.5</v>
          </cell>
          <cell r="CY9">
            <v>133</v>
          </cell>
          <cell r="CZ9">
            <v>7.3888888888888893</v>
          </cell>
          <cell r="DA9">
            <v>0</v>
          </cell>
          <cell r="DB9">
            <v>75</v>
          </cell>
          <cell r="DC9">
            <v>191.5</v>
          </cell>
          <cell r="DD9">
            <v>198</v>
          </cell>
          <cell r="DE9">
            <v>9.8461538461538467</v>
          </cell>
          <cell r="DF9">
            <v>0</v>
          </cell>
          <cell r="DG9">
            <v>0</v>
          </cell>
          <cell r="DH9">
            <v>181.75</v>
          </cell>
          <cell r="DI9">
            <v>185</v>
          </cell>
          <cell r="DJ9">
            <v>11.423076923076923</v>
          </cell>
          <cell r="DK9">
            <v>0</v>
          </cell>
          <cell r="DL9">
            <v>0</v>
          </cell>
          <cell r="DM9">
            <v>166.15</v>
          </cell>
          <cell r="DN9">
            <v>176</v>
          </cell>
          <cell r="DO9">
            <v>10.903225806451612</v>
          </cell>
          <cell r="DP9">
            <v>0</v>
          </cell>
          <cell r="DQ9">
            <v>0</v>
          </cell>
          <cell r="DR9">
            <v>160.5</v>
          </cell>
          <cell r="DS9">
            <v>160.5</v>
          </cell>
          <cell r="DT9">
            <v>9.9032258064516121</v>
          </cell>
          <cell r="DU9">
            <v>0</v>
          </cell>
          <cell r="DV9">
            <v>0</v>
          </cell>
          <cell r="DW9">
            <v>145</v>
          </cell>
          <cell r="DX9">
            <v>145</v>
          </cell>
          <cell r="DY9">
            <v>8.9032258064516121</v>
          </cell>
          <cell r="DZ9">
            <v>0</v>
          </cell>
          <cell r="EA9">
            <v>0</v>
          </cell>
          <cell r="EB9">
            <v>129.5</v>
          </cell>
          <cell r="EC9">
            <v>129.5</v>
          </cell>
          <cell r="ED9">
            <v>7.903225806451613</v>
          </cell>
          <cell r="EE9">
            <v>0</v>
          </cell>
          <cell r="EF9">
            <v>0</v>
          </cell>
          <cell r="EG9">
            <v>114</v>
          </cell>
          <cell r="EH9">
            <v>114</v>
          </cell>
          <cell r="EI9">
            <v>6.903225806451613</v>
          </cell>
          <cell r="EJ9">
            <v>0</v>
          </cell>
          <cell r="EK9">
            <v>0</v>
          </cell>
          <cell r="EL9">
            <v>98.5</v>
          </cell>
          <cell r="EM9">
            <v>98.5</v>
          </cell>
          <cell r="EN9">
            <v>5.903225806451613</v>
          </cell>
          <cell r="EO9">
            <v>0</v>
          </cell>
          <cell r="EP9">
            <v>0</v>
          </cell>
          <cell r="EQ9">
            <v>83</v>
          </cell>
          <cell r="ER9">
            <v>83</v>
          </cell>
          <cell r="ES9">
            <v>4.903225806451613</v>
          </cell>
          <cell r="ET9">
            <v>0</v>
          </cell>
          <cell r="EU9">
            <v>0</v>
          </cell>
          <cell r="EV9">
            <v>67.5</v>
          </cell>
          <cell r="EW9">
            <v>67.5</v>
          </cell>
          <cell r="EX9">
            <v>3.903225806451613</v>
          </cell>
          <cell r="EY9">
            <v>0</v>
          </cell>
          <cell r="EZ9">
            <v>0</v>
          </cell>
          <cell r="FA9">
            <v>52</v>
          </cell>
          <cell r="FB9">
            <v>52</v>
          </cell>
          <cell r="FC9">
            <v>2.903225806451613</v>
          </cell>
          <cell r="FD9">
            <v>0</v>
          </cell>
          <cell r="FE9">
            <v>45</v>
          </cell>
          <cell r="FF9">
            <v>81.5</v>
          </cell>
          <cell r="FG9">
            <v>81.5</v>
          </cell>
          <cell r="FH9">
            <v>4.806451612903226</v>
          </cell>
          <cell r="FI9">
            <v>0</v>
          </cell>
          <cell r="FJ9">
            <v>0</v>
          </cell>
          <cell r="FK9">
            <v>66</v>
          </cell>
          <cell r="FL9">
            <v>66</v>
          </cell>
          <cell r="FM9">
            <v>3.806451612903226</v>
          </cell>
          <cell r="FN9">
            <v>0</v>
          </cell>
          <cell r="FO9">
            <v>0</v>
          </cell>
          <cell r="FP9">
            <v>50.5</v>
          </cell>
          <cell r="FQ9">
            <v>50.5</v>
          </cell>
          <cell r="FR9">
            <v>2.806451612903226</v>
          </cell>
          <cell r="FS9">
            <v>0</v>
          </cell>
          <cell r="FT9">
            <v>38</v>
          </cell>
          <cell r="FU9">
            <v>2.0333333333333332</v>
          </cell>
          <cell r="FW9" t="str">
            <v>SOBRESTOCK</v>
          </cell>
          <cell r="FX9" t="str">
            <v>A</v>
          </cell>
          <cell r="FY9" t="str">
            <v>Si</v>
          </cell>
        </row>
        <row r="10">
          <cell r="B10" t="str">
            <v>REP-0009</v>
          </cell>
          <cell r="C10" t="str">
            <v>MIX</v>
          </cell>
          <cell r="D10">
            <v>0</v>
          </cell>
          <cell r="E10">
            <v>13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6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1</v>
          </cell>
          <cell r="S10">
            <v>1</v>
          </cell>
          <cell r="T10">
            <v>0</v>
          </cell>
          <cell r="U10">
            <v>1</v>
          </cell>
          <cell r="V10">
            <v>1</v>
          </cell>
          <cell r="W10">
            <v>0</v>
          </cell>
          <cell r="X10">
            <v>1</v>
          </cell>
          <cell r="Y10">
            <v>29</v>
          </cell>
          <cell r="AA10">
            <v>29</v>
          </cell>
          <cell r="AB10">
            <v>0</v>
          </cell>
          <cell r="AC10">
            <v>1.5</v>
          </cell>
          <cell r="AD10">
            <v>0.05</v>
          </cell>
          <cell r="AE10">
            <v>2.0833333333333335</v>
          </cell>
          <cell r="AF10">
            <v>1.3333333333333333</v>
          </cell>
          <cell r="AG10">
            <v>0.91666666666666663</v>
          </cell>
          <cell r="AH10">
            <v>1.6666666666666667</v>
          </cell>
          <cell r="AI10">
            <v>2.3333333333333335</v>
          </cell>
          <cell r="AJ10">
            <v>2.3333333333333335</v>
          </cell>
          <cell r="AK10">
            <v>2.3333333333333335</v>
          </cell>
          <cell r="AL10">
            <v>0.67486281184757502</v>
          </cell>
          <cell r="AM10">
            <v>1.8125</v>
          </cell>
          <cell r="AN10">
            <v>0.37233810308831727</v>
          </cell>
          <cell r="AO10">
            <v>0</v>
          </cell>
          <cell r="AP10">
            <v>34</v>
          </cell>
          <cell r="AQ10">
            <v>25.25</v>
          </cell>
          <cell r="AR10">
            <v>0</v>
          </cell>
          <cell r="AS10">
            <v>32.333333333333329</v>
          </cell>
          <cell r="AT10">
            <v>34</v>
          </cell>
          <cell r="AU10">
            <v>37.090909090909093</v>
          </cell>
          <cell r="AV10">
            <v>0</v>
          </cell>
          <cell r="AW10">
            <v>33.083333333333336</v>
          </cell>
          <cell r="AX10">
            <v>32</v>
          </cell>
          <cell r="AY10">
            <v>13.714285714285714</v>
          </cell>
          <cell r="AZ10">
            <v>0</v>
          </cell>
          <cell r="BA10">
            <v>31.083333333333332</v>
          </cell>
          <cell r="BB10">
            <v>31</v>
          </cell>
          <cell r="BC10">
            <v>23.25</v>
          </cell>
          <cell r="BD10">
            <v>0</v>
          </cell>
          <cell r="BE10">
            <v>29.666666666666668</v>
          </cell>
          <cell r="BF10">
            <v>22.250000000000004</v>
          </cell>
          <cell r="BG10">
            <v>0</v>
          </cell>
          <cell r="BH10">
            <v>28.333333333333336</v>
          </cell>
          <cell r="BI10">
            <v>29</v>
          </cell>
          <cell r="BJ10">
            <v>12.428571428571427</v>
          </cell>
          <cell r="BK10">
            <v>0</v>
          </cell>
          <cell r="BL10">
            <v>28</v>
          </cell>
          <cell r="BM10">
            <v>28</v>
          </cell>
          <cell r="BN10">
            <v>24</v>
          </cell>
          <cell r="BO10">
            <v>0</v>
          </cell>
          <cell r="BP10">
            <v>26.833333333333332</v>
          </cell>
          <cell r="BQ10">
            <v>28</v>
          </cell>
          <cell r="BR10">
            <v>12</v>
          </cell>
          <cell r="BS10">
            <v>0</v>
          </cell>
          <cell r="BT10">
            <v>27</v>
          </cell>
          <cell r="BU10">
            <v>26</v>
          </cell>
          <cell r="BV10">
            <v>26</v>
          </cell>
          <cell r="BW10">
            <v>12</v>
          </cell>
          <cell r="BX10">
            <v>0</v>
          </cell>
          <cell r="BY10">
            <v>25</v>
          </cell>
          <cell r="BZ10">
            <v>24</v>
          </cell>
          <cell r="CA10">
            <v>20.571428571428569</v>
          </cell>
          <cell r="CB10">
            <v>14</v>
          </cell>
          <cell r="CC10">
            <v>0</v>
          </cell>
          <cell r="CD10">
            <v>22.833333333333332</v>
          </cell>
          <cell r="CE10">
            <v>21</v>
          </cell>
          <cell r="CF10">
            <v>14</v>
          </cell>
          <cell r="CG10">
            <v>17</v>
          </cell>
          <cell r="CH10">
            <v>0</v>
          </cell>
          <cell r="CI10">
            <v>38.333333333333329</v>
          </cell>
          <cell r="CJ10">
            <v>15</v>
          </cell>
          <cell r="CK10">
            <v>6.4285714285714279</v>
          </cell>
          <cell r="CL10">
            <v>23</v>
          </cell>
          <cell r="CM10">
            <v>15</v>
          </cell>
          <cell r="CN10">
            <v>27.666666666666668</v>
          </cell>
          <cell r="CO10">
            <v>25</v>
          </cell>
          <cell r="CP10">
            <v>8.3333333333333339</v>
          </cell>
          <cell r="CQ10">
            <v>10.333333333333332</v>
          </cell>
          <cell r="CR10">
            <v>0</v>
          </cell>
          <cell r="CS10">
            <v>22</v>
          </cell>
          <cell r="CT10">
            <v>22</v>
          </cell>
          <cell r="CU10">
            <v>6.9473684210526319</v>
          </cell>
          <cell r="CV10">
            <v>0</v>
          </cell>
          <cell r="CW10">
            <v>0</v>
          </cell>
          <cell r="CX10">
            <v>18.833333333333332</v>
          </cell>
          <cell r="CY10">
            <v>16</v>
          </cell>
          <cell r="CZ10">
            <v>4.8</v>
          </cell>
          <cell r="DA10">
            <v>0.16666666666666785</v>
          </cell>
          <cell r="DB10">
            <v>20</v>
          </cell>
          <cell r="DC10">
            <v>33</v>
          </cell>
          <cell r="DD10">
            <v>33</v>
          </cell>
          <cell r="DE10">
            <v>4.666666666666667</v>
          </cell>
          <cell r="DF10">
            <v>0</v>
          </cell>
          <cell r="DG10">
            <v>0</v>
          </cell>
          <cell r="DH10">
            <v>30</v>
          </cell>
          <cell r="DI10">
            <v>32</v>
          </cell>
          <cell r="DJ10">
            <v>7</v>
          </cell>
          <cell r="DK10">
            <v>0</v>
          </cell>
          <cell r="DL10">
            <v>0</v>
          </cell>
          <cell r="DM10">
            <v>27.4</v>
          </cell>
          <cell r="DN10">
            <v>29</v>
          </cell>
          <cell r="DO10">
            <v>6.2857142857142856</v>
          </cell>
          <cell r="DP10">
            <v>0</v>
          </cell>
          <cell r="DQ10">
            <v>0</v>
          </cell>
          <cell r="DR10">
            <v>26.666666666666668</v>
          </cell>
          <cell r="DS10">
            <v>26.666666666666668</v>
          </cell>
          <cell r="DT10">
            <v>5.2857142857142865</v>
          </cell>
          <cell r="DU10">
            <v>0</v>
          </cell>
          <cell r="DV10">
            <v>1</v>
          </cell>
          <cell r="DW10">
            <v>25.333333333333336</v>
          </cell>
          <cell r="DX10">
            <v>25.333333333333336</v>
          </cell>
          <cell r="DY10">
            <v>4.7142857142857153</v>
          </cell>
          <cell r="DZ10">
            <v>0</v>
          </cell>
          <cell r="EA10">
            <v>0</v>
          </cell>
          <cell r="EB10">
            <v>23.000000000000004</v>
          </cell>
          <cell r="EC10">
            <v>23.000000000000004</v>
          </cell>
          <cell r="ED10">
            <v>3.7142857142857157</v>
          </cell>
          <cell r="EE10">
            <v>0</v>
          </cell>
          <cell r="EF10">
            <v>0</v>
          </cell>
          <cell r="EG10">
            <v>20.666666666666671</v>
          </cell>
          <cell r="EH10">
            <v>20.666666666666671</v>
          </cell>
          <cell r="EI10">
            <v>2.7142857142857162</v>
          </cell>
          <cell r="EJ10">
            <v>0</v>
          </cell>
          <cell r="EK10">
            <v>0</v>
          </cell>
          <cell r="EL10">
            <v>18.333333333333339</v>
          </cell>
          <cell r="EM10">
            <v>18.333333333333339</v>
          </cell>
          <cell r="EN10">
            <v>1.7142857142857169</v>
          </cell>
          <cell r="EO10">
            <v>0.66666666666666075</v>
          </cell>
          <cell r="EP10">
            <v>0</v>
          </cell>
          <cell r="EQ10">
            <v>16.000000000000007</v>
          </cell>
          <cell r="ER10">
            <v>16.000000000000007</v>
          </cell>
          <cell r="ES10">
            <v>0.71428571428571752</v>
          </cell>
          <cell r="ET10">
            <v>2.9999999999999929</v>
          </cell>
          <cell r="EU10">
            <v>0</v>
          </cell>
          <cell r="EV10">
            <v>13.666666666666673</v>
          </cell>
          <cell r="EW10">
            <v>13.666666666666673</v>
          </cell>
          <cell r="EX10">
            <v>-0.28571428571428292</v>
          </cell>
          <cell r="EY10">
            <v>5.3333333333333268</v>
          </cell>
          <cell r="EZ10">
            <v>0</v>
          </cell>
          <cell r="FA10">
            <v>11.333333333333339</v>
          </cell>
          <cell r="FB10">
            <v>11.333333333333339</v>
          </cell>
          <cell r="FC10">
            <v>-1.2857142857142829</v>
          </cell>
          <cell r="FD10">
            <v>7.6666666666666607</v>
          </cell>
          <cell r="FE10">
            <v>15</v>
          </cell>
          <cell r="FF10">
            <v>24.000000000000007</v>
          </cell>
          <cell r="FG10">
            <v>24.000000000000007</v>
          </cell>
          <cell r="FH10">
            <v>4.1428571428571459</v>
          </cell>
          <cell r="FI10">
            <v>0</v>
          </cell>
          <cell r="FJ10">
            <v>0</v>
          </cell>
          <cell r="FK10">
            <v>21.666666666666675</v>
          </cell>
          <cell r="FL10">
            <v>21.666666666666675</v>
          </cell>
          <cell r="FM10">
            <v>3.1428571428571463</v>
          </cell>
          <cell r="FN10">
            <v>0</v>
          </cell>
          <cell r="FO10">
            <v>0</v>
          </cell>
          <cell r="FP10">
            <v>19.333333333333343</v>
          </cell>
          <cell r="FQ10">
            <v>19.333333333333343</v>
          </cell>
          <cell r="FR10">
            <v>2.1428571428571468</v>
          </cell>
          <cell r="FS10">
            <v>0</v>
          </cell>
          <cell r="FT10">
            <v>19</v>
          </cell>
          <cell r="FU10">
            <v>2.0333333333333332</v>
          </cell>
          <cell r="FW10" t="str">
            <v>SOBRESTOCK</v>
          </cell>
          <cell r="FX10" t="str">
            <v>B</v>
          </cell>
          <cell r="FY10" t="str">
            <v>Si</v>
          </cell>
        </row>
        <row r="11">
          <cell r="B11" t="str">
            <v>REP-0010</v>
          </cell>
          <cell r="C11" t="str">
            <v>MIX</v>
          </cell>
          <cell r="D11">
            <v>0</v>
          </cell>
          <cell r="E11">
            <v>128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</v>
          </cell>
          <cell r="S11">
            <v>0</v>
          </cell>
          <cell r="T11">
            <v>5</v>
          </cell>
          <cell r="U11">
            <v>4</v>
          </cell>
          <cell r="V11">
            <v>0</v>
          </cell>
          <cell r="W11">
            <v>0</v>
          </cell>
          <cell r="X11">
            <v>0</v>
          </cell>
          <cell r="Y11">
            <v>150</v>
          </cell>
          <cell r="AA11">
            <v>150</v>
          </cell>
          <cell r="AB11">
            <v>39</v>
          </cell>
          <cell r="AC11">
            <v>7</v>
          </cell>
          <cell r="AD11">
            <v>0.23333333333333334</v>
          </cell>
          <cell r="AE11">
            <v>6.25</v>
          </cell>
          <cell r="AF11">
            <v>7.083333333333333</v>
          </cell>
          <cell r="AG11">
            <v>6.083333333333333</v>
          </cell>
          <cell r="AH11">
            <v>9.3333333333333339</v>
          </cell>
          <cell r="AI11">
            <v>2.6666666666666665</v>
          </cell>
          <cell r="AJ11">
            <v>2.6666666666666665</v>
          </cell>
          <cell r="AK11">
            <v>5.1875000000000009</v>
          </cell>
          <cell r="AL11">
            <v>3.1989400733043727</v>
          </cell>
          <cell r="AM11">
            <v>5.1875000000000009</v>
          </cell>
          <cell r="AN11">
            <v>0.61666314666108379</v>
          </cell>
          <cell r="AO11">
            <v>0</v>
          </cell>
          <cell r="AP11">
            <v>95.5</v>
          </cell>
          <cell r="AQ11">
            <v>13.823529411764707</v>
          </cell>
          <cell r="AR11">
            <v>0</v>
          </cell>
          <cell r="AS11">
            <v>110.83333333333334</v>
          </cell>
          <cell r="AT11">
            <v>123</v>
          </cell>
          <cell r="AU11">
            <v>20.219178082191782</v>
          </cell>
          <cell r="AV11">
            <v>0</v>
          </cell>
          <cell r="AW11">
            <v>116.91666666666667</v>
          </cell>
          <cell r="AX11">
            <v>108</v>
          </cell>
          <cell r="AY11">
            <v>20.819277108433731</v>
          </cell>
          <cell r="AZ11">
            <v>0</v>
          </cell>
          <cell r="BA11">
            <v>101.91666666666667</v>
          </cell>
          <cell r="BB11">
            <v>91</v>
          </cell>
          <cell r="BC11">
            <v>10.5</v>
          </cell>
          <cell r="BD11">
            <v>0</v>
          </cell>
          <cell r="BE11">
            <v>82.333333333333329</v>
          </cell>
          <cell r="BF11">
            <v>9.5</v>
          </cell>
          <cell r="BG11">
            <v>0</v>
          </cell>
          <cell r="BH11">
            <v>73.666666666666657</v>
          </cell>
          <cell r="BI11">
            <v>150</v>
          </cell>
          <cell r="BJ11">
            <v>28.915662650602403</v>
          </cell>
          <cell r="BK11">
            <v>0</v>
          </cell>
          <cell r="BL11">
            <v>71.166666666666671</v>
          </cell>
          <cell r="BM11">
            <v>66</v>
          </cell>
          <cell r="BN11">
            <v>7.2</v>
          </cell>
          <cell r="BO11">
            <v>0</v>
          </cell>
          <cell r="BP11">
            <v>56.833333333333336</v>
          </cell>
          <cell r="BQ11">
            <v>51</v>
          </cell>
          <cell r="BR11">
            <v>9.8313253012048172</v>
          </cell>
          <cell r="BS11">
            <v>0</v>
          </cell>
          <cell r="BT11">
            <v>40.5</v>
          </cell>
          <cell r="BU11">
            <v>44</v>
          </cell>
          <cell r="BV11">
            <v>4.6315789473684212</v>
          </cell>
          <cell r="BW11">
            <v>32</v>
          </cell>
          <cell r="BX11">
            <v>0</v>
          </cell>
          <cell r="BY11">
            <v>34.5</v>
          </cell>
          <cell r="BZ11">
            <v>26</v>
          </cell>
          <cell r="CA11">
            <v>2.8888888888888888</v>
          </cell>
          <cell r="CB11">
            <v>46</v>
          </cell>
          <cell r="CC11">
            <v>0</v>
          </cell>
          <cell r="CD11">
            <v>67</v>
          </cell>
          <cell r="CE11">
            <v>13</v>
          </cell>
          <cell r="CF11">
            <v>1.1818181818181819</v>
          </cell>
          <cell r="CG11">
            <v>75</v>
          </cell>
          <cell r="CH11">
            <v>50</v>
          </cell>
          <cell r="CI11">
            <v>131</v>
          </cell>
          <cell r="CJ11">
            <v>83</v>
          </cell>
          <cell r="CK11">
            <v>7.432835820895523</v>
          </cell>
          <cell r="CL11">
            <v>7</v>
          </cell>
          <cell r="CM11">
            <v>0</v>
          </cell>
          <cell r="CN11">
            <v>71.833333333333329</v>
          </cell>
          <cell r="CO11">
            <v>76</v>
          </cell>
          <cell r="CP11">
            <v>6.8059701492537314</v>
          </cell>
          <cell r="CQ11">
            <v>18.166666666666671</v>
          </cell>
          <cell r="CR11">
            <v>10</v>
          </cell>
          <cell r="CS11">
            <v>74.833333333333329</v>
          </cell>
          <cell r="CT11">
            <v>84</v>
          </cell>
          <cell r="CU11">
            <v>9</v>
          </cell>
          <cell r="CV11">
            <v>0</v>
          </cell>
          <cell r="CW11">
            <v>20</v>
          </cell>
          <cell r="CX11">
            <v>94.666666666666671</v>
          </cell>
          <cell r="CY11">
            <v>105</v>
          </cell>
          <cell r="CZ11">
            <v>11.25</v>
          </cell>
          <cell r="DA11">
            <v>0</v>
          </cell>
          <cell r="DB11">
            <v>70</v>
          </cell>
          <cell r="DC11">
            <v>169.54166666666666</v>
          </cell>
          <cell r="DD11">
            <v>168</v>
          </cell>
          <cell r="DE11">
            <v>26.553191489361701</v>
          </cell>
          <cell r="DF11">
            <v>0</v>
          </cell>
          <cell r="DG11">
            <v>0</v>
          </cell>
          <cell r="DH11">
            <v>162.125</v>
          </cell>
          <cell r="DI11">
            <v>163</v>
          </cell>
          <cell r="DJ11">
            <v>29.898383371824483</v>
          </cell>
          <cell r="DK11">
            <v>0</v>
          </cell>
          <cell r="DL11">
            <v>0</v>
          </cell>
          <cell r="DM11">
            <v>156.71250000000001</v>
          </cell>
          <cell r="DN11">
            <v>150</v>
          </cell>
          <cell r="DO11">
            <v>28.795180722891562</v>
          </cell>
          <cell r="DP11">
            <v>0</v>
          </cell>
          <cell r="DQ11">
            <v>0</v>
          </cell>
          <cell r="DR11">
            <v>144.8125</v>
          </cell>
          <cell r="DS11">
            <v>144.8125</v>
          </cell>
          <cell r="DT11">
            <v>27.795180722891562</v>
          </cell>
          <cell r="DU11">
            <v>0</v>
          </cell>
          <cell r="DV11">
            <v>0</v>
          </cell>
          <cell r="DW11">
            <v>139.625</v>
          </cell>
          <cell r="DX11">
            <v>139.625</v>
          </cell>
          <cell r="DY11">
            <v>26.795180722891562</v>
          </cell>
          <cell r="DZ11">
            <v>0</v>
          </cell>
          <cell r="EA11">
            <v>0</v>
          </cell>
          <cell r="EB11">
            <v>134.4375</v>
          </cell>
          <cell r="EC11">
            <v>134.4375</v>
          </cell>
          <cell r="ED11">
            <v>25.795180722891562</v>
          </cell>
          <cell r="EE11">
            <v>0</v>
          </cell>
          <cell r="EF11">
            <v>0</v>
          </cell>
          <cell r="EG11">
            <v>129.25</v>
          </cell>
          <cell r="EH11">
            <v>129.25</v>
          </cell>
          <cell r="EI11">
            <v>24.795180722891562</v>
          </cell>
          <cell r="EJ11">
            <v>0</v>
          </cell>
          <cell r="EK11">
            <v>0</v>
          </cell>
          <cell r="EL11">
            <v>124.0625</v>
          </cell>
          <cell r="EM11">
            <v>124.0625</v>
          </cell>
          <cell r="EN11">
            <v>23.795180722891562</v>
          </cell>
          <cell r="EO11">
            <v>0</v>
          </cell>
          <cell r="EP11">
            <v>0</v>
          </cell>
          <cell r="EQ11">
            <v>118.875</v>
          </cell>
          <cell r="ER11">
            <v>118.875</v>
          </cell>
          <cell r="ES11">
            <v>22.795180722891562</v>
          </cell>
          <cell r="ET11">
            <v>0</v>
          </cell>
          <cell r="EU11">
            <v>0</v>
          </cell>
          <cell r="EV11">
            <v>113.6875</v>
          </cell>
          <cell r="EW11">
            <v>113.6875</v>
          </cell>
          <cell r="EX11">
            <v>21.795180722891562</v>
          </cell>
          <cell r="EY11">
            <v>0</v>
          </cell>
          <cell r="EZ11">
            <v>0</v>
          </cell>
          <cell r="FA11">
            <v>108.5</v>
          </cell>
          <cell r="FB11">
            <v>108.5</v>
          </cell>
          <cell r="FC11">
            <v>20.795180722891562</v>
          </cell>
          <cell r="FD11">
            <v>0</v>
          </cell>
          <cell r="FE11">
            <v>0</v>
          </cell>
          <cell r="FF11">
            <v>103.3125</v>
          </cell>
          <cell r="FG11">
            <v>103.3125</v>
          </cell>
          <cell r="FH11">
            <v>19.795180722891562</v>
          </cell>
          <cell r="FI11">
            <v>0</v>
          </cell>
          <cell r="FJ11">
            <v>0</v>
          </cell>
          <cell r="FK11">
            <v>98.125</v>
          </cell>
          <cell r="FL11">
            <v>98.125</v>
          </cell>
          <cell r="FM11">
            <v>18.795180722891562</v>
          </cell>
          <cell r="FN11">
            <v>0</v>
          </cell>
          <cell r="FO11">
            <v>0</v>
          </cell>
          <cell r="FP11">
            <v>92.9375</v>
          </cell>
          <cell r="FQ11">
            <v>92.9375</v>
          </cell>
          <cell r="FR11">
            <v>17.795180722891565</v>
          </cell>
          <cell r="FS11">
            <v>0</v>
          </cell>
          <cell r="FT11">
            <v>11</v>
          </cell>
          <cell r="FU11">
            <v>2.0333333333333332</v>
          </cell>
          <cell r="FW11" t="str">
            <v>SOBRESTOCK</v>
          </cell>
          <cell r="FX11" t="str">
            <v>A</v>
          </cell>
          <cell r="FY11" t="str">
            <v>Si</v>
          </cell>
        </row>
        <row r="12">
          <cell r="B12" t="str">
            <v>REP-0011</v>
          </cell>
          <cell r="C12" t="str">
            <v>MIX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0</v>
          </cell>
          <cell r="R12">
            <v>0</v>
          </cell>
          <cell r="S12">
            <v>2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9</v>
          </cell>
          <cell r="AA12">
            <v>9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0.41666666666666669</v>
          </cell>
          <cell r="AI12">
            <v>0.33333333333333331</v>
          </cell>
          <cell r="AJ12">
            <v>0.33333333333333331</v>
          </cell>
          <cell r="AK12">
            <v>0.41666666666666669</v>
          </cell>
          <cell r="AL12">
            <v>0.18477964855069545</v>
          </cell>
          <cell r="AM12">
            <v>0.27083333333333331</v>
          </cell>
          <cell r="AN12">
            <v>0.68226331772564475</v>
          </cell>
          <cell r="AO12">
            <v>0</v>
          </cell>
          <cell r="AP12">
            <v>19.333333333333332</v>
          </cell>
          <cell r="AQ12" t="str">
            <v/>
          </cell>
          <cell r="AR12">
            <v>0</v>
          </cell>
          <cell r="AS12">
            <v>20</v>
          </cell>
          <cell r="AT12">
            <v>20</v>
          </cell>
          <cell r="AU12" t="str">
            <v/>
          </cell>
          <cell r="AV12">
            <v>0</v>
          </cell>
          <cell r="AW12">
            <v>20</v>
          </cell>
          <cell r="AX12">
            <v>20</v>
          </cell>
          <cell r="AY12">
            <v>48</v>
          </cell>
          <cell r="AZ12">
            <v>0</v>
          </cell>
          <cell r="BA12">
            <v>20</v>
          </cell>
          <cell r="BB12">
            <v>19</v>
          </cell>
          <cell r="BC12" t="str">
            <v/>
          </cell>
          <cell r="BD12">
            <v>0</v>
          </cell>
          <cell r="BE12">
            <v>19</v>
          </cell>
          <cell r="BF12" t="str">
            <v/>
          </cell>
          <cell r="BG12">
            <v>0</v>
          </cell>
          <cell r="BH12">
            <v>19</v>
          </cell>
          <cell r="BI12">
            <v>9</v>
          </cell>
          <cell r="BJ12">
            <v>21.599999999999998</v>
          </cell>
          <cell r="BK12">
            <v>0</v>
          </cell>
          <cell r="BL12">
            <v>15.333333333333334</v>
          </cell>
          <cell r="BM12">
            <v>16</v>
          </cell>
          <cell r="BN12">
            <v>24</v>
          </cell>
          <cell r="BO12">
            <v>0</v>
          </cell>
          <cell r="BP12">
            <v>15.333333333333334</v>
          </cell>
          <cell r="BQ12">
            <v>16</v>
          </cell>
          <cell r="BR12">
            <v>38.4</v>
          </cell>
          <cell r="BS12">
            <v>0</v>
          </cell>
          <cell r="BT12">
            <v>15.333333333333334</v>
          </cell>
          <cell r="BU12">
            <v>16</v>
          </cell>
          <cell r="BV12">
            <v>24</v>
          </cell>
          <cell r="BW12">
            <v>0</v>
          </cell>
          <cell r="BX12">
            <v>0</v>
          </cell>
          <cell r="BY12">
            <v>15.333333333333334</v>
          </cell>
          <cell r="BZ12">
            <v>16</v>
          </cell>
          <cell r="CA12">
            <v>24</v>
          </cell>
          <cell r="CB12">
            <v>0</v>
          </cell>
          <cell r="CC12">
            <v>0</v>
          </cell>
          <cell r="CD12">
            <v>15.333333333333334</v>
          </cell>
          <cell r="CE12">
            <v>16</v>
          </cell>
          <cell r="CF12">
            <v>32</v>
          </cell>
          <cell r="CG12">
            <v>0</v>
          </cell>
          <cell r="CH12">
            <v>0</v>
          </cell>
          <cell r="CI12">
            <v>14.833333333333334</v>
          </cell>
          <cell r="CJ12">
            <v>15</v>
          </cell>
          <cell r="CK12">
            <v>36</v>
          </cell>
          <cell r="CL12">
            <v>0</v>
          </cell>
          <cell r="CM12">
            <v>0</v>
          </cell>
          <cell r="CN12">
            <v>14.583333333333334</v>
          </cell>
          <cell r="CO12">
            <v>14</v>
          </cell>
          <cell r="CP12">
            <v>33.6</v>
          </cell>
          <cell r="CQ12">
            <v>0</v>
          </cell>
          <cell r="CR12">
            <v>0</v>
          </cell>
          <cell r="CS12">
            <v>13.583333333333334</v>
          </cell>
          <cell r="CT12">
            <v>14</v>
          </cell>
          <cell r="CU12">
            <v>33.6</v>
          </cell>
          <cell r="CV12">
            <v>0</v>
          </cell>
          <cell r="CW12">
            <v>0</v>
          </cell>
          <cell r="CX12">
            <v>13.583333333333334</v>
          </cell>
          <cell r="CY12">
            <v>14</v>
          </cell>
          <cell r="CZ12">
            <v>33.6</v>
          </cell>
          <cell r="DA12">
            <v>0</v>
          </cell>
          <cell r="DB12">
            <v>0</v>
          </cell>
          <cell r="DC12">
            <v>13.583333333333334</v>
          </cell>
          <cell r="DD12">
            <v>9</v>
          </cell>
          <cell r="DE12">
            <v>16</v>
          </cell>
          <cell r="DF12">
            <v>0</v>
          </cell>
          <cell r="DG12">
            <v>0</v>
          </cell>
          <cell r="DH12">
            <v>8.5</v>
          </cell>
          <cell r="DI12">
            <v>9</v>
          </cell>
          <cell r="DJ12">
            <v>21.2</v>
          </cell>
          <cell r="DK12">
            <v>0</v>
          </cell>
          <cell r="DL12">
            <v>0</v>
          </cell>
          <cell r="DM12">
            <v>8.0833333333333339</v>
          </cell>
          <cell r="DN12">
            <v>9</v>
          </cell>
          <cell r="DO12">
            <v>21.2</v>
          </cell>
          <cell r="DP12">
            <v>0</v>
          </cell>
          <cell r="DQ12">
            <v>0</v>
          </cell>
          <cell r="DR12">
            <v>8.5833333333333339</v>
          </cell>
          <cell r="DS12">
            <v>8.5833333333333339</v>
          </cell>
          <cell r="DT12">
            <v>20.2</v>
          </cell>
          <cell r="DU12">
            <v>0</v>
          </cell>
          <cell r="DV12">
            <v>0</v>
          </cell>
          <cell r="DW12">
            <v>8.1666666666666679</v>
          </cell>
          <cell r="DX12">
            <v>8.1666666666666679</v>
          </cell>
          <cell r="DY12">
            <v>19.200000000000003</v>
          </cell>
          <cell r="DZ12">
            <v>0</v>
          </cell>
          <cell r="EA12">
            <v>0</v>
          </cell>
          <cell r="EB12">
            <v>7.7500000000000009</v>
          </cell>
          <cell r="EC12">
            <v>7.7500000000000009</v>
          </cell>
          <cell r="ED12">
            <v>18.200000000000003</v>
          </cell>
          <cell r="EE12">
            <v>0</v>
          </cell>
          <cell r="EF12">
            <v>0</v>
          </cell>
          <cell r="EG12">
            <v>7.3333333333333339</v>
          </cell>
          <cell r="EH12">
            <v>7.3333333333333339</v>
          </cell>
          <cell r="EI12">
            <v>17.200000000000003</v>
          </cell>
          <cell r="EJ12">
            <v>0</v>
          </cell>
          <cell r="EK12">
            <v>0</v>
          </cell>
          <cell r="EL12">
            <v>6.916666666666667</v>
          </cell>
          <cell r="EM12">
            <v>6.916666666666667</v>
          </cell>
          <cell r="EN12">
            <v>16.2</v>
          </cell>
          <cell r="EO12">
            <v>0</v>
          </cell>
          <cell r="EP12">
            <v>0</v>
          </cell>
          <cell r="EQ12">
            <v>6.5</v>
          </cell>
          <cell r="ER12">
            <v>6.5</v>
          </cell>
          <cell r="ES12">
            <v>15.2</v>
          </cell>
          <cell r="ET12">
            <v>0</v>
          </cell>
          <cell r="EU12">
            <v>0</v>
          </cell>
          <cell r="EV12">
            <v>6.083333333333333</v>
          </cell>
          <cell r="EW12">
            <v>6.083333333333333</v>
          </cell>
          <cell r="EX12">
            <v>14.2</v>
          </cell>
          <cell r="EY12">
            <v>0</v>
          </cell>
          <cell r="EZ12">
            <v>0</v>
          </cell>
          <cell r="FA12">
            <v>5.6666666666666661</v>
          </cell>
          <cell r="FB12">
            <v>5.6666666666666661</v>
          </cell>
          <cell r="FC12">
            <v>13.199999999999998</v>
          </cell>
          <cell r="FD12">
            <v>0</v>
          </cell>
          <cell r="FE12">
            <v>0</v>
          </cell>
          <cell r="FF12">
            <v>5.2499999999999991</v>
          </cell>
          <cell r="FG12">
            <v>5.2499999999999991</v>
          </cell>
          <cell r="FH12">
            <v>12.199999999999998</v>
          </cell>
          <cell r="FI12">
            <v>0</v>
          </cell>
          <cell r="FJ12">
            <v>0</v>
          </cell>
          <cell r="FK12">
            <v>4.8333333333333321</v>
          </cell>
          <cell r="FL12">
            <v>4.8333333333333321</v>
          </cell>
          <cell r="FM12">
            <v>11.199999999999998</v>
          </cell>
          <cell r="FN12">
            <v>0</v>
          </cell>
          <cell r="FO12">
            <v>0</v>
          </cell>
          <cell r="FP12">
            <v>4.4166666666666652</v>
          </cell>
          <cell r="FQ12">
            <v>4.4166666666666652</v>
          </cell>
          <cell r="FR12">
            <v>10.199999999999996</v>
          </cell>
          <cell r="FS12">
            <v>0</v>
          </cell>
          <cell r="FT12">
            <v>1</v>
          </cell>
          <cell r="FU12">
            <v>2.0333333333333332</v>
          </cell>
          <cell r="FW12" t="str">
            <v>SOBRESTOCK</v>
          </cell>
          <cell r="FX12" t="str">
            <v>C</v>
          </cell>
          <cell r="FY12" t="str">
            <v>Si</v>
          </cell>
        </row>
        <row r="13">
          <cell r="B13" t="str">
            <v>REP-0012</v>
          </cell>
          <cell r="C13" t="str">
            <v>MIX</v>
          </cell>
          <cell r="D13">
            <v>0</v>
          </cell>
          <cell r="E13">
            <v>65</v>
          </cell>
          <cell r="F13">
            <v>0</v>
          </cell>
          <cell r="G13">
            <v>0</v>
          </cell>
          <cell r="H13">
            <v>5</v>
          </cell>
          <cell r="I13">
            <v>5</v>
          </cell>
          <cell r="J13">
            <v>0</v>
          </cell>
          <cell r="K13">
            <v>8</v>
          </cell>
          <cell r="L13">
            <v>2</v>
          </cell>
          <cell r="M13">
            <v>0</v>
          </cell>
          <cell r="N13">
            <v>3</v>
          </cell>
          <cell r="O13">
            <v>0</v>
          </cell>
          <cell r="P13">
            <v>4</v>
          </cell>
          <cell r="Q13">
            <v>2</v>
          </cell>
          <cell r="R13">
            <v>0</v>
          </cell>
          <cell r="S13">
            <v>0</v>
          </cell>
          <cell r="T13">
            <v>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97</v>
          </cell>
          <cell r="AA13">
            <v>97</v>
          </cell>
          <cell r="AB13">
            <v>73</v>
          </cell>
          <cell r="AC13">
            <v>14</v>
          </cell>
          <cell r="AD13">
            <v>0.46666666666666667</v>
          </cell>
          <cell r="AE13">
            <v>12.833333333333334</v>
          </cell>
          <cell r="AF13">
            <v>10</v>
          </cell>
          <cell r="AG13">
            <v>5</v>
          </cell>
          <cell r="AH13">
            <v>6.666666666666667</v>
          </cell>
          <cell r="AI13">
            <v>4.166666666666667</v>
          </cell>
          <cell r="AJ13">
            <v>4.166666666666667</v>
          </cell>
          <cell r="AK13">
            <v>5.0000000000000009</v>
          </cell>
          <cell r="AL13">
            <v>1.1785113019775779</v>
          </cell>
          <cell r="AM13">
            <v>5.0000000000000009</v>
          </cell>
          <cell r="AN13">
            <v>0.23570226039551553</v>
          </cell>
          <cell r="AO13">
            <v>0</v>
          </cell>
          <cell r="AP13">
            <v>108.83333333333333</v>
          </cell>
          <cell r="AQ13">
            <v>10.5</v>
          </cell>
          <cell r="AR13">
            <v>0</v>
          </cell>
          <cell r="AS13">
            <v>95</v>
          </cell>
          <cell r="AT13">
            <v>110</v>
          </cell>
          <cell r="AU13">
            <v>22</v>
          </cell>
          <cell r="AV13">
            <v>0</v>
          </cell>
          <cell r="AW13">
            <v>105</v>
          </cell>
          <cell r="AX13">
            <v>99</v>
          </cell>
          <cell r="AY13">
            <v>19.799999999999997</v>
          </cell>
          <cell r="AZ13">
            <v>0</v>
          </cell>
          <cell r="BA13">
            <v>94</v>
          </cell>
          <cell r="BB13">
            <v>97</v>
          </cell>
          <cell r="BC13">
            <v>15.72972972972973</v>
          </cell>
          <cell r="BD13">
            <v>0</v>
          </cell>
          <cell r="BE13">
            <v>90.833333333333329</v>
          </cell>
          <cell r="BF13">
            <v>14.729729729729728</v>
          </cell>
          <cell r="BG13">
            <v>0</v>
          </cell>
          <cell r="BH13">
            <v>84.666666666666657</v>
          </cell>
          <cell r="BI13">
            <v>97</v>
          </cell>
          <cell r="BJ13">
            <v>19.399999999999995</v>
          </cell>
          <cell r="BK13">
            <v>0</v>
          </cell>
          <cell r="BL13">
            <v>85</v>
          </cell>
          <cell r="BM13">
            <v>73</v>
          </cell>
          <cell r="BN13">
            <v>11.526315789473685</v>
          </cell>
          <cell r="BO13">
            <v>0</v>
          </cell>
          <cell r="BP13">
            <v>66.666666666666671</v>
          </cell>
          <cell r="BQ13">
            <v>63</v>
          </cell>
          <cell r="BR13">
            <v>12.599999999999998</v>
          </cell>
          <cell r="BS13">
            <v>0</v>
          </cell>
          <cell r="BT13">
            <v>55.833333333333336</v>
          </cell>
          <cell r="BU13">
            <v>58</v>
          </cell>
          <cell r="BV13">
            <v>9.4054054054054053</v>
          </cell>
          <cell r="BW13">
            <v>0</v>
          </cell>
          <cell r="BX13">
            <v>0</v>
          </cell>
          <cell r="BY13">
            <v>51.833333333333336</v>
          </cell>
          <cell r="BZ13">
            <v>50</v>
          </cell>
          <cell r="CA13">
            <v>6.9767441860465116</v>
          </cell>
          <cell r="CB13">
            <v>8</v>
          </cell>
          <cell r="CC13">
            <v>0</v>
          </cell>
          <cell r="CD13">
            <v>42.833333333333336</v>
          </cell>
          <cell r="CE13">
            <v>37</v>
          </cell>
          <cell r="CF13">
            <v>4.1886792452830184</v>
          </cell>
          <cell r="CG13">
            <v>33</v>
          </cell>
          <cell r="CH13">
            <v>0</v>
          </cell>
          <cell r="CI13">
            <v>67.000000000000014</v>
          </cell>
          <cell r="CJ13">
            <v>31</v>
          </cell>
          <cell r="CK13">
            <v>3.263157894736842</v>
          </cell>
          <cell r="CL13">
            <v>45</v>
          </cell>
          <cell r="CM13">
            <v>40</v>
          </cell>
          <cell r="CN13">
            <v>61.5</v>
          </cell>
          <cell r="CO13">
            <v>67</v>
          </cell>
          <cell r="CP13">
            <v>7.0526315789473681</v>
          </cell>
          <cell r="CQ13">
            <v>14.5</v>
          </cell>
          <cell r="CR13">
            <v>0</v>
          </cell>
          <cell r="CS13">
            <v>57.5</v>
          </cell>
          <cell r="CT13">
            <v>55</v>
          </cell>
          <cell r="CU13">
            <v>8.25</v>
          </cell>
          <cell r="CV13">
            <v>0</v>
          </cell>
          <cell r="CW13">
            <v>0</v>
          </cell>
          <cell r="CX13">
            <v>48.333333333333336</v>
          </cell>
          <cell r="CY13">
            <v>54</v>
          </cell>
          <cell r="CZ13">
            <v>8.1</v>
          </cell>
          <cell r="DA13">
            <v>0</v>
          </cell>
          <cell r="DB13">
            <v>60</v>
          </cell>
          <cell r="DC13">
            <v>109.66666666666667</v>
          </cell>
          <cell r="DD13">
            <v>107</v>
          </cell>
          <cell r="DE13">
            <v>20.210526315789473</v>
          </cell>
          <cell r="DF13">
            <v>0</v>
          </cell>
          <cell r="DG13">
            <v>0</v>
          </cell>
          <cell r="DH13">
            <v>102.25</v>
          </cell>
          <cell r="DI13">
            <v>95</v>
          </cell>
          <cell r="DJ13">
            <v>18.050955414012737</v>
          </cell>
          <cell r="DK13">
            <v>0</v>
          </cell>
          <cell r="DL13">
            <v>0</v>
          </cell>
          <cell r="DM13">
            <v>97.016666666666666</v>
          </cell>
          <cell r="DN13">
            <v>97</v>
          </cell>
          <cell r="DO13">
            <v>19.199999999999996</v>
          </cell>
          <cell r="DP13">
            <v>0</v>
          </cell>
          <cell r="DQ13">
            <v>0</v>
          </cell>
          <cell r="DR13">
            <v>92</v>
          </cell>
          <cell r="DS13">
            <v>92</v>
          </cell>
          <cell r="DT13">
            <v>18.199999999999996</v>
          </cell>
          <cell r="DU13">
            <v>0</v>
          </cell>
          <cell r="DV13">
            <v>0</v>
          </cell>
          <cell r="DW13">
            <v>87</v>
          </cell>
          <cell r="DX13">
            <v>87</v>
          </cell>
          <cell r="DY13">
            <v>17.199999999999996</v>
          </cell>
          <cell r="DZ13">
            <v>0</v>
          </cell>
          <cell r="EA13">
            <v>0</v>
          </cell>
          <cell r="EB13">
            <v>82</v>
          </cell>
          <cell r="EC13">
            <v>82</v>
          </cell>
          <cell r="ED13">
            <v>16.199999999999996</v>
          </cell>
          <cell r="EE13">
            <v>0</v>
          </cell>
          <cell r="EF13">
            <v>0</v>
          </cell>
          <cell r="EG13">
            <v>77</v>
          </cell>
          <cell r="EH13">
            <v>77</v>
          </cell>
          <cell r="EI13">
            <v>15.199999999999998</v>
          </cell>
          <cell r="EJ13">
            <v>0</v>
          </cell>
          <cell r="EK13">
            <v>0</v>
          </cell>
          <cell r="EL13">
            <v>72</v>
          </cell>
          <cell r="EM13">
            <v>72</v>
          </cell>
          <cell r="EN13">
            <v>14.199999999999998</v>
          </cell>
          <cell r="EO13">
            <v>0</v>
          </cell>
          <cell r="EP13">
            <v>0</v>
          </cell>
          <cell r="EQ13">
            <v>67</v>
          </cell>
          <cell r="ER13">
            <v>67</v>
          </cell>
          <cell r="ES13">
            <v>13.199999999999998</v>
          </cell>
          <cell r="ET13">
            <v>0</v>
          </cell>
          <cell r="EU13">
            <v>0</v>
          </cell>
          <cell r="EV13">
            <v>62</v>
          </cell>
          <cell r="EW13">
            <v>62</v>
          </cell>
          <cell r="EX13">
            <v>12.199999999999998</v>
          </cell>
          <cell r="EY13">
            <v>0</v>
          </cell>
          <cell r="EZ13">
            <v>0</v>
          </cell>
          <cell r="FA13">
            <v>57</v>
          </cell>
          <cell r="FB13">
            <v>57</v>
          </cell>
          <cell r="FC13">
            <v>11.199999999999998</v>
          </cell>
          <cell r="FD13">
            <v>0</v>
          </cell>
          <cell r="FE13">
            <v>0</v>
          </cell>
          <cell r="FF13">
            <v>52</v>
          </cell>
          <cell r="FG13">
            <v>52</v>
          </cell>
          <cell r="FH13">
            <v>10.199999999999999</v>
          </cell>
          <cell r="FI13">
            <v>0</v>
          </cell>
          <cell r="FJ13">
            <v>0</v>
          </cell>
          <cell r="FK13">
            <v>47</v>
          </cell>
          <cell r="FL13">
            <v>47</v>
          </cell>
          <cell r="FM13">
            <v>9.1999999999999993</v>
          </cell>
          <cell r="FN13">
            <v>0</v>
          </cell>
          <cell r="FO13">
            <v>0</v>
          </cell>
          <cell r="FP13">
            <v>42</v>
          </cell>
          <cell r="FQ13">
            <v>42</v>
          </cell>
          <cell r="FR13">
            <v>8.1999999999999993</v>
          </cell>
          <cell r="FS13">
            <v>0</v>
          </cell>
          <cell r="FT13">
            <v>11</v>
          </cell>
          <cell r="FU13">
            <v>2.0333333333333332</v>
          </cell>
          <cell r="FW13" t="str">
            <v>SOBRESTOCK</v>
          </cell>
          <cell r="FX13" t="str">
            <v>A</v>
          </cell>
          <cell r="FY13" t="str">
            <v>Si</v>
          </cell>
        </row>
        <row r="14">
          <cell r="B14" t="str">
            <v>REP-0013</v>
          </cell>
          <cell r="C14" t="str">
            <v>MIX</v>
          </cell>
          <cell r="D14">
            <v>0</v>
          </cell>
          <cell r="E14">
            <v>157</v>
          </cell>
          <cell r="F14">
            <v>0</v>
          </cell>
          <cell r="G14">
            <v>0</v>
          </cell>
          <cell r="H14">
            <v>4</v>
          </cell>
          <cell r="I14">
            <v>4</v>
          </cell>
          <cell r="J14">
            <v>0</v>
          </cell>
          <cell r="K14">
            <v>6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3</v>
          </cell>
          <cell r="S14">
            <v>0</v>
          </cell>
          <cell r="T14">
            <v>6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183</v>
          </cell>
          <cell r="AA14">
            <v>183</v>
          </cell>
          <cell r="AB14">
            <v>72</v>
          </cell>
          <cell r="AC14">
            <v>11.833333333333334</v>
          </cell>
          <cell r="AD14">
            <v>0.39444444444444449</v>
          </cell>
          <cell r="AE14">
            <v>11.083333333333334</v>
          </cell>
          <cell r="AF14">
            <v>11</v>
          </cell>
          <cell r="AG14">
            <v>9.5833333333333339</v>
          </cell>
          <cell r="AH14">
            <v>13.75</v>
          </cell>
          <cell r="AI14">
            <v>5.166666666666667</v>
          </cell>
          <cell r="AJ14">
            <v>5.166666666666667</v>
          </cell>
          <cell r="AK14">
            <v>8.4166666666666679</v>
          </cell>
          <cell r="AL14">
            <v>4.1202975440921534</v>
          </cell>
          <cell r="AM14">
            <v>8.4166666666666679</v>
          </cell>
          <cell r="AN14">
            <v>0.48954030226837458</v>
          </cell>
          <cell r="AO14">
            <v>0</v>
          </cell>
          <cell r="AP14">
            <v>70.666666666666671</v>
          </cell>
          <cell r="AQ14">
            <v>6.6363636363636367</v>
          </cell>
          <cell r="AR14">
            <v>0</v>
          </cell>
          <cell r="AS14">
            <v>182</v>
          </cell>
          <cell r="AT14">
            <v>131</v>
          </cell>
          <cell r="AU14">
            <v>13.669565217391304</v>
          </cell>
          <cell r="AV14">
            <v>0</v>
          </cell>
          <cell r="AW14">
            <v>121.41666666666667</v>
          </cell>
          <cell r="AX14">
            <v>112</v>
          </cell>
          <cell r="AY14">
            <v>13.306930693069305</v>
          </cell>
          <cell r="AZ14">
            <v>0</v>
          </cell>
          <cell r="BA14">
            <v>102.41666666666667</v>
          </cell>
          <cell r="BB14">
            <v>84</v>
          </cell>
          <cell r="BC14">
            <v>6.3</v>
          </cell>
          <cell r="BD14">
            <v>0</v>
          </cell>
          <cell r="BE14">
            <v>70.666666666666671</v>
          </cell>
          <cell r="BF14">
            <v>5.3</v>
          </cell>
          <cell r="BG14">
            <v>0</v>
          </cell>
          <cell r="BH14">
            <v>57.333333333333336</v>
          </cell>
          <cell r="BI14">
            <v>183</v>
          </cell>
          <cell r="BJ14">
            <v>21.742574257425741</v>
          </cell>
          <cell r="BK14">
            <v>0</v>
          </cell>
          <cell r="BL14">
            <v>60.416666666666664</v>
          </cell>
          <cell r="BM14">
            <v>55</v>
          </cell>
          <cell r="BN14">
            <v>4.583333333333333</v>
          </cell>
          <cell r="BO14">
            <v>0</v>
          </cell>
          <cell r="BP14">
            <v>43</v>
          </cell>
          <cell r="BQ14">
            <v>33</v>
          </cell>
          <cell r="BR14">
            <v>3.9207920792079203</v>
          </cell>
          <cell r="BS14">
            <v>0</v>
          </cell>
          <cell r="BT14">
            <v>18.833333333333336</v>
          </cell>
          <cell r="BU14">
            <v>50</v>
          </cell>
          <cell r="BV14">
            <v>3.75</v>
          </cell>
          <cell r="BW14">
            <v>56</v>
          </cell>
          <cell r="BX14">
            <v>0</v>
          </cell>
          <cell r="BY14">
            <v>36.666666666666664</v>
          </cell>
          <cell r="BZ14">
            <v>35</v>
          </cell>
          <cell r="CA14">
            <v>2.763157894736842</v>
          </cell>
          <cell r="CB14">
            <v>67</v>
          </cell>
          <cell r="CC14">
            <v>0</v>
          </cell>
          <cell r="CD14">
            <v>72.333333333333329</v>
          </cell>
          <cell r="CE14">
            <v>18</v>
          </cell>
          <cell r="CF14">
            <v>1.0588235294117647</v>
          </cell>
          <cell r="CG14">
            <v>118</v>
          </cell>
          <cell r="CH14">
            <v>50</v>
          </cell>
          <cell r="CI14">
            <v>173.33333333333331</v>
          </cell>
          <cell r="CJ14">
            <v>61</v>
          </cell>
          <cell r="CK14">
            <v>3.5882352941176472</v>
          </cell>
          <cell r="CL14">
            <v>75</v>
          </cell>
          <cell r="CM14">
            <v>50</v>
          </cell>
          <cell r="CN14">
            <v>94</v>
          </cell>
          <cell r="CO14">
            <v>101</v>
          </cell>
          <cell r="CP14">
            <v>5.9411764705882355</v>
          </cell>
          <cell r="CQ14">
            <v>42</v>
          </cell>
          <cell r="CR14">
            <v>0</v>
          </cell>
          <cell r="CS14">
            <v>84</v>
          </cell>
          <cell r="CT14">
            <v>100</v>
          </cell>
          <cell r="CU14">
            <v>7.2727272727272725</v>
          </cell>
          <cell r="CV14">
            <v>0</v>
          </cell>
          <cell r="CW14">
            <v>0</v>
          </cell>
          <cell r="CX14">
            <v>86.25</v>
          </cell>
          <cell r="CY14">
            <v>96</v>
          </cell>
          <cell r="CZ14">
            <v>6.9818181818181815</v>
          </cell>
          <cell r="DA14">
            <v>0</v>
          </cell>
          <cell r="DB14">
            <v>120</v>
          </cell>
          <cell r="DC14">
            <v>207.27083333333334</v>
          </cell>
          <cell r="DD14">
            <v>211</v>
          </cell>
          <cell r="DE14">
            <v>20.632516703786187</v>
          </cell>
          <cell r="DF14">
            <v>0</v>
          </cell>
          <cell r="DG14">
            <v>0</v>
          </cell>
          <cell r="DH14">
            <v>201.64583333333334</v>
          </cell>
          <cell r="DI14">
            <v>201</v>
          </cell>
          <cell r="DJ14">
            <v>23.014354066985643</v>
          </cell>
          <cell r="DK14">
            <v>0</v>
          </cell>
          <cell r="DL14">
            <v>0</v>
          </cell>
          <cell r="DM14">
            <v>192.9375</v>
          </cell>
          <cell r="DN14">
            <v>183</v>
          </cell>
          <cell r="DO14">
            <v>21.6039603960396</v>
          </cell>
          <cell r="DP14">
            <v>0</v>
          </cell>
          <cell r="DQ14">
            <v>0</v>
          </cell>
          <cell r="DR14">
            <v>174.58333333333334</v>
          </cell>
          <cell r="DS14">
            <v>174.58333333333334</v>
          </cell>
          <cell r="DT14">
            <v>20.603960396039604</v>
          </cell>
          <cell r="DU14">
            <v>0</v>
          </cell>
          <cell r="DV14">
            <v>0</v>
          </cell>
          <cell r="DW14">
            <v>166.16666666666669</v>
          </cell>
          <cell r="DX14">
            <v>166.16666666666669</v>
          </cell>
          <cell r="DY14">
            <v>19.603960396039604</v>
          </cell>
          <cell r="DZ14">
            <v>0</v>
          </cell>
          <cell r="EA14">
            <v>0</v>
          </cell>
          <cell r="EB14">
            <v>157.75000000000003</v>
          </cell>
          <cell r="EC14">
            <v>157.75000000000003</v>
          </cell>
          <cell r="ED14">
            <v>18.603960396039604</v>
          </cell>
          <cell r="EE14">
            <v>0</v>
          </cell>
          <cell r="EF14">
            <v>0</v>
          </cell>
          <cell r="EG14">
            <v>149.33333333333337</v>
          </cell>
          <cell r="EH14">
            <v>149.33333333333337</v>
          </cell>
          <cell r="EI14">
            <v>17.603960396039604</v>
          </cell>
          <cell r="EJ14">
            <v>0</v>
          </cell>
          <cell r="EK14">
            <v>0</v>
          </cell>
          <cell r="EL14">
            <v>140.91666666666671</v>
          </cell>
          <cell r="EM14">
            <v>140.91666666666671</v>
          </cell>
          <cell r="EN14">
            <v>16.603960396039607</v>
          </cell>
          <cell r="EO14">
            <v>0</v>
          </cell>
          <cell r="EP14">
            <v>0</v>
          </cell>
          <cell r="EQ14">
            <v>132.50000000000006</v>
          </cell>
          <cell r="ER14">
            <v>132.50000000000006</v>
          </cell>
          <cell r="ES14">
            <v>15.603960396039609</v>
          </cell>
          <cell r="ET14">
            <v>0</v>
          </cell>
          <cell r="EU14">
            <v>0</v>
          </cell>
          <cell r="EV14">
            <v>124.08333333333339</v>
          </cell>
          <cell r="EW14">
            <v>124.08333333333339</v>
          </cell>
          <cell r="EX14">
            <v>14.603960396039609</v>
          </cell>
          <cell r="EY14">
            <v>0</v>
          </cell>
          <cell r="EZ14">
            <v>0</v>
          </cell>
          <cell r="FA14">
            <v>115.66666666666671</v>
          </cell>
          <cell r="FB14">
            <v>115.66666666666671</v>
          </cell>
          <cell r="FC14">
            <v>13.603960396039607</v>
          </cell>
          <cell r="FD14">
            <v>0</v>
          </cell>
          <cell r="FE14">
            <v>0</v>
          </cell>
          <cell r="FF14">
            <v>107.25000000000004</v>
          </cell>
          <cell r="FG14">
            <v>107.25000000000004</v>
          </cell>
          <cell r="FH14">
            <v>12.603960396039607</v>
          </cell>
          <cell r="FI14">
            <v>0</v>
          </cell>
          <cell r="FJ14">
            <v>0</v>
          </cell>
          <cell r="FK14">
            <v>98.833333333333371</v>
          </cell>
          <cell r="FL14">
            <v>98.833333333333371</v>
          </cell>
          <cell r="FM14">
            <v>11.603960396039607</v>
          </cell>
          <cell r="FN14">
            <v>0</v>
          </cell>
          <cell r="FO14">
            <v>0</v>
          </cell>
          <cell r="FP14">
            <v>90.4166666666667</v>
          </cell>
          <cell r="FQ14">
            <v>90.4166666666667</v>
          </cell>
          <cell r="FR14">
            <v>10.603960396039607</v>
          </cell>
          <cell r="FS14">
            <v>0</v>
          </cell>
          <cell r="FT14">
            <v>18</v>
          </cell>
          <cell r="FU14">
            <v>2.0333333333333332</v>
          </cell>
          <cell r="FW14" t="str">
            <v>SOBRESTOCK</v>
          </cell>
          <cell r="FX14" t="str">
            <v>A</v>
          </cell>
          <cell r="FY14" t="str">
            <v>Si</v>
          </cell>
        </row>
        <row r="15">
          <cell r="B15" t="str">
            <v>REP-0014</v>
          </cell>
          <cell r="C15" t="str">
            <v>MIX</v>
          </cell>
          <cell r="D15">
            <v>0</v>
          </cell>
          <cell r="E15">
            <v>24</v>
          </cell>
          <cell r="F15">
            <v>0</v>
          </cell>
          <cell r="G15">
            <v>0</v>
          </cell>
          <cell r="H15">
            <v>2</v>
          </cell>
          <cell r="I15">
            <v>2</v>
          </cell>
          <cell r="J15">
            <v>0</v>
          </cell>
          <cell r="K15">
            <v>2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3</v>
          </cell>
          <cell r="Q15">
            <v>1</v>
          </cell>
          <cell r="R15">
            <v>1</v>
          </cell>
          <cell r="S15">
            <v>1</v>
          </cell>
          <cell r="T15">
            <v>0</v>
          </cell>
          <cell r="U15">
            <v>1</v>
          </cell>
          <cell r="V15">
            <v>2</v>
          </cell>
          <cell r="W15">
            <v>1</v>
          </cell>
          <cell r="X15">
            <v>1</v>
          </cell>
          <cell r="Y15">
            <v>48</v>
          </cell>
          <cell r="AA15">
            <v>48</v>
          </cell>
          <cell r="AB15">
            <v>14</v>
          </cell>
          <cell r="AC15">
            <v>3.3333333333333335</v>
          </cell>
          <cell r="AD15">
            <v>0.11111111111111112</v>
          </cell>
          <cell r="AE15">
            <v>2.5833333333333335</v>
          </cell>
          <cell r="AF15">
            <v>1.8333333333333333</v>
          </cell>
          <cell r="AG15">
            <v>1.4166666666666667</v>
          </cell>
          <cell r="AH15">
            <v>2.9166666666666665</v>
          </cell>
          <cell r="AI15">
            <v>1.5</v>
          </cell>
          <cell r="AJ15">
            <v>1.5</v>
          </cell>
          <cell r="AK15">
            <v>2.9166666666666665</v>
          </cell>
          <cell r="AL15">
            <v>0.62638734909887162</v>
          </cell>
          <cell r="AM15">
            <v>1.8333333333333333</v>
          </cell>
          <cell r="AN15">
            <v>0.34166582678120272</v>
          </cell>
          <cell r="AO15">
            <v>0</v>
          </cell>
          <cell r="AP15">
            <v>24.777777777777779</v>
          </cell>
          <cell r="AQ15">
            <v>14.272727272727273</v>
          </cell>
          <cell r="AR15">
            <v>0</v>
          </cell>
          <cell r="AS15">
            <v>21</v>
          </cell>
          <cell r="AT15">
            <v>21</v>
          </cell>
          <cell r="AU15">
            <v>6</v>
          </cell>
          <cell r="AV15">
            <v>0</v>
          </cell>
          <cell r="AW15">
            <v>17.5</v>
          </cell>
          <cell r="AX15">
            <v>14</v>
          </cell>
          <cell r="AY15">
            <v>4.8</v>
          </cell>
          <cell r="AZ15">
            <v>0</v>
          </cell>
          <cell r="BA15">
            <v>21.333333333333332</v>
          </cell>
          <cell r="BB15">
            <v>14</v>
          </cell>
          <cell r="BC15">
            <v>3</v>
          </cell>
          <cell r="BD15">
            <v>0</v>
          </cell>
          <cell r="BE15">
            <v>9.3333333333333321</v>
          </cell>
          <cell r="BF15">
            <v>1.9999999999999996</v>
          </cell>
          <cell r="BG15">
            <v>10</v>
          </cell>
          <cell r="BH15">
            <v>14.666666666666664</v>
          </cell>
          <cell r="BI15">
            <v>48</v>
          </cell>
          <cell r="BJ15">
            <v>16.457142857142859</v>
          </cell>
          <cell r="BK15">
            <v>0</v>
          </cell>
          <cell r="BL15">
            <v>35.833333333333336</v>
          </cell>
          <cell r="BM15">
            <v>38</v>
          </cell>
          <cell r="BN15">
            <v>11.4</v>
          </cell>
          <cell r="BO15">
            <v>0</v>
          </cell>
          <cell r="BP15">
            <v>34.666666666666664</v>
          </cell>
          <cell r="BQ15">
            <v>31</v>
          </cell>
          <cell r="BR15">
            <v>10.62857142857143</v>
          </cell>
          <cell r="BS15">
            <v>0</v>
          </cell>
          <cell r="BT15">
            <v>27.75</v>
          </cell>
          <cell r="BU15">
            <v>29</v>
          </cell>
          <cell r="BV15">
            <v>9</v>
          </cell>
          <cell r="BW15">
            <v>0</v>
          </cell>
          <cell r="BX15">
            <v>0</v>
          </cell>
          <cell r="BY15">
            <v>25.777777777777779</v>
          </cell>
          <cell r="BZ15">
            <v>28</v>
          </cell>
          <cell r="CA15">
            <v>9.3333333333333339</v>
          </cell>
          <cell r="CB15">
            <v>0</v>
          </cell>
          <cell r="CC15">
            <v>0</v>
          </cell>
          <cell r="CD15">
            <v>25</v>
          </cell>
          <cell r="CE15">
            <v>26</v>
          </cell>
          <cell r="CF15">
            <v>8.9375</v>
          </cell>
          <cell r="CG15">
            <v>0</v>
          </cell>
          <cell r="CH15">
            <v>0</v>
          </cell>
          <cell r="CI15">
            <v>22.09090909090909</v>
          </cell>
          <cell r="CJ15">
            <v>23</v>
          </cell>
          <cell r="CK15">
            <v>7.8857142857142861</v>
          </cell>
          <cell r="CL15">
            <v>1</v>
          </cell>
          <cell r="CM15">
            <v>30</v>
          </cell>
          <cell r="CN15">
            <v>50.083333333333336</v>
          </cell>
          <cell r="CO15">
            <v>57</v>
          </cell>
          <cell r="CP15">
            <v>19.542857142857144</v>
          </cell>
          <cell r="CQ15">
            <v>0</v>
          </cell>
          <cell r="CR15">
            <v>0</v>
          </cell>
          <cell r="CS15">
            <v>54.083333333333336</v>
          </cell>
          <cell r="CT15">
            <v>55</v>
          </cell>
          <cell r="CU15">
            <v>18.857142857142858</v>
          </cell>
          <cell r="CV15">
            <v>0</v>
          </cell>
          <cell r="CW15">
            <v>0</v>
          </cell>
          <cell r="CX15">
            <v>52.083333333333336</v>
          </cell>
          <cell r="CY15">
            <v>52</v>
          </cell>
          <cell r="CZ15">
            <v>17.828571428571429</v>
          </cell>
          <cell r="DA15">
            <v>0</v>
          </cell>
          <cell r="DB15">
            <v>0</v>
          </cell>
          <cell r="DC15">
            <v>49.083333333333336</v>
          </cell>
          <cell r="DD15">
            <v>47</v>
          </cell>
          <cell r="DE15">
            <v>9.6</v>
          </cell>
          <cell r="DF15">
            <v>0</v>
          </cell>
          <cell r="DG15">
            <v>0</v>
          </cell>
          <cell r="DH15">
            <v>44.083333333333336</v>
          </cell>
          <cell r="DI15">
            <v>47</v>
          </cell>
          <cell r="DJ15">
            <v>11.6</v>
          </cell>
          <cell r="DK15">
            <v>0</v>
          </cell>
          <cell r="DL15">
            <v>0</v>
          </cell>
          <cell r="DM15">
            <v>41.166666666666671</v>
          </cell>
          <cell r="DN15">
            <v>48</v>
          </cell>
          <cell r="DO15">
            <v>11.942857142857143</v>
          </cell>
          <cell r="DP15">
            <v>0</v>
          </cell>
          <cell r="DQ15">
            <v>0</v>
          </cell>
          <cell r="DR15">
            <v>45.083333333333336</v>
          </cell>
          <cell r="DS15">
            <v>45.083333333333336</v>
          </cell>
          <cell r="DT15">
            <v>10.942857142857145</v>
          </cell>
          <cell r="DU15">
            <v>0</v>
          </cell>
          <cell r="DV15">
            <v>0</v>
          </cell>
          <cell r="DW15">
            <v>42.166666666666671</v>
          </cell>
          <cell r="DX15">
            <v>42.166666666666671</v>
          </cell>
          <cell r="DY15">
            <v>9.9428571428571448</v>
          </cell>
          <cell r="DZ15">
            <v>0</v>
          </cell>
          <cell r="EA15">
            <v>0</v>
          </cell>
          <cell r="EB15">
            <v>39.250000000000007</v>
          </cell>
          <cell r="EC15">
            <v>39.250000000000007</v>
          </cell>
          <cell r="ED15">
            <v>8.9428571428571466</v>
          </cell>
          <cell r="EE15">
            <v>0</v>
          </cell>
          <cell r="EF15">
            <v>0</v>
          </cell>
          <cell r="EG15">
            <v>36.333333333333343</v>
          </cell>
          <cell r="EH15">
            <v>36.333333333333343</v>
          </cell>
          <cell r="EI15">
            <v>7.9428571428571466</v>
          </cell>
          <cell r="EJ15">
            <v>0</v>
          </cell>
          <cell r="EK15">
            <v>0</v>
          </cell>
          <cell r="EL15">
            <v>33.416666666666679</v>
          </cell>
          <cell r="EM15">
            <v>33.416666666666679</v>
          </cell>
          <cell r="EN15">
            <v>6.9428571428571475</v>
          </cell>
          <cell r="EO15">
            <v>0</v>
          </cell>
          <cell r="EP15">
            <v>0</v>
          </cell>
          <cell r="EQ15">
            <v>30.500000000000011</v>
          </cell>
          <cell r="ER15">
            <v>30.500000000000011</v>
          </cell>
          <cell r="ES15">
            <v>5.9428571428571466</v>
          </cell>
          <cell r="ET15">
            <v>0</v>
          </cell>
          <cell r="EU15">
            <v>0</v>
          </cell>
          <cell r="EV15">
            <v>27.583333333333343</v>
          </cell>
          <cell r="EW15">
            <v>27.583333333333343</v>
          </cell>
          <cell r="EX15">
            <v>4.9428571428571466</v>
          </cell>
          <cell r="EY15">
            <v>0</v>
          </cell>
          <cell r="EZ15">
            <v>0</v>
          </cell>
          <cell r="FA15">
            <v>24.666666666666675</v>
          </cell>
          <cell r="FB15">
            <v>24.666666666666675</v>
          </cell>
          <cell r="FC15">
            <v>3.9428571428571457</v>
          </cell>
          <cell r="FD15">
            <v>0</v>
          </cell>
          <cell r="FE15">
            <v>10</v>
          </cell>
          <cell r="FF15">
            <v>31.750000000000004</v>
          </cell>
          <cell r="FG15">
            <v>31.750000000000004</v>
          </cell>
          <cell r="FH15">
            <v>6.3714285714285728</v>
          </cell>
          <cell r="FI15">
            <v>0</v>
          </cell>
          <cell r="FJ15">
            <v>0</v>
          </cell>
          <cell r="FK15">
            <v>28.833333333333336</v>
          </cell>
          <cell r="FL15">
            <v>28.833333333333336</v>
          </cell>
          <cell r="FM15">
            <v>5.3714285714285719</v>
          </cell>
          <cell r="FN15">
            <v>0</v>
          </cell>
          <cell r="FO15">
            <v>0</v>
          </cell>
          <cell r="FP15">
            <v>25.916666666666668</v>
          </cell>
          <cell r="FQ15">
            <v>25.916666666666668</v>
          </cell>
          <cell r="FR15">
            <v>4.3714285714285719</v>
          </cell>
          <cell r="FS15">
            <v>0</v>
          </cell>
          <cell r="FT15">
            <v>19</v>
          </cell>
          <cell r="FU15">
            <v>2.0333333333333332</v>
          </cell>
          <cell r="FW15" t="str">
            <v>SOBRESTOCK</v>
          </cell>
          <cell r="FX15" t="str">
            <v>B</v>
          </cell>
          <cell r="FY15" t="str">
            <v>Si</v>
          </cell>
        </row>
        <row r="16">
          <cell r="B16" t="str">
            <v>REP-0015</v>
          </cell>
          <cell r="C16" t="str">
            <v>MIX</v>
          </cell>
          <cell r="D16">
            <v>0</v>
          </cell>
          <cell r="E16">
            <v>19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6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39</v>
          </cell>
          <cell r="AA16">
            <v>39</v>
          </cell>
          <cell r="AB16">
            <v>14</v>
          </cell>
          <cell r="AC16">
            <v>0.33333333333333331</v>
          </cell>
          <cell r="AD16">
            <v>1.111111111111111E-2</v>
          </cell>
          <cell r="AE16">
            <v>0.91666666666666663</v>
          </cell>
          <cell r="AF16">
            <v>0.75</v>
          </cell>
          <cell r="AG16">
            <v>0.75</v>
          </cell>
          <cell r="AH16">
            <v>1.4166666666666667</v>
          </cell>
          <cell r="AI16">
            <v>1.1666666666666667</v>
          </cell>
          <cell r="AJ16">
            <v>1.1666666666666667</v>
          </cell>
          <cell r="AK16">
            <v>1.4166666666666667</v>
          </cell>
          <cell r="AL16">
            <v>0.29226129861250272</v>
          </cell>
          <cell r="AM16">
            <v>1.1250000000000002</v>
          </cell>
          <cell r="AN16">
            <v>0.25978782098889125</v>
          </cell>
          <cell r="AO16">
            <v>0</v>
          </cell>
          <cell r="AP16">
            <v>20</v>
          </cell>
          <cell r="AQ16">
            <v>21</v>
          </cell>
          <cell r="AR16">
            <v>0</v>
          </cell>
          <cell r="AS16">
            <v>20</v>
          </cell>
          <cell r="AT16">
            <v>20</v>
          </cell>
          <cell r="AU16">
            <v>20</v>
          </cell>
          <cell r="AV16">
            <v>0</v>
          </cell>
          <cell r="AW16">
            <v>19</v>
          </cell>
          <cell r="AX16">
            <v>20</v>
          </cell>
          <cell r="AY16">
            <v>14.117647058823529</v>
          </cell>
          <cell r="AZ16">
            <v>0</v>
          </cell>
          <cell r="BA16">
            <v>19.166666666666668</v>
          </cell>
          <cell r="BB16">
            <v>17</v>
          </cell>
          <cell r="BC16">
            <v>12.75</v>
          </cell>
          <cell r="BD16">
            <v>0</v>
          </cell>
          <cell r="BE16">
            <v>15.666666666666666</v>
          </cell>
          <cell r="BF16">
            <v>11.75</v>
          </cell>
          <cell r="BG16">
            <v>0</v>
          </cell>
          <cell r="BH16">
            <v>14.333333333333332</v>
          </cell>
          <cell r="BI16">
            <v>39</v>
          </cell>
          <cell r="BJ16">
            <v>27.52941176470588</v>
          </cell>
          <cell r="BK16">
            <v>0</v>
          </cell>
          <cell r="BL16">
            <v>12.833333333333334</v>
          </cell>
          <cell r="BM16">
            <v>10</v>
          </cell>
          <cell r="BN16">
            <v>6</v>
          </cell>
          <cell r="BO16">
            <v>0</v>
          </cell>
          <cell r="BP16">
            <v>8.3333333333333339</v>
          </cell>
          <cell r="BQ16">
            <v>8</v>
          </cell>
          <cell r="BR16">
            <v>5.6470588235294112</v>
          </cell>
          <cell r="BS16">
            <v>0</v>
          </cell>
          <cell r="BT16">
            <v>6</v>
          </cell>
          <cell r="BU16">
            <v>8</v>
          </cell>
          <cell r="BV16">
            <v>4</v>
          </cell>
          <cell r="BW16">
            <v>8</v>
          </cell>
          <cell r="BX16">
            <v>0</v>
          </cell>
          <cell r="BY16">
            <v>6</v>
          </cell>
          <cell r="BZ16">
            <v>7</v>
          </cell>
          <cell r="CA16">
            <v>4.2</v>
          </cell>
          <cell r="CB16">
            <v>7</v>
          </cell>
          <cell r="CC16">
            <v>0</v>
          </cell>
          <cell r="CD16">
            <v>20.333333333333332</v>
          </cell>
          <cell r="CE16">
            <v>5</v>
          </cell>
          <cell r="CF16">
            <v>3</v>
          </cell>
          <cell r="CG16">
            <v>9</v>
          </cell>
          <cell r="CH16">
            <v>15</v>
          </cell>
          <cell r="CI16">
            <v>27.666666666666664</v>
          </cell>
          <cell r="CJ16">
            <v>20</v>
          </cell>
          <cell r="CK16">
            <v>12</v>
          </cell>
          <cell r="CL16">
            <v>0</v>
          </cell>
          <cell r="CM16">
            <v>30</v>
          </cell>
          <cell r="CN16">
            <v>48.333333333333336</v>
          </cell>
          <cell r="CO16">
            <v>49</v>
          </cell>
          <cell r="CP16">
            <v>29.4</v>
          </cell>
          <cell r="CQ16">
            <v>0</v>
          </cell>
          <cell r="CR16">
            <v>0</v>
          </cell>
          <cell r="CS16">
            <v>47.333333333333336</v>
          </cell>
          <cell r="CT16">
            <v>47</v>
          </cell>
          <cell r="CU16">
            <v>33.17647058823529</v>
          </cell>
          <cell r="CV16">
            <v>0</v>
          </cell>
          <cell r="CW16">
            <v>0</v>
          </cell>
          <cell r="CX16">
            <v>45.583333333333336</v>
          </cell>
          <cell r="CY16">
            <v>46</v>
          </cell>
          <cell r="CZ16">
            <v>32.470588235294116</v>
          </cell>
          <cell r="DA16">
            <v>0</v>
          </cell>
          <cell r="DB16">
            <v>0</v>
          </cell>
          <cell r="DC16">
            <v>44.583333333333336</v>
          </cell>
          <cell r="DD16">
            <v>44</v>
          </cell>
          <cell r="DE16">
            <v>17.647058823529409</v>
          </cell>
          <cell r="DF16">
            <v>0</v>
          </cell>
          <cell r="DG16">
            <v>0</v>
          </cell>
          <cell r="DH16">
            <v>42.583333333333336</v>
          </cell>
          <cell r="DI16">
            <v>41</v>
          </cell>
          <cell r="DJ16">
            <v>17.529411764705884</v>
          </cell>
          <cell r="DK16">
            <v>0</v>
          </cell>
          <cell r="DL16">
            <v>0</v>
          </cell>
          <cell r="DM16">
            <v>41.166666666666671</v>
          </cell>
          <cell r="DN16">
            <v>39</v>
          </cell>
          <cell r="DO16">
            <v>16.117647058823529</v>
          </cell>
          <cell r="DP16">
            <v>0</v>
          </cell>
          <cell r="DQ16">
            <v>0</v>
          </cell>
          <cell r="DR16">
            <v>37.583333333333336</v>
          </cell>
          <cell r="DS16">
            <v>37.583333333333336</v>
          </cell>
          <cell r="DT16">
            <v>15.117647058823531</v>
          </cell>
          <cell r="DU16">
            <v>0</v>
          </cell>
          <cell r="DV16">
            <v>0</v>
          </cell>
          <cell r="DW16">
            <v>36.166666666666671</v>
          </cell>
          <cell r="DX16">
            <v>36.166666666666671</v>
          </cell>
          <cell r="DY16">
            <v>14.117647058823533</v>
          </cell>
          <cell r="DZ16">
            <v>0</v>
          </cell>
          <cell r="EA16">
            <v>0</v>
          </cell>
          <cell r="EB16">
            <v>34.750000000000007</v>
          </cell>
          <cell r="EC16">
            <v>34.750000000000007</v>
          </cell>
          <cell r="ED16">
            <v>13.117647058823534</v>
          </cell>
          <cell r="EE16">
            <v>0</v>
          </cell>
          <cell r="EF16">
            <v>0</v>
          </cell>
          <cell r="EG16">
            <v>33.333333333333343</v>
          </cell>
          <cell r="EH16">
            <v>33.333333333333343</v>
          </cell>
          <cell r="EI16">
            <v>12.117647058823536</v>
          </cell>
          <cell r="EJ16">
            <v>0</v>
          </cell>
          <cell r="EK16">
            <v>0</v>
          </cell>
          <cell r="EL16">
            <v>31.916666666666675</v>
          </cell>
          <cell r="EM16">
            <v>31.916666666666675</v>
          </cell>
          <cell r="EN16">
            <v>11.117647058823534</v>
          </cell>
          <cell r="EO16">
            <v>0</v>
          </cell>
          <cell r="EP16">
            <v>0</v>
          </cell>
          <cell r="EQ16">
            <v>30.500000000000007</v>
          </cell>
          <cell r="ER16">
            <v>30.500000000000007</v>
          </cell>
          <cell r="ES16">
            <v>10.117647058823534</v>
          </cell>
          <cell r="ET16">
            <v>0</v>
          </cell>
          <cell r="EU16">
            <v>0</v>
          </cell>
          <cell r="EV16">
            <v>29.083333333333339</v>
          </cell>
          <cell r="EW16">
            <v>29.083333333333339</v>
          </cell>
          <cell r="EX16">
            <v>9.1176470588235325</v>
          </cell>
          <cell r="EY16">
            <v>0</v>
          </cell>
          <cell r="EZ16">
            <v>0</v>
          </cell>
          <cell r="FA16">
            <v>27.666666666666671</v>
          </cell>
          <cell r="FB16">
            <v>27.666666666666671</v>
          </cell>
          <cell r="FC16">
            <v>8.1176470588235325</v>
          </cell>
          <cell r="FD16">
            <v>0</v>
          </cell>
          <cell r="FE16">
            <v>0</v>
          </cell>
          <cell r="FF16">
            <v>26.250000000000004</v>
          </cell>
          <cell r="FG16">
            <v>26.250000000000004</v>
          </cell>
          <cell r="FH16">
            <v>7.1176470588235317</v>
          </cell>
          <cell r="FI16">
            <v>0</v>
          </cell>
          <cell r="FJ16">
            <v>0</v>
          </cell>
          <cell r="FK16">
            <v>24.833333333333336</v>
          </cell>
          <cell r="FL16">
            <v>24.833333333333336</v>
          </cell>
          <cell r="FM16">
            <v>6.1176470588235308</v>
          </cell>
          <cell r="FN16">
            <v>0</v>
          </cell>
          <cell r="FO16">
            <v>0</v>
          </cell>
          <cell r="FP16">
            <v>23.416666666666668</v>
          </cell>
          <cell r="FQ16">
            <v>23.416666666666668</v>
          </cell>
          <cell r="FR16">
            <v>5.1176470588235299</v>
          </cell>
          <cell r="FS16">
            <v>0</v>
          </cell>
          <cell r="FT16">
            <v>19</v>
          </cell>
          <cell r="FU16">
            <v>2.0333333333333332</v>
          </cell>
          <cell r="FV16" t="str">
            <v>SI</v>
          </cell>
          <cell r="FW16" t="str">
            <v>SOBRESTOCK</v>
          </cell>
          <cell r="FX16" t="str">
            <v>B</v>
          </cell>
          <cell r="FY16" t="str">
            <v>Si</v>
          </cell>
        </row>
        <row r="17">
          <cell r="B17" t="str">
            <v>REP-0016</v>
          </cell>
          <cell r="C17" t="str">
            <v>MIX-NAC</v>
          </cell>
          <cell r="D17">
            <v>0</v>
          </cell>
          <cell r="E17">
            <v>34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</v>
          </cell>
          <cell r="L17">
            <v>2</v>
          </cell>
          <cell r="M17">
            <v>4</v>
          </cell>
          <cell r="N17">
            <v>4</v>
          </cell>
          <cell r="O17">
            <v>3</v>
          </cell>
          <cell r="P17">
            <v>6</v>
          </cell>
          <cell r="Q17">
            <v>6</v>
          </cell>
          <cell r="R17">
            <v>7</v>
          </cell>
          <cell r="S17">
            <v>5</v>
          </cell>
          <cell r="T17">
            <v>4</v>
          </cell>
          <cell r="U17">
            <v>4</v>
          </cell>
          <cell r="V17">
            <v>1</v>
          </cell>
          <cell r="W17">
            <v>8</v>
          </cell>
          <cell r="X17">
            <v>4</v>
          </cell>
          <cell r="Y17">
            <v>102</v>
          </cell>
          <cell r="AA17">
            <v>102</v>
          </cell>
          <cell r="AB17">
            <v>29</v>
          </cell>
          <cell r="AC17">
            <v>6.333333333333333</v>
          </cell>
          <cell r="AD17">
            <v>0.21111111111111111</v>
          </cell>
          <cell r="AE17">
            <v>5.583333333333333</v>
          </cell>
          <cell r="AF17">
            <v>7.333333333333333</v>
          </cell>
          <cell r="AG17">
            <v>7.083333333333333</v>
          </cell>
          <cell r="AH17">
            <v>9.0833333333333339</v>
          </cell>
          <cell r="AI17">
            <v>6</v>
          </cell>
          <cell r="AJ17">
            <v>6</v>
          </cell>
          <cell r="AK17">
            <v>9.0833333333333339</v>
          </cell>
          <cell r="AL17">
            <v>1.2657343059794737</v>
          </cell>
          <cell r="AM17">
            <v>7.041666666666667</v>
          </cell>
          <cell r="AN17">
            <v>0.17974925055329802</v>
          </cell>
          <cell r="AO17">
            <v>0</v>
          </cell>
          <cell r="AP17">
            <v>172.11111111111111</v>
          </cell>
          <cell r="AQ17">
            <v>23.68181818181818</v>
          </cell>
          <cell r="AR17">
            <v>0</v>
          </cell>
          <cell r="AS17">
            <v>158</v>
          </cell>
          <cell r="AT17">
            <v>156</v>
          </cell>
          <cell r="AU17">
            <v>13.565217391304348</v>
          </cell>
          <cell r="AV17">
            <v>0</v>
          </cell>
          <cell r="AW17">
            <v>144.5</v>
          </cell>
          <cell r="AX17">
            <v>145</v>
          </cell>
          <cell r="AY17">
            <v>15.963302752293577</v>
          </cell>
          <cell r="AZ17">
            <v>0</v>
          </cell>
          <cell r="BA17">
            <v>134.33333333333334</v>
          </cell>
          <cell r="BB17">
            <v>140</v>
          </cell>
          <cell r="BC17">
            <v>9.7674418604651159</v>
          </cell>
          <cell r="BD17">
            <v>0</v>
          </cell>
          <cell r="BE17">
            <v>125.66666666666667</v>
          </cell>
          <cell r="BF17">
            <v>8.7674418604651159</v>
          </cell>
          <cell r="BG17">
            <v>0</v>
          </cell>
          <cell r="BH17">
            <v>111.33333333333334</v>
          </cell>
          <cell r="BI17">
            <v>102</v>
          </cell>
          <cell r="BJ17">
            <v>11.229357798165136</v>
          </cell>
          <cell r="BK17">
            <v>0</v>
          </cell>
          <cell r="BL17">
            <v>186</v>
          </cell>
          <cell r="BM17">
            <v>206</v>
          </cell>
          <cell r="BN17">
            <v>18.727272727272727</v>
          </cell>
          <cell r="BO17">
            <v>0</v>
          </cell>
          <cell r="BP17">
            <v>195</v>
          </cell>
          <cell r="BQ17">
            <v>200</v>
          </cell>
          <cell r="BR17">
            <v>22.01834862385321</v>
          </cell>
          <cell r="BS17">
            <v>0</v>
          </cell>
          <cell r="BT17">
            <v>190</v>
          </cell>
          <cell r="BU17">
            <v>200</v>
          </cell>
          <cell r="BV17">
            <v>22.5</v>
          </cell>
          <cell r="BW17">
            <v>0</v>
          </cell>
          <cell r="BX17">
            <v>0</v>
          </cell>
          <cell r="BY17">
            <v>191.11111111111111</v>
          </cell>
          <cell r="BZ17">
            <v>187</v>
          </cell>
          <cell r="CA17">
            <v>20.107526881720428</v>
          </cell>
          <cell r="CB17">
            <v>0</v>
          </cell>
          <cell r="CC17">
            <v>0</v>
          </cell>
          <cell r="CD17">
            <v>177.7</v>
          </cell>
          <cell r="CE17">
            <v>182</v>
          </cell>
          <cell r="CF17">
            <v>20.02</v>
          </cell>
          <cell r="CG17">
            <v>0</v>
          </cell>
          <cell r="CH17">
            <v>0</v>
          </cell>
          <cell r="CI17">
            <v>168.6090909090909</v>
          </cell>
          <cell r="CJ17">
            <v>173</v>
          </cell>
          <cell r="CK17">
            <v>19.045871559633028</v>
          </cell>
          <cell r="CL17">
            <v>0</v>
          </cell>
          <cell r="CM17">
            <v>0</v>
          </cell>
          <cell r="CN17">
            <v>163.91666666666666</v>
          </cell>
          <cell r="CO17">
            <v>163</v>
          </cell>
          <cell r="CP17">
            <v>17.944954128440365</v>
          </cell>
          <cell r="CQ17">
            <v>0</v>
          </cell>
          <cell r="CR17">
            <v>0</v>
          </cell>
          <cell r="CS17">
            <v>153.91666666666666</v>
          </cell>
          <cell r="CT17">
            <v>144</v>
          </cell>
          <cell r="CU17">
            <v>15.853211009174311</v>
          </cell>
          <cell r="CV17">
            <v>0</v>
          </cell>
          <cell r="CW17">
            <v>0</v>
          </cell>
          <cell r="CX17">
            <v>134.91666666666666</v>
          </cell>
          <cell r="CY17">
            <v>131</v>
          </cell>
          <cell r="CZ17">
            <v>14.422018348623853</v>
          </cell>
          <cell r="DA17">
            <v>0</v>
          </cell>
          <cell r="DB17">
            <v>0</v>
          </cell>
          <cell r="DC17">
            <v>121.91666666666667</v>
          </cell>
          <cell r="DD17">
            <v>123</v>
          </cell>
          <cell r="DE17">
            <v>7.2660550458715596</v>
          </cell>
          <cell r="DF17">
            <v>0</v>
          </cell>
          <cell r="DG17">
            <v>0</v>
          </cell>
          <cell r="DH17">
            <v>113.91666666666667</v>
          </cell>
          <cell r="DI17">
            <v>114</v>
          </cell>
          <cell r="DJ17">
            <v>8.2752293577981639</v>
          </cell>
          <cell r="DK17">
            <v>0</v>
          </cell>
          <cell r="DL17">
            <v>0</v>
          </cell>
          <cell r="DM17">
            <v>104.83333333333334</v>
          </cell>
          <cell r="DN17">
            <v>102</v>
          </cell>
          <cell r="DO17">
            <v>6.9541284403669721</v>
          </cell>
          <cell r="DP17">
            <v>0</v>
          </cell>
          <cell r="DQ17">
            <v>0</v>
          </cell>
          <cell r="DR17">
            <v>92.916666666666671</v>
          </cell>
          <cell r="DS17">
            <v>92.916666666666671</v>
          </cell>
          <cell r="DT17">
            <v>5.9541284403669721</v>
          </cell>
          <cell r="DU17">
            <v>0</v>
          </cell>
          <cell r="DV17">
            <v>0</v>
          </cell>
          <cell r="DW17">
            <v>83.833333333333343</v>
          </cell>
          <cell r="DX17">
            <v>83.833333333333343</v>
          </cell>
          <cell r="DY17">
            <v>4.9541284403669739</v>
          </cell>
          <cell r="DZ17">
            <v>0</v>
          </cell>
          <cell r="EA17">
            <v>0</v>
          </cell>
          <cell r="EB17">
            <v>74.750000000000014</v>
          </cell>
          <cell r="EC17">
            <v>74.750000000000014</v>
          </cell>
          <cell r="ED17">
            <v>3.9541284403669739</v>
          </cell>
          <cell r="EE17">
            <v>0</v>
          </cell>
          <cell r="EF17">
            <v>0</v>
          </cell>
          <cell r="EG17">
            <v>65.666666666666686</v>
          </cell>
          <cell r="EH17">
            <v>65.666666666666686</v>
          </cell>
          <cell r="EI17">
            <v>2.9541284403669748</v>
          </cell>
          <cell r="EJ17">
            <v>0</v>
          </cell>
          <cell r="EK17">
            <v>20</v>
          </cell>
          <cell r="EL17">
            <v>76.583333333333357</v>
          </cell>
          <cell r="EM17">
            <v>76.583333333333357</v>
          </cell>
          <cell r="EN17">
            <v>4.155963302752296</v>
          </cell>
          <cell r="EO17">
            <v>0</v>
          </cell>
          <cell r="EP17">
            <v>0</v>
          </cell>
          <cell r="EQ17">
            <v>67.500000000000028</v>
          </cell>
          <cell r="ER17">
            <v>67.500000000000028</v>
          </cell>
          <cell r="ES17">
            <v>3.1559633027522969</v>
          </cell>
          <cell r="ET17">
            <v>0</v>
          </cell>
          <cell r="EU17">
            <v>0</v>
          </cell>
          <cell r="EV17">
            <v>58.416666666666693</v>
          </cell>
          <cell r="EW17">
            <v>58.416666666666693</v>
          </cell>
          <cell r="EX17">
            <v>2.1559633027522964</v>
          </cell>
          <cell r="EY17">
            <v>0</v>
          </cell>
          <cell r="EZ17">
            <v>0</v>
          </cell>
          <cell r="FA17">
            <v>49.333333333333357</v>
          </cell>
          <cell r="FB17">
            <v>49.333333333333357</v>
          </cell>
          <cell r="FC17">
            <v>1.1559633027522962</v>
          </cell>
          <cell r="FD17">
            <v>7.666666666666643</v>
          </cell>
          <cell r="FE17">
            <v>30</v>
          </cell>
          <cell r="FF17">
            <v>70.250000000000028</v>
          </cell>
          <cell r="FG17">
            <v>70.250000000000028</v>
          </cell>
          <cell r="FH17">
            <v>3.4587155963302783</v>
          </cell>
          <cell r="FI17">
            <v>0</v>
          </cell>
          <cell r="FJ17">
            <v>0</v>
          </cell>
          <cell r="FK17">
            <v>61.166666666666693</v>
          </cell>
          <cell r="FL17">
            <v>61.166666666666693</v>
          </cell>
          <cell r="FM17">
            <v>2.4587155963302783</v>
          </cell>
          <cell r="FN17">
            <v>0</v>
          </cell>
          <cell r="FO17">
            <v>0</v>
          </cell>
          <cell r="FP17">
            <v>52.083333333333357</v>
          </cell>
          <cell r="FQ17">
            <v>52.083333333333357</v>
          </cell>
          <cell r="FR17">
            <v>1.4587155963302778</v>
          </cell>
          <cell r="FS17">
            <v>4.916666666666643</v>
          </cell>
          <cell r="FT17">
            <v>57</v>
          </cell>
          <cell r="FU17">
            <v>2.0333333333333332</v>
          </cell>
          <cell r="FW17" t="str">
            <v>SOBRESTOCK</v>
          </cell>
          <cell r="FX17" t="str">
            <v>A</v>
          </cell>
          <cell r="FY17" t="str">
            <v>Si</v>
          </cell>
        </row>
        <row r="18">
          <cell r="B18" t="str">
            <v>REP-0017</v>
          </cell>
          <cell r="C18" t="str">
            <v>MIX</v>
          </cell>
          <cell r="D18">
            <v>0</v>
          </cell>
          <cell r="E18">
            <v>8</v>
          </cell>
          <cell r="F18">
            <v>0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18</v>
          </cell>
          <cell r="AA18">
            <v>18</v>
          </cell>
          <cell r="AB18">
            <v>2</v>
          </cell>
          <cell r="AC18">
            <v>0.16666666666666666</v>
          </cell>
          <cell r="AD18">
            <v>5.5555555555555549E-3</v>
          </cell>
          <cell r="AE18">
            <v>0.25</v>
          </cell>
          <cell r="AF18">
            <v>0.33333333333333331</v>
          </cell>
          <cell r="AG18">
            <v>0.25</v>
          </cell>
          <cell r="AH18">
            <v>0.58333333333333337</v>
          </cell>
          <cell r="AI18">
            <v>0</v>
          </cell>
          <cell r="AJ18">
            <v>0</v>
          </cell>
          <cell r="AK18">
            <v>0.58333333333333337</v>
          </cell>
          <cell r="AL18">
            <v>0.27638539919628335</v>
          </cell>
          <cell r="AM18">
            <v>0.20833333333333334</v>
          </cell>
          <cell r="AN18">
            <v>1.3266499161421601</v>
          </cell>
          <cell r="AO18">
            <v>0</v>
          </cell>
          <cell r="AP18">
            <v>12.833333333333334</v>
          </cell>
          <cell r="AQ18">
            <v>41</v>
          </cell>
          <cell r="AR18">
            <v>0</v>
          </cell>
          <cell r="AS18">
            <v>13.333333333333332</v>
          </cell>
          <cell r="AT18">
            <v>14</v>
          </cell>
          <cell r="AU18">
            <v>56</v>
          </cell>
          <cell r="AV18">
            <v>0</v>
          </cell>
          <cell r="AW18">
            <v>13.75</v>
          </cell>
          <cell r="AX18">
            <v>12</v>
          </cell>
          <cell r="AY18">
            <v>20.571428571428569</v>
          </cell>
          <cell r="AZ18">
            <v>0</v>
          </cell>
          <cell r="BA18">
            <v>11.75</v>
          </cell>
          <cell r="BB18">
            <v>11</v>
          </cell>
          <cell r="BC18">
            <v>11</v>
          </cell>
          <cell r="BD18">
            <v>0</v>
          </cell>
          <cell r="BE18">
            <v>10</v>
          </cell>
          <cell r="BF18">
            <v>10</v>
          </cell>
          <cell r="BG18">
            <v>0</v>
          </cell>
          <cell r="BH18">
            <v>9</v>
          </cell>
          <cell r="BI18">
            <v>18</v>
          </cell>
          <cell r="BJ18">
            <v>30.857142857142854</v>
          </cell>
          <cell r="BK18">
            <v>0</v>
          </cell>
          <cell r="BL18">
            <v>10.5</v>
          </cell>
          <cell r="BM18">
            <v>9</v>
          </cell>
          <cell r="BN18">
            <v>10.799999999999999</v>
          </cell>
          <cell r="BO18">
            <v>0</v>
          </cell>
          <cell r="BP18">
            <v>8.1666666666666661</v>
          </cell>
          <cell r="BQ18">
            <v>8</v>
          </cell>
          <cell r="BR18">
            <v>13.714285714285714</v>
          </cell>
          <cell r="BS18">
            <v>0</v>
          </cell>
          <cell r="BT18">
            <v>7</v>
          </cell>
          <cell r="BU18">
            <v>7</v>
          </cell>
          <cell r="BV18">
            <v>6</v>
          </cell>
          <cell r="BW18">
            <v>3</v>
          </cell>
          <cell r="BX18">
            <v>0</v>
          </cell>
          <cell r="BY18">
            <v>5.833333333333333</v>
          </cell>
          <cell r="BZ18">
            <v>7</v>
          </cell>
          <cell r="CA18">
            <v>10</v>
          </cell>
          <cell r="CB18">
            <v>0</v>
          </cell>
          <cell r="CC18">
            <v>0</v>
          </cell>
          <cell r="CD18">
            <v>16.3</v>
          </cell>
          <cell r="CE18">
            <v>7</v>
          </cell>
          <cell r="CF18">
            <v>10.5</v>
          </cell>
          <cell r="CG18">
            <v>0</v>
          </cell>
          <cell r="CH18">
            <v>10</v>
          </cell>
          <cell r="CI18">
            <v>15.633333333333335</v>
          </cell>
          <cell r="CJ18">
            <v>18</v>
          </cell>
          <cell r="CK18">
            <v>27</v>
          </cell>
          <cell r="CL18">
            <v>0</v>
          </cell>
          <cell r="CM18">
            <v>0</v>
          </cell>
          <cell r="CN18">
            <v>17.333333333333332</v>
          </cell>
          <cell r="CO18">
            <v>18</v>
          </cell>
          <cell r="CP18">
            <v>27</v>
          </cell>
          <cell r="CQ18">
            <v>0</v>
          </cell>
          <cell r="CR18">
            <v>0</v>
          </cell>
          <cell r="CS18">
            <v>17.333333333333332</v>
          </cell>
          <cell r="CT18">
            <v>18</v>
          </cell>
          <cell r="CU18">
            <v>30.857142857142854</v>
          </cell>
          <cell r="CV18">
            <v>0</v>
          </cell>
          <cell r="CW18">
            <v>0</v>
          </cell>
          <cell r="CX18">
            <v>17.416666666666668</v>
          </cell>
          <cell r="CY18">
            <v>18</v>
          </cell>
          <cell r="CZ18">
            <v>30.857142857142854</v>
          </cell>
          <cell r="DA18">
            <v>0</v>
          </cell>
          <cell r="DB18">
            <v>0</v>
          </cell>
          <cell r="DC18">
            <v>17.416666666666668</v>
          </cell>
          <cell r="DD18">
            <v>18</v>
          </cell>
          <cell r="DE18">
            <v>27.428571428571427</v>
          </cell>
          <cell r="DF18">
            <v>0</v>
          </cell>
          <cell r="DG18">
            <v>0</v>
          </cell>
          <cell r="DH18">
            <v>17.416666666666668</v>
          </cell>
          <cell r="DI18">
            <v>18</v>
          </cell>
          <cell r="DJ18">
            <v>29.428571428571427</v>
          </cell>
          <cell r="DK18">
            <v>0</v>
          </cell>
          <cell r="DL18">
            <v>0</v>
          </cell>
          <cell r="DM18">
            <v>16.833333333333336</v>
          </cell>
          <cell r="DN18">
            <v>18</v>
          </cell>
          <cell r="DO18">
            <v>29.428571428571427</v>
          </cell>
          <cell r="DP18">
            <v>0</v>
          </cell>
          <cell r="DQ18">
            <v>0</v>
          </cell>
          <cell r="DR18">
            <v>17.416666666666668</v>
          </cell>
          <cell r="DS18">
            <v>17.416666666666668</v>
          </cell>
          <cell r="DT18">
            <v>28.428571428571431</v>
          </cell>
          <cell r="DU18">
            <v>0</v>
          </cell>
          <cell r="DV18">
            <v>0</v>
          </cell>
          <cell r="DW18">
            <v>16.833333333333336</v>
          </cell>
          <cell r="DX18">
            <v>16.833333333333336</v>
          </cell>
          <cell r="DY18">
            <v>27.428571428571431</v>
          </cell>
          <cell r="DZ18">
            <v>0</v>
          </cell>
          <cell r="EA18">
            <v>0</v>
          </cell>
          <cell r="EB18">
            <v>16.250000000000004</v>
          </cell>
          <cell r="EC18">
            <v>16.250000000000004</v>
          </cell>
          <cell r="ED18">
            <v>26.428571428571434</v>
          </cell>
          <cell r="EE18">
            <v>0</v>
          </cell>
          <cell r="EF18">
            <v>0</v>
          </cell>
          <cell r="EG18">
            <v>15.66666666666667</v>
          </cell>
          <cell r="EH18">
            <v>15.66666666666667</v>
          </cell>
          <cell r="EI18">
            <v>25.428571428571431</v>
          </cell>
          <cell r="EJ18">
            <v>0</v>
          </cell>
          <cell r="EK18">
            <v>0</v>
          </cell>
          <cell r="EL18">
            <v>15.083333333333336</v>
          </cell>
          <cell r="EM18">
            <v>15.083333333333336</v>
          </cell>
          <cell r="EN18">
            <v>24.428571428571431</v>
          </cell>
          <cell r="EO18">
            <v>0</v>
          </cell>
          <cell r="EP18">
            <v>0</v>
          </cell>
          <cell r="EQ18">
            <v>14.500000000000002</v>
          </cell>
          <cell r="ER18">
            <v>14.500000000000002</v>
          </cell>
          <cell r="ES18">
            <v>23.428571428571431</v>
          </cell>
          <cell r="ET18">
            <v>0</v>
          </cell>
          <cell r="EU18">
            <v>0</v>
          </cell>
          <cell r="EV18">
            <v>13.916666666666668</v>
          </cell>
          <cell r="EW18">
            <v>13.916666666666668</v>
          </cell>
          <cell r="EX18">
            <v>22.428571428571431</v>
          </cell>
          <cell r="EY18">
            <v>0</v>
          </cell>
          <cell r="EZ18">
            <v>0</v>
          </cell>
          <cell r="FA18">
            <v>13.333333333333334</v>
          </cell>
          <cell r="FB18">
            <v>13.333333333333334</v>
          </cell>
          <cell r="FC18">
            <v>21.428571428571427</v>
          </cell>
          <cell r="FD18">
            <v>0</v>
          </cell>
          <cell r="FE18">
            <v>0</v>
          </cell>
          <cell r="FF18">
            <v>12.75</v>
          </cell>
          <cell r="FG18">
            <v>12.75</v>
          </cell>
          <cell r="FH18">
            <v>20.428571428571427</v>
          </cell>
          <cell r="FI18">
            <v>0</v>
          </cell>
          <cell r="FJ18">
            <v>0</v>
          </cell>
          <cell r="FK18">
            <v>12.166666666666666</v>
          </cell>
          <cell r="FL18">
            <v>12.166666666666666</v>
          </cell>
          <cell r="FM18">
            <v>19.428571428571427</v>
          </cell>
          <cell r="FN18">
            <v>0</v>
          </cell>
          <cell r="FO18">
            <v>0</v>
          </cell>
          <cell r="FP18">
            <v>11.583333333333332</v>
          </cell>
          <cell r="FQ18">
            <v>11.583333333333332</v>
          </cell>
          <cell r="FR18">
            <v>18.428571428571427</v>
          </cell>
          <cell r="FS18">
            <v>0</v>
          </cell>
          <cell r="FT18">
            <v>2</v>
          </cell>
          <cell r="FU18">
            <v>2.0333333333333332</v>
          </cell>
          <cell r="FW18" t="str">
            <v>SIN ROTACIÓN</v>
          </cell>
          <cell r="FX18" t="str">
            <v>C</v>
          </cell>
          <cell r="FY18" t="str">
            <v>Si</v>
          </cell>
        </row>
        <row r="19">
          <cell r="B19" t="str">
            <v>REP-0018</v>
          </cell>
          <cell r="C19" t="str">
            <v>MIX</v>
          </cell>
          <cell r="D19">
            <v>0</v>
          </cell>
          <cell r="E19">
            <v>9</v>
          </cell>
          <cell r="F19">
            <v>0</v>
          </cell>
          <cell r="G19">
            <v>0</v>
          </cell>
          <cell r="H19">
            <v>4</v>
          </cell>
          <cell r="I19">
            <v>4</v>
          </cell>
          <cell r="J19">
            <v>0</v>
          </cell>
          <cell r="K19">
            <v>16</v>
          </cell>
          <cell r="L19">
            <v>5</v>
          </cell>
          <cell r="M19">
            <v>10</v>
          </cell>
          <cell r="N19">
            <v>4</v>
          </cell>
          <cell r="O19">
            <v>0</v>
          </cell>
          <cell r="P19">
            <v>6</v>
          </cell>
          <cell r="Q19">
            <v>4</v>
          </cell>
          <cell r="R19">
            <v>8</v>
          </cell>
          <cell r="S19">
            <v>10</v>
          </cell>
          <cell r="T19">
            <v>4</v>
          </cell>
          <cell r="U19">
            <v>11</v>
          </cell>
          <cell r="V19">
            <v>0</v>
          </cell>
          <cell r="W19">
            <v>2</v>
          </cell>
          <cell r="X19">
            <v>7</v>
          </cell>
          <cell r="Y19">
            <v>104</v>
          </cell>
          <cell r="AA19">
            <v>104</v>
          </cell>
          <cell r="AB19">
            <v>0</v>
          </cell>
          <cell r="AC19">
            <v>21.666666666666668</v>
          </cell>
          <cell r="AD19">
            <v>0.72222222222222221</v>
          </cell>
          <cell r="AE19">
            <v>18.416666666666668</v>
          </cell>
          <cell r="AF19">
            <v>15.625</v>
          </cell>
          <cell r="AG19">
            <v>20</v>
          </cell>
          <cell r="AH19">
            <v>18</v>
          </cell>
          <cell r="AI19">
            <v>19.166666666666668</v>
          </cell>
          <cell r="AJ19">
            <v>19.166666666666668</v>
          </cell>
          <cell r="AK19">
            <v>20</v>
          </cell>
          <cell r="AL19">
            <v>1.7026327652589486</v>
          </cell>
          <cell r="AM19">
            <v>19.083333333333336</v>
          </cell>
          <cell r="AN19">
            <v>8.922093093059992E-2</v>
          </cell>
          <cell r="AO19">
            <v>0</v>
          </cell>
          <cell r="AP19">
            <v>202.5</v>
          </cell>
          <cell r="AQ19">
            <v>10.125</v>
          </cell>
          <cell r="AR19">
            <v>0</v>
          </cell>
          <cell r="AS19">
            <v>291.25</v>
          </cell>
          <cell r="AT19">
            <v>305</v>
          </cell>
          <cell r="AU19">
            <v>15.25</v>
          </cell>
          <cell r="AV19">
            <v>0</v>
          </cell>
          <cell r="AW19">
            <v>285</v>
          </cell>
          <cell r="AX19">
            <v>282</v>
          </cell>
          <cell r="AY19">
            <v>14.1</v>
          </cell>
          <cell r="AZ19">
            <v>0</v>
          </cell>
          <cell r="BA19">
            <v>262</v>
          </cell>
          <cell r="BB19">
            <v>267</v>
          </cell>
          <cell r="BC19">
            <v>13.35</v>
          </cell>
          <cell r="BD19">
            <v>0</v>
          </cell>
          <cell r="BE19">
            <v>247</v>
          </cell>
          <cell r="BF19">
            <v>12.35</v>
          </cell>
          <cell r="BG19">
            <v>0</v>
          </cell>
          <cell r="BH19">
            <v>227</v>
          </cell>
          <cell r="BI19">
            <v>104</v>
          </cell>
          <cell r="BJ19">
            <v>5.2</v>
          </cell>
          <cell r="BK19">
            <v>0</v>
          </cell>
          <cell r="BL19">
            <v>179</v>
          </cell>
          <cell r="BM19">
            <v>193</v>
          </cell>
          <cell r="BN19">
            <v>9.65</v>
          </cell>
          <cell r="BO19">
            <v>0</v>
          </cell>
          <cell r="BP19">
            <v>173</v>
          </cell>
          <cell r="BQ19">
            <v>159</v>
          </cell>
          <cell r="BR19">
            <v>7.95</v>
          </cell>
          <cell r="BS19">
            <v>0</v>
          </cell>
          <cell r="BT19">
            <v>136.66666666666666</v>
          </cell>
          <cell r="BU19">
            <v>167</v>
          </cell>
          <cell r="BV19">
            <v>8.35</v>
          </cell>
          <cell r="BW19">
            <v>0</v>
          </cell>
          <cell r="BX19">
            <v>0</v>
          </cell>
          <cell r="BY19">
            <v>147</v>
          </cell>
          <cell r="BZ19">
            <v>155</v>
          </cell>
          <cell r="CA19">
            <v>7.75</v>
          </cell>
          <cell r="CB19">
            <v>5</v>
          </cell>
          <cell r="CC19">
            <v>0</v>
          </cell>
          <cell r="CD19">
            <v>205</v>
          </cell>
          <cell r="CE19">
            <v>162</v>
          </cell>
          <cell r="CF19">
            <v>8.1</v>
          </cell>
          <cell r="CG19">
            <v>0</v>
          </cell>
          <cell r="CH19">
            <v>70</v>
          </cell>
          <cell r="CI19">
            <v>185</v>
          </cell>
          <cell r="CJ19">
            <v>249.5</v>
          </cell>
          <cell r="CK19">
            <v>12.475</v>
          </cell>
          <cell r="CL19">
            <v>0</v>
          </cell>
          <cell r="CM19">
            <v>0</v>
          </cell>
          <cell r="CN19">
            <v>229.5</v>
          </cell>
          <cell r="CO19">
            <v>238</v>
          </cell>
          <cell r="CP19">
            <v>11.9</v>
          </cell>
          <cell r="CQ19">
            <v>0</v>
          </cell>
          <cell r="CR19">
            <v>0</v>
          </cell>
          <cell r="CS19">
            <v>218</v>
          </cell>
          <cell r="CT19">
            <v>202</v>
          </cell>
          <cell r="CU19">
            <v>9.6190476190476186</v>
          </cell>
          <cell r="CV19">
            <v>0</v>
          </cell>
          <cell r="CW19">
            <v>0</v>
          </cell>
          <cell r="CX19">
            <v>181</v>
          </cell>
          <cell r="CY19">
            <v>182</v>
          </cell>
          <cell r="CZ19">
            <v>9.1</v>
          </cell>
          <cell r="DA19">
            <v>9</v>
          </cell>
          <cell r="DB19">
            <v>15</v>
          </cell>
          <cell r="DC19">
            <v>177</v>
          </cell>
          <cell r="DD19">
            <v>164</v>
          </cell>
          <cell r="DE19">
            <v>-1.2380952380952381</v>
          </cell>
          <cell r="DF19">
            <v>13</v>
          </cell>
          <cell r="DG19">
            <v>0</v>
          </cell>
          <cell r="DH19">
            <v>143</v>
          </cell>
          <cell r="DI19">
            <v>138</v>
          </cell>
          <cell r="DJ19">
            <v>-0.5</v>
          </cell>
          <cell r="DK19">
            <v>47</v>
          </cell>
          <cell r="DL19">
            <v>0</v>
          </cell>
          <cell r="DM19">
            <v>169.2</v>
          </cell>
          <cell r="DN19">
            <v>104</v>
          </cell>
          <cell r="DO19">
            <v>-2.2999999999999998</v>
          </cell>
          <cell r="DP19">
            <v>86</v>
          </cell>
          <cell r="DQ19">
            <v>0</v>
          </cell>
          <cell r="DR19">
            <v>84</v>
          </cell>
          <cell r="DS19">
            <v>84</v>
          </cell>
          <cell r="DT19">
            <v>-3.3</v>
          </cell>
          <cell r="DU19">
            <v>106</v>
          </cell>
          <cell r="DV19">
            <v>131</v>
          </cell>
          <cell r="DW19">
            <v>195</v>
          </cell>
          <cell r="DX19">
            <v>195</v>
          </cell>
          <cell r="DY19">
            <v>2.25</v>
          </cell>
          <cell r="DZ19">
            <v>0</v>
          </cell>
          <cell r="EA19">
            <v>0</v>
          </cell>
          <cell r="EB19">
            <v>175</v>
          </cell>
          <cell r="EC19">
            <v>175</v>
          </cell>
          <cell r="ED19">
            <v>1.25</v>
          </cell>
          <cell r="EE19">
            <v>15</v>
          </cell>
          <cell r="EF19">
            <v>0</v>
          </cell>
          <cell r="EG19">
            <v>155</v>
          </cell>
          <cell r="EH19">
            <v>155</v>
          </cell>
          <cell r="EI19">
            <v>0.25</v>
          </cell>
          <cell r="EJ19">
            <v>35</v>
          </cell>
          <cell r="EK19">
            <v>100</v>
          </cell>
          <cell r="EL19">
            <v>235</v>
          </cell>
          <cell r="EM19">
            <v>235</v>
          </cell>
          <cell r="EN19">
            <v>4.25</v>
          </cell>
          <cell r="EO19">
            <v>0</v>
          </cell>
          <cell r="EP19">
            <v>0</v>
          </cell>
          <cell r="EQ19">
            <v>215</v>
          </cell>
          <cell r="ER19">
            <v>215</v>
          </cell>
          <cell r="ES19">
            <v>3.25</v>
          </cell>
          <cell r="ET19">
            <v>0</v>
          </cell>
          <cell r="EU19">
            <v>0</v>
          </cell>
          <cell r="EV19">
            <v>195</v>
          </cell>
          <cell r="EW19">
            <v>195</v>
          </cell>
          <cell r="EX19">
            <v>2.25</v>
          </cell>
          <cell r="EY19">
            <v>0</v>
          </cell>
          <cell r="EZ19">
            <v>0</v>
          </cell>
          <cell r="FA19">
            <v>175</v>
          </cell>
          <cell r="FB19">
            <v>175</v>
          </cell>
          <cell r="FC19">
            <v>1.25</v>
          </cell>
          <cell r="FD19">
            <v>15</v>
          </cell>
          <cell r="FE19">
            <v>70</v>
          </cell>
          <cell r="FF19">
            <v>225</v>
          </cell>
          <cell r="FG19">
            <v>225</v>
          </cell>
          <cell r="FH19">
            <v>3.75</v>
          </cell>
          <cell r="FI19">
            <v>0</v>
          </cell>
          <cell r="FJ19">
            <v>0</v>
          </cell>
          <cell r="FK19">
            <v>205</v>
          </cell>
          <cell r="FL19">
            <v>205</v>
          </cell>
          <cell r="FM19">
            <v>2.75</v>
          </cell>
          <cell r="FN19">
            <v>0</v>
          </cell>
          <cell r="FO19">
            <v>20</v>
          </cell>
          <cell r="FP19">
            <v>205</v>
          </cell>
          <cell r="FQ19">
            <v>205</v>
          </cell>
          <cell r="FR19">
            <v>2.75</v>
          </cell>
          <cell r="FS19">
            <v>0</v>
          </cell>
          <cell r="FT19">
            <v>190</v>
          </cell>
          <cell r="FU19">
            <v>2.0333333333333332</v>
          </cell>
          <cell r="FW19" t="str">
            <v>STOCK OK</v>
          </cell>
          <cell r="FX19" t="str">
            <v>A</v>
          </cell>
          <cell r="FY19" t="str">
            <v>Si</v>
          </cell>
        </row>
        <row r="20">
          <cell r="B20" t="str">
            <v>REP-0019</v>
          </cell>
          <cell r="C20" t="str">
            <v>MIX-NAC</v>
          </cell>
          <cell r="D20">
            <v>0</v>
          </cell>
          <cell r="E20">
            <v>110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6</v>
          </cell>
          <cell r="L20">
            <v>5</v>
          </cell>
          <cell r="M20">
            <v>6</v>
          </cell>
          <cell r="N20">
            <v>3</v>
          </cell>
          <cell r="O20">
            <v>7</v>
          </cell>
          <cell r="P20">
            <v>5</v>
          </cell>
          <cell r="Q20">
            <v>8</v>
          </cell>
          <cell r="R20">
            <v>12</v>
          </cell>
          <cell r="S20">
            <v>5</v>
          </cell>
          <cell r="T20">
            <v>3</v>
          </cell>
          <cell r="U20">
            <v>3</v>
          </cell>
          <cell r="V20">
            <v>4</v>
          </cell>
          <cell r="W20">
            <v>5</v>
          </cell>
          <cell r="X20">
            <v>8</v>
          </cell>
          <cell r="Y20">
            <v>190</v>
          </cell>
          <cell r="AA20">
            <v>190</v>
          </cell>
          <cell r="AB20">
            <v>39</v>
          </cell>
          <cell r="AC20">
            <v>8.6666666666666661</v>
          </cell>
          <cell r="AD20">
            <v>0.28888888888888886</v>
          </cell>
          <cell r="AE20">
            <v>7.333333333333333</v>
          </cell>
          <cell r="AF20">
            <v>8.9166666666666661</v>
          </cell>
          <cell r="AG20">
            <v>10.083333333333334</v>
          </cell>
          <cell r="AH20">
            <v>13.166666666666666</v>
          </cell>
          <cell r="AI20">
            <v>7.5</v>
          </cell>
          <cell r="AJ20">
            <v>7.5</v>
          </cell>
          <cell r="AK20">
            <v>13.166666666666666</v>
          </cell>
          <cell r="AL20">
            <v>2.3506795707719164</v>
          </cell>
          <cell r="AM20">
            <v>9.5625</v>
          </cell>
          <cell r="AN20">
            <v>0.24582270021144223</v>
          </cell>
          <cell r="AO20">
            <v>0</v>
          </cell>
          <cell r="AP20">
            <v>84.333333333333329</v>
          </cell>
          <cell r="AQ20">
            <v>8.7190082644628095</v>
          </cell>
          <cell r="AR20">
            <v>0</v>
          </cell>
          <cell r="AS20">
            <v>76</v>
          </cell>
          <cell r="AT20">
            <v>72</v>
          </cell>
          <cell r="AU20">
            <v>6.5454545454545459</v>
          </cell>
          <cell r="AV20">
            <v>0</v>
          </cell>
          <cell r="AW20">
            <v>61</v>
          </cell>
          <cell r="AX20">
            <v>61</v>
          </cell>
          <cell r="AY20">
            <v>4.6329113924050631</v>
          </cell>
          <cell r="AZ20">
            <v>0</v>
          </cell>
          <cell r="BA20">
            <v>140.33333333333334</v>
          </cell>
          <cell r="BB20">
            <v>58</v>
          </cell>
          <cell r="BC20">
            <v>3.4117647058823528</v>
          </cell>
          <cell r="BD20">
            <v>0</v>
          </cell>
          <cell r="BE20">
            <v>41</v>
          </cell>
          <cell r="BF20">
            <v>2.4117647058823528</v>
          </cell>
          <cell r="BG20">
            <v>90</v>
          </cell>
          <cell r="BH20">
            <v>114</v>
          </cell>
          <cell r="BI20">
            <v>190</v>
          </cell>
          <cell r="BJ20">
            <v>14.430379746835444</v>
          </cell>
          <cell r="BK20">
            <v>0</v>
          </cell>
          <cell r="BL20">
            <v>302.16666666666669</v>
          </cell>
          <cell r="BM20">
            <v>314</v>
          </cell>
          <cell r="BN20">
            <v>22.428571428571427</v>
          </cell>
          <cell r="BO20">
            <v>0</v>
          </cell>
          <cell r="BP20">
            <v>300</v>
          </cell>
          <cell r="BQ20">
            <v>299</v>
          </cell>
          <cell r="BR20">
            <v>22.708860759493671</v>
          </cell>
          <cell r="BS20">
            <v>0</v>
          </cell>
          <cell r="BT20">
            <v>285.33333333333331</v>
          </cell>
          <cell r="BU20">
            <v>293</v>
          </cell>
          <cell r="BV20">
            <v>21.439024390243905</v>
          </cell>
          <cell r="BW20">
            <v>0</v>
          </cell>
          <cell r="BX20">
            <v>0</v>
          </cell>
          <cell r="BY20">
            <v>279.33333333333331</v>
          </cell>
          <cell r="BZ20">
            <v>286</v>
          </cell>
          <cell r="CA20">
            <v>24.444444444444446</v>
          </cell>
          <cell r="CB20">
            <v>0</v>
          </cell>
          <cell r="CC20">
            <v>0</v>
          </cell>
          <cell r="CD20">
            <v>274.3</v>
          </cell>
          <cell r="CE20">
            <v>276</v>
          </cell>
          <cell r="CF20">
            <v>23.71875</v>
          </cell>
          <cell r="CG20">
            <v>0</v>
          </cell>
          <cell r="CH20">
            <v>0</v>
          </cell>
          <cell r="CI20">
            <v>262.66363636363639</v>
          </cell>
          <cell r="CJ20">
            <v>246</v>
          </cell>
          <cell r="CK20">
            <v>18.683544303797468</v>
          </cell>
          <cell r="CL20">
            <v>0</v>
          </cell>
          <cell r="CM20">
            <v>0</v>
          </cell>
          <cell r="CN20">
            <v>232.83333333333334</v>
          </cell>
          <cell r="CO20">
            <v>234</v>
          </cell>
          <cell r="CP20">
            <v>17.77215189873418</v>
          </cell>
          <cell r="CQ20">
            <v>0</v>
          </cell>
          <cell r="CR20">
            <v>0</v>
          </cell>
          <cell r="CS20">
            <v>220.83333333333334</v>
          </cell>
          <cell r="CT20">
            <v>212</v>
          </cell>
          <cell r="CU20">
            <v>16.101265822784811</v>
          </cell>
          <cell r="CV20">
            <v>0</v>
          </cell>
          <cell r="CW20">
            <v>0</v>
          </cell>
          <cell r="CX20">
            <v>198.83333333333334</v>
          </cell>
          <cell r="CY20">
            <v>187</v>
          </cell>
          <cell r="CZ20">
            <v>14.202531645569621</v>
          </cell>
          <cell r="DA20">
            <v>0</v>
          </cell>
          <cell r="DB20">
            <v>0</v>
          </cell>
          <cell r="DC20">
            <v>173.83333333333334</v>
          </cell>
          <cell r="DD20">
            <v>193</v>
          </cell>
          <cell r="DE20">
            <v>10.329113924050633</v>
          </cell>
          <cell r="DF20">
            <v>0</v>
          </cell>
          <cell r="DG20">
            <v>0</v>
          </cell>
          <cell r="DH20">
            <v>179.83333333333334</v>
          </cell>
          <cell r="DI20">
            <v>186</v>
          </cell>
          <cell r="DJ20">
            <v>11.79746835443038</v>
          </cell>
          <cell r="DK20">
            <v>0</v>
          </cell>
          <cell r="DL20">
            <v>0</v>
          </cell>
          <cell r="DM20">
            <v>166.66666666666669</v>
          </cell>
          <cell r="DN20">
            <v>190</v>
          </cell>
          <cell r="DO20">
            <v>12.101265822784811</v>
          </cell>
          <cell r="DP20">
            <v>0</v>
          </cell>
          <cell r="DQ20">
            <v>0</v>
          </cell>
          <cell r="DR20">
            <v>176.83333333333334</v>
          </cell>
          <cell r="DS20">
            <v>176.83333333333334</v>
          </cell>
          <cell r="DT20">
            <v>11.101265822784811</v>
          </cell>
          <cell r="DU20">
            <v>0</v>
          </cell>
          <cell r="DV20">
            <v>0</v>
          </cell>
          <cell r="DW20">
            <v>163.66666666666669</v>
          </cell>
          <cell r="DX20">
            <v>163.66666666666669</v>
          </cell>
          <cell r="DY20">
            <v>10.101265822784812</v>
          </cell>
          <cell r="DZ20">
            <v>0</v>
          </cell>
          <cell r="EA20">
            <v>0</v>
          </cell>
          <cell r="EB20">
            <v>150.50000000000003</v>
          </cell>
          <cell r="EC20">
            <v>150.50000000000003</v>
          </cell>
          <cell r="ED20">
            <v>9.1012658227848124</v>
          </cell>
          <cell r="EE20">
            <v>0</v>
          </cell>
          <cell r="EF20">
            <v>0</v>
          </cell>
          <cell r="EG20">
            <v>137.33333333333337</v>
          </cell>
          <cell r="EH20">
            <v>137.33333333333337</v>
          </cell>
          <cell r="EI20">
            <v>8.1012658227848142</v>
          </cell>
          <cell r="EJ20">
            <v>0</v>
          </cell>
          <cell r="EK20">
            <v>0</v>
          </cell>
          <cell r="EL20">
            <v>124.1666666666667</v>
          </cell>
          <cell r="EM20">
            <v>124.1666666666667</v>
          </cell>
          <cell r="EN20">
            <v>7.1012658227848124</v>
          </cell>
          <cell r="EO20">
            <v>0</v>
          </cell>
          <cell r="EP20">
            <v>0</v>
          </cell>
          <cell r="EQ20">
            <v>111.00000000000003</v>
          </cell>
          <cell r="ER20">
            <v>111.00000000000003</v>
          </cell>
          <cell r="ES20">
            <v>6.1012658227848124</v>
          </cell>
          <cell r="ET20">
            <v>0</v>
          </cell>
          <cell r="EU20">
            <v>0</v>
          </cell>
          <cell r="EV20">
            <v>97.833333333333357</v>
          </cell>
          <cell r="EW20">
            <v>97.833333333333357</v>
          </cell>
          <cell r="EX20">
            <v>5.1012658227848124</v>
          </cell>
          <cell r="EY20">
            <v>0</v>
          </cell>
          <cell r="EZ20">
            <v>0</v>
          </cell>
          <cell r="FA20">
            <v>84.666666666666686</v>
          </cell>
          <cell r="FB20">
            <v>84.666666666666686</v>
          </cell>
          <cell r="FC20">
            <v>4.1012658227848116</v>
          </cell>
          <cell r="FD20">
            <v>0</v>
          </cell>
          <cell r="FE20">
            <v>45</v>
          </cell>
          <cell r="FF20">
            <v>116.50000000000001</v>
          </cell>
          <cell r="FG20">
            <v>116.50000000000001</v>
          </cell>
          <cell r="FH20">
            <v>6.5189873417721529</v>
          </cell>
          <cell r="FI20">
            <v>0</v>
          </cell>
          <cell r="FJ20">
            <v>0</v>
          </cell>
          <cell r="FK20">
            <v>103.33333333333334</v>
          </cell>
          <cell r="FL20">
            <v>103.33333333333334</v>
          </cell>
          <cell r="FM20">
            <v>5.5189873417721529</v>
          </cell>
          <cell r="FN20">
            <v>0</v>
          </cell>
          <cell r="FO20">
            <v>0</v>
          </cell>
          <cell r="FP20">
            <v>90.166666666666671</v>
          </cell>
          <cell r="FQ20">
            <v>90.166666666666671</v>
          </cell>
          <cell r="FR20">
            <v>4.5189873417721529</v>
          </cell>
          <cell r="FS20">
            <v>0</v>
          </cell>
          <cell r="FT20">
            <v>57</v>
          </cell>
          <cell r="FU20">
            <v>2.0333333333333332</v>
          </cell>
          <cell r="FW20" t="str">
            <v>SOBRESTOCK</v>
          </cell>
          <cell r="FX20" t="str">
            <v>A</v>
          </cell>
          <cell r="FY20" t="str">
            <v>Si</v>
          </cell>
        </row>
        <row r="21">
          <cell r="B21" t="str">
            <v>REP-0020</v>
          </cell>
          <cell r="C21" t="str">
            <v>MIX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3</v>
          </cell>
          <cell r="M21">
            <v>2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1</v>
          </cell>
          <cell r="W21">
            <v>0</v>
          </cell>
          <cell r="X21">
            <v>0</v>
          </cell>
          <cell r="Y21">
            <v>13</v>
          </cell>
          <cell r="AA21">
            <v>13</v>
          </cell>
          <cell r="AB21">
            <v>10</v>
          </cell>
          <cell r="AC21">
            <v>1.1666666666666667</v>
          </cell>
          <cell r="AD21">
            <v>3.888888888888889E-2</v>
          </cell>
          <cell r="AE21">
            <v>0.91666666666666663</v>
          </cell>
          <cell r="AF21">
            <v>2.1666666666666665</v>
          </cell>
          <cell r="AG21">
            <v>1.9166666666666667</v>
          </cell>
          <cell r="AH21">
            <v>2</v>
          </cell>
          <cell r="AI21">
            <v>0.5</v>
          </cell>
          <cell r="AJ21">
            <v>0.5</v>
          </cell>
          <cell r="AK21">
            <v>1.2291666666666667</v>
          </cell>
          <cell r="AL21">
            <v>0.84265618400652831</v>
          </cell>
          <cell r="AM21">
            <v>1.2291666666666667</v>
          </cell>
          <cell r="AN21">
            <v>0.68555079376802297</v>
          </cell>
          <cell r="AO21">
            <v>0</v>
          </cell>
          <cell r="AP21">
            <v>14</v>
          </cell>
          <cell r="AQ21">
            <v>6.384615384615385</v>
          </cell>
          <cell r="AR21">
            <v>0</v>
          </cell>
          <cell r="AS21">
            <v>11</v>
          </cell>
          <cell r="AT21">
            <v>11</v>
          </cell>
          <cell r="AU21">
            <v>4.4000000000000004</v>
          </cell>
          <cell r="AV21">
            <v>0</v>
          </cell>
          <cell r="AW21">
            <v>33.5</v>
          </cell>
          <cell r="AX21">
            <v>5</v>
          </cell>
          <cell r="AY21">
            <v>4.0677966101694913</v>
          </cell>
          <cell r="AZ21">
            <v>0</v>
          </cell>
          <cell r="BA21">
            <v>27.666666666666668</v>
          </cell>
          <cell r="BB21">
            <v>28</v>
          </cell>
          <cell r="BC21">
            <v>7</v>
          </cell>
          <cell r="BD21">
            <v>0</v>
          </cell>
          <cell r="BE21">
            <v>24</v>
          </cell>
          <cell r="BF21">
            <v>6</v>
          </cell>
          <cell r="BG21">
            <v>0</v>
          </cell>
          <cell r="BH21">
            <v>20</v>
          </cell>
          <cell r="BI21">
            <v>13</v>
          </cell>
          <cell r="BJ21">
            <v>10.576271186440678</v>
          </cell>
          <cell r="BK21">
            <v>0</v>
          </cell>
          <cell r="BL21">
            <v>26</v>
          </cell>
          <cell r="BM21">
            <v>25</v>
          </cell>
          <cell r="BN21">
            <v>11.53846153846154</v>
          </cell>
          <cell r="BO21">
            <v>0</v>
          </cell>
          <cell r="BP21">
            <v>22.833333333333332</v>
          </cell>
          <cell r="BQ21">
            <v>22</v>
          </cell>
          <cell r="BR21">
            <v>17.898305084745761</v>
          </cell>
          <cell r="BS21">
            <v>0</v>
          </cell>
          <cell r="BT21">
            <v>19.666666666666668</v>
          </cell>
          <cell r="BU21">
            <v>22</v>
          </cell>
          <cell r="BV21">
            <v>11</v>
          </cell>
          <cell r="BW21">
            <v>0</v>
          </cell>
          <cell r="BX21">
            <v>0</v>
          </cell>
          <cell r="BY21">
            <v>20</v>
          </cell>
          <cell r="BZ21">
            <v>18</v>
          </cell>
          <cell r="CA21">
            <v>8.1818181818181817</v>
          </cell>
          <cell r="CB21">
            <v>0</v>
          </cell>
          <cell r="CC21">
            <v>0</v>
          </cell>
          <cell r="CD21">
            <v>15.8</v>
          </cell>
          <cell r="CE21">
            <v>18</v>
          </cell>
          <cell r="CF21">
            <v>8.608695652173914</v>
          </cell>
          <cell r="CG21">
            <v>0</v>
          </cell>
          <cell r="CH21">
            <v>0</v>
          </cell>
          <cell r="CI21">
            <v>13.709090909090911</v>
          </cell>
          <cell r="CJ21">
            <v>17</v>
          </cell>
          <cell r="CK21">
            <v>8.5</v>
          </cell>
          <cell r="CL21">
            <v>0</v>
          </cell>
          <cell r="CM21">
            <v>0</v>
          </cell>
          <cell r="CN21">
            <v>15</v>
          </cell>
          <cell r="CO21">
            <v>15</v>
          </cell>
          <cell r="CP21">
            <v>7.5</v>
          </cell>
          <cell r="CQ21">
            <v>0</v>
          </cell>
          <cell r="CR21">
            <v>0</v>
          </cell>
          <cell r="CS21">
            <v>13</v>
          </cell>
          <cell r="CT21">
            <v>15</v>
          </cell>
          <cell r="CU21">
            <v>7.5</v>
          </cell>
          <cell r="CV21">
            <v>0</v>
          </cell>
          <cell r="CW21">
            <v>0</v>
          </cell>
          <cell r="CX21">
            <v>13</v>
          </cell>
          <cell r="CY21">
            <v>14</v>
          </cell>
          <cell r="CZ21">
            <v>7</v>
          </cell>
          <cell r="DA21">
            <v>0</v>
          </cell>
          <cell r="DB21">
            <v>0</v>
          </cell>
          <cell r="DC21">
            <v>12.625</v>
          </cell>
          <cell r="DD21">
            <v>14</v>
          </cell>
          <cell r="DE21">
            <v>8.7272727272727266</v>
          </cell>
          <cell r="DF21">
            <v>0</v>
          </cell>
          <cell r="DG21">
            <v>0</v>
          </cell>
          <cell r="DH21">
            <v>12.625</v>
          </cell>
          <cell r="DI21">
            <v>14</v>
          </cell>
          <cell r="DJ21">
            <v>11.260450160771704</v>
          </cell>
          <cell r="DK21">
            <v>0</v>
          </cell>
          <cell r="DL21">
            <v>0</v>
          </cell>
          <cell r="DM21">
            <v>11.329166666666666</v>
          </cell>
          <cell r="DN21">
            <v>13</v>
          </cell>
          <cell r="DO21">
            <v>10.949152542372881</v>
          </cell>
          <cell r="DP21">
            <v>0</v>
          </cell>
          <cell r="DQ21">
            <v>0</v>
          </cell>
          <cell r="DR21">
            <v>11.770833333333334</v>
          </cell>
          <cell r="DS21">
            <v>11.770833333333334</v>
          </cell>
          <cell r="DT21">
            <v>9.9491525423728824</v>
          </cell>
          <cell r="DU21">
            <v>0</v>
          </cell>
          <cell r="DV21">
            <v>0</v>
          </cell>
          <cell r="DW21">
            <v>10.541666666666668</v>
          </cell>
          <cell r="DX21">
            <v>10.541666666666668</v>
          </cell>
          <cell r="DY21">
            <v>8.9491525423728824</v>
          </cell>
          <cell r="DZ21">
            <v>0</v>
          </cell>
          <cell r="EA21">
            <v>0</v>
          </cell>
          <cell r="EB21">
            <v>9.3125000000000018</v>
          </cell>
          <cell r="EC21">
            <v>9.3125000000000018</v>
          </cell>
          <cell r="ED21">
            <v>7.9491525423728824</v>
          </cell>
          <cell r="EE21">
            <v>0</v>
          </cell>
          <cell r="EF21">
            <v>0</v>
          </cell>
          <cell r="EG21">
            <v>8.0833333333333357</v>
          </cell>
          <cell r="EH21">
            <v>8.0833333333333357</v>
          </cell>
          <cell r="EI21">
            <v>6.9491525423728833</v>
          </cell>
          <cell r="EJ21">
            <v>0</v>
          </cell>
          <cell r="EK21">
            <v>2</v>
          </cell>
          <cell r="EL21">
            <v>8.8541666666666696</v>
          </cell>
          <cell r="EM21">
            <v>8.8541666666666696</v>
          </cell>
          <cell r="EN21">
            <v>7.57627118644068</v>
          </cell>
          <cell r="EO21">
            <v>0</v>
          </cell>
          <cell r="EP21">
            <v>0</v>
          </cell>
          <cell r="EQ21">
            <v>7.6250000000000027</v>
          </cell>
          <cell r="ER21">
            <v>7.6250000000000027</v>
          </cell>
          <cell r="ES21">
            <v>6.57627118644068</v>
          </cell>
          <cell r="ET21">
            <v>0</v>
          </cell>
          <cell r="EU21">
            <v>0</v>
          </cell>
          <cell r="EV21">
            <v>6.3958333333333357</v>
          </cell>
          <cell r="EW21">
            <v>6.3958333333333357</v>
          </cell>
          <cell r="EX21">
            <v>5.57627118644068</v>
          </cell>
          <cell r="EY21">
            <v>0</v>
          </cell>
          <cell r="EZ21">
            <v>0</v>
          </cell>
          <cell r="FA21">
            <v>5.1666666666666687</v>
          </cell>
          <cell r="FB21">
            <v>5.1666666666666687</v>
          </cell>
          <cell r="FC21">
            <v>4.57627118644068</v>
          </cell>
          <cell r="FD21">
            <v>0</v>
          </cell>
          <cell r="FE21">
            <v>0</v>
          </cell>
          <cell r="FF21">
            <v>3.9375000000000018</v>
          </cell>
          <cell r="FG21">
            <v>3.9375000000000018</v>
          </cell>
          <cell r="FH21">
            <v>3.5762711864406791</v>
          </cell>
          <cell r="FI21">
            <v>0</v>
          </cell>
          <cell r="FJ21">
            <v>0</v>
          </cell>
          <cell r="FK21">
            <v>2.7083333333333348</v>
          </cell>
          <cell r="FL21">
            <v>2.7083333333333348</v>
          </cell>
          <cell r="FM21">
            <v>2.5762711864406791</v>
          </cell>
          <cell r="FN21">
            <v>0</v>
          </cell>
          <cell r="FO21">
            <v>0</v>
          </cell>
          <cell r="FP21">
            <v>1.4791666666666681</v>
          </cell>
          <cell r="FQ21">
            <v>1.4791666666666681</v>
          </cell>
          <cell r="FR21">
            <v>1.5762711864406791</v>
          </cell>
          <cell r="FS21">
            <v>0.52083333333333193</v>
          </cell>
          <cell r="FT21">
            <v>2</v>
          </cell>
          <cell r="FU21">
            <v>1.0333333333333334</v>
          </cell>
          <cell r="FW21" t="str">
            <v>SOBRESTOCK</v>
          </cell>
          <cell r="FX21" t="str">
            <v>B</v>
          </cell>
          <cell r="FY21" t="str">
            <v>Si</v>
          </cell>
        </row>
        <row r="22">
          <cell r="B22" t="str">
            <v>REP-0021</v>
          </cell>
          <cell r="C22" t="str">
            <v>MIX</v>
          </cell>
          <cell r="D22">
            <v>0</v>
          </cell>
          <cell r="E22">
            <v>75</v>
          </cell>
          <cell r="F22">
            <v>0</v>
          </cell>
          <cell r="G22">
            <v>0</v>
          </cell>
          <cell r="H22">
            <v>5</v>
          </cell>
          <cell r="I22">
            <v>5</v>
          </cell>
          <cell r="J22">
            <v>0</v>
          </cell>
          <cell r="K22">
            <v>4</v>
          </cell>
          <cell r="L22">
            <v>3</v>
          </cell>
          <cell r="M22">
            <v>6</v>
          </cell>
          <cell r="N22">
            <v>2</v>
          </cell>
          <cell r="O22">
            <v>3</v>
          </cell>
          <cell r="P22">
            <v>3</v>
          </cell>
          <cell r="Q22">
            <v>4</v>
          </cell>
          <cell r="R22">
            <v>3</v>
          </cell>
          <cell r="S22">
            <v>2</v>
          </cell>
          <cell r="T22">
            <v>0</v>
          </cell>
          <cell r="U22">
            <v>3</v>
          </cell>
          <cell r="V22">
            <v>3</v>
          </cell>
          <cell r="W22">
            <v>2</v>
          </cell>
          <cell r="X22">
            <v>1</v>
          </cell>
          <cell r="Y22">
            <v>124</v>
          </cell>
          <cell r="AA22">
            <v>124</v>
          </cell>
          <cell r="AB22">
            <v>0</v>
          </cell>
          <cell r="AC22">
            <v>10.833333333333334</v>
          </cell>
          <cell r="AD22">
            <v>0.3611111111111111</v>
          </cell>
          <cell r="AE22">
            <v>8</v>
          </cell>
          <cell r="AF22">
            <v>6.583333333333333</v>
          </cell>
          <cell r="AG22">
            <v>6.666666666666667</v>
          </cell>
          <cell r="AH22">
            <v>8.9166666666666661</v>
          </cell>
          <cell r="AI22">
            <v>8.1666666666666661</v>
          </cell>
          <cell r="AJ22">
            <v>8.1666666666666661</v>
          </cell>
          <cell r="AK22">
            <v>8.9166666666666661</v>
          </cell>
          <cell r="AL22">
            <v>1.0284157179316653</v>
          </cell>
          <cell r="AM22">
            <v>7.9791666666666661</v>
          </cell>
          <cell r="AN22">
            <v>0.12888760955801551</v>
          </cell>
          <cell r="AO22">
            <v>0</v>
          </cell>
          <cell r="AP22">
            <v>63.166666666666664</v>
          </cell>
          <cell r="AQ22">
            <v>10.249999999999998</v>
          </cell>
          <cell r="AR22">
            <v>0</v>
          </cell>
          <cell r="AS22">
            <v>59</v>
          </cell>
          <cell r="AT22">
            <v>58</v>
          </cell>
          <cell r="AU22">
            <v>7.25</v>
          </cell>
          <cell r="AV22">
            <v>0</v>
          </cell>
          <cell r="AW22">
            <v>50</v>
          </cell>
          <cell r="AX22">
            <v>50</v>
          </cell>
          <cell r="AY22">
            <v>5.6074766355140193</v>
          </cell>
          <cell r="AZ22">
            <v>0</v>
          </cell>
          <cell r="BA22">
            <v>63</v>
          </cell>
          <cell r="BB22">
            <v>32</v>
          </cell>
          <cell r="BC22">
            <v>2.8235294117647056</v>
          </cell>
          <cell r="BD22">
            <v>0</v>
          </cell>
          <cell r="BE22">
            <v>20.666666666666664</v>
          </cell>
          <cell r="BF22">
            <v>1.8235294117647056</v>
          </cell>
          <cell r="BG22">
            <v>20</v>
          </cell>
          <cell r="BH22">
            <v>29.333333333333329</v>
          </cell>
          <cell r="BI22">
            <v>124</v>
          </cell>
          <cell r="BJ22">
            <v>13.906542056074768</v>
          </cell>
          <cell r="BK22">
            <v>0</v>
          </cell>
          <cell r="BL22">
            <v>71.333333333333329</v>
          </cell>
          <cell r="BM22">
            <v>75</v>
          </cell>
          <cell r="BN22">
            <v>8.3333333333333339</v>
          </cell>
          <cell r="BO22">
            <v>0</v>
          </cell>
          <cell r="BP22">
            <v>66</v>
          </cell>
          <cell r="BQ22">
            <v>54</v>
          </cell>
          <cell r="BR22">
            <v>6.0560747663551409</v>
          </cell>
          <cell r="BS22">
            <v>0</v>
          </cell>
          <cell r="BT22">
            <v>43.666666666666664</v>
          </cell>
          <cell r="BU22">
            <v>40</v>
          </cell>
          <cell r="BV22">
            <v>3.380281690140845</v>
          </cell>
          <cell r="BW22">
            <v>54</v>
          </cell>
          <cell r="BX22">
            <v>0</v>
          </cell>
          <cell r="BY22">
            <v>28.166666666666664</v>
          </cell>
          <cell r="BZ22">
            <v>33</v>
          </cell>
          <cell r="CA22">
            <v>3</v>
          </cell>
          <cell r="CB22">
            <v>55</v>
          </cell>
          <cell r="CC22">
            <v>0</v>
          </cell>
          <cell r="CD22">
            <v>52</v>
          </cell>
          <cell r="CE22">
            <v>33</v>
          </cell>
          <cell r="CF22">
            <v>3.193548387096774</v>
          </cell>
          <cell r="CG22">
            <v>55</v>
          </cell>
          <cell r="CH22">
            <v>30</v>
          </cell>
          <cell r="CI22">
            <v>96.666666666666671</v>
          </cell>
          <cell r="CJ22">
            <v>59</v>
          </cell>
          <cell r="CK22">
            <v>6.4363636363636365</v>
          </cell>
          <cell r="CL22">
            <v>29</v>
          </cell>
          <cell r="CM22">
            <v>40</v>
          </cell>
          <cell r="CN22">
            <v>89.833333333333329</v>
          </cell>
          <cell r="CO22">
            <v>89</v>
          </cell>
          <cell r="CP22">
            <v>9.709090909090909</v>
          </cell>
          <cell r="CQ22">
            <v>0</v>
          </cell>
          <cell r="CR22">
            <v>40</v>
          </cell>
          <cell r="CS22">
            <v>119.83333333333333</v>
          </cell>
          <cell r="CT22">
            <v>117</v>
          </cell>
          <cell r="CU22">
            <v>11.7</v>
          </cell>
          <cell r="CV22">
            <v>0</v>
          </cell>
          <cell r="CW22">
            <v>0</v>
          </cell>
          <cell r="CX22">
            <v>107</v>
          </cell>
          <cell r="CY22">
            <v>106</v>
          </cell>
          <cell r="CZ22">
            <v>9.9375</v>
          </cell>
          <cell r="DA22">
            <v>0</v>
          </cell>
          <cell r="DB22">
            <v>35</v>
          </cell>
          <cell r="DC22">
            <v>131.75</v>
          </cell>
          <cell r="DD22">
            <v>133</v>
          </cell>
          <cell r="DE22">
            <v>9.3684210526315788</v>
          </cell>
          <cell r="DF22">
            <v>0</v>
          </cell>
          <cell r="DG22">
            <v>0</v>
          </cell>
          <cell r="DH22">
            <v>123.5</v>
          </cell>
          <cell r="DI22">
            <v>127</v>
          </cell>
          <cell r="DJ22">
            <v>11.308411214953273</v>
          </cell>
          <cell r="DK22">
            <v>0</v>
          </cell>
          <cell r="DL22">
            <v>0</v>
          </cell>
          <cell r="DM22">
            <v>114.58333333333333</v>
          </cell>
          <cell r="DN22">
            <v>124</v>
          </cell>
          <cell r="DO22">
            <v>10.971962616822431</v>
          </cell>
          <cell r="DP22">
            <v>0</v>
          </cell>
          <cell r="DQ22">
            <v>0</v>
          </cell>
          <cell r="DR22">
            <v>115.08333333333333</v>
          </cell>
          <cell r="DS22">
            <v>115.08333333333333</v>
          </cell>
          <cell r="DT22">
            <v>9.9719626168224309</v>
          </cell>
          <cell r="DU22">
            <v>0</v>
          </cell>
          <cell r="DV22">
            <v>0</v>
          </cell>
          <cell r="DW22">
            <v>106.16666666666666</v>
          </cell>
          <cell r="DX22">
            <v>106.16666666666666</v>
          </cell>
          <cell r="DY22">
            <v>8.9719626168224291</v>
          </cell>
          <cell r="DZ22">
            <v>0</v>
          </cell>
          <cell r="EA22">
            <v>0</v>
          </cell>
          <cell r="EB22">
            <v>97.249999999999986</v>
          </cell>
          <cell r="EC22">
            <v>97.249999999999986</v>
          </cell>
          <cell r="ED22">
            <v>7.9719626168224291</v>
          </cell>
          <cell r="EE22">
            <v>0</v>
          </cell>
          <cell r="EF22">
            <v>0</v>
          </cell>
          <cell r="EG22">
            <v>88.333333333333314</v>
          </cell>
          <cell r="EH22">
            <v>88.333333333333314</v>
          </cell>
          <cell r="EI22">
            <v>6.9719626168224282</v>
          </cell>
          <cell r="EJ22">
            <v>0</v>
          </cell>
          <cell r="EK22">
            <v>0</v>
          </cell>
          <cell r="EL22">
            <v>79.416666666666643</v>
          </cell>
          <cell r="EM22">
            <v>79.416666666666643</v>
          </cell>
          <cell r="EN22">
            <v>5.9719626168224273</v>
          </cell>
          <cell r="EO22">
            <v>0</v>
          </cell>
          <cell r="EP22">
            <v>0</v>
          </cell>
          <cell r="EQ22">
            <v>70.499999999999972</v>
          </cell>
          <cell r="ER22">
            <v>70.499999999999972</v>
          </cell>
          <cell r="ES22">
            <v>4.9719626168224273</v>
          </cell>
          <cell r="ET22">
            <v>0</v>
          </cell>
          <cell r="EU22">
            <v>0</v>
          </cell>
          <cell r="EV22">
            <v>61.583333333333307</v>
          </cell>
          <cell r="EW22">
            <v>61.583333333333307</v>
          </cell>
          <cell r="EX22">
            <v>3.9719626168224273</v>
          </cell>
          <cell r="EY22">
            <v>0</v>
          </cell>
          <cell r="EZ22">
            <v>0</v>
          </cell>
          <cell r="FA22">
            <v>52.666666666666643</v>
          </cell>
          <cell r="FB22">
            <v>52.666666666666643</v>
          </cell>
          <cell r="FC22">
            <v>2.9719626168224273</v>
          </cell>
          <cell r="FD22">
            <v>0</v>
          </cell>
          <cell r="FE22">
            <v>30</v>
          </cell>
          <cell r="FF22">
            <v>73.749999999999972</v>
          </cell>
          <cell r="FG22">
            <v>73.749999999999972</v>
          </cell>
          <cell r="FH22">
            <v>5.3364485981308381</v>
          </cell>
          <cell r="FI22">
            <v>0</v>
          </cell>
          <cell r="FJ22">
            <v>0</v>
          </cell>
          <cell r="FK22">
            <v>64.8333333333333</v>
          </cell>
          <cell r="FL22">
            <v>64.8333333333333</v>
          </cell>
          <cell r="FM22">
            <v>4.3364485981308381</v>
          </cell>
          <cell r="FN22">
            <v>0</v>
          </cell>
          <cell r="FO22">
            <v>0</v>
          </cell>
          <cell r="FP22">
            <v>55.916666666666636</v>
          </cell>
          <cell r="FQ22">
            <v>55.916666666666636</v>
          </cell>
          <cell r="FR22">
            <v>3.3364485981308381</v>
          </cell>
          <cell r="FS22">
            <v>0</v>
          </cell>
          <cell r="FT22">
            <v>44</v>
          </cell>
          <cell r="FU22">
            <v>2.0333333333333332</v>
          </cell>
          <cell r="FW22" t="str">
            <v>SOBRESTOCK</v>
          </cell>
          <cell r="FX22" t="str">
            <v>A</v>
          </cell>
          <cell r="FY22" t="str">
            <v>Si</v>
          </cell>
        </row>
        <row r="23">
          <cell r="B23" t="str">
            <v>REP-0022</v>
          </cell>
          <cell r="C23" t="str">
            <v>MIX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5</v>
          </cell>
          <cell r="AA23">
            <v>5</v>
          </cell>
          <cell r="AB23">
            <v>1</v>
          </cell>
          <cell r="AC23">
            <v>0.16666666666666666</v>
          </cell>
          <cell r="AD23">
            <v>5.5555555555555549E-3</v>
          </cell>
          <cell r="AE23">
            <v>0.16666666666666666</v>
          </cell>
          <cell r="AF23">
            <v>0.16666666666666666</v>
          </cell>
          <cell r="AG23">
            <v>0.16666666666666666</v>
          </cell>
          <cell r="AH23">
            <v>0.16666666666666666</v>
          </cell>
          <cell r="AI23">
            <v>0.16666666666666666</v>
          </cell>
          <cell r="AJ23">
            <v>0.16666666666666666</v>
          </cell>
          <cell r="AK23">
            <v>0.16666666666666666</v>
          </cell>
          <cell r="AL23">
            <v>0</v>
          </cell>
          <cell r="AM23">
            <v>0.16666666666666666</v>
          </cell>
          <cell r="AN23">
            <v>0</v>
          </cell>
          <cell r="AO23">
            <v>0</v>
          </cell>
          <cell r="AP23">
            <v>6.833333333333333</v>
          </cell>
          <cell r="AQ23">
            <v>20.000000000000004</v>
          </cell>
          <cell r="AR23">
            <v>0</v>
          </cell>
          <cell r="AS23">
            <v>6.6666666666666661</v>
          </cell>
          <cell r="AT23">
            <v>7</v>
          </cell>
          <cell r="AU23">
            <v>42</v>
          </cell>
          <cell r="AV23">
            <v>0</v>
          </cell>
          <cell r="AW23">
            <v>6.833333333333333</v>
          </cell>
          <cell r="AX23">
            <v>7</v>
          </cell>
          <cell r="AY23">
            <v>42</v>
          </cell>
          <cell r="AZ23">
            <v>0</v>
          </cell>
          <cell r="BA23">
            <v>6.833333333333333</v>
          </cell>
          <cell r="BB23">
            <v>7</v>
          </cell>
          <cell r="BC23">
            <v>42</v>
          </cell>
          <cell r="BD23">
            <v>0</v>
          </cell>
          <cell r="BE23">
            <v>6.833333333333333</v>
          </cell>
          <cell r="BF23">
            <v>41</v>
          </cell>
          <cell r="BG23">
            <v>0</v>
          </cell>
          <cell r="BH23">
            <v>6.6666666666666661</v>
          </cell>
          <cell r="BI23">
            <v>5</v>
          </cell>
          <cell r="BJ23">
            <v>30</v>
          </cell>
          <cell r="BK23">
            <v>0</v>
          </cell>
          <cell r="BL23">
            <v>6.833333333333333</v>
          </cell>
          <cell r="BM23">
            <v>7</v>
          </cell>
          <cell r="BN23">
            <v>42</v>
          </cell>
          <cell r="BO23">
            <v>0</v>
          </cell>
          <cell r="BP23">
            <v>6.833333333333333</v>
          </cell>
          <cell r="BQ23">
            <v>7</v>
          </cell>
          <cell r="BR23">
            <v>42</v>
          </cell>
          <cell r="BS23">
            <v>0</v>
          </cell>
          <cell r="BT23">
            <v>6.833333333333333</v>
          </cell>
          <cell r="BU23">
            <v>7</v>
          </cell>
          <cell r="BV23">
            <v>42</v>
          </cell>
          <cell r="BW23">
            <v>0</v>
          </cell>
          <cell r="BX23">
            <v>0</v>
          </cell>
          <cell r="BY23">
            <v>6.833333333333333</v>
          </cell>
          <cell r="BZ23">
            <v>7</v>
          </cell>
          <cell r="CA23">
            <v>42</v>
          </cell>
          <cell r="CB23">
            <v>0</v>
          </cell>
          <cell r="CC23">
            <v>0</v>
          </cell>
          <cell r="CD23">
            <v>6.833333333333333</v>
          </cell>
          <cell r="CE23">
            <v>7</v>
          </cell>
          <cell r="CF23">
            <v>42</v>
          </cell>
          <cell r="CG23">
            <v>0</v>
          </cell>
          <cell r="CH23">
            <v>0</v>
          </cell>
          <cell r="CI23">
            <v>6.6666666666666661</v>
          </cell>
          <cell r="CJ23">
            <v>5</v>
          </cell>
          <cell r="CK23">
            <v>15</v>
          </cell>
          <cell r="CL23">
            <v>0</v>
          </cell>
          <cell r="CM23">
            <v>0</v>
          </cell>
          <cell r="CN23">
            <v>4.666666666666667</v>
          </cell>
          <cell r="CO23">
            <v>5</v>
          </cell>
          <cell r="CP23">
            <v>15</v>
          </cell>
          <cell r="CQ23">
            <v>0</v>
          </cell>
          <cell r="CR23">
            <v>0</v>
          </cell>
          <cell r="CS23">
            <v>4.666666666666667</v>
          </cell>
          <cell r="CT23">
            <v>4</v>
          </cell>
          <cell r="CU23">
            <v>8</v>
          </cell>
          <cell r="CV23">
            <v>0</v>
          </cell>
          <cell r="CW23">
            <v>0</v>
          </cell>
          <cell r="CX23">
            <v>3.5</v>
          </cell>
          <cell r="CY23">
            <v>4</v>
          </cell>
          <cell r="CZ23">
            <v>12</v>
          </cell>
          <cell r="DA23">
            <v>0</v>
          </cell>
          <cell r="DB23">
            <v>0</v>
          </cell>
          <cell r="DC23">
            <v>3.75</v>
          </cell>
          <cell r="DD23">
            <v>4</v>
          </cell>
          <cell r="DE23">
            <v>12</v>
          </cell>
          <cell r="DF23">
            <v>0</v>
          </cell>
          <cell r="DG23">
            <v>0</v>
          </cell>
          <cell r="DH23">
            <v>3.75</v>
          </cell>
          <cell r="DI23">
            <v>4</v>
          </cell>
          <cell r="DJ23">
            <v>17</v>
          </cell>
          <cell r="DK23">
            <v>0</v>
          </cell>
          <cell r="DL23">
            <v>0</v>
          </cell>
          <cell r="DM23">
            <v>3.55</v>
          </cell>
          <cell r="DN23">
            <v>5</v>
          </cell>
          <cell r="DO23">
            <v>26</v>
          </cell>
          <cell r="DP23">
            <v>0</v>
          </cell>
          <cell r="DQ23">
            <v>0</v>
          </cell>
          <cell r="DR23">
            <v>4.833333333333333</v>
          </cell>
          <cell r="DS23">
            <v>4.833333333333333</v>
          </cell>
          <cell r="DT23">
            <v>25</v>
          </cell>
          <cell r="DU23">
            <v>0</v>
          </cell>
          <cell r="DV23">
            <v>0</v>
          </cell>
          <cell r="DW23">
            <v>4.6666666666666661</v>
          </cell>
          <cell r="DX23">
            <v>4.6666666666666661</v>
          </cell>
          <cell r="DY23">
            <v>23.999999999999996</v>
          </cell>
          <cell r="DZ23">
            <v>0</v>
          </cell>
          <cell r="EA23">
            <v>0</v>
          </cell>
          <cell r="EB23">
            <v>4.4999999999999991</v>
          </cell>
          <cell r="EC23">
            <v>4.4999999999999991</v>
          </cell>
          <cell r="ED23">
            <v>22.999999999999996</v>
          </cell>
          <cell r="EE23">
            <v>0</v>
          </cell>
          <cell r="EF23">
            <v>0</v>
          </cell>
          <cell r="EG23">
            <v>4.3333333333333321</v>
          </cell>
          <cell r="EH23">
            <v>4.3333333333333321</v>
          </cell>
          <cell r="EI23">
            <v>21.999999999999993</v>
          </cell>
          <cell r="EJ23">
            <v>0</v>
          </cell>
          <cell r="EK23">
            <v>0</v>
          </cell>
          <cell r="EL23">
            <v>4.1666666666666652</v>
          </cell>
          <cell r="EM23">
            <v>4.1666666666666652</v>
          </cell>
          <cell r="EN23">
            <v>20.999999999999993</v>
          </cell>
          <cell r="EO23">
            <v>0</v>
          </cell>
          <cell r="EP23">
            <v>0</v>
          </cell>
          <cell r="EQ23">
            <v>3.9999999999999987</v>
          </cell>
          <cell r="ER23">
            <v>3.9999999999999987</v>
          </cell>
          <cell r="ES23">
            <v>19.999999999999993</v>
          </cell>
          <cell r="ET23">
            <v>0</v>
          </cell>
          <cell r="EU23">
            <v>0</v>
          </cell>
          <cell r="EV23">
            <v>3.8333333333333321</v>
          </cell>
          <cell r="EW23">
            <v>3.8333333333333321</v>
          </cell>
          <cell r="EX23">
            <v>18.999999999999993</v>
          </cell>
          <cell r="EY23">
            <v>0</v>
          </cell>
          <cell r="EZ23">
            <v>0</v>
          </cell>
          <cell r="FA23">
            <v>3.6666666666666656</v>
          </cell>
          <cell r="FB23">
            <v>3.6666666666666656</v>
          </cell>
          <cell r="FC23">
            <v>17.999999999999993</v>
          </cell>
          <cell r="FD23">
            <v>0</v>
          </cell>
          <cell r="FE23">
            <v>0</v>
          </cell>
          <cell r="FF23">
            <v>3.4999999999999991</v>
          </cell>
          <cell r="FG23">
            <v>3.4999999999999991</v>
          </cell>
          <cell r="FH23">
            <v>16.999999999999993</v>
          </cell>
          <cell r="FI23">
            <v>0</v>
          </cell>
          <cell r="FJ23">
            <v>0</v>
          </cell>
          <cell r="FK23">
            <v>3.3333333333333326</v>
          </cell>
          <cell r="FL23">
            <v>3.3333333333333326</v>
          </cell>
          <cell r="FM23">
            <v>15.999999999999996</v>
          </cell>
          <cell r="FN23">
            <v>0</v>
          </cell>
          <cell r="FO23">
            <v>0</v>
          </cell>
          <cell r="FP23">
            <v>3.1666666666666661</v>
          </cell>
          <cell r="FQ23">
            <v>3.1666666666666661</v>
          </cell>
          <cell r="FR23">
            <v>14.999999999999996</v>
          </cell>
          <cell r="FS23">
            <v>0</v>
          </cell>
          <cell r="FT23">
            <v>1</v>
          </cell>
          <cell r="FU23">
            <v>2.0333333333333332</v>
          </cell>
          <cell r="FW23" t="str">
            <v>SOBRESTOCK</v>
          </cell>
          <cell r="FX23" t="str">
            <v>C</v>
          </cell>
          <cell r="FY23" t="str">
            <v>Si</v>
          </cell>
        </row>
        <row r="24">
          <cell r="B24" t="str">
            <v>REP-0023</v>
          </cell>
          <cell r="C24" t="str">
            <v>MIX</v>
          </cell>
          <cell r="D24">
            <v>0</v>
          </cell>
          <cell r="E24">
            <v>17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24</v>
          </cell>
          <cell r="AA24">
            <v>24</v>
          </cell>
          <cell r="AB24">
            <v>2</v>
          </cell>
          <cell r="AC24">
            <v>1</v>
          </cell>
          <cell r="AD24">
            <v>3.3333333333333333E-2</v>
          </cell>
          <cell r="AE24">
            <v>0.66666666666666663</v>
          </cell>
          <cell r="AF24">
            <v>0.83333333333333337</v>
          </cell>
          <cell r="AG24">
            <v>0.33333333333333331</v>
          </cell>
          <cell r="AH24">
            <v>0.58333333333333337</v>
          </cell>
          <cell r="AI24">
            <v>0.83333333333333337</v>
          </cell>
          <cell r="AJ24">
            <v>0.83333333333333337</v>
          </cell>
          <cell r="AK24">
            <v>0.83333333333333337</v>
          </cell>
          <cell r="AL24">
            <v>0.23935677693908469</v>
          </cell>
          <cell r="AM24">
            <v>0.64583333333333337</v>
          </cell>
          <cell r="AN24">
            <v>0.37061694493793756</v>
          </cell>
          <cell r="AO24">
            <v>0</v>
          </cell>
          <cell r="AP24">
            <v>8</v>
          </cell>
          <cell r="AQ24">
            <v>9.7999999999999989</v>
          </cell>
          <cell r="AR24">
            <v>0</v>
          </cell>
          <cell r="AS24">
            <v>7.333333333333333</v>
          </cell>
          <cell r="AT24">
            <v>9</v>
          </cell>
          <cell r="AU24">
            <v>27</v>
          </cell>
          <cell r="AV24">
            <v>0</v>
          </cell>
          <cell r="AW24">
            <v>8.6666666666666661</v>
          </cell>
          <cell r="AX24">
            <v>9</v>
          </cell>
          <cell r="AY24">
            <v>10.799999999999999</v>
          </cell>
          <cell r="AZ24">
            <v>0</v>
          </cell>
          <cell r="BA24">
            <v>8.6666666666666661</v>
          </cell>
          <cell r="BB24">
            <v>8</v>
          </cell>
          <cell r="BC24">
            <v>24</v>
          </cell>
          <cell r="BD24">
            <v>0</v>
          </cell>
          <cell r="BE24">
            <v>7.666666666666667</v>
          </cell>
          <cell r="BF24">
            <v>23.000000000000004</v>
          </cell>
          <cell r="BG24">
            <v>0</v>
          </cell>
          <cell r="BH24">
            <v>7.3333333333333339</v>
          </cell>
          <cell r="BI24">
            <v>24</v>
          </cell>
          <cell r="BJ24">
            <v>28.799999999999997</v>
          </cell>
          <cell r="BK24">
            <v>0</v>
          </cell>
          <cell r="BL24">
            <v>7.666666666666667</v>
          </cell>
          <cell r="BM24">
            <v>6</v>
          </cell>
          <cell r="BN24">
            <v>12</v>
          </cell>
          <cell r="BO24">
            <v>0</v>
          </cell>
          <cell r="BP24">
            <v>5.5</v>
          </cell>
          <cell r="BQ24">
            <v>5</v>
          </cell>
          <cell r="BR24">
            <v>6</v>
          </cell>
          <cell r="BS24">
            <v>0</v>
          </cell>
          <cell r="BT24">
            <v>4.166666666666667</v>
          </cell>
          <cell r="BU24">
            <v>4</v>
          </cell>
          <cell r="BV24">
            <v>4</v>
          </cell>
          <cell r="BW24">
            <v>4</v>
          </cell>
          <cell r="BX24">
            <v>0</v>
          </cell>
          <cell r="BY24">
            <v>3</v>
          </cell>
          <cell r="BZ24">
            <v>4</v>
          </cell>
          <cell r="CA24">
            <v>4.8</v>
          </cell>
          <cell r="CB24">
            <v>2</v>
          </cell>
          <cell r="CC24">
            <v>0</v>
          </cell>
          <cell r="CD24">
            <v>3.1666666666666665</v>
          </cell>
          <cell r="CE24">
            <v>4</v>
          </cell>
          <cell r="CF24">
            <v>4.8</v>
          </cell>
          <cell r="CG24">
            <v>2</v>
          </cell>
          <cell r="CH24">
            <v>0</v>
          </cell>
          <cell r="CI24">
            <v>4.333333333333333</v>
          </cell>
          <cell r="CJ24">
            <v>3</v>
          </cell>
          <cell r="CK24">
            <v>3</v>
          </cell>
          <cell r="CL24">
            <v>5</v>
          </cell>
          <cell r="CM24">
            <v>30</v>
          </cell>
          <cell r="CN24">
            <v>32</v>
          </cell>
          <cell r="CO24">
            <v>32</v>
          </cell>
          <cell r="CP24">
            <v>32</v>
          </cell>
          <cell r="CQ24">
            <v>0</v>
          </cell>
          <cell r="CR24">
            <v>0</v>
          </cell>
          <cell r="CS24">
            <v>31</v>
          </cell>
          <cell r="CT24">
            <v>32</v>
          </cell>
          <cell r="CU24">
            <v>54.857142857142854</v>
          </cell>
          <cell r="CV24">
            <v>0</v>
          </cell>
          <cell r="CW24">
            <v>0</v>
          </cell>
          <cell r="CX24">
            <v>31.416666666666668</v>
          </cell>
          <cell r="CY24">
            <v>31</v>
          </cell>
          <cell r="CZ24">
            <v>46.5</v>
          </cell>
          <cell r="DA24">
            <v>0</v>
          </cell>
          <cell r="DB24">
            <v>0</v>
          </cell>
          <cell r="DC24">
            <v>30.416666666666668</v>
          </cell>
          <cell r="DD24">
            <v>30</v>
          </cell>
          <cell r="DE24">
            <v>48</v>
          </cell>
          <cell r="DF24">
            <v>0</v>
          </cell>
          <cell r="DG24">
            <v>0</v>
          </cell>
          <cell r="DH24">
            <v>29.416666666666668</v>
          </cell>
          <cell r="DI24">
            <v>27</v>
          </cell>
          <cell r="DJ24">
            <v>32</v>
          </cell>
          <cell r="DK24">
            <v>0</v>
          </cell>
          <cell r="DL24">
            <v>0</v>
          </cell>
          <cell r="DM24">
            <v>28.583333333333336</v>
          </cell>
          <cell r="DN24">
            <v>24</v>
          </cell>
          <cell r="DO24">
            <v>28.4</v>
          </cell>
          <cell r="DP24">
            <v>0</v>
          </cell>
          <cell r="DQ24">
            <v>0</v>
          </cell>
          <cell r="DR24">
            <v>23.166666666666668</v>
          </cell>
          <cell r="DS24">
            <v>23.166666666666668</v>
          </cell>
          <cell r="DT24">
            <v>27.4</v>
          </cell>
          <cell r="DU24">
            <v>0</v>
          </cell>
          <cell r="DV24">
            <v>0</v>
          </cell>
          <cell r="DW24">
            <v>22.333333333333336</v>
          </cell>
          <cell r="DX24">
            <v>22.333333333333336</v>
          </cell>
          <cell r="DY24">
            <v>26.400000000000002</v>
          </cell>
          <cell r="DZ24">
            <v>0</v>
          </cell>
          <cell r="EA24">
            <v>0</v>
          </cell>
          <cell r="EB24">
            <v>21.500000000000004</v>
          </cell>
          <cell r="EC24">
            <v>21.500000000000004</v>
          </cell>
          <cell r="ED24">
            <v>25.400000000000002</v>
          </cell>
          <cell r="EE24">
            <v>0</v>
          </cell>
          <cell r="EF24">
            <v>0</v>
          </cell>
          <cell r="EG24">
            <v>20.666666666666671</v>
          </cell>
          <cell r="EH24">
            <v>20.666666666666671</v>
          </cell>
          <cell r="EI24">
            <v>24.400000000000006</v>
          </cell>
          <cell r="EJ24">
            <v>0</v>
          </cell>
          <cell r="EK24">
            <v>0</v>
          </cell>
          <cell r="EL24">
            <v>19.833333333333339</v>
          </cell>
          <cell r="EM24">
            <v>19.833333333333339</v>
          </cell>
          <cell r="EN24">
            <v>23.400000000000006</v>
          </cell>
          <cell r="EO24">
            <v>0</v>
          </cell>
          <cell r="EP24">
            <v>0</v>
          </cell>
          <cell r="EQ24">
            <v>19.000000000000007</v>
          </cell>
          <cell r="ER24">
            <v>19.000000000000007</v>
          </cell>
          <cell r="ES24">
            <v>22.400000000000009</v>
          </cell>
          <cell r="ET24">
            <v>0</v>
          </cell>
          <cell r="EU24">
            <v>0</v>
          </cell>
          <cell r="EV24">
            <v>18.166666666666675</v>
          </cell>
          <cell r="EW24">
            <v>18.166666666666675</v>
          </cell>
          <cell r="EX24">
            <v>21.400000000000009</v>
          </cell>
          <cell r="EY24">
            <v>0</v>
          </cell>
          <cell r="EZ24">
            <v>0</v>
          </cell>
          <cell r="FA24">
            <v>17.333333333333343</v>
          </cell>
          <cell r="FB24">
            <v>17.333333333333343</v>
          </cell>
          <cell r="FC24">
            <v>20.400000000000009</v>
          </cell>
          <cell r="FD24">
            <v>0</v>
          </cell>
          <cell r="FE24">
            <v>0</v>
          </cell>
          <cell r="FF24">
            <v>16.500000000000011</v>
          </cell>
          <cell r="FG24">
            <v>16.500000000000011</v>
          </cell>
          <cell r="FH24">
            <v>19.400000000000013</v>
          </cell>
          <cell r="FI24">
            <v>0</v>
          </cell>
          <cell r="FJ24">
            <v>0</v>
          </cell>
          <cell r="FK24">
            <v>15.666666666666677</v>
          </cell>
          <cell r="FL24">
            <v>15.666666666666677</v>
          </cell>
          <cell r="FM24">
            <v>18.400000000000013</v>
          </cell>
          <cell r="FN24">
            <v>0</v>
          </cell>
          <cell r="FO24">
            <v>0</v>
          </cell>
          <cell r="FP24">
            <v>14.833333333333343</v>
          </cell>
          <cell r="FQ24">
            <v>14.833333333333343</v>
          </cell>
          <cell r="FR24">
            <v>17.400000000000013</v>
          </cell>
          <cell r="FS24">
            <v>0</v>
          </cell>
          <cell r="FT24">
            <v>2</v>
          </cell>
          <cell r="FU24">
            <v>2.0333333333333332</v>
          </cell>
          <cell r="FW24" t="str">
            <v>SOBRESTOCK</v>
          </cell>
          <cell r="FX24" t="str">
            <v>C</v>
          </cell>
          <cell r="FY24" t="str">
            <v>Si</v>
          </cell>
        </row>
        <row r="25">
          <cell r="B25" t="str">
            <v>REP-0024</v>
          </cell>
          <cell r="C25" t="str">
            <v>MIX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6</v>
          </cell>
          <cell r="I25">
            <v>6</v>
          </cell>
          <cell r="J25">
            <v>0</v>
          </cell>
          <cell r="K25">
            <v>2</v>
          </cell>
          <cell r="L25">
            <v>2</v>
          </cell>
          <cell r="M25">
            <v>2</v>
          </cell>
          <cell r="N25">
            <v>1</v>
          </cell>
          <cell r="O25">
            <v>0</v>
          </cell>
          <cell r="P25">
            <v>0</v>
          </cell>
          <cell r="Q25">
            <v>1</v>
          </cell>
          <cell r="R25">
            <v>1</v>
          </cell>
          <cell r="S25">
            <v>0</v>
          </cell>
          <cell r="T25">
            <v>1</v>
          </cell>
          <cell r="U25">
            <v>0</v>
          </cell>
          <cell r="V25">
            <v>1</v>
          </cell>
          <cell r="W25">
            <v>0</v>
          </cell>
          <cell r="X25">
            <v>0</v>
          </cell>
          <cell r="Y25">
            <v>25</v>
          </cell>
          <cell r="AA25">
            <v>25</v>
          </cell>
          <cell r="AB25">
            <v>0</v>
          </cell>
          <cell r="AC25">
            <v>0.16666666666666666</v>
          </cell>
          <cell r="AD25">
            <v>5.5555555555555549E-3</v>
          </cell>
          <cell r="AE25">
            <v>0.25</v>
          </cell>
          <cell r="AF25">
            <v>0.66666666666666663</v>
          </cell>
          <cell r="AG25">
            <v>1.4166666666666667</v>
          </cell>
          <cell r="AH25">
            <v>1.5</v>
          </cell>
          <cell r="AI25">
            <v>1.3333333333333333</v>
          </cell>
          <cell r="AJ25">
            <v>1.3333333333333333</v>
          </cell>
          <cell r="AK25">
            <v>1.5</v>
          </cell>
          <cell r="AL25">
            <v>0.33333333333333343</v>
          </cell>
          <cell r="AM25">
            <v>1.3958333333333333</v>
          </cell>
          <cell r="AN25">
            <v>0.23880597014925381</v>
          </cell>
          <cell r="AO25">
            <v>0</v>
          </cell>
          <cell r="AP25">
            <v>33.5</v>
          </cell>
          <cell r="AQ25">
            <v>23.705882352941178</v>
          </cell>
          <cell r="AR25">
            <v>0</v>
          </cell>
          <cell r="AS25">
            <v>43</v>
          </cell>
          <cell r="AT25">
            <v>42</v>
          </cell>
          <cell r="AU25">
            <v>29.647058823529409</v>
          </cell>
          <cell r="AV25">
            <v>0</v>
          </cell>
          <cell r="AW25">
            <v>40.583333333333336</v>
          </cell>
          <cell r="AX25">
            <v>40</v>
          </cell>
          <cell r="AY25">
            <v>26.666666666666668</v>
          </cell>
          <cell r="AZ25">
            <v>0</v>
          </cell>
          <cell r="BA25">
            <v>38.583333333333336</v>
          </cell>
          <cell r="BB25">
            <v>37</v>
          </cell>
          <cell r="BC25">
            <v>18.5</v>
          </cell>
          <cell r="BD25">
            <v>0</v>
          </cell>
          <cell r="BE25">
            <v>35</v>
          </cell>
          <cell r="BF25">
            <v>17.5</v>
          </cell>
          <cell r="BG25">
            <v>0</v>
          </cell>
          <cell r="BH25">
            <v>33</v>
          </cell>
          <cell r="BI25">
            <v>25</v>
          </cell>
          <cell r="BJ25">
            <v>16.666666666666668</v>
          </cell>
          <cell r="BK25">
            <v>0</v>
          </cell>
          <cell r="BL25">
            <v>31.166666666666668</v>
          </cell>
          <cell r="BM25">
            <v>30</v>
          </cell>
          <cell r="BN25">
            <v>15</v>
          </cell>
          <cell r="BO25">
            <v>0</v>
          </cell>
          <cell r="BP25">
            <v>28</v>
          </cell>
          <cell r="BQ25">
            <v>31</v>
          </cell>
          <cell r="BR25">
            <v>20.666666666666668</v>
          </cell>
          <cell r="BS25">
            <v>0</v>
          </cell>
          <cell r="BT25">
            <v>29.166666666666668</v>
          </cell>
          <cell r="BU25">
            <v>31</v>
          </cell>
          <cell r="BV25">
            <v>20.666666666666668</v>
          </cell>
          <cell r="BW25">
            <v>0</v>
          </cell>
          <cell r="BX25">
            <v>0</v>
          </cell>
          <cell r="BY25">
            <v>29.5</v>
          </cell>
          <cell r="BZ25">
            <v>29</v>
          </cell>
          <cell r="CA25">
            <v>19.333333333333332</v>
          </cell>
          <cell r="CB25">
            <v>0</v>
          </cell>
          <cell r="CC25">
            <v>0</v>
          </cell>
          <cell r="CD25">
            <v>27.5</v>
          </cell>
          <cell r="CE25">
            <v>29</v>
          </cell>
          <cell r="CF25">
            <v>19.9375</v>
          </cell>
          <cell r="CG25">
            <v>0</v>
          </cell>
          <cell r="CH25">
            <v>0</v>
          </cell>
          <cell r="CI25">
            <v>26.045454545454547</v>
          </cell>
          <cell r="CJ25">
            <v>29</v>
          </cell>
          <cell r="CK25">
            <v>19.333333333333332</v>
          </cell>
          <cell r="CL25">
            <v>0</v>
          </cell>
          <cell r="CM25">
            <v>0</v>
          </cell>
          <cell r="CN25">
            <v>27.5</v>
          </cell>
          <cell r="CO25">
            <v>26</v>
          </cell>
          <cell r="CP25">
            <v>13</v>
          </cell>
          <cell r="CQ25">
            <v>0</v>
          </cell>
          <cell r="CR25">
            <v>0</v>
          </cell>
          <cell r="CS25">
            <v>24</v>
          </cell>
          <cell r="CT25">
            <v>24</v>
          </cell>
          <cell r="CU25">
            <v>16</v>
          </cell>
          <cell r="CV25">
            <v>0</v>
          </cell>
          <cell r="CW25">
            <v>0</v>
          </cell>
          <cell r="CX25">
            <v>22.5</v>
          </cell>
          <cell r="CY25">
            <v>23</v>
          </cell>
          <cell r="CZ25">
            <v>15.333333333333334</v>
          </cell>
          <cell r="DA25">
            <v>0</v>
          </cell>
          <cell r="DB25">
            <v>0</v>
          </cell>
          <cell r="DC25">
            <v>21.5</v>
          </cell>
          <cell r="DD25">
            <v>22</v>
          </cell>
          <cell r="DE25">
            <v>12</v>
          </cell>
          <cell r="DF25">
            <v>0</v>
          </cell>
          <cell r="DG25">
            <v>0</v>
          </cell>
          <cell r="DH25">
            <v>20.5</v>
          </cell>
          <cell r="DI25">
            <v>22</v>
          </cell>
          <cell r="DJ25">
            <v>14</v>
          </cell>
          <cell r="DK25">
            <v>0</v>
          </cell>
          <cell r="DL25">
            <v>0</v>
          </cell>
          <cell r="DM25">
            <v>19</v>
          </cell>
          <cell r="DN25">
            <v>25</v>
          </cell>
          <cell r="DO25">
            <v>16</v>
          </cell>
          <cell r="DP25">
            <v>0</v>
          </cell>
          <cell r="DQ25">
            <v>0</v>
          </cell>
          <cell r="DR25">
            <v>23.5</v>
          </cell>
          <cell r="DS25">
            <v>23.5</v>
          </cell>
          <cell r="DT25">
            <v>15</v>
          </cell>
          <cell r="DU25">
            <v>0</v>
          </cell>
          <cell r="DV25">
            <v>0</v>
          </cell>
          <cell r="DW25">
            <v>22</v>
          </cell>
          <cell r="DX25">
            <v>22</v>
          </cell>
          <cell r="DY25">
            <v>14</v>
          </cell>
          <cell r="DZ25">
            <v>0</v>
          </cell>
          <cell r="EA25">
            <v>0</v>
          </cell>
          <cell r="EB25">
            <v>20.5</v>
          </cell>
          <cell r="EC25">
            <v>20.5</v>
          </cell>
          <cell r="ED25">
            <v>13</v>
          </cell>
          <cell r="EE25">
            <v>0</v>
          </cell>
          <cell r="EF25">
            <v>0</v>
          </cell>
          <cell r="EG25">
            <v>19</v>
          </cell>
          <cell r="EH25">
            <v>19</v>
          </cell>
          <cell r="EI25">
            <v>12</v>
          </cell>
          <cell r="EJ25">
            <v>0</v>
          </cell>
          <cell r="EK25">
            <v>0</v>
          </cell>
          <cell r="EL25">
            <v>17.5</v>
          </cell>
          <cell r="EM25">
            <v>17.5</v>
          </cell>
          <cell r="EN25">
            <v>11</v>
          </cell>
          <cell r="EO25">
            <v>0</v>
          </cell>
          <cell r="EP25">
            <v>0</v>
          </cell>
          <cell r="EQ25">
            <v>16</v>
          </cell>
          <cell r="ER25">
            <v>16</v>
          </cell>
          <cell r="ES25">
            <v>10</v>
          </cell>
          <cell r="ET25">
            <v>0</v>
          </cell>
          <cell r="EU25">
            <v>0</v>
          </cell>
          <cell r="EV25">
            <v>14.5</v>
          </cell>
          <cell r="EW25">
            <v>14.5</v>
          </cell>
          <cell r="EX25">
            <v>9</v>
          </cell>
          <cell r="EY25">
            <v>0</v>
          </cell>
          <cell r="EZ25">
            <v>0</v>
          </cell>
          <cell r="FA25">
            <v>13</v>
          </cell>
          <cell r="FB25">
            <v>13</v>
          </cell>
          <cell r="FC25">
            <v>8</v>
          </cell>
          <cell r="FD25">
            <v>0</v>
          </cell>
          <cell r="FE25">
            <v>0</v>
          </cell>
          <cell r="FF25">
            <v>11.5</v>
          </cell>
          <cell r="FG25">
            <v>11.5</v>
          </cell>
          <cell r="FH25">
            <v>7</v>
          </cell>
          <cell r="FI25">
            <v>0</v>
          </cell>
          <cell r="FJ25">
            <v>0</v>
          </cell>
          <cell r="FK25">
            <v>10</v>
          </cell>
          <cell r="FL25">
            <v>10</v>
          </cell>
          <cell r="FM25">
            <v>6</v>
          </cell>
          <cell r="FN25">
            <v>0</v>
          </cell>
          <cell r="FO25">
            <v>0</v>
          </cell>
          <cell r="FP25">
            <v>8.5</v>
          </cell>
          <cell r="FQ25">
            <v>8.5</v>
          </cell>
          <cell r="FR25">
            <v>5</v>
          </cell>
          <cell r="FS25">
            <v>0</v>
          </cell>
          <cell r="FT25">
            <v>4</v>
          </cell>
          <cell r="FU25">
            <v>2.0333333333333332</v>
          </cell>
          <cell r="FW25" t="str">
            <v>SOBRESTOCK</v>
          </cell>
          <cell r="FX25" t="str">
            <v>B</v>
          </cell>
          <cell r="FY25" t="str">
            <v>Si</v>
          </cell>
        </row>
        <row r="26">
          <cell r="B26" t="str">
            <v>REP-0025</v>
          </cell>
          <cell r="C26" t="str">
            <v>MIX</v>
          </cell>
          <cell r="D26">
            <v>0</v>
          </cell>
          <cell r="E26">
            <v>74</v>
          </cell>
          <cell r="F26">
            <v>0</v>
          </cell>
          <cell r="G26">
            <v>0</v>
          </cell>
          <cell r="H26">
            <v>2</v>
          </cell>
          <cell r="I26">
            <v>2</v>
          </cell>
          <cell r="J26">
            <v>0</v>
          </cell>
          <cell r="K26">
            <v>0</v>
          </cell>
          <cell r="L26">
            <v>3</v>
          </cell>
          <cell r="M26">
            <v>0</v>
          </cell>
          <cell r="N26">
            <v>3</v>
          </cell>
          <cell r="O26">
            <v>0</v>
          </cell>
          <cell r="P26">
            <v>0</v>
          </cell>
          <cell r="Q26">
            <v>0</v>
          </cell>
          <cell r="R26">
            <v>1</v>
          </cell>
          <cell r="S26">
            <v>2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2</v>
          </cell>
          <cell r="Y26">
            <v>93</v>
          </cell>
          <cell r="AA26">
            <v>93</v>
          </cell>
          <cell r="AB26">
            <v>0</v>
          </cell>
          <cell r="AC26">
            <v>3.3333333333333335</v>
          </cell>
          <cell r="AD26">
            <v>0.11111111111111112</v>
          </cell>
          <cell r="AE26">
            <v>3.5</v>
          </cell>
          <cell r="AF26">
            <v>3.8333333333333335</v>
          </cell>
          <cell r="AG26">
            <v>3.0833333333333335</v>
          </cell>
          <cell r="AH26">
            <v>2.4166666666666665</v>
          </cell>
          <cell r="AI26">
            <v>3.6666666666666665</v>
          </cell>
          <cell r="AJ26">
            <v>3.6666666666666665</v>
          </cell>
          <cell r="AK26">
            <v>3.6666666666666665</v>
          </cell>
          <cell r="AL26">
            <v>0.58630196997792716</v>
          </cell>
          <cell r="AM26">
            <v>3.208333333333333</v>
          </cell>
          <cell r="AN26">
            <v>0.18274347116195133</v>
          </cell>
          <cell r="AO26">
            <v>0</v>
          </cell>
          <cell r="AP26">
            <v>54.916666666666664</v>
          </cell>
          <cell r="AQ26">
            <v>14.130434782608695</v>
          </cell>
          <cell r="AR26">
            <v>0</v>
          </cell>
          <cell r="AS26">
            <v>50.333333333333329</v>
          </cell>
          <cell r="AT26">
            <v>54</v>
          </cell>
          <cell r="AU26">
            <v>17.513513513513512</v>
          </cell>
          <cell r="AV26">
            <v>0</v>
          </cell>
          <cell r="AW26">
            <v>50.916666666666664</v>
          </cell>
          <cell r="AX26">
            <v>48</v>
          </cell>
          <cell r="AY26">
            <v>13.090909090909092</v>
          </cell>
          <cell r="AZ26">
            <v>0</v>
          </cell>
          <cell r="BA26">
            <v>44.916666666666664</v>
          </cell>
          <cell r="BB26">
            <v>47</v>
          </cell>
          <cell r="BC26">
            <v>15.243243243243242</v>
          </cell>
          <cell r="BD26">
            <v>0</v>
          </cell>
          <cell r="BE26">
            <v>43.916666666666664</v>
          </cell>
          <cell r="BF26">
            <v>14.243243243243242</v>
          </cell>
          <cell r="BG26">
            <v>0</v>
          </cell>
          <cell r="BH26">
            <v>40.833333333333329</v>
          </cell>
          <cell r="BI26">
            <v>93</v>
          </cell>
          <cell r="BJ26">
            <v>25.363636363636363</v>
          </cell>
          <cell r="BK26">
            <v>0</v>
          </cell>
          <cell r="BL26">
            <v>31.916666666666668</v>
          </cell>
          <cell r="BM26">
            <v>35</v>
          </cell>
          <cell r="BN26">
            <v>11.052631578947368</v>
          </cell>
          <cell r="BO26">
            <v>0</v>
          </cell>
          <cell r="BP26">
            <v>31.833333333333332</v>
          </cell>
          <cell r="BQ26">
            <v>32</v>
          </cell>
          <cell r="BR26">
            <v>8.7272727272727284</v>
          </cell>
          <cell r="BS26">
            <v>0</v>
          </cell>
          <cell r="BT26">
            <v>28.666666666666668</v>
          </cell>
          <cell r="BU26">
            <v>32</v>
          </cell>
          <cell r="BV26">
            <v>10.378378378378377</v>
          </cell>
          <cell r="BW26">
            <v>0</v>
          </cell>
          <cell r="BX26">
            <v>0</v>
          </cell>
          <cell r="BY26">
            <v>28.916666666666668</v>
          </cell>
          <cell r="BZ26">
            <v>29</v>
          </cell>
          <cell r="CA26">
            <v>9.4054054054054053</v>
          </cell>
          <cell r="CB26">
            <v>0</v>
          </cell>
          <cell r="CC26">
            <v>0</v>
          </cell>
          <cell r="CD26">
            <v>65.916666666666671</v>
          </cell>
          <cell r="CE26">
            <v>27</v>
          </cell>
          <cell r="CF26">
            <v>8.7567567567567561</v>
          </cell>
          <cell r="CG26">
            <v>0</v>
          </cell>
          <cell r="CH26">
            <v>40</v>
          </cell>
          <cell r="CI26">
            <v>62.833333333333336</v>
          </cell>
          <cell r="CJ26">
            <v>120</v>
          </cell>
          <cell r="CK26">
            <v>38.918918918918919</v>
          </cell>
          <cell r="CL26">
            <v>0</v>
          </cell>
          <cell r="CM26">
            <v>0</v>
          </cell>
          <cell r="CN26">
            <v>116.91666666666667</v>
          </cell>
          <cell r="CO26">
            <v>114</v>
          </cell>
          <cell r="CP26">
            <v>19</v>
          </cell>
          <cell r="CQ26">
            <v>0</v>
          </cell>
          <cell r="CR26">
            <v>0</v>
          </cell>
          <cell r="CS26">
            <v>108</v>
          </cell>
          <cell r="CT26">
            <v>115</v>
          </cell>
          <cell r="CU26">
            <v>32.857142857142854</v>
          </cell>
          <cell r="CV26">
            <v>0</v>
          </cell>
          <cell r="CW26">
            <v>0</v>
          </cell>
          <cell r="CX26">
            <v>111.5</v>
          </cell>
          <cell r="CY26">
            <v>114</v>
          </cell>
          <cell r="CZ26">
            <v>36.972972972972968</v>
          </cell>
          <cell r="DA26">
            <v>0</v>
          </cell>
          <cell r="DB26">
            <v>0</v>
          </cell>
          <cell r="DC26">
            <v>110.75</v>
          </cell>
          <cell r="DD26">
            <v>105</v>
          </cell>
          <cell r="DE26">
            <v>30.153846153846153</v>
          </cell>
          <cell r="DF26">
            <v>0</v>
          </cell>
          <cell r="DG26">
            <v>0</v>
          </cell>
          <cell r="DH26">
            <v>101.75</v>
          </cell>
          <cell r="DI26">
            <v>102</v>
          </cell>
          <cell r="DJ26">
            <v>31.6875</v>
          </cell>
          <cell r="DK26">
            <v>0</v>
          </cell>
          <cell r="DL26">
            <v>0</v>
          </cell>
          <cell r="DM26">
            <v>98.55</v>
          </cell>
          <cell r="DN26">
            <v>93</v>
          </cell>
          <cell r="DO26">
            <v>25.181818181818183</v>
          </cell>
          <cell r="DP26">
            <v>0</v>
          </cell>
          <cell r="DQ26">
            <v>0</v>
          </cell>
          <cell r="DR26">
            <v>89.333333333333329</v>
          </cell>
          <cell r="DS26">
            <v>89.333333333333329</v>
          </cell>
          <cell r="DT26">
            <v>24.18181818181818</v>
          </cell>
          <cell r="DU26">
            <v>0</v>
          </cell>
          <cell r="DV26">
            <v>0</v>
          </cell>
          <cell r="DW26">
            <v>85.666666666666657</v>
          </cell>
          <cell r="DX26">
            <v>85.666666666666657</v>
          </cell>
          <cell r="DY26">
            <v>23.18181818181818</v>
          </cell>
          <cell r="DZ26">
            <v>0</v>
          </cell>
          <cell r="EA26">
            <v>0</v>
          </cell>
          <cell r="EB26">
            <v>81.999999999999986</v>
          </cell>
          <cell r="EC26">
            <v>81.999999999999986</v>
          </cell>
          <cell r="ED26">
            <v>22.18181818181818</v>
          </cell>
          <cell r="EE26">
            <v>0</v>
          </cell>
          <cell r="EF26">
            <v>0</v>
          </cell>
          <cell r="EG26">
            <v>78.333333333333314</v>
          </cell>
          <cell r="EH26">
            <v>78.333333333333314</v>
          </cell>
          <cell r="EI26">
            <v>21.181818181818176</v>
          </cell>
          <cell r="EJ26">
            <v>0</v>
          </cell>
          <cell r="EK26">
            <v>0</v>
          </cell>
          <cell r="EL26">
            <v>74.666666666666643</v>
          </cell>
          <cell r="EM26">
            <v>74.666666666666643</v>
          </cell>
          <cell r="EN26">
            <v>20.181818181818176</v>
          </cell>
          <cell r="EO26">
            <v>0</v>
          </cell>
          <cell r="EP26">
            <v>0</v>
          </cell>
          <cell r="EQ26">
            <v>70.999999999999972</v>
          </cell>
          <cell r="ER26">
            <v>70.999999999999972</v>
          </cell>
          <cell r="ES26">
            <v>19.181818181818176</v>
          </cell>
          <cell r="ET26">
            <v>0</v>
          </cell>
          <cell r="EU26">
            <v>0</v>
          </cell>
          <cell r="EV26">
            <v>67.3333333333333</v>
          </cell>
          <cell r="EW26">
            <v>67.3333333333333</v>
          </cell>
          <cell r="EX26">
            <v>18.181818181818173</v>
          </cell>
          <cell r="EY26">
            <v>0</v>
          </cell>
          <cell r="EZ26">
            <v>0</v>
          </cell>
          <cell r="FA26">
            <v>63.666666666666636</v>
          </cell>
          <cell r="FB26">
            <v>63.666666666666636</v>
          </cell>
          <cell r="FC26">
            <v>17.181818181818173</v>
          </cell>
          <cell r="FD26">
            <v>0</v>
          </cell>
          <cell r="FE26">
            <v>0</v>
          </cell>
          <cell r="FF26">
            <v>59.999999999999972</v>
          </cell>
          <cell r="FG26">
            <v>59.999999999999972</v>
          </cell>
          <cell r="FH26">
            <v>16.181818181818173</v>
          </cell>
          <cell r="FI26">
            <v>0</v>
          </cell>
          <cell r="FJ26">
            <v>0</v>
          </cell>
          <cell r="FK26">
            <v>56.333333333333307</v>
          </cell>
          <cell r="FL26">
            <v>56.333333333333307</v>
          </cell>
          <cell r="FM26">
            <v>15.181818181818175</v>
          </cell>
          <cell r="FN26">
            <v>0</v>
          </cell>
          <cell r="FO26">
            <v>0</v>
          </cell>
          <cell r="FP26">
            <v>52.666666666666643</v>
          </cell>
          <cell r="FQ26">
            <v>52.666666666666643</v>
          </cell>
          <cell r="FR26">
            <v>14.181818181818176</v>
          </cell>
          <cell r="FS26">
            <v>0</v>
          </cell>
          <cell r="FT26">
            <v>8</v>
          </cell>
          <cell r="FU26">
            <v>2.0333333333333332</v>
          </cell>
          <cell r="FW26" t="str">
            <v>SOBRESTOCK</v>
          </cell>
          <cell r="FX26" t="str">
            <v>B</v>
          </cell>
          <cell r="FY26" t="str">
            <v>Si</v>
          </cell>
        </row>
        <row r="27">
          <cell r="B27" t="str">
            <v>REP-0026</v>
          </cell>
          <cell r="C27" t="str">
            <v>MIX</v>
          </cell>
          <cell r="D27">
            <v>0</v>
          </cell>
          <cell r="E27">
            <v>72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4</v>
          </cell>
          <cell r="L27">
            <v>10</v>
          </cell>
          <cell r="M27">
            <v>0</v>
          </cell>
          <cell r="N27">
            <v>3</v>
          </cell>
          <cell r="O27">
            <v>1</v>
          </cell>
          <cell r="P27">
            <v>1</v>
          </cell>
          <cell r="Q27">
            <v>0</v>
          </cell>
          <cell r="R27">
            <v>2</v>
          </cell>
          <cell r="S27">
            <v>2</v>
          </cell>
          <cell r="T27">
            <v>0</v>
          </cell>
          <cell r="U27">
            <v>0</v>
          </cell>
          <cell r="V27">
            <v>1</v>
          </cell>
          <cell r="W27">
            <v>1</v>
          </cell>
          <cell r="X27">
            <v>1</v>
          </cell>
          <cell r="Y27">
            <v>98</v>
          </cell>
          <cell r="AA27">
            <v>98</v>
          </cell>
          <cell r="AB27">
            <v>15</v>
          </cell>
          <cell r="AC27">
            <v>1.5</v>
          </cell>
          <cell r="AD27">
            <v>0.05</v>
          </cell>
          <cell r="AE27">
            <v>1.9166666666666667</v>
          </cell>
          <cell r="AF27">
            <v>3.4166666666666665</v>
          </cell>
          <cell r="AG27">
            <v>3.1666666666666665</v>
          </cell>
          <cell r="AH27">
            <v>2</v>
          </cell>
          <cell r="AI27">
            <v>3.3333333333333335</v>
          </cell>
          <cell r="AJ27">
            <v>3.3333333333333335</v>
          </cell>
          <cell r="AK27">
            <v>3.3333333333333335</v>
          </cell>
          <cell r="AL27">
            <v>0.59395098937351543</v>
          </cell>
          <cell r="AM27">
            <v>2.9583333333333335</v>
          </cell>
          <cell r="AN27">
            <v>0.20077216542203338</v>
          </cell>
          <cell r="AO27">
            <v>0</v>
          </cell>
          <cell r="AP27">
            <v>41.833333333333336</v>
          </cell>
          <cell r="AQ27">
            <v>12.170731707317074</v>
          </cell>
          <cell r="AR27">
            <v>0</v>
          </cell>
          <cell r="AS27">
            <v>48.166666666666671</v>
          </cell>
          <cell r="AT27">
            <v>52</v>
          </cell>
          <cell r="AU27">
            <v>16.421052631578949</v>
          </cell>
          <cell r="AV27">
            <v>0</v>
          </cell>
          <cell r="AW27">
            <v>48.833333333333336</v>
          </cell>
          <cell r="AX27">
            <v>48</v>
          </cell>
          <cell r="AY27">
            <v>14.399999999999999</v>
          </cell>
          <cell r="AZ27">
            <v>0</v>
          </cell>
          <cell r="BA27">
            <v>44.833333333333336</v>
          </cell>
          <cell r="BB27">
            <v>48</v>
          </cell>
          <cell r="BC27">
            <v>15.157894736842106</v>
          </cell>
          <cell r="BD27">
            <v>0</v>
          </cell>
          <cell r="BE27">
            <v>44.833333333333336</v>
          </cell>
          <cell r="BF27">
            <v>14.157894736842106</v>
          </cell>
          <cell r="BG27">
            <v>0</v>
          </cell>
          <cell r="BH27">
            <v>41.666666666666671</v>
          </cell>
          <cell r="BI27">
            <v>98</v>
          </cell>
          <cell r="BJ27">
            <v>29.4</v>
          </cell>
          <cell r="BK27">
            <v>0</v>
          </cell>
          <cell r="BL27">
            <v>31.833333333333332</v>
          </cell>
          <cell r="BM27">
            <v>36</v>
          </cell>
          <cell r="BN27">
            <v>11.368421052631579</v>
          </cell>
          <cell r="BO27">
            <v>0</v>
          </cell>
          <cell r="BP27">
            <v>32.833333333333336</v>
          </cell>
          <cell r="BQ27">
            <v>39</v>
          </cell>
          <cell r="BR27">
            <v>11.7</v>
          </cell>
          <cell r="BS27">
            <v>0</v>
          </cell>
          <cell r="BT27">
            <v>35.833333333333336</v>
          </cell>
          <cell r="BU27">
            <v>42</v>
          </cell>
          <cell r="BV27">
            <v>13.263157894736842</v>
          </cell>
          <cell r="BW27">
            <v>0</v>
          </cell>
          <cell r="BX27">
            <v>0</v>
          </cell>
          <cell r="BY27">
            <v>38.833333333333336</v>
          </cell>
          <cell r="BZ27">
            <v>41</v>
          </cell>
          <cell r="CA27">
            <v>12.947368421052632</v>
          </cell>
          <cell r="CB27">
            <v>0</v>
          </cell>
          <cell r="CC27">
            <v>0</v>
          </cell>
          <cell r="CD27">
            <v>77.833333333333329</v>
          </cell>
          <cell r="CE27">
            <v>39</v>
          </cell>
          <cell r="CF27">
            <v>12.315789473684211</v>
          </cell>
          <cell r="CG27">
            <v>0</v>
          </cell>
          <cell r="CH27">
            <v>40</v>
          </cell>
          <cell r="CI27">
            <v>74.666666666666657</v>
          </cell>
          <cell r="CJ27">
            <v>127</v>
          </cell>
          <cell r="CK27">
            <v>40.10526315789474</v>
          </cell>
          <cell r="CL27">
            <v>0</v>
          </cell>
          <cell r="CM27">
            <v>0</v>
          </cell>
          <cell r="CN27">
            <v>123.83333333333333</v>
          </cell>
          <cell r="CO27">
            <v>122</v>
          </cell>
          <cell r="CP27">
            <v>24.4</v>
          </cell>
          <cell r="CQ27">
            <v>0</v>
          </cell>
          <cell r="CR27">
            <v>0</v>
          </cell>
          <cell r="CS27">
            <v>117</v>
          </cell>
          <cell r="CT27">
            <v>121</v>
          </cell>
          <cell r="CU27">
            <v>38.210526315789473</v>
          </cell>
          <cell r="CV27">
            <v>0</v>
          </cell>
          <cell r="CW27">
            <v>0</v>
          </cell>
          <cell r="CX27">
            <v>117.83333333333333</v>
          </cell>
          <cell r="CY27">
            <v>119</v>
          </cell>
          <cell r="CZ27">
            <v>37.578947368421055</v>
          </cell>
          <cell r="DA27">
            <v>0</v>
          </cell>
          <cell r="DB27">
            <v>0</v>
          </cell>
          <cell r="DC27">
            <v>115.83333333333333</v>
          </cell>
          <cell r="DD27">
            <v>111</v>
          </cell>
          <cell r="DE27">
            <v>32.842105263157897</v>
          </cell>
          <cell r="DF27">
            <v>0</v>
          </cell>
          <cell r="DG27">
            <v>0</v>
          </cell>
          <cell r="DH27">
            <v>107.83333333333333</v>
          </cell>
          <cell r="DI27">
            <v>108</v>
          </cell>
          <cell r="DJ27">
            <v>33.89473684210526</v>
          </cell>
          <cell r="DK27">
            <v>0</v>
          </cell>
          <cell r="DL27">
            <v>0</v>
          </cell>
          <cell r="DM27">
            <v>104.66666666666666</v>
          </cell>
          <cell r="DN27">
            <v>98</v>
          </cell>
          <cell r="DO27">
            <v>29.299999999999997</v>
          </cell>
          <cell r="DP27">
            <v>0</v>
          </cell>
          <cell r="DQ27">
            <v>0</v>
          </cell>
          <cell r="DR27">
            <v>94.666666666666671</v>
          </cell>
          <cell r="DS27">
            <v>94.666666666666671</v>
          </cell>
          <cell r="DT27">
            <v>28.3</v>
          </cell>
          <cell r="DU27">
            <v>0</v>
          </cell>
          <cell r="DV27">
            <v>0</v>
          </cell>
          <cell r="DW27">
            <v>91.333333333333343</v>
          </cell>
          <cell r="DX27">
            <v>91.333333333333343</v>
          </cell>
          <cell r="DY27">
            <v>27.3</v>
          </cell>
          <cell r="DZ27">
            <v>0</v>
          </cell>
          <cell r="EA27">
            <v>0</v>
          </cell>
          <cell r="EB27">
            <v>88.000000000000014</v>
          </cell>
          <cell r="EC27">
            <v>88.000000000000014</v>
          </cell>
          <cell r="ED27">
            <v>26.300000000000004</v>
          </cell>
          <cell r="EE27">
            <v>0</v>
          </cell>
          <cell r="EF27">
            <v>0</v>
          </cell>
          <cell r="EG27">
            <v>84.666666666666686</v>
          </cell>
          <cell r="EH27">
            <v>84.666666666666686</v>
          </cell>
          <cell r="EI27">
            <v>25.300000000000004</v>
          </cell>
          <cell r="EJ27">
            <v>0</v>
          </cell>
          <cell r="EK27">
            <v>0</v>
          </cell>
          <cell r="EL27">
            <v>81.333333333333357</v>
          </cell>
          <cell r="EM27">
            <v>81.333333333333357</v>
          </cell>
          <cell r="EN27">
            <v>24.300000000000008</v>
          </cell>
          <cell r="EO27">
            <v>0</v>
          </cell>
          <cell r="EP27">
            <v>0</v>
          </cell>
          <cell r="EQ27">
            <v>78.000000000000028</v>
          </cell>
          <cell r="ER27">
            <v>78.000000000000028</v>
          </cell>
          <cell r="ES27">
            <v>23.300000000000008</v>
          </cell>
          <cell r="ET27">
            <v>0</v>
          </cell>
          <cell r="EU27">
            <v>0</v>
          </cell>
          <cell r="EV27">
            <v>74.6666666666667</v>
          </cell>
          <cell r="EW27">
            <v>74.6666666666667</v>
          </cell>
          <cell r="EX27">
            <v>22.300000000000008</v>
          </cell>
          <cell r="EY27">
            <v>0</v>
          </cell>
          <cell r="EZ27">
            <v>0</v>
          </cell>
          <cell r="FA27">
            <v>71.333333333333371</v>
          </cell>
          <cell r="FB27">
            <v>71.333333333333371</v>
          </cell>
          <cell r="FC27">
            <v>21.300000000000011</v>
          </cell>
          <cell r="FD27">
            <v>0</v>
          </cell>
          <cell r="FE27">
            <v>0</v>
          </cell>
          <cell r="FF27">
            <v>68.000000000000043</v>
          </cell>
          <cell r="FG27">
            <v>68.000000000000043</v>
          </cell>
          <cell r="FH27">
            <v>20.300000000000011</v>
          </cell>
          <cell r="FI27">
            <v>0</v>
          </cell>
          <cell r="FJ27">
            <v>0</v>
          </cell>
          <cell r="FK27">
            <v>64.666666666666714</v>
          </cell>
          <cell r="FL27">
            <v>64.666666666666714</v>
          </cell>
          <cell r="FM27">
            <v>19.300000000000015</v>
          </cell>
          <cell r="FN27">
            <v>0</v>
          </cell>
          <cell r="FO27">
            <v>0</v>
          </cell>
          <cell r="FP27">
            <v>61.333333333333378</v>
          </cell>
          <cell r="FQ27">
            <v>61.333333333333378</v>
          </cell>
          <cell r="FR27">
            <v>18.300000000000011</v>
          </cell>
          <cell r="FS27">
            <v>0</v>
          </cell>
          <cell r="FT27">
            <v>7</v>
          </cell>
          <cell r="FU27">
            <v>2.0333333333333332</v>
          </cell>
          <cell r="FW27" t="str">
            <v>SOBRESTOCK</v>
          </cell>
          <cell r="FX27" t="str">
            <v>B</v>
          </cell>
          <cell r="FY27" t="str">
            <v>Si</v>
          </cell>
        </row>
        <row r="28">
          <cell r="B28" t="str">
            <v>REP-0027</v>
          </cell>
          <cell r="C28" t="str">
            <v>MIX</v>
          </cell>
          <cell r="D28">
            <v>0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</v>
          </cell>
          <cell r="AA28">
            <v>3</v>
          </cell>
          <cell r="AB28">
            <v>1</v>
          </cell>
          <cell r="AC28">
            <v>0</v>
          </cell>
          <cell r="AD28">
            <v>0</v>
          </cell>
          <cell r="AE28">
            <v>8.3333333333333329E-2</v>
          </cell>
          <cell r="AF28">
            <v>0.16666666666666666</v>
          </cell>
          <cell r="AG28">
            <v>8.3333333333333329E-2</v>
          </cell>
          <cell r="AH28">
            <v>0</v>
          </cell>
          <cell r="AI28">
            <v>0</v>
          </cell>
          <cell r="AJ28">
            <v>0</v>
          </cell>
          <cell r="AK28">
            <v>8.3333333333333329E-2</v>
          </cell>
          <cell r="AL28">
            <v>4.1666666666666664E-2</v>
          </cell>
          <cell r="AM28">
            <v>2.0833333333333332E-2</v>
          </cell>
          <cell r="AN28">
            <v>2</v>
          </cell>
          <cell r="AO28">
            <v>0</v>
          </cell>
          <cell r="AP28">
            <v>2.9166666666666665</v>
          </cell>
          <cell r="AQ28">
            <v>17.000000000000004</v>
          </cell>
          <cell r="AR28">
            <v>0</v>
          </cell>
          <cell r="AS28">
            <v>2.666666666666667</v>
          </cell>
          <cell r="AT28">
            <v>3</v>
          </cell>
          <cell r="AU28">
            <v>36</v>
          </cell>
          <cell r="AV28">
            <v>0</v>
          </cell>
          <cell r="AW28">
            <v>2.9166666666666665</v>
          </cell>
          <cell r="AX28">
            <v>3</v>
          </cell>
          <cell r="AY28">
            <v>36</v>
          </cell>
          <cell r="AZ28">
            <v>0</v>
          </cell>
          <cell r="BA28">
            <v>2.9166666666666665</v>
          </cell>
          <cell r="BB28">
            <v>3</v>
          </cell>
          <cell r="BC28">
            <v>36</v>
          </cell>
          <cell r="BD28">
            <v>0</v>
          </cell>
          <cell r="BE28">
            <v>2.9166666666666665</v>
          </cell>
          <cell r="BF28">
            <v>35</v>
          </cell>
          <cell r="BG28">
            <v>0</v>
          </cell>
          <cell r="BH28">
            <v>2.833333333333333</v>
          </cell>
          <cell r="BI28">
            <v>3</v>
          </cell>
          <cell r="BJ28">
            <v>36</v>
          </cell>
          <cell r="BK28">
            <v>0</v>
          </cell>
          <cell r="BL28">
            <v>2.9166666666666665</v>
          </cell>
          <cell r="BM28">
            <v>3</v>
          </cell>
          <cell r="BN28">
            <v>36</v>
          </cell>
          <cell r="BO28">
            <v>0</v>
          </cell>
          <cell r="BP28">
            <v>2.9166666666666665</v>
          </cell>
          <cell r="BQ28">
            <v>3</v>
          </cell>
          <cell r="BR28">
            <v>36</v>
          </cell>
          <cell r="BS28">
            <v>0</v>
          </cell>
          <cell r="BT28">
            <v>2.9166666666666665</v>
          </cell>
          <cell r="BU28">
            <v>3</v>
          </cell>
          <cell r="BV28">
            <v>36</v>
          </cell>
          <cell r="BW28">
            <v>0</v>
          </cell>
          <cell r="BX28">
            <v>0</v>
          </cell>
          <cell r="BY28">
            <v>2.9166666666666665</v>
          </cell>
          <cell r="BZ28">
            <v>3</v>
          </cell>
          <cell r="CA28">
            <v>36</v>
          </cell>
          <cell r="CB28">
            <v>0</v>
          </cell>
          <cell r="CC28">
            <v>0</v>
          </cell>
          <cell r="CD28">
            <v>2.9166666666666665</v>
          </cell>
          <cell r="CE28">
            <v>3</v>
          </cell>
          <cell r="CF28">
            <v>36</v>
          </cell>
          <cell r="CG28">
            <v>0</v>
          </cell>
          <cell r="CH28">
            <v>0</v>
          </cell>
          <cell r="CI28">
            <v>2.833333333333333</v>
          </cell>
          <cell r="CJ28">
            <v>3</v>
          </cell>
          <cell r="CK28">
            <v>36</v>
          </cell>
          <cell r="CL28">
            <v>0</v>
          </cell>
          <cell r="CM28">
            <v>0</v>
          </cell>
          <cell r="CN28">
            <v>2.9166666666666665</v>
          </cell>
          <cell r="CO28">
            <v>3</v>
          </cell>
          <cell r="CP28">
            <v>36</v>
          </cell>
          <cell r="CQ28">
            <v>0</v>
          </cell>
          <cell r="CR28">
            <v>0</v>
          </cell>
          <cell r="CS28">
            <v>2.9166666666666665</v>
          </cell>
          <cell r="CT28">
            <v>3</v>
          </cell>
          <cell r="CU28">
            <v>36</v>
          </cell>
          <cell r="CV28">
            <v>0</v>
          </cell>
          <cell r="CW28">
            <v>0</v>
          </cell>
          <cell r="CX28">
            <v>2.9166666666666665</v>
          </cell>
          <cell r="CY28">
            <v>3</v>
          </cell>
          <cell r="CZ28">
            <v>36</v>
          </cell>
          <cell r="DA28">
            <v>0</v>
          </cell>
          <cell r="DB28">
            <v>0</v>
          </cell>
          <cell r="DC28">
            <v>2.9166666666666665</v>
          </cell>
          <cell r="DD28">
            <v>3</v>
          </cell>
          <cell r="DE28">
            <v>24</v>
          </cell>
          <cell r="DF28">
            <v>0</v>
          </cell>
          <cell r="DG28">
            <v>0</v>
          </cell>
          <cell r="DH28">
            <v>2.9166666666666665</v>
          </cell>
          <cell r="DI28">
            <v>3</v>
          </cell>
          <cell r="DJ28">
            <v>26</v>
          </cell>
          <cell r="DK28">
            <v>0</v>
          </cell>
          <cell r="DL28">
            <v>0</v>
          </cell>
          <cell r="DM28">
            <v>2.833333333333333</v>
          </cell>
          <cell r="DN28">
            <v>3</v>
          </cell>
          <cell r="DO28">
            <v>26</v>
          </cell>
          <cell r="DP28">
            <v>0</v>
          </cell>
          <cell r="DQ28">
            <v>0</v>
          </cell>
          <cell r="DR28">
            <v>2.9166666666666665</v>
          </cell>
          <cell r="DS28">
            <v>2.9166666666666665</v>
          </cell>
          <cell r="DT28">
            <v>25</v>
          </cell>
          <cell r="DU28">
            <v>0</v>
          </cell>
          <cell r="DV28">
            <v>0</v>
          </cell>
          <cell r="DW28">
            <v>2.833333333333333</v>
          </cell>
          <cell r="DX28">
            <v>2.833333333333333</v>
          </cell>
          <cell r="DY28">
            <v>23.999999999999996</v>
          </cell>
          <cell r="DZ28">
            <v>0</v>
          </cell>
          <cell r="EA28">
            <v>0</v>
          </cell>
          <cell r="EB28">
            <v>2.7499999999999996</v>
          </cell>
          <cell r="EC28">
            <v>2.7499999999999996</v>
          </cell>
          <cell r="ED28">
            <v>22.999999999999996</v>
          </cell>
          <cell r="EE28">
            <v>0</v>
          </cell>
          <cell r="EF28">
            <v>0</v>
          </cell>
          <cell r="EG28">
            <v>2.6666666666666661</v>
          </cell>
          <cell r="EH28">
            <v>2.6666666666666661</v>
          </cell>
          <cell r="EI28">
            <v>21.999999999999993</v>
          </cell>
          <cell r="EJ28">
            <v>0</v>
          </cell>
          <cell r="EK28">
            <v>0</v>
          </cell>
          <cell r="EL28">
            <v>2.5833333333333326</v>
          </cell>
          <cell r="EM28">
            <v>2.5833333333333326</v>
          </cell>
          <cell r="EN28">
            <v>20.999999999999993</v>
          </cell>
          <cell r="EO28">
            <v>0</v>
          </cell>
          <cell r="EP28">
            <v>0</v>
          </cell>
          <cell r="EQ28">
            <v>2.4999999999999991</v>
          </cell>
          <cell r="ER28">
            <v>2.4999999999999991</v>
          </cell>
          <cell r="ES28">
            <v>19.999999999999989</v>
          </cell>
          <cell r="ET28">
            <v>0</v>
          </cell>
          <cell r="EU28">
            <v>0</v>
          </cell>
          <cell r="EV28">
            <v>2.4166666666666656</v>
          </cell>
          <cell r="EW28">
            <v>2.4166666666666656</v>
          </cell>
          <cell r="EX28">
            <v>18.999999999999989</v>
          </cell>
          <cell r="EY28">
            <v>0</v>
          </cell>
          <cell r="EZ28">
            <v>0</v>
          </cell>
          <cell r="FA28">
            <v>2.3333333333333321</v>
          </cell>
          <cell r="FB28">
            <v>2.3333333333333321</v>
          </cell>
          <cell r="FC28">
            <v>17.999999999999986</v>
          </cell>
          <cell r="FD28">
            <v>0</v>
          </cell>
          <cell r="FE28">
            <v>0</v>
          </cell>
          <cell r="FF28">
            <v>2.2499999999999987</v>
          </cell>
          <cell r="FG28">
            <v>2.2499999999999987</v>
          </cell>
          <cell r="FH28">
            <v>16.999999999999986</v>
          </cell>
          <cell r="FI28">
            <v>0</v>
          </cell>
          <cell r="FJ28">
            <v>0</v>
          </cell>
          <cell r="FK28">
            <v>2.1666666666666652</v>
          </cell>
          <cell r="FL28">
            <v>2.1666666666666652</v>
          </cell>
          <cell r="FM28">
            <v>15.999999999999982</v>
          </cell>
          <cell r="FN28">
            <v>0</v>
          </cell>
          <cell r="FO28">
            <v>0</v>
          </cell>
          <cell r="FP28">
            <v>2.0833333333333317</v>
          </cell>
          <cell r="FQ28">
            <v>2.0833333333333317</v>
          </cell>
          <cell r="FR28">
            <v>14.99999999999998</v>
          </cell>
          <cell r="FS28">
            <v>0</v>
          </cell>
          <cell r="FT28">
            <v>1</v>
          </cell>
          <cell r="FU28">
            <v>2.0333333333333332</v>
          </cell>
          <cell r="FW28" t="str">
            <v>SIN ROTACIÓN</v>
          </cell>
          <cell r="FX28" t="str">
            <v>C</v>
          </cell>
          <cell r="FY28" t="str">
            <v>Si</v>
          </cell>
        </row>
        <row r="29">
          <cell r="B29" t="str">
            <v>REP-0028</v>
          </cell>
          <cell r="C29" t="str">
            <v>MIX</v>
          </cell>
          <cell r="D29">
            <v>0</v>
          </cell>
          <cell r="E29">
            <v>3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3</v>
          </cell>
          <cell r="AA29">
            <v>3</v>
          </cell>
          <cell r="AB29">
            <v>1</v>
          </cell>
          <cell r="AC29">
            <v>0</v>
          </cell>
          <cell r="AD29">
            <v>0</v>
          </cell>
          <cell r="AE29">
            <v>8.3333333333333329E-2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3</v>
          </cell>
          <cell r="AQ29" t="str">
            <v/>
          </cell>
          <cell r="AR29">
            <v>0</v>
          </cell>
          <cell r="AS29">
            <v>3</v>
          </cell>
          <cell r="AT29">
            <v>3</v>
          </cell>
          <cell r="AU29" t="str">
            <v/>
          </cell>
          <cell r="AV29">
            <v>0</v>
          </cell>
          <cell r="AW29">
            <v>3</v>
          </cell>
          <cell r="AX29">
            <v>3</v>
          </cell>
          <cell r="AY29" t="str">
            <v/>
          </cell>
          <cell r="AZ29">
            <v>0</v>
          </cell>
          <cell r="BA29">
            <v>3</v>
          </cell>
          <cell r="BB29">
            <v>3</v>
          </cell>
          <cell r="BC29" t="str">
            <v/>
          </cell>
          <cell r="BD29">
            <v>0</v>
          </cell>
          <cell r="BE29">
            <v>3</v>
          </cell>
          <cell r="BF29" t="str">
            <v/>
          </cell>
          <cell r="BG29">
            <v>0</v>
          </cell>
          <cell r="BH29">
            <v>3</v>
          </cell>
          <cell r="BI29">
            <v>3</v>
          </cell>
          <cell r="BJ29" t="str">
            <v/>
          </cell>
          <cell r="BK29">
            <v>0</v>
          </cell>
          <cell r="BL29">
            <v>3</v>
          </cell>
          <cell r="BM29">
            <v>3</v>
          </cell>
          <cell r="BN29" t="str">
            <v/>
          </cell>
          <cell r="BO29">
            <v>0</v>
          </cell>
          <cell r="BP29">
            <v>3</v>
          </cell>
          <cell r="BQ29">
            <v>3</v>
          </cell>
          <cell r="BR29" t="str">
            <v/>
          </cell>
          <cell r="BS29">
            <v>0</v>
          </cell>
          <cell r="BT29">
            <v>3</v>
          </cell>
          <cell r="BU29">
            <v>3</v>
          </cell>
          <cell r="BV29" t="str">
            <v/>
          </cell>
          <cell r="BW29">
            <v>0</v>
          </cell>
          <cell r="BX29">
            <v>0</v>
          </cell>
          <cell r="BY29">
            <v>3</v>
          </cell>
          <cell r="BZ29">
            <v>3</v>
          </cell>
          <cell r="CA29" t="str">
            <v/>
          </cell>
          <cell r="CB29">
            <v>0</v>
          </cell>
          <cell r="CC29">
            <v>0</v>
          </cell>
          <cell r="CD29">
            <v>3</v>
          </cell>
          <cell r="CE29">
            <v>3</v>
          </cell>
          <cell r="CF29" t="str">
            <v/>
          </cell>
          <cell r="CG29">
            <v>0</v>
          </cell>
          <cell r="CH29">
            <v>0</v>
          </cell>
          <cell r="CI29">
            <v>3</v>
          </cell>
          <cell r="CJ29">
            <v>3</v>
          </cell>
          <cell r="CK29" t="str">
            <v/>
          </cell>
          <cell r="CL29">
            <v>0</v>
          </cell>
          <cell r="CM29">
            <v>0</v>
          </cell>
          <cell r="CN29">
            <v>3</v>
          </cell>
          <cell r="CO29">
            <v>3</v>
          </cell>
          <cell r="CP29" t="str">
            <v/>
          </cell>
          <cell r="CQ29">
            <v>0</v>
          </cell>
          <cell r="CR29">
            <v>0</v>
          </cell>
          <cell r="CS29">
            <v>3</v>
          </cell>
          <cell r="CT29">
            <v>3</v>
          </cell>
          <cell r="CU29" t="str">
            <v/>
          </cell>
          <cell r="CV29">
            <v>0</v>
          </cell>
          <cell r="CW29">
            <v>0</v>
          </cell>
          <cell r="CX29">
            <v>3</v>
          </cell>
          <cell r="CY29">
            <v>3</v>
          </cell>
          <cell r="CZ29" t="str">
            <v/>
          </cell>
          <cell r="DA29">
            <v>0</v>
          </cell>
          <cell r="DB29">
            <v>0</v>
          </cell>
          <cell r="DC29">
            <v>3</v>
          </cell>
          <cell r="DD29">
            <v>3</v>
          </cell>
          <cell r="DE29" t="str">
            <v/>
          </cell>
          <cell r="DF29">
            <v>0</v>
          </cell>
          <cell r="DG29">
            <v>0</v>
          </cell>
          <cell r="DH29">
            <v>3</v>
          </cell>
          <cell r="DI29">
            <v>3</v>
          </cell>
          <cell r="DJ29" t="str">
            <v/>
          </cell>
          <cell r="DK29">
            <v>0</v>
          </cell>
          <cell r="DL29">
            <v>0</v>
          </cell>
          <cell r="DM29">
            <v>3</v>
          </cell>
          <cell r="DN29">
            <v>3</v>
          </cell>
          <cell r="DO29" t="str">
            <v/>
          </cell>
          <cell r="DP29">
            <v>0</v>
          </cell>
          <cell r="DQ29">
            <v>0</v>
          </cell>
          <cell r="DR29">
            <v>3</v>
          </cell>
          <cell r="DS29">
            <v>3</v>
          </cell>
          <cell r="DT29" t="str">
            <v/>
          </cell>
          <cell r="DU29">
            <v>0</v>
          </cell>
          <cell r="DV29">
            <v>0</v>
          </cell>
          <cell r="DW29">
            <v>3</v>
          </cell>
          <cell r="DX29">
            <v>3</v>
          </cell>
          <cell r="DY29" t="str">
            <v/>
          </cell>
          <cell r="DZ29">
            <v>0</v>
          </cell>
          <cell r="EA29">
            <v>0</v>
          </cell>
          <cell r="EB29">
            <v>3</v>
          </cell>
          <cell r="EC29">
            <v>3</v>
          </cell>
          <cell r="ED29" t="str">
            <v/>
          </cell>
          <cell r="EE29">
            <v>0</v>
          </cell>
          <cell r="EF29">
            <v>0</v>
          </cell>
          <cell r="EG29">
            <v>3</v>
          </cell>
          <cell r="EH29">
            <v>3</v>
          </cell>
          <cell r="EI29" t="str">
            <v/>
          </cell>
          <cell r="EJ29">
            <v>0</v>
          </cell>
          <cell r="EK29">
            <v>0</v>
          </cell>
          <cell r="EL29">
            <v>3</v>
          </cell>
          <cell r="EM29">
            <v>3</v>
          </cell>
          <cell r="EN29" t="str">
            <v/>
          </cell>
          <cell r="EO29">
            <v>0</v>
          </cell>
          <cell r="EP29">
            <v>0</v>
          </cell>
          <cell r="EQ29">
            <v>3</v>
          </cell>
          <cell r="ER29">
            <v>3</v>
          </cell>
          <cell r="ES29" t="str">
            <v/>
          </cell>
          <cell r="ET29">
            <v>0</v>
          </cell>
          <cell r="EU29">
            <v>0</v>
          </cell>
          <cell r="EV29">
            <v>3</v>
          </cell>
          <cell r="EW29">
            <v>3</v>
          </cell>
          <cell r="EX29" t="str">
            <v/>
          </cell>
          <cell r="EY29">
            <v>0</v>
          </cell>
          <cell r="EZ29">
            <v>0</v>
          </cell>
          <cell r="FA29">
            <v>3</v>
          </cell>
          <cell r="FB29">
            <v>3</v>
          </cell>
          <cell r="FC29" t="str">
            <v/>
          </cell>
          <cell r="FD29">
            <v>0</v>
          </cell>
          <cell r="FE29">
            <v>0</v>
          </cell>
          <cell r="FF29">
            <v>3</v>
          </cell>
          <cell r="FG29">
            <v>3</v>
          </cell>
          <cell r="FH29" t="str">
            <v/>
          </cell>
          <cell r="FI29">
            <v>0</v>
          </cell>
          <cell r="FJ29">
            <v>0</v>
          </cell>
          <cell r="FK29">
            <v>3</v>
          </cell>
          <cell r="FL29">
            <v>3</v>
          </cell>
          <cell r="FM29" t="str">
            <v/>
          </cell>
          <cell r="FN29">
            <v>0</v>
          </cell>
          <cell r="FO29">
            <v>0</v>
          </cell>
          <cell r="FP29">
            <v>3</v>
          </cell>
          <cell r="FQ29">
            <v>3</v>
          </cell>
          <cell r="FR29" t="str">
            <v/>
          </cell>
          <cell r="FS29">
            <v>0</v>
          </cell>
          <cell r="FT29">
            <v>0</v>
          </cell>
          <cell r="FU29">
            <v>2.0333333333333332</v>
          </cell>
          <cell r="FV29" t="str">
            <v>SI</v>
          </cell>
          <cell r="FW29" t="str">
            <v>SIN ROTACIÓN</v>
          </cell>
          <cell r="FX29" t="str">
            <v>STOCK MUERTO</v>
          </cell>
          <cell r="FY29" t="str">
            <v>Si</v>
          </cell>
        </row>
        <row r="30">
          <cell r="B30" t="str">
            <v>REP-0029</v>
          </cell>
          <cell r="C30" t="str">
            <v>MIX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5</v>
          </cell>
          <cell r="AA30">
            <v>5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8.3333333333333329E-2</v>
          </cell>
          <cell r="AG30">
            <v>8.3333333333333329E-2</v>
          </cell>
          <cell r="AH30">
            <v>0.41666666666666669</v>
          </cell>
          <cell r="AI30">
            <v>0.33333333333333331</v>
          </cell>
          <cell r="AJ30">
            <v>0.33333333333333331</v>
          </cell>
          <cell r="AK30">
            <v>0.41666666666666669</v>
          </cell>
          <cell r="AL30">
            <v>0.14433756729740657</v>
          </cell>
          <cell r="AM30">
            <v>0.29166666666666663</v>
          </cell>
          <cell r="AN30">
            <v>0.49487165930539401</v>
          </cell>
          <cell r="AO30">
            <v>0</v>
          </cell>
          <cell r="AP30">
            <v>6.666666666666667</v>
          </cell>
          <cell r="AQ30">
            <v>83.000000000000014</v>
          </cell>
          <cell r="AR30">
            <v>0</v>
          </cell>
          <cell r="AS30">
            <v>6</v>
          </cell>
          <cell r="AT30">
            <v>6</v>
          </cell>
          <cell r="AU30">
            <v>12</v>
          </cell>
          <cell r="AV30">
            <v>0</v>
          </cell>
          <cell r="AW30">
            <v>5.5</v>
          </cell>
          <cell r="AX30">
            <v>6</v>
          </cell>
          <cell r="AY30">
            <v>14.399999999999999</v>
          </cell>
          <cell r="AZ30">
            <v>0</v>
          </cell>
          <cell r="BA30">
            <v>5.666666666666667</v>
          </cell>
          <cell r="BB30">
            <v>5</v>
          </cell>
          <cell r="BC30">
            <v>7.5</v>
          </cell>
          <cell r="BD30">
            <v>0</v>
          </cell>
          <cell r="BE30">
            <v>4.333333333333333</v>
          </cell>
          <cell r="BF30">
            <v>6.5</v>
          </cell>
          <cell r="BG30">
            <v>0</v>
          </cell>
          <cell r="BH30">
            <v>3.6666666666666665</v>
          </cell>
          <cell r="BI30">
            <v>5</v>
          </cell>
          <cell r="BJ30">
            <v>12</v>
          </cell>
          <cell r="BK30">
            <v>0</v>
          </cell>
          <cell r="BL30">
            <v>3.6666666666666665</v>
          </cell>
          <cell r="BM30">
            <v>6</v>
          </cell>
          <cell r="BN30">
            <v>18</v>
          </cell>
          <cell r="BO30">
            <v>0</v>
          </cell>
          <cell r="BP30">
            <v>5.666666666666667</v>
          </cell>
          <cell r="BQ30">
            <v>5</v>
          </cell>
          <cell r="BR30">
            <v>12</v>
          </cell>
          <cell r="BS30">
            <v>0</v>
          </cell>
          <cell r="BT30">
            <v>4.625</v>
          </cell>
          <cell r="BU30">
            <v>5</v>
          </cell>
          <cell r="BV30">
            <v>15</v>
          </cell>
          <cell r="BW30">
            <v>0</v>
          </cell>
          <cell r="BX30">
            <v>0</v>
          </cell>
          <cell r="BY30">
            <v>4.666666666666667</v>
          </cell>
          <cell r="BZ30">
            <v>5</v>
          </cell>
          <cell r="CA30">
            <v>16.666666666666668</v>
          </cell>
          <cell r="CB30">
            <v>0</v>
          </cell>
          <cell r="CC30">
            <v>0</v>
          </cell>
          <cell r="CD30">
            <v>9.6999999999999993</v>
          </cell>
          <cell r="CE30">
            <v>5</v>
          </cell>
          <cell r="CF30">
            <v>18.333333333333336</v>
          </cell>
          <cell r="CG30">
            <v>0</v>
          </cell>
          <cell r="CH30">
            <v>5</v>
          </cell>
          <cell r="CI30">
            <v>9.4272727272727259</v>
          </cell>
          <cell r="CJ30">
            <v>8</v>
          </cell>
          <cell r="CK30">
            <v>16</v>
          </cell>
          <cell r="CL30">
            <v>0</v>
          </cell>
          <cell r="CM30">
            <v>0</v>
          </cell>
          <cell r="CN30">
            <v>7.5</v>
          </cell>
          <cell r="CO30">
            <v>7</v>
          </cell>
          <cell r="CP30">
            <v>14</v>
          </cell>
          <cell r="CQ30">
            <v>0</v>
          </cell>
          <cell r="CR30">
            <v>0</v>
          </cell>
          <cell r="CS30">
            <v>6.5</v>
          </cell>
          <cell r="CT30">
            <v>6</v>
          </cell>
          <cell r="CU30">
            <v>12</v>
          </cell>
          <cell r="CV30">
            <v>0</v>
          </cell>
          <cell r="CW30">
            <v>0</v>
          </cell>
          <cell r="CX30">
            <v>5.5</v>
          </cell>
          <cell r="CY30">
            <v>6</v>
          </cell>
          <cell r="CZ30">
            <v>14.399999999999999</v>
          </cell>
          <cell r="DA30">
            <v>0</v>
          </cell>
          <cell r="DB30">
            <v>0</v>
          </cell>
          <cell r="DC30">
            <v>5.583333333333333</v>
          </cell>
          <cell r="DD30">
            <v>6</v>
          </cell>
          <cell r="DE30">
            <v>8</v>
          </cell>
          <cell r="DF30">
            <v>0</v>
          </cell>
          <cell r="DG30">
            <v>0</v>
          </cell>
          <cell r="DH30">
            <v>5.5</v>
          </cell>
          <cell r="DI30">
            <v>6</v>
          </cell>
          <cell r="DJ30">
            <v>10</v>
          </cell>
          <cell r="DK30">
            <v>0</v>
          </cell>
          <cell r="DL30">
            <v>0</v>
          </cell>
          <cell r="DM30">
            <v>5</v>
          </cell>
          <cell r="DN30">
            <v>5</v>
          </cell>
          <cell r="DO30">
            <v>11.6</v>
          </cell>
          <cell r="DP30">
            <v>0</v>
          </cell>
          <cell r="DQ30">
            <v>0</v>
          </cell>
          <cell r="DR30">
            <v>4.583333333333333</v>
          </cell>
          <cell r="DS30">
            <v>4.583333333333333</v>
          </cell>
          <cell r="DT30">
            <v>10.6</v>
          </cell>
          <cell r="DU30">
            <v>0</v>
          </cell>
          <cell r="DV30">
            <v>0</v>
          </cell>
          <cell r="DW30">
            <v>4.1666666666666661</v>
          </cell>
          <cell r="DX30">
            <v>4.1666666666666661</v>
          </cell>
          <cell r="DY30">
            <v>9.5999999999999979</v>
          </cell>
          <cell r="DZ30">
            <v>0</v>
          </cell>
          <cell r="EA30">
            <v>0</v>
          </cell>
          <cell r="EB30">
            <v>3.7499999999999996</v>
          </cell>
          <cell r="EC30">
            <v>3.7499999999999996</v>
          </cell>
          <cell r="ED30">
            <v>8.5999999999999979</v>
          </cell>
          <cell r="EE30">
            <v>0</v>
          </cell>
          <cell r="EF30">
            <v>0</v>
          </cell>
          <cell r="EG30">
            <v>3.333333333333333</v>
          </cell>
          <cell r="EH30">
            <v>3.333333333333333</v>
          </cell>
          <cell r="EI30">
            <v>7.5999999999999988</v>
          </cell>
          <cell r="EJ30">
            <v>0</v>
          </cell>
          <cell r="EK30">
            <v>0</v>
          </cell>
          <cell r="EL30">
            <v>2.9166666666666665</v>
          </cell>
          <cell r="EM30">
            <v>2.9166666666666665</v>
          </cell>
          <cell r="EN30">
            <v>6.6</v>
          </cell>
          <cell r="EO30">
            <v>0</v>
          </cell>
          <cell r="EP30">
            <v>0</v>
          </cell>
          <cell r="EQ30">
            <v>2.5</v>
          </cell>
          <cell r="ER30">
            <v>2.5</v>
          </cell>
          <cell r="ES30">
            <v>5.6</v>
          </cell>
          <cell r="ET30">
            <v>0</v>
          </cell>
          <cell r="EU30">
            <v>0</v>
          </cell>
          <cell r="EV30">
            <v>2.0833333333333335</v>
          </cell>
          <cell r="EW30">
            <v>2.0833333333333335</v>
          </cell>
          <cell r="EX30">
            <v>4.5999999999999996</v>
          </cell>
          <cell r="EY30">
            <v>0</v>
          </cell>
          <cell r="EZ30">
            <v>0</v>
          </cell>
          <cell r="FA30">
            <v>1.6666666666666667</v>
          </cell>
          <cell r="FB30">
            <v>1.6666666666666667</v>
          </cell>
          <cell r="FC30">
            <v>3.6</v>
          </cell>
          <cell r="FD30">
            <v>0</v>
          </cell>
          <cell r="FE30">
            <v>5</v>
          </cell>
          <cell r="FF30">
            <v>6.25</v>
          </cell>
          <cell r="FG30">
            <v>6.25</v>
          </cell>
          <cell r="FH30">
            <v>14.6</v>
          </cell>
          <cell r="FI30">
            <v>0</v>
          </cell>
          <cell r="FJ30">
            <v>0</v>
          </cell>
          <cell r="FK30">
            <v>5.833333333333333</v>
          </cell>
          <cell r="FL30">
            <v>5.833333333333333</v>
          </cell>
          <cell r="FM30">
            <v>13.6</v>
          </cell>
          <cell r="FN30">
            <v>0</v>
          </cell>
          <cell r="FO30">
            <v>0</v>
          </cell>
          <cell r="FP30">
            <v>5.4166666666666661</v>
          </cell>
          <cell r="FQ30">
            <v>5.4166666666666661</v>
          </cell>
          <cell r="FR30">
            <v>12.599999999999998</v>
          </cell>
          <cell r="FS30">
            <v>0</v>
          </cell>
          <cell r="FT30">
            <v>1</v>
          </cell>
          <cell r="FU30">
            <v>2.0333333333333332</v>
          </cell>
          <cell r="FW30" t="str">
            <v>SOBRESTOCK</v>
          </cell>
          <cell r="FX30" t="str">
            <v>C</v>
          </cell>
          <cell r="FY30" t="str">
            <v>Si</v>
          </cell>
        </row>
        <row r="31">
          <cell r="B31" t="str">
            <v>REP-0030</v>
          </cell>
          <cell r="C31" t="str">
            <v>MIX</v>
          </cell>
          <cell r="D31">
            <v>0</v>
          </cell>
          <cell r="E31">
            <v>17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2</v>
          </cell>
          <cell r="L31">
            <v>0</v>
          </cell>
          <cell r="M31">
            <v>0</v>
          </cell>
          <cell r="N31">
            <v>1</v>
          </cell>
          <cell r="O31">
            <v>0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</v>
          </cell>
          <cell r="V31">
            <v>1</v>
          </cell>
          <cell r="W31">
            <v>0</v>
          </cell>
          <cell r="X31">
            <v>0</v>
          </cell>
          <cell r="Y31">
            <v>23</v>
          </cell>
          <cell r="AA31">
            <v>23</v>
          </cell>
          <cell r="AB31">
            <v>56</v>
          </cell>
          <cell r="AC31">
            <v>9.6666666666666661</v>
          </cell>
          <cell r="AD31">
            <v>0.32222222222222219</v>
          </cell>
          <cell r="AE31">
            <v>9.1666666666666661</v>
          </cell>
          <cell r="AF31">
            <v>10.083333333333334</v>
          </cell>
          <cell r="AG31">
            <v>3</v>
          </cell>
          <cell r="AH31">
            <v>0.25</v>
          </cell>
          <cell r="AI31">
            <v>0.16666666666666666</v>
          </cell>
          <cell r="AJ31">
            <v>0.16666666666666666</v>
          </cell>
          <cell r="AK31">
            <v>0</v>
          </cell>
          <cell r="AL31">
            <v>1.4033277249821954</v>
          </cell>
          <cell r="AM31">
            <v>0.89583333333333326</v>
          </cell>
          <cell r="AN31">
            <v>1.5665053674219858</v>
          </cell>
          <cell r="AO31">
            <v>0</v>
          </cell>
          <cell r="AP31">
            <v>28</v>
          </cell>
          <cell r="AQ31" t="str">
            <v/>
          </cell>
          <cell r="AR31">
            <v>0</v>
          </cell>
          <cell r="AS31">
            <v>31</v>
          </cell>
          <cell r="AT31">
            <v>31</v>
          </cell>
          <cell r="AU31">
            <v>10.333333333333334</v>
          </cell>
          <cell r="AV31">
            <v>0</v>
          </cell>
          <cell r="AW31">
            <v>28</v>
          </cell>
          <cell r="AX31">
            <v>31</v>
          </cell>
          <cell r="AY31" t="str">
            <v/>
          </cell>
          <cell r="AZ31">
            <v>0</v>
          </cell>
          <cell r="BA31">
            <v>28</v>
          </cell>
          <cell r="BB31">
            <v>30</v>
          </cell>
          <cell r="BC31">
            <v>10</v>
          </cell>
          <cell r="BD31">
            <v>0</v>
          </cell>
          <cell r="BE31">
            <v>27</v>
          </cell>
          <cell r="BF31">
            <v>9</v>
          </cell>
          <cell r="BG31">
            <v>0</v>
          </cell>
          <cell r="BH31">
            <v>24</v>
          </cell>
          <cell r="BI31">
            <v>23</v>
          </cell>
          <cell r="BJ31" t="str">
            <v/>
          </cell>
          <cell r="BK31">
            <v>0</v>
          </cell>
          <cell r="BL31">
            <v>26</v>
          </cell>
          <cell r="BM31">
            <v>29</v>
          </cell>
          <cell r="BN31">
            <v>9.6666666666666661</v>
          </cell>
          <cell r="BO31">
            <v>0</v>
          </cell>
          <cell r="BP31">
            <v>26</v>
          </cell>
          <cell r="BQ31">
            <v>29</v>
          </cell>
          <cell r="BR31" t="str">
            <v/>
          </cell>
          <cell r="BS31">
            <v>0</v>
          </cell>
          <cell r="BT31">
            <v>26</v>
          </cell>
          <cell r="BU31">
            <v>29</v>
          </cell>
          <cell r="BV31">
            <v>9.6666666666666661</v>
          </cell>
          <cell r="BW31">
            <v>0</v>
          </cell>
          <cell r="BX31">
            <v>0</v>
          </cell>
          <cell r="BY31">
            <v>26</v>
          </cell>
          <cell r="BZ31">
            <v>29</v>
          </cell>
          <cell r="CA31">
            <v>9.6666666666666661</v>
          </cell>
          <cell r="CB31">
            <v>0</v>
          </cell>
          <cell r="CC31">
            <v>0</v>
          </cell>
          <cell r="CD31">
            <v>26</v>
          </cell>
          <cell r="CE31">
            <v>28</v>
          </cell>
          <cell r="CF31">
            <v>9.3333333333333339</v>
          </cell>
          <cell r="CG31">
            <v>0</v>
          </cell>
          <cell r="CH31">
            <v>0</v>
          </cell>
          <cell r="CI31">
            <v>23</v>
          </cell>
          <cell r="CJ31">
            <v>28</v>
          </cell>
          <cell r="CK31">
            <v>9.3333333333333339</v>
          </cell>
          <cell r="CL31">
            <v>0</v>
          </cell>
          <cell r="CM31">
            <v>0</v>
          </cell>
          <cell r="CN31">
            <v>25</v>
          </cell>
          <cell r="CO31">
            <v>28</v>
          </cell>
          <cell r="CP31" t="str">
            <v/>
          </cell>
          <cell r="CQ31">
            <v>0</v>
          </cell>
          <cell r="CR31">
            <v>0</v>
          </cell>
          <cell r="CS31">
            <v>28</v>
          </cell>
          <cell r="CT31">
            <v>27</v>
          </cell>
          <cell r="CU31" t="str">
            <v/>
          </cell>
          <cell r="CV31">
            <v>0</v>
          </cell>
          <cell r="CW31">
            <v>0</v>
          </cell>
          <cell r="CX31">
            <v>27</v>
          </cell>
          <cell r="CY31">
            <v>28</v>
          </cell>
          <cell r="CZ31" t="str">
            <v/>
          </cell>
          <cell r="DA31">
            <v>0</v>
          </cell>
          <cell r="DB31">
            <v>0</v>
          </cell>
          <cell r="DC31">
            <v>28</v>
          </cell>
          <cell r="DD31">
            <v>28</v>
          </cell>
          <cell r="DE31" t="str">
            <v/>
          </cell>
          <cell r="DF31">
            <v>0</v>
          </cell>
          <cell r="DG31">
            <v>0</v>
          </cell>
          <cell r="DH31">
            <v>28</v>
          </cell>
          <cell r="DI31">
            <v>28</v>
          </cell>
          <cell r="DJ31" t="str">
            <v/>
          </cell>
          <cell r="DK31">
            <v>0</v>
          </cell>
          <cell r="DL31">
            <v>0</v>
          </cell>
          <cell r="DM31">
            <v>28</v>
          </cell>
          <cell r="DN31">
            <v>23</v>
          </cell>
          <cell r="DO31" t="str">
            <v/>
          </cell>
          <cell r="DP31">
            <v>0</v>
          </cell>
          <cell r="DR31">
            <v>23</v>
          </cell>
          <cell r="DS31">
            <v>23</v>
          </cell>
          <cell r="DT31" t="str">
            <v/>
          </cell>
          <cell r="DU31">
            <v>0</v>
          </cell>
          <cell r="DV31">
            <v>0</v>
          </cell>
          <cell r="DW31">
            <v>23</v>
          </cell>
          <cell r="DX31">
            <v>23</v>
          </cell>
          <cell r="DY31" t="str">
            <v/>
          </cell>
          <cell r="DZ31">
            <v>0</v>
          </cell>
          <cell r="EA31">
            <v>0</v>
          </cell>
          <cell r="EB31">
            <v>23</v>
          </cell>
          <cell r="EC31">
            <v>23</v>
          </cell>
          <cell r="ED31" t="str">
            <v/>
          </cell>
          <cell r="EE31">
            <v>0</v>
          </cell>
          <cell r="EF31">
            <v>0</v>
          </cell>
          <cell r="EG31">
            <v>23</v>
          </cell>
          <cell r="EH31">
            <v>23</v>
          </cell>
          <cell r="EI31" t="str">
            <v/>
          </cell>
          <cell r="EJ31">
            <v>0</v>
          </cell>
          <cell r="EK31">
            <v>0</v>
          </cell>
          <cell r="EL31">
            <v>23</v>
          </cell>
          <cell r="EM31">
            <v>23</v>
          </cell>
          <cell r="EN31" t="str">
            <v/>
          </cell>
          <cell r="EO31">
            <v>0</v>
          </cell>
          <cell r="EP31">
            <v>0</v>
          </cell>
          <cell r="EQ31">
            <v>23</v>
          </cell>
          <cell r="ER31">
            <v>23</v>
          </cell>
          <cell r="ES31" t="str">
            <v/>
          </cell>
          <cell r="ET31">
            <v>0</v>
          </cell>
          <cell r="EU31">
            <v>0</v>
          </cell>
          <cell r="EV31">
            <v>23</v>
          </cell>
          <cell r="EW31">
            <v>23</v>
          </cell>
          <cell r="EX31" t="str">
            <v/>
          </cell>
          <cell r="EY31">
            <v>0</v>
          </cell>
          <cell r="EZ31">
            <v>0</v>
          </cell>
          <cell r="FA31">
            <v>23</v>
          </cell>
          <cell r="FB31">
            <v>23</v>
          </cell>
          <cell r="FC31" t="str">
            <v/>
          </cell>
          <cell r="FD31">
            <v>0</v>
          </cell>
          <cell r="FE31">
            <v>0</v>
          </cell>
          <cell r="FF31">
            <v>23</v>
          </cell>
          <cell r="FG31">
            <v>23</v>
          </cell>
          <cell r="FH31" t="str">
            <v/>
          </cell>
          <cell r="FI31">
            <v>0</v>
          </cell>
          <cell r="FJ31">
            <v>0</v>
          </cell>
          <cell r="FK31">
            <v>23</v>
          </cell>
          <cell r="FL31">
            <v>23</v>
          </cell>
          <cell r="FM31" t="str">
            <v/>
          </cell>
          <cell r="FN31">
            <v>0</v>
          </cell>
          <cell r="FO31">
            <v>0</v>
          </cell>
          <cell r="FP31">
            <v>23</v>
          </cell>
          <cell r="FQ31">
            <v>23</v>
          </cell>
          <cell r="FR31" t="str">
            <v/>
          </cell>
          <cell r="FS31">
            <v>0</v>
          </cell>
          <cell r="FT31">
            <v>0</v>
          </cell>
          <cell r="FU31">
            <v>2.0333333333333332</v>
          </cell>
          <cell r="FW31" t="str">
            <v>SIN ROTACIÓN</v>
          </cell>
          <cell r="FX31" t="str">
            <v>A</v>
          </cell>
          <cell r="FY31" t="str">
            <v>Si</v>
          </cell>
        </row>
        <row r="32">
          <cell r="B32" t="str">
            <v>REP-0031</v>
          </cell>
          <cell r="C32" t="str">
            <v>MIX</v>
          </cell>
          <cell r="D32">
            <v>0</v>
          </cell>
          <cell r="E32">
            <v>47</v>
          </cell>
          <cell r="F32">
            <v>0</v>
          </cell>
          <cell r="G32">
            <v>0</v>
          </cell>
          <cell r="H32">
            <v>4</v>
          </cell>
          <cell r="I32">
            <v>4</v>
          </cell>
          <cell r="J32">
            <v>0</v>
          </cell>
          <cell r="K32">
            <v>9</v>
          </cell>
          <cell r="L32">
            <v>5</v>
          </cell>
          <cell r="M32">
            <v>2</v>
          </cell>
          <cell r="N32">
            <v>4</v>
          </cell>
          <cell r="O32">
            <v>2</v>
          </cell>
          <cell r="P32">
            <v>5</v>
          </cell>
          <cell r="Q32">
            <v>3</v>
          </cell>
          <cell r="R32">
            <v>3</v>
          </cell>
          <cell r="S32">
            <v>2</v>
          </cell>
          <cell r="T32">
            <v>2</v>
          </cell>
          <cell r="U32">
            <v>2</v>
          </cell>
          <cell r="V32">
            <v>0</v>
          </cell>
          <cell r="W32">
            <v>3</v>
          </cell>
          <cell r="X32">
            <v>3</v>
          </cell>
          <cell r="Y32">
            <v>100</v>
          </cell>
          <cell r="AA32">
            <v>100</v>
          </cell>
          <cell r="AB32">
            <v>50</v>
          </cell>
          <cell r="AC32">
            <v>11.166666666666666</v>
          </cell>
          <cell r="AD32">
            <v>0.37222222222222218</v>
          </cell>
          <cell r="AE32">
            <v>9.25</v>
          </cell>
          <cell r="AF32">
            <v>7.75</v>
          </cell>
          <cell r="AG32">
            <v>6.916666666666667</v>
          </cell>
          <cell r="AH32">
            <v>3.9166666666666665</v>
          </cell>
          <cell r="AI32">
            <v>1.8333333333333333</v>
          </cell>
          <cell r="AJ32">
            <v>1.8333333333333333</v>
          </cell>
          <cell r="AK32">
            <v>3.6250000000000004</v>
          </cell>
          <cell r="AL32">
            <v>2.4041823126777615</v>
          </cell>
          <cell r="AM32">
            <v>3.6250000000000004</v>
          </cell>
          <cell r="AN32">
            <v>0.66322270694558927</v>
          </cell>
          <cell r="AO32">
            <v>0</v>
          </cell>
          <cell r="AP32">
            <v>108.08333333333333</v>
          </cell>
          <cell r="AQ32">
            <v>13.838709677419354</v>
          </cell>
          <cell r="AR32">
            <v>0</v>
          </cell>
          <cell r="AS32">
            <v>119.5</v>
          </cell>
          <cell r="AT32">
            <v>132</v>
          </cell>
          <cell r="AU32">
            <v>19.08433734939759</v>
          </cell>
          <cell r="AV32">
            <v>0</v>
          </cell>
          <cell r="AW32">
            <v>125.08333333333333</v>
          </cell>
          <cell r="AX32">
            <v>123</v>
          </cell>
          <cell r="AY32">
            <v>33.931034482758619</v>
          </cell>
          <cell r="AZ32">
            <v>0</v>
          </cell>
          <cell r="BA32">
            <v>116.08333333333333</v>
          </cell>
          <cell r="BB32">
            <v>122</v>
          </cell>
          <cell r="BC32">
            <v>17.638554216867469</v>
          </cell>
          <cell r="BD32">
            <v>0</v>
          </cell>
          <cell r="BE32">
            <v>115.08333333333333</v>
          </cell>
          <cell r="BF32">
            <v>16.638554216867469</v>
          </cell>
          <cell r="BG32">
            <v>0</v>
          </cell>
          <cell r="BH32">
            <v>108.16666666666666</v>
          </cell>
          <cell r="BI32">
            <v>100</v>
          </cell>
          <cell r="BJ32">
            <v>27.586206896551722</v>
          </cell>
          <cell r="BK32">
            <v>0</v>
          </cell>
          <cell r="BL32">
            <v>98.083333333333329</v>
          </cell>
          <cell r="BM32">
            <v>103</v>
          </cell>
          <cell r="BN32">
            <v>14.89156626506024</v>
          </cell>
          <cell r="BO32">
            <v>0</v>
          </cell>
          <cell r="BP32">
            <v>96.083333333333329</v>
          </cell>
          <cell r="BQ32">
            <v>98</v>
          </cell>
          <cell r="BR32">
            <v>27.034482758620687</v>
          </cell>
          <cell r="BS32">
            <v>0</v>
          </cell>
          <cell r="BT32">
            <v>91.083333333333329</v>
          </cell>
          <cell r="BU32">
            <v>97</v>
          </cell>
          <cell r="BV32">
            <v>14.024096385542167</v>
          </cell>
          <cell r="BW32">
            <v>0</v>
          </cell>
          <cell r="BX32">
            <v>0</v>
          </cell>
          <cell r="BY32">
            <v>90.083333333333329</v>
          </cell>
          <cell r="BZ32">
            <v>97</v>
          </cell>
          <cell r="CA32">
            <v>14.024096385542167</v>
          </cell>
          <cell r="CB32">
            <v>0</v>
          </cell>
          <cell r="CC32">
            <v>0</v>
          </cell>
          <cell r="CD32">
            <v>90.083333333333329</v>
          </cell>
          <cell r="CE32">
            <v>87</v>
          </cell>
          <cell r="CF32">
            <v>12.578313253012048</v>
          </cell>
          <cell r="CG32">
            <v>0</v>
          </cell>
          <cell r="CH32">
            <v>0</v>
          </cell>
          <cell r="CI32">
            <v>83.166666666666657</v>
          </cell>
          <cell r="CJ32">
            <v>89</v>
          </cell>
          <cell r="CK32">
            <v>12.867469879518072</v>
          </cell>
          <cell r="CL32">
            <v>0</v>
          </cell>
          <cell r="CM32">
            <v>0</v>
          </cell>
          <cell r="CN32">
            <v>82.083333333333329</v>
          </cell>
          <cell r="CO32">
            <v>84</v>
          </cell>
          <cell r="CP32">
            <v>12.144578313253012</v>
          </cell>
          <cell r="CQ32">
            <v>0</v>
          </cell>
          <cell r="CR32">
            <v>0</v>
          </cell>
          <cell r="CS32">
            <v>77.083333333333329</v>
          </cell>
          <cell r="CT32">
            <v>86</v>
          </cell>
          <cell r="CU32">
            <v>12.433734939759036</v>
          </cell>
          <cell r="CV32">
            <v>0</v>
          </cell>
          <cell r="CW32">
            <v>0</v>
          </cell>
          <cell r="CX32">
            <v>79.083333333333329</v>
          </cell>
          <cell r="CY32">
            <v>83</v>
          </cell>
          <cell r="CZ32">
            <v>12</v>
          </cell>
          <cell r="DA32">
            <v>0</v>
          </cell>
          <cell r="DB32">
            <v>20</v>
          </cell>
          <cell r="DC32">
            <v>99.6875</v>
          </cell>
          <cell r="DD32">
            <v>105</v>
          </cell>
          <cell r="DE32">
            <v>26.011173184357538</v>
          </cell>
          <cell r="DF32">
            <v>0</v>
          </cell>
          <cell r="DG32">
            <v>0</v>
          </cell>
          <cell r="DH32">
            <v>101.27083333333333</v>
          </cell>
          <cell r="DI32">
            <v>103</v>
          </cell>
          <cell r="DJ32">
            <v>28.886792452830186</v>
          </cell>
          <cell r="DK32">
            <v>0</v>
          </cell>
          <cell r="DL32">
            <v>0</v>
          </cell>
          <cell r="DM32">
            <v>97.737499999999997</v>
          </cell>
          <cell r="DN32">
            <v>100</v>
          </cell>
          <cell r="DO32">
            <v>27.379310344827584</v>
          </cell>
          <cell r="DP32">
            <v>0</v>
          </cell>
          <cell r="DQ32">
            <v>0</v>
          </cell>
          <cell r="DR32">
            <v>96.375</v>
          </cell>
          <cell r="DS32">
            <v>96.375</v>
          </cell>
          <cell r="DT32">
            <v>26.379310344827584</v>
          </cell>
          <cell r="DU32">
            <v>0</v>
          </cell>
          <cell r="DV32">
            <v>0</v>
          </cell>
          <cell r="DW32">
            <v>92.75</v>
          </cell>
          <cell r="DX32">
            <v>92.75</v>
          </cell>
          <cell r="DY32">
            <v>25.379310344827584</v>
          </cell>
          <cell r="DZ32">
            <v>0</v>
          </cell>
          <cell r="EA32">
            <v>0</v>
          </cell>
          <cell r="EB32">
            <v>89.125</v>
          </cell>
          <cell r="EC32">
            <v>89.125</v>
          </cell>
          <cell r="ED32">
            <v>24.379310344827584</v>
          </cell>
          <cell r="EE32">
            <v>0</v>
          </cell>
          <cell r="EF32">
            <v>0</v>
          </cell>
          <cell r="EG32">
            <v>85.5</v>
          </cell>
          <cell r="EH32">
            <v>85.5</v>
          </cell>
          <cell r="EI32">
            <v>23.379310344827584</v>
          </cell>
          <cell r="EJ32">
            <v>0</v>
          </cell>
          <cell r="EK32">
            <v>0</v>
          </cell>
          <cell r="EL32">
            <v>81.875</v>
          </cell>
          <cell r="EM32">
            <v>81.875</v>
          </cell>
          <cell r="EN32">
            <v>22.379310344827584</v>
          </cell>
          <cell r="EO32">
            <v>0</v>
          </cell>
          <cell r="EP32">
            <v>0</v>
          </cell>
          <cell r="EQ32">
            <v>78.25</v>
          </cell>
          <cell r="ER32">
            <v>78.25</v>
          </cell>
          <cell r="ES32">
            <v>21.379310344827584</v>
          </cell>
          <cell r="ET32">
            <v>0</v>
          </cell>
          <cell r="EU32">
            <v>0</v>
          </cell>
          <cell r="EV32">
            <v>74.625</v>
          </cell>
          <cell r="EW32">
            <v>74.625</v>
          </cell>
          <cell r="EX32">
            <v>20.379310344827584</v>
          </cell>
          <cell r="EY32">
            <v>0</v>
          </cell>
          <cell r="EZ32">
            <v>0</v>
          </cell>
          <cell r="FA32">
            <v>71</v>
          </cell>
          <cell r="FB32">
            <v>71</v>
          </cell>
          <cell r="FC32">
            <v>19.379310344827584</v>
          </cell>
          <cell r="FD32">
            <v>0</v>
          </cell>
          <cell r="FE32">
            <v>0</v>
          </cell>
          <cell r="FF32">
            <v>67.375</v>
          </cell>
          <cell r="FG32">
            <v>67.375</v>
          </cell>
          <cell r="FH32">
            <v>18.379310344827584</v>
          </cell>
          <cell r="FI32">
            <v>0</v>
          </cell>
          <cell r="FJ32">
            <v>0</v>
          </cell>
          <cell r="FK32">
            <v>63.75</v>
          </cell>
          <cell r="FL32">
            <v>63.75</v>
          </cell>
          <cell r="FM32">
            <v>17.379310344827584</v>
          </cell>
          <cell r="FN32">
            <v>0</v>
          </cell>
          <cell r="FO32">
            <v>0</v>
          </cell>
          <cell r="FP32">
            <v>60.125</v>
          </cell>
          <cell r="FQ32">
            <v>60.125</v>
          </cell>
          <cell r="FR32">
            <v>16.379310344827584</v>
          </cell>
          <cell r="FS32">
            <v>0</v>
          </cell>
          <cell r="FT32">
            <v>8</v>
          </cell>
          <cell r="FU32">
            <v>2.0333333333333332</v>
          </cell>
          <cell r="FW32" t="str">
            <v>SOBRESTOCK</v>
          </cell>
          <cell r="FX32" t="str">
            <v>A</v>
          </cell>
          <cell r="FY32" t="str">
            <v>Si</v>
          </cell>
        </row>
        <row r="33">
          <cell r="B33" t="str">
            <v>REP-0032</v>
          </cell>
          <cell r="C33" t="str">
            <v>MIX</v>
          </cell>
          <cell r="D33">
            <v>0</v>
          </cell>
          <cell r="E33">
            <v>78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4</v>
          </cell>
          <cell r="L33">
            <v>0</v>
          </cell>
          <cell r="M33">
            <v>2</v>
          </cell>
          <cell r="N33">
            <v>1</v>
          </cell>
          <cell r="O33">
            <v>2</v>
          </cell>
          <cell r="P33">
            <v>2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0</v>
          </cell>
          <cell r="V33">
            <v>1</v>
          </cell>
          <cell r="W33">
            <v>0</v>
          </cell>
          <cell r="X33">
            <v>1</v>
          </cell>
          <cell r="Y33">
            <v>95</v>
          </cell>
          <cell r="AA33">
            <v>95</v>
          </cell>
          <cell r="AB33">
            <v>2</v>
          </cell>
          <cell r="AC33">
            <v>0.16666666666666666</v>
          </cell>
          <cell r="AD33">
            <v>5.5555555555555549E-3</v>
          </cell>
          <cell r="AE33">
            <v>0.25</v>
          </cell>
          <cell r="AF33">
            <v>0.33333333333333331</v>
          </cell>
          <cell r="AG33">
            <v>8.3333333333333329E-2</v>
          </cell>
          <cell r="AH33">
            <v>2.6666666666666665</v>
          </cell>
          <cell r="AI33">
            <v>5.333333333333333</v>
          </cell>
          <cell r="AJ33">
            <v>5.333333333333333</v>
          </cell>
          <cell r="AK33">
            <v>5.333333333333333</v>
          </cell>
          <cell r="AL33">
            <v>2.5169563850898271</v>
          </cell>
          <cell r="AM33">
            <v>3.3541666666666661</v>
          </cell>
          <cell r="AN33">
            <v>0.75039693468516599</v>
          </cell>
          <cell r="AO33">
            <v>0</v>
          </cell>
          <cell r="AP33">
            <v>6.5</v>
          </cell>
          <cell r="AQ33">
            <v>23.000000000000004</v>
          </cell>
          <cell r="AR33">
            <v>0</v>
          </cell>
          <cell r="AS33">
            <v>7.3333333333333339</v>
          </cell>
          <cell r="AT33">
            <v>8</v>
          </cell>
          <cell r="AU33">
            <v>96</v>
          </cell>
          <cell r="AV33">
            <v>0</v>
          </cell>
          <cell r="AW33">
            <v>7.916666666666667</v>
          </cell>
          <cell r="AX33">
            <v>8</v>
          </cell>
          <cell r="AY33">
            <v>1.5</v>
          </cell>
          <cell r="AZ33">
            <v>0</v>
          </cell>
          <cell r="BA33">
            <v>7.916666666666667</v>
          </cell>
          <cell r="BB33">
            <v>7</v>
          </cell>
          <cell r="BC33">
            <v>21</v>
          </cell>
          <cell r="BD33">
            <v>0</v>
          </cell>
          <cell r="BE33">
            <v>6.666666666666667</v>
          </cell>
          <cell r="BF33">
            <v>20.000000000000004</v>
          </cell>
          <cell r="BG33">
            <v>0</v>
          </cell>
          <cell r="BH33">
            <v>6.3333333333333339</v>
          </cell>
          <cell r="BI33">
            <v>95</v>
          </cell>
          <cell r="BJ33">
            <v>17.8125</v>
          </cell>
          <cell r="BK33">
            <v>0</v>
          </cell>
          <cell r="BL33">
            <v>1</v>
          </cell>
          <cell r="BM33">
            <v>0</v>
          </cell>
          <cell r="BN33">
            <v>0</v>
          </cell>
          <cell r="BO33">
            <v>0</v>
          </cell>
          <cell r="BP33">
            <v>-1.5</v>
          </cell>
          <cell r="BQ33">
            <v>0</v>
          </cell>
          <cell r="BR33">
            <v>0</v>
          </cell>
          <cell r="BS33">
            <v>0</v>
          </cell>
          <cell r="BT33">
            <v>-1.5</v>
          </cell>
          <cell r="BU33">
            <v>0</v>
          </cell>
          <cell r="BV33">
            <v>0</v>
          </cell>
          <cell r="BW33">
            <v>12</v>
          </cell>
          <cell r="BX33">
            <v>0</v>
          </cell>
          <cell r="BY33">
            <v>45.5</v>
          </cell>
          <cell r="BZ33">
            <v>47</v>
          </cell>
          <cell r="CA33">
            <v>25.636363636363637</v>
          </cell>
          <cell r="CB33">
            <v>0</v>
          </cell>
          <cell r="CC33">
            <v>0</v>
          </cell>
          <cell r="CD33">
            <v>65.166666666666671</v>
          </cell>
          <cell r="CE33">
            <v>88</v>
          </cell>
          <cell r="CF33">
            <v>27.789473684210527</v>
          </cell>
          <cell r="CG33">
            <v>0</v>
          </cell>
          <cell r="CH33">
            <v>20</v>
          </cell>
          <cell r="CI33">
            <v>62.000000000000007</v>
          </cell>
          <cell r="CJ33">
            <v>98</v>
          </cell>
          <cell r="CK33">
            <v>22.615384615384617</v>
          </cell>
          <cell r="CL33">
            <v>0</v>
          </cell>
          <cell r="CM33">
            <v>30</v>
          </cell>
          <cell r="CN33">
            <v>123.66666666666667</v>
          </cell>
          <cell r="CO33">
            <v>118</v>
          </cell>
          <cell r="CP33">
            <v>11.8</v>
          </cell>
          <cell r="CQ33">
            <v>0</v>
          </cell>
          <cell r="CR33">
            <v>0</v>
          </cell>
          <cell r="CS33">
            <v>108</v>
          </cell>
          <cell r="CT33">
            <v>112</v>
          </cell>
          <cell r="CU33">
            <v>14</v>
          </cell>
          <cell r="CV33">
            <v>0</v>
          </cell>
          <cell r="CW33">
            <v>0</v>
          </cell>
          <cell r="CX33">
            <v>104</v>
          </cell>
          <cell r="CY33">
            <v>106</v>
          </cell>
          <cell r="CZ33">
            <v>15.899999999999999</v>
          </cell>
          <cell r="DA33">
            <v>0</v>
          </cell>
          <cell r="DB33">
            <v>0</v>
          </cell>
          <cell r="DC33">
            <v>98.5</v>
          </cell>
          <cell r="DD33">
            <v>96</v>
          </cell>
          <cell r="DE33">
            <v>10.468085106382979</v>
          </cell>
          <cell r="DF33">
            <v>0</v>
          </cell>
          <cell r="DG33">
            <v>0</v>
          </cell>
          <cell r="DH33">
            <v>88.166666666666671</v>
          </cell>
          <cell r="DI33">
            <v>95</v>
          </cell>
          <cell r="DJ33">
            <v>14.65625</v>
          </cell>
          <cell r="DK33">
            <v>0</v>
          </cell>
          <cell r="DL33">
            <v>0</v>
          </cell>
          <cell r="DM33">
            <v>81.766666666666666</v>
          </cell>
          <cell r="DN33">
            <v>95</v>
          </cell>
          <cell r="DO33">
            <v>17.75</v>
          </cell>
          <cell r="DP33">
            <v>0</v>
          </cell>
          <cell r="DQ33">
            <v>0</v>
          </cell>
          <cell r="DR33">
            <v>89.666666666666671</v>
          </cell>
          <cell r="DS33">
            <v>89.666666666666671</v>
          </cell>
          <cell r="DT33">
            <v>16.75</v>
          </cell>
          <cell r="DU33">
            <v>0</v>
          </cell>
          <cell r="DV33">
            <v>0</v>
          </cell>
          <cell r="DW33">
            <v>84.333333333333343</v>
          </cell>
          <cell r="DX33">
            <v>84.333333333333343</v>
          </cell>
          <cell r="DY33">
            <v>15.750000000000002</v>
          </cell>
          <cell r="DZ33">
            <v>0</v>
          </cell>
          <cell r="EA33">
            <v>0</v>
          </cell>
          <cell r="EB33">
            <v>79.000000000000014</v>
          </cell>
          <cell r="EC33">
            <v>79.000000000000014</v>
          </cell>
          <cell r="ED33">
            <v>14.750000000000004</v>
          </cell>
          <cell r="EE33">
            <v>0</v>
          </cell>
          <cell r="EF33">
            <v>0</v>
          </cell>
          <cell r="EG33">
            <v>73.666666666666686</v>
          </cell>
          <cell r="EH33">
            <v>73.666666666666686</v>
          </cell>
          <cell r="EI33">
            <v>13.750000000000004</v>
          </cell>
          <cell r="EJ33">
            <v>0</v>
          </cell>
          <cell r="EK33">
            <v>0</v>
          </cell>
          <cell r="EL33">
            <v>68.333333333333357</v>
          </cell>
          <cell r="EM33">
            <v>68.333333333333357</v>
          </cell>
          <cell r="EN33">
            <v>12.750000000000005</v>
          </cell>
          <cell r="EO33">
            <v>0</v>
          </cell>
          <cell r="EP33">
            <v>0</v>
          </cell>
          <cell r="EQ33">
            <v>63.000000000000021</v>
          </cell>
          <cell r="ER33">
            <v>63.000000000000021</v>
          </cell>
          <cell r="ES33">
            <v>11.750000000000005</v>
          </cell>
          <cell r="ET33">
            <v>0</v>
          </cell>
          <cell r="EU33">
            <v>0</v>
          </cell>
          <cell r="EV33">
            <v>57.666666666666686</v>
          </cell>
          <cell r="EW33">
            <v>57.666666666666686</v>
          </cell>
          <cell r="EX33">
            <v>10.750000000000004</v>
          </cell>
          <cell r="EY33">
            <v>0</v>
          </cell>
          <cell r="EZ33">
            <v>0</v>
          </cell>
          <cell r="FA33">
            <v>52.33333333333335</v>
          </cell>
          <cell r="FB33">
            <v>52.33333333333335</v>
          </cell>
          <cell r="FC33">
            <v>9.7500000000000036</v>
          </cell>
          <cell r="FD33">
            <v>0</v>
          </cell>
          <cell r="FE33">
            <v>0</v>
          </cell>
          <cell r="FF33">
            <v>47.000000000000014</v>
          </cell>
          <cell r="FG33">
            <v>47.000000000000014</v>
          </cell>
          <cell r="FH33">
            <v>8.7500000000000036</v>
          </cell>
          <cell r="FI33">
            <v>0</v>
          </cell>
          <cell r="FJ33">
            <v>0</v>
          </cell>
          <cell r="FK33">
            <v>41.666666666666679</v>
          </cell>
          <cell r="FL33">
            <v>41.666666666666679</v>
          </cell>
          <cell r="FM33">
            <v>7.7500000000000027</v>
          </cell>
          <cell r="FN33">
            <v>0</v>
          </cell>
          <cell r="FO33">
            <v>0</v>
          </cell>
          <cell r="FP33">
            <v>36.333333333333343</v>
          </cell>
          <cell r="FQ33">
            <v>36.333333333333343</v>
          </cell>
          <cell r="FR33">
            <v>6.7500000000000018</v>
          </cell>
          <cell r="FS33">
            <v>0</v>
          </cell>
          <cell r="FT33">
            <v>11</v>
          </cell>
          <cell r="FU33">
            <v>2.0333333333333332</v>
          </cell>
          <cell r="FW33" t="str">
            <v>SOBRESTOCK</v>
          </cell>
          <cell r="FX33" t="str">
            <v>B</v>
          </cell>
          <cell r="FY33" t="str">
            <v>Si</v>
          </cell>
        </row>
        <row r="34">
          <cell r="B34" t="str">
            <v>REP-0033</v>
          </cell>
          <cell r="C34" t="str">
            <v>MIX</v>
          </cell>
          <cell r="D34">
            <v>0</v>
          </cell>
          <cell r="E34">
            <v>2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2</v>
          </cell>
          <cell r="AA34">
            <v>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2</v>
          </cell>
          <cell r="AQ34" t="str">
            <v/>
          </cell>
          <cell r="AR34">
            <v>0</v>
          </cell>
          <cell r="AS34">
            <v>2</v>
          </cell>
          <cell r="AT34">
            <v>2</v>
          </cell>
          <cell r="AU34" t="str">
            <v/>
          </cell>
          <cell r="AV34">
            <v>0</v>
          </cell>
          <cell r="AW34">
            <v>2</v>
          </cell>
          <cell r="AX34">
            <v>2</v>
          </cell>
          <cell r="AY34" t="str">
            <v/>
          </cell>
          <cell r="AZ34">
            <v>0</v>
          </cell>
          <cell r="BA34">
            <v>2</v>
          </cell>
          <cell r="BB34">
            <v>2</v>
          </cell>
          <cell r="BC34" t="str">
            <v/>
          </cell>
          <cell r="BD34">
            <v>0</v>
          </cell>
          <cell r="BE34">
            <v>2</v>
          </cell>
          <cell r="BF34" t="str">
            <v/>
          </cell>
          <cell r="BG34">
            <v>0</v>
          </cell>
          <cell r="BH34">
            <v>2</v>
          </cell>
          <cell r="BI34">
            <v>2</v>
          </cell>
          <cell r="BJ34" t="str">
            <v/>
          </cell>
          <cell r="BK34">
            <v>0</v>
          </cell>
          <cell r="BL34">
            <v>2</v>
          </cell>
          <cell r="BM34">
            <v>2</v>
          </cell>
          <cell r="BN34" t="str">
            <v/>
          </cell>
          <cell r="BO34">
            <v>0</v>
          </cell>
          <cell r="BP34">
            <v>2</v>
          </cell>
          <cell r="BQ34">
            <v>2</v>
          </cell>
          <cell r="BR34" t="str">
            <v/>
          </cell>
          <cell r="BS34">
            <v>0</v>
          </cell>
          <cell r="BT34">
            <v>2</v>
          </cell>
          <cell r="BU34">
            <v>2</v>
          </cell>
          <cell r="BV34" t="str">
            <v/>
          </cell>
          <cell r="BW34">
            <v>0</v>
          </cell>
          <cell r="BX34">
            <v>0</v>
          </cell>
          <cell r="BY34">
            <v>2</v>
          </cell>
          <cell r="BZ34">
            <v>2</v>
          </cell>
          <cell r="CA34" t="str">
            <v/>
          </cell>
          <cell r="CB34">
            <v>0</v>
          </cell>
          <cell r="CC34">
            <v>0</v>
          </cell>
          <cell r="CD34">
            <v>2</v>
          </cell>
          <cell r="CE34">
            <v>2</v>
          </cell>
          <cell r="CF34" t="str">
            <v/>
          </cell>
          <cell r="CG34">
            <v>0</v>
          </cell>
          <cell r="CH34">
            <v>0</v>
          </cell>
          <cell r="CI34">
            <v>2</v>
          </cell>
          <cell r="CJ34">
            <v>2</v>
          </cell>
          <cell r="CK34" t="str">
            <v/>
          </cell>
          <cell r="CL34">
            <v>0</v>
          </cell>
          <cell r="CM34">
            <v>0</v>
          </cell>
          <cell r="CN34">
            <v>2</v>
          </cell>
          <cell r="CO34">
            <v>2</v>
          </cell>
          <cell r="CP34" t="str">
            <v/>
          </cell>
          <cell r="CQ34">
            <v>0</v>
          </cell>
          <cell r="CR34">
            <v>0</v>
          </cell>
          <cell r="CS34">
            <v>2</v>
          </cell>
          <cell r="CT34">
            <v>2</v>
          </cell>
          <cell r="CU34" t="str">
            <v/>
          </cell>
          <cell r="CV34">
            <v>0</v>
          </cell>
          <cell r="CW34">
            <v>0</v>
          </cell>
          <cell r="CX34">
            <v>2</v>
          </cell>
          <cell r="CY34">
            <v>2</v>
          </cell>
          <cell r="CZ34" t="str">
            <v/>
          </cell>
          <cell r="DA34">
            <v>0</v>
          </cell>
          <cell r="DB34">
            <v>0</v>
          </cell>
          <cell r="DC34">
            <v>2</v>
          </cell>
          <cell r="DD34">
            <v>2</v>
          </cell>
          <cell r="DE34" t="str">
            <v/>
          </cell>
          <cell r="DF34">
            <v>0</v>
          </cell>
          <cell r="DG34">
            <v>0</v>
          </cell>
          <cell r="DH34">
            <v>2</v>
          </cell>
          <cell r="DI34">
            <v>2</v>
          </cell>
          <cell r="DJ34" t="str">
            <v/>
          </cell>
          <cell r="DK34">
            <v>0</v>
          </cell>
          <cell r="DL34">
            <v>0</v>
          </cell>
          <cell r="DM34">
            <v>2</v>
          </cell>
          <cell r="DN34">
            <v>2</v>
          </cell>
          <cell r="DO34" t="str">
            <v/>
          </cell>
          <cell r="DP34">
            <v>0</v>
          </cell>
          <cell r="DQ34">
            <v>0</v>
          </cell>
          <cell r="DR34">
            <v>2</v>
          </cell>
          <cell r="DS34">
            <v>2</v>
          </cell>
          <cell r="DT34" t="str">
            <v/>
          </cell>
          <cell r="DU34">
            <v>0</v>
          </cell>
          <cell r="DV34">
            <v>0</v>
          </cell>
          <cell r="DW34">
            <v>2</v>
          </cell>
          <cell r="DX34">
            <v>2</v>
          </cell>
          <cell r="DY34" t="str">
            <v/>
          </cell>
          <cell r="DZ34">
            <v>0</v>
          </cell>
          <cell r="EA34">
            <v>0</v>
          </cell>
          <cell r="EB34">
            <v>2</v>
          </cell>
          <cell r="EC34">
            <v>2</v>
          </cell>
          <cell r="ED34" t="str">
            <v/>
          </cell>
          <cell r="EE34">
            <v>0</v>
          </cell>
          <cell r="EF34">
            <v>0</v>
          </cell>
          <cell r="EG34">
            <v>2</v>
          </cell>
          <cell r="EH34">
            <v>2</v>
          </cell>
          <cell r="EI34" t="str">
            <v/>
          </cell>
          <cell r="EJ34">
            <v>0</v>
          </cell>
          <cell r="EK34">
            <v>0</v>
          </cell>
          <cell r="EL34">
            <v>2</v>
          </cell>
          <cell r="EM34">
            <v>2</v>
          </cell>
          <cell r="EN34" t="str">
            <v/>
          </cell>
          <cell r="EO34">
            <v>0</v>
          </cell>
          <cell r="EP34">
            <v>0</v>
          </cell>
          <cell r="EQ34">
            <v>2</v>
          </cell>
          <cell r="ER34">
            <v>2</v>
          </cell>
          <cell r="ES34" t="str">
            <v/>
          </cell>
          <cell r="ET34">
            <v>0</v>
          </cell>
          <cell r="EU34">
            <v>0</v>
          </cell>
          <cell r="EV34">
            <v>2</v>
          </cell>
          <cell r="EW34">
            <v>2</v>
          </cell>
          <cell r="EX34" t="str">
            <v/>
          </cell>
          <cell r="EY34">
            <v>0</v>
          </cell>
          <cell r="EZ34">
            <v>0</v>
          </cell>
          <cell r="FA34">
            <v>2</v>
          </cell>
          <cell r="FB34">
            <v>2</v>
          </cell>
          <cell r="FC34" t="str">
            <v/>
          </cell>
          <cell r="FD34">
            <v>0</v>
          </cell>
          <cell r="FE34">
            <v>0</v>
          </cell>
          <cell r="FF34">
            <v>2</v>
          </cell>
          <cell r="FG34">
            <v>2</v>
          </cell>
          <cell r="FH34" t="str">
            <v/>
          </cell>
          <cell r="FI34">
            <v>0</v>
          </cell>
          <cell r="FJ34">
            <v>0</v>
          </cell>
          <cell r="FK34">
            <v>2</v>
          </cell>
          <cell r="FL34">
            <v>2</v>
          </cell>
          <cell r="FM34" t="str">
            <v/>
          </cell>
          <cell r="FN34">
            <v>0</v>
          </cell>
          <cell r="FO34">
            <v>0</v>
          </cell>
          <cell r="FP34">
            <v>2</v>
          </cell>
          <cell r="FQ34">
            <v>2</v>
          </cell>
          <cell r="FR34" t="str">
            <v/>
          </cell>
          <cell r="FS34">
            <v>0</v>
          </cell>
          <cell r="FT34">
            <v>0</v>
          </cell>
          <cell r="FU34">
            <v>2.0333333333333332</v>
          </cell>
          <cell r="FV34" t="str">
            <v>SI</v>
          </cell>
          <cell r="FW34" t="str">
            <v>SIN ROTACIÓN</v>
          </cell>
          <cell r="FX34" t="str">
            <v>STOCK MUERTO</v>
          </cell>
          <cell r="FY34" t="str">
            <v>Si</v>
          </cell>
        </row>
        <row r="35">
          <cell r="B35" t="str">
            <v>REP-0034</v>
          </cell>
          <cell r="C35" t="str">
            <v>MIX</v>
          </cell>
          <cell r="D35">
            <v>0</v>
          </cell>
          <cell r="E35">
            <v>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4</v>
          </cell>
          <cell r="AA35">
            <v>4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4</v>
          </cell>
          <cell r="AQ35" t="str">
            <v/>
          </cell>
          <cell r="AR35">
            <v>0</v>
          </cell>
          <cell r="AS35">
            <v>4</v>
          </cell>
          <cell r="AT35">
            <v>4</v>
          </cell>
          <cell r="AU35" t="str">
            <v/>
          </cell>
          <cell r="AV35">
            <v>0</v>
          </cell>
          <cell r="AW35">
            <v>4</v>
          </cell>
          <cell r="AX35">
            <v>4</v>
          </cell>
          <cell r="AY35" t="str">
            <v/>
          </cell>
          <cell r="AZ35">
            <v>0</v>
          </cell>
          <cell r="BA35">
            <v>4</v>
          </cell>
          <cell r="BB35">
            <v>4</v>
          </cell>
          <cell r="BC35" t="str">
            <v/>
          </cell>
          <cell r="BD35">
            <v>0</v>
          </cell>
          <cell r="BE35">
            <v>4</v>
          </cell>
          <cell r="BF35" t="str">
            <v/>
          </cell>
          <cell r="BG35">
            <v>0</v>
          </cell>
          <cell r="BH35">
            <v>4</v>
          </cell>
          <cell r="BI35">
            <v>4</v>
          </cell>
          <cell r="BJ35" t="str">
            <v/>
          </cell>
          <cell r="BK35">
            <v>0</v>
          </cell>
          <cell r="BL35">
            <v>4</v>
          </cell>
          <cell r="BM35">
            <v>4</v>
          </cell>
          <cell r="BN35" t="str">
            <v/>
          </cell>
          <cell r="BO35">
            <v>0</v>
          </cell>
          <cell r="BP35">
            <v>4</v>
          </cell>
          <cell r="BQ35">
            <v>4</v>
          </cell>
          <cell r="BR35" t="str">
            <v/>
          </cell>
          <cell r="BS35">
            <v>0</v>
          </cell>
          <cell r="BT35">
            <v>4</v>
          </cell>
          <cell r="BU35">
            <v>4</v>
          </cell>
          <cell r="BV35" t="str">
            <v/>
          </cell>
          <cell r="BW35">
            <v>0</v>
          </cell>
          <cell r="BX35">
            <v>0</v>
          </cell>
          <cell r="BY35">
            <v>4</v>
          </cell>
          <cell r="BZ35">
            <v>4</v>
          </cell>
          <cell r="CA35" t="str">
            <v/>
          </cell>
          <cell r="CB35">
            <v>0</v>
          </cell>
          <cell r="CC35">
            <v>0</v>
          </cell>
          <cell r="CD35">
            <v>4</v>
          </cell>
          <cell r="CE35">
            <v>4</v>
          </cell>
          <cell r="CF35" t="str">
            <v/>
          </cell>
          <cell r="CG35">
            <v>0</v>
          </cell>
          <cell r="CH35">
            <v>0</v>
          </cell>
          <cell r="CI35">
            <v>4</v>
          </cell>
          <cell r="CJ35">
            <v>4</v>
          </cell>
          <cell r="CK35" t="str">
            <v/>
          </cell>
          <cell r="CL35">
            <v>0</v>
          </cell>
          <cell r="CM35">
            <v>0</v>
          </cell>
          <cell r="CN35">
            <v>4</v>
          </cell>
          <cell r="CO35">
            <v>4</v>
          </cell>
          <cell r="CP35" t="str">
            <v/>
          </cell>
          <cell r="CQ35">
            <v>0</v>
          </cell>
          <cell r="CR35">
            <v>0</v>
          </cell>
          <cell r="CS35">
            <v>4</v>
          </cell>
          <cell r="CT35">
            <v>4</v>
          </cell>
          <cell r="CU35" t="str">
            <v/>
          </cell>
          <cell r="CV35">
            <v>0</v>
          </cell>
          <cell r="CW35">
            <v>0</v>
          </cell>
          <cell r="CX35">
            <v>4</v>
          </cell>
          <cell r="CY35">
            <v>4</v>
          </cell>
          <cell r="CZ35" t="str">
            <v/>
          </cell>
          <cell r="DA35">
            <v>0</v>
          </cell>
          <cell r="DB35">
            <v>0</v>
          </cell>
          <cell r="DC35">
            <v>4</v>
          </cell>
          <cell r="DD35">
            <v>4</v>
          </cell>
          <cell r="DE35" t="str">
            <v/>
          </cell>
          <cell r="DF35">
            <v>0</v>
          </cell>
          <cell r="DG35">
            <v>0</v>
          </cell>
          <cell r="DH35">
            <v>4</v>
          </cell>
          <cell r="DI35">
            <v>4</v>
          </cell>
          <cell r="DJ35" t="str">
            <v/>
          </cell>
          <cell r="DK35">
            <v>0</v>
          </cell>
          <cell r="DL35">
            <v>0</v>
          </cell>
          <cell r="DM35">
            <v>4</v>
          </cell>
          <cell r="DN35">
            <v>4</v>
          </cell>
          <cell r="DO35" t="str">
            <v/>
          </cell>
          <cell r="DP35">
            <v>0</v>
          </cell>
          <cell r="DQ35">
            <v>0</v>
          </cell>
          <cell r="DR35">
            <v>4</v>
          </cell>
          <cell r="DS35">
            <v>4</v>
          </cell>
          <cell r="DT35" t="str">
            <v/>
          </cell>
          <cell r="DU35">
            <v>0</v>
          </cell>
          <cell r="DV35">
            <v>0</v>
          </cell>
          <cell r="DW35">
            <v>4</v>
          </cell>
          <cell r="DX35">
            <v>4</v>
          </cell>
          <cell r="DY35" t="str">
            <v/>
          </cell>
          <cell r="DZ35">
            <v>0</v>
          </cell>
          <cell r="EA35">
            <v>0</v>
          </cell>
          <cell r="EB35">
            <v>4</v>
          </cell>
          <cell r="EC35">
            <v>4</v>
          </cell>
          <cell r="ED35" t="str">
            <v/>
          </cell>
          <cell r="EE35">
            <v>0</v>
          </cell>
          <cell r="EF35">
            <v>0</v>
          </cell>
          <cell r="EG35">
            <v>4</v>
          </cell>
          <cell r="EH35">
            <v>4</v>
          </cell>
          <cell r="EI35" t="str">
            <v/>
          </cell>
          <cell r="EJ35">
            <v>0</v>
          </cell>
          <cell r="EK35">
            <v>0</v>
          </cell>
          <cell r="EL35">
            <v>4</v>
          </cell>
          <cell r="EM35">
            <v>4</v>
          </cell>
          <cell r="EN35" t="str">
            <v/>
          </cell>
          <cell r="EO35">
            <v>0</v>
          </cell>
          <cell r="EP35">
            <v>0</v>
          </cell>
          <cell r="EQ35">
            <v>4</v>
          </cell>
          <cell r="ER35">
            <v>4</v>
          </cell>
          <cell r="ES35" t="str">
            <v/>
          </cell>
          <cell r="ET35">
            <v>0</v>
          </cell>
          <cell r="EU35">
            <v>0</v>
          </cell>
          <cell r="EV35">
            <v>4</v>
          </cell>
          <cell r="EW35">
            <v>4</v>
          </cell>
          <cell r="EX35" t="str">
            <v/>
          </cell>
          <cell r="EY35">
            <v>0</v>
          </cell>
          <cell r="EZ35">
            <v>0</v>
          </cell>
          <cell r="FA35">
            <v>4</v>
          </cell>
          <cell r="FB35">
            <v>4</v>
          </cell>
          <cell r="FC35" t="str">
            <v/>
          </cell>
          <cell r="FD35">
            <v>0</v>
          </cell>
          <cell r="FE35">
            <v>0</v>
          </cell>
          <cell r="FF35">
            <v>4</v>
          </cell>
          <cell r="FG35">
            <v>4</v>
          </cell>
          <cell r="FH35" t="str">
            <v/>
          </cell>
          <cell r="FI35">
            <v>0</v>
          </cell>
          <cell r="FJ35">
            <v>0</v>
          </cell>
          <cell r="FK35">
            <v>4</v>
          </cell>
          <cell r="FL35">
            <v>4</v>
          </cell>
          <cell r="FM35" t="str">
            <v/>
          </cell>
          <cell r="FN35">
            <v>0</v>
          </cell>
          <cell r="FO35">
            <v>0</v>
          </cell>
          <cell r="FP35">
            <v>4</v>
          </cell>
          <cell r="FQ35">
            <v>4</v>
          </cell>
          <cell r="FR35" t="str">
            <v/>
          </cell>
          <cell r="FS35">
            <v>0</v>
          </cell>
          <cell r="FT35">
            <v>0</v>
          </cell>
          <cell r="FU35">
            <v>2.0333333333333332</v>
          </cell>
          <cell r="FV35" t="str">
            <v>SI</v>
          </cell>
          <cell r="FW35" t="str">
            <v>SIN ROTACIÓN</v>
          </cell>
          <cell r="FX35" t="str">
            <v>STOCK MUERTO</v>
          </cell>
          <cell r="FY35" t="str">
            <v>Si</v>
          </cell>
        </row>
        <row r="36">
          <cell r="B36" t="str">
            <v>REP-0035</v>
          </cell>
          <cell r="C36" t="str">
            <v>MIX</v>
          </cell>
          <cell r="D36">
            <v>0</v>
          </cell>
          <cell r="E36">
            <v>22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22</v>
          </cell>
          <cell r="AA36">
            <v>22</v>
          </cell>
          <cell r="AB36">
            <v>1</v>
          </cell>
          <cell r="AC36">
            <v>0</v>
          </cell>
          <cell r="AD36">
            <v>0</v>
          </cell>
          <cell r="AE36">
            <v>8.3333333333333329E-2</v>
          </cell>
          <cell r="AF36">
            <v>0</v>
          </cell>
          <cell r="AG36">
            <v>0</v>
          </cell>
          <cell r="AH36">
            <v>0.16666666666666666</v>
          </cell>
          <cell r="AI36">
            <v>0</v>
          </cell>
          <cell r="AJ36">
            <v>0</v>
          </cell>
          <cell r="AK36">
            <v>0.16666666666666666</v>
          </cell>
          <cell r="AL36">
            <v>8.3333333333333329E-2</v>
          </cell>
          <cell r="AM36">
            <v>4.1666666666666664E-2</v>
          </cell>
          <cell r="AN36">
            <v>2</v>
          </cell>
          <cell r="AO36">
            <v>0</v>
          </cell>
          <cell r="AP36">
            <v>4</v>
          </cell>
          <cell r="AQ36" t="str">
            <v/>
          </cell>
          <cell r="AR36">
            <v>0</v>
          </cell>
          <cell r="AS36">
            <v>4</v>
          </cell>
          <cell r="AT36">
            <v>4</v>
          </cell>
          <cell r="AU36" t="str">
            <v/>
          </cell>
          <cell r="AV36">
            <v>0</v>
          </cell>
          <cell r="AW36">
            <v>4</v>
          </cell>
          <cell r="AX36">
            <v>4</v>
          </cell>
          <cell r="AY36">
            <v>24</v>
          </cell>
          <cell r="AZ36">
            <v>0</v>
          </cell>
          <cell r="BA36">
            <v>4</v>
          </cell>
          <cell r="BB36">
            <v>4</v>
          </cell>
          <cell r="BC36" t="str">
            <v/>
          </cell>
          <cell r="BD36">
            <v>0</v>
          </cell>
          <cell r="BE36">
            <v>4</v>
          </cell>
          <cell r="BF36" t="str">
            <v/>
          </cell>
          <cell r="BG36">
            <v>0</v>
          </cell>
          <cell r="BH36">
            <v>4</v>
          </cell>
          <cell r="BI36">
            <v>22</v>
          </cell>
          <cell r="BJ36">
            <v>132</v>
          </cell>
          <cell r="BK36">
            <v>0</v>
          </cell>
          <cell r="BL36">
            <v>4</v>
          </cell>
          <cell r="BM36">
            <v>4</v>
          </cell>
          <cell r="BN36" t="str">
            <v/>
          </cell>
          <cell r="BO36">
            <v>0</v>
          </cell>
          <cell r="BP36">
            <v>4</v>
          </cell>
          <cell r="BQ36">
            <v>4</v>
          </cell>
          <cell r="BR36">
            <v>24</v>
          </cell>
          <cell r="BS36">
            <v>0</v>
          </cell>
          <cell r="BT36">
            <v>4</v>
          </cell>
          <cell r="BU36">
            <v>4</v>
          </cell>
          <cell r="BV36" t="str">
            <v/>
          </cell>
          <cell r="BW36">
            <v>0</v>
          </cell>
          <cell r="BX36">
            <v>0</v>
          </cell>
          <cell r="BY36">
            <v>4</v>
          </cell>
          <cell r="BZ36">
            <v>4</v>
          </cell>
          <cell r="CA36" t="str">
            <v/>
          </cell>
          <cell r="CB36">
            <v>0</v>
          </cell>
          <cell r="CC36">
            <v>0</v>
          </cell>
          <cell r="CD36">
            <v>4</v>
          </cell>
          <cell r="CE36">
            <v>4</v>
          </cell>
          <cell r="CF36" t="str">
            <v/>
          </cell>
          <cell r="CG36">
            <v>0</v>
          </cell>
          <cell r="CH36">
            <v>0</v>
          </cell>
          <cell r="CI36">
            <v>4</v>
          </cell>
          <cell r="CJ36">
            <v>2</v>
          </cell>
          <cell r="CK36">
            <v>6</v>
          </cell>
          <cell r="CL36">
            <v>0</v>
          </cell>
          <cell r="CM36">
            <v>0</v>
          </cell>
          <cell r="CN36">
            <v>1.6666666666666667</v>
          </cell>
          <cell r="CO36">
            <v>2</v>
          </cell>
          <cell r="CP36">
            <v>6</v>
          </cell>
          <cell r="CQ36">
            <v>0.33333333333333326</v>
          </cell>
          <cell r="CR36">
            <v>0</v>
          </cell>
          <cell r="CS36">
            <v>1.6666666666666667</v>
          </cell>
          <cell r="CT36">
            <v>2</v>
          </cell>
          <cell r="CU36">
            <v>6</v>
          </cell>
          <cell r="CV36">
            <v>0</v>
          </cell>
          <cell r="CW36">
            <v>0</v>
          </cell>
          <cell r="CX36">
            <v>1.6666666666666667</v>
          </cell>
          <cell r="CY36">
            <v>2</v>
          </cell>
          <cell r="CZ36">
            <v>12</v>
          </cell>
          <cell r="DA36">
            <v>0</v>
          </cell>
          <cell r="DB36">
            <v>20</v>
          </cell>
          <cell r="DC36">
            <v>21.833333333333332</v>
          </cell>
          <cell r="DD36">
            <v>22</v>
          </cell>
          <cell r="DE36">
            <v>126</v>
          </cell>
          <cell r="DF36">
            <v>0</v>
          </cell>
          <cell r="DG36">
            <v>0</v>
          </cell>
          <cell r="DH36">
            <v>21.833333333333332</v>
          </cell>
          <cell r="DI36">
            <v>22</v>
          </cell>
          <cell r="DJ36">
            <v>128</v>
          </cell>
          <cell r="DK36">
            <v>0</v>
          </cell>
          <cell r="DL36">
            <v>0</v>
          </cell>
          <cell r="DM36">
            <v>21.666666666666664</v>
          </cell>
          <cell r="DN36">
            <v>22</v>
          </cell>
          <cell r="DO36">
            <v>128</v>
          </cell>
          <cell r="DP36">
            <v>0</v>
          </cell>
          <cell r="DQ36">
            <v>0</v>
          </cell>
          <cell r="DR36">
            <v>21.833333333333332</v>
          </cell>
          <cell r="DS36">
            <v>21.833333333333332</v>
          </cell>
          <cell r="DT36">
            <v>127</v>
          </cell>
          <cell r="DU36">
            <v>0</v>
          </cell>
          <cell r="DV36">
            <v>0</v>
          </cell>
          <cell r="DW36">
            <v>21.666666666666664</v>
          </cell>
          <cell r="DX36">
            <v>21.666666666666664</v>
          </cell>
          <cell r="DY36">
            <v>125.99999999999999</v>
          </cell>
          <cell r="DZ36">
            <v>0</v>
          </cell>
          <cell r="EA36">
            <v>0</v>
          </cell>
          <cell r="EB36">
            <v>21.499999999999996</v>
          </cell>
          <cell r="EC36">
            <v>21.499999999999996</v>
          </cell>
          <cell r="ED36">
            <v>124.99999999999999</v>
          </cell>
          <cell r="EE36">
            <v>0</v>
          </cell>
          <cell r="EF36">
            <v>0</v>
          </cell>
          <cell r="EG36">
            <v>21.333333333333329</v>
          </cell>
          <cell r="EH36">
            <v>21.333333333333329</v>
          </cell>
          <cell r="EI36">
            <v>123.99999999999997</v>
          </cell>
          <cell r="EJ36">
            <v>0</v>
          </cell>
          <cell r="EK36">
            <v>0</v>
          </cell>
          <cell r="EL36">
            <v>21.166666666666661</v>
          </cell>
          <cell r="EM36">
            <v>21.166666666666661</v>
          </cell>
          <cell r="EN36">
            <v>122.99999999999997</v>
          </cell>
          <cell r="EO36">
            <v>0</v>
          </cell>
          <cell r="EP36">
            <v>0</v>
          </cell>
          <cell r="EQ36">
            <v>20.999999999999993</v>
          </cell>
          <cell r="ER36">
            <v>20.999999999999993</v>
          </cell>
          <cell r="ES36">
            <v>121.99999999999996</v>
          </cell>
          <cell r="ET36">
            <v>0</v>
          </cell>
          <cell r="EU36">
            <v>0</v>
          </cell>
          <cell r="EV36">
            <v>20.833333333333325</v>
          </cell>
          <cell r="EW36">
            <v>20.833333333333325</v>
          </cell>
          <cell r="EX36">
            <v>120.99999999999996</v>
          </cell>
          <cell r="EY36">
            <v>0</v>
          </cell>
          <cell r="EZ36">
            <v>0</v>
          </cell>
          <cell r="FA36">
            <v>20.666666666666657</v>
          </cell>
          <cell r="FB36">
            <v>20.666666666666657</v>
          </cell>
          <cell r="FC36">
            <v>119.99999999999994</v>
          </cell>
          <cell r="FD36">
            <v>0</v>
          </cell>
          <cell r="FE36">
            <v>0</v>
          </cell>
          <cell r="FF36">
            <v>20.499999999999989</v>
          </cell>
          <cell r="FG36">
            <v>20.499999999999989</v>
          </cell>
          <cell r="FH36">
            <v>118.99999999999994</v>
          </cell>
          <cell r="FI36">
            <v>0</v>
          </cell>
          <cell r="FJ36">
            <v>0</v>
          </cell>
          <cell r="FK36">
            <v>20.333333333333321</v>
          </cell>
          <cell r="FL36">
            <v>20.333333333333321</v>
          </cell>
          <cell r="FM36">
            <v>117.99999999999993</v>
          </cell>
          <cell r="FN36">
            <v>0</v>
          </cell>
          <cell r="FO36">
            <v>0</v>
          </cell>
          <cell r="FP36">
            <v>20.166666666666654</v>
          </cell>
          <cell r="FQ36">
            <v>20.166666666666654</v>
          </cell>
          <cell r="FR36">
            <v>116.99999999999993</v>
          </cell>
          <cell r="FS36">
            <v>0</v>
          </cell>
          <cell r="FT36">
            <v>1</v>
          </cell>
          <cell r="FU36">
            <v>2.0333333333333332</v>
          </cell>
          <cell r="FV36" t="str">
            <v>SI</v>
          </cell>
          <cell r="FW36" t="str">
            <v>SIN ROTACIÓN</v>
          </cell>
          <cell r="FX36" t="str">
            <v>STOCK MUERTO</v>
          </cell>
          <cell r="FY36" t="str">
            <v>Si</v>
          </cell>
        </row>
        <row r="37">
          <cell r="B37" t="str">
            <v>REP-0036</v>
          </cell>
          <cell r="C37" t="str">
            <v>MIX</v>
          </cell>
          <cell r="D37">
            <v>0</v>
          </cell>
          <cell r="E37">
            <v>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</v>
          </cell>
          <cell r="AA37">
            <v>2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8.3333333333333329E-2</v>
          </cell>
          <cell r="AG37">
            <v>0</v>
          </cell>
          <cell r="AH37">
            <v>8.3333333333333329E-2</v>
          </cell>
          <cell r="AI37">
            <v>0.5</v>
          </cell>
          <cell r="AJ37">
            <v>0.5</v>
          </cell>
          <cell r="AK37">
            <v>0.5</v>
          </cell>
          <cell r="AL37">
            <v>0.26679684322636865</v>
          </cell>
          <cell r="AM37">
            <v>0.27083333333333337</v>
          </cell>
          <cell r="AN37">
            <v>0.98509603652813027</v>
          </cell>
          <cell r="AO37">
            <v>0</v>
          </cell>
          <cell r="AP37">
            <v>6</v>
          </cell>
          <cell r="AQ37">
            <v>71.000000000000014</v>
          </cell>
          <cell r="AR37">
            <v>0</v>
          </cell>
          <cell r="AS37">
            <v>5.8333333333333339</v>
          </cell>
          <cell r="AT37">
            <v>6</v>
          </cell>
          <cell r="AU37" t="str">
            <v/>
          </cell>
          <cell r="AV37">
            <v>0</v>
          </cell>
          <cell r="AW37">
            <v>6</v>
          </cell>
          <cell r="AX37">
            <v>6</v>
          </cell>
          <cell r="AY37">
            <v>12</v>
          </cell>
          <cell r="AZ37">
            <v>0</v>
          </cell>
          <cell r="BA37">
            <v>6</v>
          </cell>
          <cell r="BB37">
            <v>6</v>
          </cell>
          <cell r="BC37" t="str">
            <v/>
          </cell>
          <cell r="BD37">
            <v>0</v>
          </cell>
          <cell r="BE37">
            <v>6</v>
          </cell>
          <cell r="BF37" t="str">
            <v/>
          </cell>
          <cell r="BG37">
            <v>0</v>
          </cell>
          <cell r="BH37">
            <v>6</v>
          </cell>
          <cell r="BI37">
            <v>2</v>
          </cell>
          <cell r="BJ37">
            <v>4</v>
          </cell>
          <cell r="BK37">
            <v>0</v>
          </cell>
          <cell r="BL37">
            <v>6</v>
          </cell>
          <cell r="BM37">
            <v>6</v>
          </cell>
          <cell r="BN37" t="str">
            <v/>
          </cell>
          <cell r="BO37">
            <v>0</v>
          </cell>
          <cell r="BP37">
            <v>6</v>
          </cell>
          <cell r="BQ37">
            <v>6</v>
          </cell>
          <cell r="BR37">
            <v>12</v>
          </cell>
          <cell r="BS37">
            <v>0</v>
          </cell>
          <cell r="BT37">
            <v>6</v>
          </cell>
          <cell r="BU37">
            <v>6</v>
          </cell>
          <cell r="BV37" t="str">
            <v/>
          </cell>
          <cell r="BW37">
            <v>0</v>
          </cell>
          <cell r="BX37">
            <v>0</v>
          </cell>
          <cell r="BY37">
            <v>6</v>
          </cell>
          <cell r="BZ37">
            <v>6</v>
          </cell>
          <cell r="CA37" t="str">
            <v/>
          </cell>
          <cell r="CB37">
            <v>0</v>
          </cell>
          <cell r="CC37">
            <v>0</v>
          </cell>
          <cell r="CD37">
            <v>6</v>
          </cell>
          <cell r="CE37">
            <v>6</v>
          </cell>
          <cell r="CF37" t="str">
            <v/>
          </cell>
          <cell r="CG37">
            <v>0</v>
          </cell>
          <cell r="CH37">
            <v>0</v>
          </cell>
          <cell r="CI37">
            <v>6</v>
          </cell>
          <cell r="CJ37">
            <v>5</v>
          </cell>
          <cell r="CK37">
            <v>30</v>
          </cell>
          <cell r="CL37">
            <v>0</v>
          </cell>
          <cell r="CM37">
            <v>0</v>
          </cell>
          <cell r="CN37">
            <v>4.833333333333333</v>
          </cell>
          <cell r="CO37">
            <v>5</v>
          </cell>
          <cell r="CP37">
            <v>30</v>
          </cell>
          <cell r="CQ37">
            <v>0</v>
          </cell>
          <cell r="CR37">
            <v>0</v>
          </cell>
          <cell r="CS37">
            <v>4.833333333333333</v>
          </cell>
          <cell r="CT37">
            <v>5</v>
          </cell>
          <cell r="CU37">
            <v>30</v>
          </cell>
          <cell r="CV37">
            <v>0</v>
          </cell>
          <cell r="CW37">
            <v>0</v>
          </cell>
          <cell r="CX37">
            <v>4.833333333333333</v>
          </cell>
          <cell r="CY37">
            <v>4</v>
          </cell>
          <cell r="CZ37">
            <v>12</v>
          </cell>
          <cell r="DA37">
            <v>0</v>
          </cell>
          <cell r="DB37">
            <v>0</v>
          </cell>
          <cell r="DC37">
            <v>3.6666666666666665</v>
          </cell>
          <cell r="DD37">
            <v>4</v>
          </cell>
          <cell r="DE37">
            <v>6</v>
          </cell>
          <cell r="DF37">
            <v>0</v>
          </cell>
          <cell r="DG37">
            <v>0</v>
          </cell>
          <cell r="DH37">
            <v>3.6666666666666665</v>
          </cell>
          <cell r="DI37">
            <v>2</v>
          </cell>
          <cell r="DJ37">
            <v>2</v>
          </cell>
          <cell r="DK37">
            <v>0</v>
          </cell>
          <cell r="DL37">
            <v>0</v>
          </cell>
          <cell r="DM37">
            <v>3</v>
          </cell>
          <cell r="DN37">
            <v>2</v>
          </cell>
          <cell r="DO37">
            <v>2</v>
          </cell>
          <cell r="DP37">
            <v>0</v>
          </cell>
          <cell r="DQ37">
            <v>0</v>
          </cell>
          <cell r="DR37">
            <v>1.5</v>
          </cell>
          <cell r="DS37">
            <v>1.5</v>
          </cell>
          <cell r="DT37">
            <v>1</v>
          </cell>
          <cell r="DU37">
            <v>0.5</v>
          </cell>
          <cell r="DV37">
            <v>4</v>
          </cell>
          <cell r="DW37">
            <v>5</v>
          </cell>
          <cell r="DX37">
            <v>5</v>
          </cell>
          <cell r="DY37">
            <v>8</v>
          </cell>
          <cell r="DZ37">
            <v>0</v>
          </cell>
          <cell r="EA37">
            <v>0</v>
          </cell>
          <cell r="EB37">
            <v>4.5</v>
          </cell>
          <cell r="EC37">
            <v>4.5</v>
          </cell>
          <cell r="ED37">
            <v>7</v>
          </cell>
          <cell r="EE37">
            <v>0</v>
          </cell>
          <cell r="EF37">
            <v>0</v>
          </cell>
          <cell r="EG37">
            <v>4</v>
          </cell>
          <cell r="EH37">
            <v>4</v>
          </cell>
          <cell r="EI37">
            <v>6</v>
          </cell>
          <cell r="EJ37">
            <v>0</v>
          </cell>
          <cell r="EK37">
            <v>5</v>
          </cell>
          <cell r="EL37">
            <v>8.5</v>
          </cell>
          <cell r="EM37">
            <v>8.5</v>
          </cell>
          <cell r="EN37">
            <v>15</v>
          </cell>
          <cell r="EO37">
            <v>0</v>
          </cell>
          <cell r="EP37">
            <v>0</v>
          </cell>
          <cell r="EQ37">
            <v>8</v>
          </cell>
          <cell r="ER37">
            <v>8</v>
          </cell>
          <cell r="ES37">
            <v>14</v>
          </cell>
          <cell r="ET37">
            <v>0</v>
          </cell>
          <cell r="EU37">
            <v>0</v>
          </cell>
          <cell r="EV37">
            <v>7.5</v>
          </cell>
          <cell r="EW37">
            <v>7.5</v>
          </cell>
          <cell r="EX37">
            <v>13</v>
          </cell>
          <cell r="EY37">
            <v>0</v>
          </cell>
          <cell r="EZ37">
            <v>0</v>
          </cell>
          <cell r="FA37">
            <v>7</v>
          </cell>
          <cell r="FB37">
            <v>7</v>
          </cell>
          <cell r="FC37">
            <v>12</v>
          </cell>
          <cell r="FD37">
            <v>0</v>
          </cell>
          <cell r="FE37">
            <v>0</v>
          </cell>
          <cell r="FF37">
            <v>6.5</v>
          </cell>
          <cell r="FG37">
            <v>6.5</v>
          </cell>
          <cell r="FH37">
            <v>11</v>
          </cell>
          <cell r="FI37">
            <v>0</v>
          </cell>
          <cell r="FJ37">
            <v>0</v>
          </cell>
          <cell r="FK37">
            <v>6</v>
          </cell>
          <cell r="FL37">
            <v>6</v>
          </cell>
          <cell r="FM37">
            <v>10</v>
          </cell>
          <cell r="FN37">
            <v>0</v>
          </cell>
          <cell r="FO37">
            <v>0</v>
          </cell>
          <cell r="FP37">
            <v>5.5</v>
          </cell>
          <cell r="FQ37">
            <v>5.5</v>
          </cell>
          <cell r="FR37">
            <v>9</v>
          </cell>
          <cell r="FS37">
            <v>0</v>
          </cell>
          <cell r="FT37">
            <v>2</v>
          </cell>
          <cell r="FU37">
            <v>2.0333333333333332</v>
          </cell>
          <cell r="FW37" t="str">
            <v>STOCK OK</v>
          </cell>
          <cell r="FX37" t="str">
            <v>C</v>
          </cell>
          <cell r="FY37" t="str">
            <v>Si</v>
          </cell>
        </row>
        <row r="38">
          <cell r="B38" t="str">
            <v>REP-0037</v>
          </cell>
          <cell r="C38" t="str">
            <v>MIX</v>
          </cell>
          <cell r="D38">
            <v>0</v>
          </cell>
          <cell r="E38">
            <v>8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1</v>
          </cell>
          <cell r="O38">
            <v>2</v>
          </cell>
          <cell r="P38">
            <v>0</v>
          </cell>
          <cell r="Q38">
            <v>1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12</v>
          </cell>
          <cell r="AA38">
            <v>12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8.3333333333333329E-2</v>
          </cell>
          <cell r="AG38">
            <v>8.3333333333333329E-2</v>
          </cell>
          <cell r="AH38">
            <v>0.16666666666666666</v>
          </cell>
          <cell r="AI38">
            <v>0</v>
          </cell>
          <cell r="AJ38">
            <v>0</v>
          </cell>
          <cell r="AK38">
            <v>0.16666666666666666</v>
          </cell>
          <cell r="AL38">
            <v>7.9785592313028175E-2</v>
          </cell>
          <cell r="AM38">
            <v>6.25E-2</v>
          </cell>
          <cell r="AN38">
            <v>1.2765694770084508</v>
          </cell>
          <cell r="AO38">
            <v>0</v>
          </cell>
          <cell r="AP38">
            <v>12.916666666666666</v>
          </cell>
          <cell r="AQ38">
            <v>155</v>
          </cell>
          <cell r="AR38">
            <v>0</v>
          </cell>
          <cell r="AS38">
            <v>12.833333333333332</v>
          </cell>
          <cell r="AT38">
            <v>13</v>
          </cell>
          <cell r="AU38">
            <v>156</v>
          </cell>
          <cell r="AV38">
            <v>0</v>
          </cell>
          <cell r="AW38">
            <v>12.916666666666666</v>
          </cell>
          <cell r="AX38">
            <v>13</v>
          </cell>
          <cell r="AY38">
            <v>78</v>
          </cell>
          <cell r="AZ38">
            <v>0</v>
          </cell>
          <cell r="BA38">
            <v>12.916666666666666</v>
          </cell>
          <cell r="BB38">
            <v>13</v>
          </cell>
          <cell r="BC38">
            <v>156</v>
          </cell>
          <cell r="BD38">
            <v>0</v>
          </cell>
          <cell r="BE38">
            <v>12.916666666666666</v>
          </cell>
          <cell r="BF38">
            <v>155</v>
          </cell>
          <cell r="BG38">
            <v>0</v>
          </cell>
          <cell r="BH38">
            <v>12.833333333333332</v>
          </cell>
          <cell r="BI38">
            <v>12</v>
          </cell>
          <cell r="BJ38">
            <v>72</v>
          </cell>
          <cell r="BK38">
            <v>0</v>
          </cell>
          <cell r="BL38">
            <v>12.916666666666666</v>
          </cell>
          <cell r="BM38">
            <v>13</v>
          </cell>
          <cell r="BN38">
            <v>156</v>
          </cell>
          <cell r="BO38">
            <v>0</v>
          </cell>
          <cell r="BP38">
            <v>12.916666666666666</v>
          </cell>
          <cell r="BQ38">
            <v>13</v>
          </cell>
          <cell r="BR38">
            <v>78</v>
          </cell>
          <cell r="BS38">
            <v>0</v>
          </cell>
          <cell r="BT38">
            <v>12.916666666666666</v>
          </cell>
          <cell r="BU38">
            <v>13</v>
          </cell>
          <cell r="BV38">
            <v>156</v>
          </cell>
          <cell r="BW38">
            <v>0</v>
          </cell>
          <cell r="BX38">
            <v>0</v>
          </cell>
          <cell r="BY38">
            <v>12.916666666666666</v>
          </cell>
          <cell r="BZ38">
            <v>13</v>
          </cell>
          <cell r="CA38">
            <v>156</v>
          </cell>
          <cell r="CB38">
            <v>0</v>
          </cell>
          <cell r="CC38">
            <v>0</v>
          </cell>
          <cell r="CD38">
            <v>12.916666666666666</v>
          </cell>
          <cell r="CE38">
            <v>13</v>
          </cell>
          <cell r="CF38">
            <v>156</v>
          </cell>
          <cell r="CG38">
            <v>0</v>
          </cell>
          <cell r="CH38">
            <v>0</v>
          </cell>
          <cell r="CI38">
            <v>12.833333333333332</v>
          </cell>
          <cell r="CJ38">
            <v>11</v>
          </cell>
          <cell r="CK38">
            <v>33</v>
          </cell>
          <cell r="CL38">
            <v>0</v>
          </cell>
          <cell r="CM38">
            <v>0</v>
          </cell>
          <cell r="CN38">
            <v>10.666666666666666</v>
          </cell>
          <cell r="CO38">
            <v>11</v>
          </cell>
          <cell r="CP38">
            <v>33</v>
          </cell>
          <cell r="CQ38">
            <v>0</v>
          </cell>
          <cell r="CR38">
            <v>0</v>
          </cell>
          <cell r="CS38">
            <v>10.666666666666666</v>
          </cell>
          <cell r="CT38">
            <v>11</v>
          </cell>
          <cell r="CU38">
            <v>33</v>
          </cell>
          <cell r="CV38">
            <v>0</v>
          </cell>
          <cell r="CW38">
            <v>0</v>
          </cell>
          <cell r="CX38">
            <v>10.666666666666666</v>
          </cell>
          <cell r="CY38">
            <v>11</v>
          </cell>
          <cell r="CZ38">
            <v>66</v>
          </cell>
          <cell r="DA38">
            <v>0</v>
          </cell>
          <cell r="DB38">
            <v>0</v>
          </cell>
          <cell r="DC38">
            <v>10.833333333333334</v>
          </cell>
          <cell r="DD38">
            <v>13</v>
          </cell>
          <cell r="DE38">
            <v>72</v>
          </cell>
          <cell r="DF38">
            <v>0</v>
          </cell>
          <cell r="DG38">
            <v>0</v>
          </cell>
          <cell r="DH38">
            <v>12.833333333333334</v>
          </cell>
          <cell r="DI38">
            <v>13</v>
          </cell>
          <cell r="DJ38">
            <v>74</v>
          </cell>
          <cell r="DK38">
            <v>0</v>
          </cell>
          <cell r="DL38">
            <v>0</v>
          </cell>
          <cell r="DM38">
            <v>12.666666666666668</v>
          </cell>
          <cell r="DN38">
            <v>12</v>
          </cell>
          <cell r="DO38">
            <v>68</v>
          </cell>
          <cell r="DP38">
            <v>0</v>
          </cell>
          <cell r="DQ38">
            <v>0</v>
          </cell>
          <cell r="DR38">
            <v>11.833333333333334</v>
          </cell>
          <cell r="DS38">
            <v>11.833333333333334</v>
          </cell>
          <cell r="DT38">
            <v>67.000000000000014</v>
          </cell>
          <cell r="DU38">
            <v>0</v>
          </cell>
          <cell r="DV38">
            <v>0</v>
          </cell>
          <cell r="DW38">
            <v>11.666666666666668</v>
          </cell>
          <cell r="DX38">
            <v>11.666666666666668</v>
          </cell>
          <cell r="DY38">
            <v>66.000000000000014</v>
          </cell>
          <cell r="DZ38">
            <v>0</v>
          </cell>
          <cell r="EA38">
            <v>0</v>
          </cell>
          <cell r="EB38">
            <v>11.500000000000002</v>
          </cell>
          <cell r="EC38">
            <v>11.500000000000002</v>
          </cell>
          <cell r="ED38">
            <v>65.000000000000014</v>
          </cell>
          <cell r="EE38">
            <v>0</v>
          </cell>
          <cell r="EF38">
            <v>0</v>
          </cell>
          <cell r="EG38">
            <v>11.333333333333336</v>
          </cell>
          <cell r="EH38">
            <v>11.333333333333336</v>
          </cell>
          <cell r="EI38">
            <v>64.000000000000014</v>
          </cell>
          <cell r="EJ38">
            <v>0</v>
          </cell>
          <cell r="EK38">
            <v>0</v>
          </cell>
          <cell r="EL38">
            <v>11.16666666666667</v>
          </cell>
          <cell r="EM38">
            <v>11.16666666666667</v>
          </cell>
          <cell r="EN38">
            <v>63.000000000000021</v>
          </cell>
          <cell r="EO38">
            <v>0</v>
          </cell>
          <cell r="EP38">
            <v>0</v>
          </cell>
          <cell r="EQ38">
            <v>11.000000000000004</v>
          </cell>
          <cell r="ER38">
            <v>11.000000000000004</v>
          </cell>
          <cell r="ES38">
            <v>62.000000000000021</v>
          </cell>
          <cell r="ET38">
            <v>0</v>
          </cell>
          <cell r="EU38">
            <v>0</v>
          </cell>
          <cell r="EV38">
            <v>10.833333333333337</v>
          </cell>
          <cell r="EW38">
            <v>10.833333333333337</v>
          </cell>
          <cell r="EX38">
            <v>61.000000000000028</v>
          </cell>
          <cell r="EY38">
            <v>0</v>
          </cell>
          <cell r="EZ38">
            <v>0</v>
          </cell>
          <cell r="FA38">
            <v>10.666666666666671</v>
          </cell>
          <cell r="FB38">
            <v>10.666666666666671</v>
          </cell>
          <cell r="FC38">
            <v>60.000000000000028</v>
          </cell>
          <cell r="FD38">
            <v>0</v>
          </cell>
          <cell r="FE38">
            <v>0</v>
          </cell>
          <cell r="FF38">
            <v>10.500000000000005</v>
          </cell>
          <cell r="FG38">
            <v>10.500000000000005</v>
          </cell>
          <cell r="FH38">
            <v>59.000000000000036</v>
          </cell>
          <cell r="FI38">
            <v>0</v>
          </cell>
          <cell r="FJ38">
            <v>0</v>
          </cell>
          <cell r="FK38">
            <v>10.333333333333339</v>
          </cell>
          <cell r="FL38">
            <v>10.333333333333339</v>
          </cell>
          <cell r="FM38">
            <v>58.000000000000036</v>
          </cell>
          <cell r="FN38">
            <v>0</v>
          </cell>
          <cell r="FO38">
            <v>0</v>
          </cell>
          <cell r="FP38">
            <v>10.166666666666673</v>
          </cell>
          <cell r="FQ38">
            <v>10.166666666666673</v>
          </cell>
          <cell r="FR38">
            <v>57.000000000000043</v>
          </cell>
          <cell r="FS38">
            <v>0</v>
          </cell>
          <cell r="FT38">
            <v>1</v>
          </cell>
          <cell r="FU38">
            <v>2.0333333333333332</v>
          </cell>
          <cell r="FV38" t="str">
            <v>SI</v>
          </cell>
          <cell r="FW38" t="str">
            <v>SIN ROTACIÓN</v>
          </cell>
          <cell r="FX38" t="str">
            <v>C</v>
          </cell>
          <cell r="FY38" t="str">
            <v>Si</v>
          </cell>
        </row>
        <row r="39">
          <cell r="B39" t="str">
            <v>REP-0038</v>
          </cell>
          <cell r="C39" t="str">
            <v>MIX</v>
          </cell>
          <cell r="D39">
            <v>0</v>
          </cell>
          <cell r="E39">
            <v>42</v>
          </cell>
          <cell r="F39">
            <v>0</v>
          </cell>
          <cell r="G39">
            <v>0</v>
          </cell>
          <cell r="H39">
            <v>16</v>
          </cell>
          <cell r="I39">
            <v>16</v>
          </cell>
          <cell r="J39">
            <v>0</v>
          </cell>
          <cell r="K39">
            <v>3</v>
          </cell>
          <cell r="L39">
            <v>3</v>
          </cell>
          <cell r="M39">
            <v>2</v>
          </cell>
          <cell r="N39">
            <v>2</v>
          </cell>
          <cell r="O39">
            <v>2</v>
          </cell>
          <cell r="P39">
            <v>2</v>
          </cell>
          <cell r="Q39">
            <v>2</v>
          </cell>
          <cell r="R39">
            <v>2</v>
          </cell>
          <cell r="S39">
            <v>2</v>
          </cell>
          <cell r="T39">
            <v>1</v>
          </cell>
          <cell r="U39">
            <v>3</v>
          </cell>
          <cell r="V39">
            <v>2</v>
          </cell>
          <cell r="W39">
            <v>2</v>
          </cell>
          <cell r="X39">
            <v>2</v>
          </cell>
          <cell r="Y39">
            <v>104</v>
          </cell>
          <cell r="AA39">
            <v>104</v>
          </cell>
          <cell r="AB39">
            <v>23</v>
          </cell>
          <cell r="AC39">
            <v>3.1666666666666665</v>
          </cell>
          <cell r="AD39">
            <v>0.10555555555555556</v>
          </cell>
          <cell r="AE39">
            <v>3.3333333333333335</v>
          </cell>
          <cell r="AF39">
            <v>2.1666666666666665</v>
          </cell>
          <cell r="AG39">
            <v>4.333333333333333</v>
          </cell>
          <cell r="AH39">
            <v>7.416666666666667</v>
          </cell>
          <cell r="AI39">
            <v>3.8333333333333335</v>
          </cell>
          <cell r="AJ39">
            <v>3.8333333333333335</v>
          </cell>
          <cell r="AK39">
            <v>4.854166666666667</v>
          </cell>
          <cell r="AL39">
            <v>1.724516840547905</v>
          </cell>
          <cell r="AM39">
            <v>4.854166666666667</v>
          </cell>
          <cell r="AN39">
            <v>0.35526527187252976</v>
          </cell>
          <cell r="AO39">
            <v>0</v>
          </cell>
          <cell r="AP39">
            <v>17.333333333333332</v>
          </cell>
          <cell r="AQ39">
            <v>4.3571428571428568</v>
          </cell>
          <cell r="AR39">
            <v>0</v>
          </cell>
          <cell r="AS39">
            <v>43</v>
          </cell>
          <cell r="AT39">
            <v>42</v>
          </cell>
          <cell r="AU39">
            <v>9.6923076923076934</v>
          </cell>
          <cell r="AV39">
            <v>0</v>
          </cell>
          <cell r="AW39">
            <v>37.666666666666664</v>
          </cell>
          <cell r="AX39">
            <v>30</v>
          </cell>
          <cell r="AY39">
            <v>6.1802575107296134</v>
          </cell>
          <cell r="AZ39">
            <v>0</v>
          </cell>
          <cell r="BA39">
            <v>45.666666666666664</v>
          </cell>
          <cell r="BB39">
            <v>17</v>
          </cell>
          <cell r="BC39">
            <v>1.6451612903225805</v>
          </cell>
          <cell r="BD39">
            <v>0</v>
          </cell>
          <cell r="BE39">
            <v>6.6666666666666661</v>
          </cell>
          <cell r="BF39">
            <v>0.64516129032258052</v>
          </cell>
          <cell r="BG39">
            <v>70</v>
          </cell>
          <cell r="BH39">
            <v>66.333333333333343</v>
          </cell>
          <cell r="BI39">
            <v>104</v>
          </cell>
          <cell r="BJ39">
            <v>21.42489270386266</v>
          </cell>
          <cell r="BK39">
            <v>0</v>
          </cell>
          <cell r="BL39">
            <v>21.333333333333332</v>
          </cell>
          <cell r="BM39">
            <v>90</v>
          </cell>
          <cell r="BN39">
            <v>12.272727272727273</v>
          </cell>
          <cell r="BO39">
            <v>0</v>
          </cell>
          <cell r="BP39">
            <v>152.66666666666666</v>
          </cell>
          <cell r="BQ39">
            <v>150</v>
          </cell>
          <cell r="BR39">
            <v>30.901287553648068</v>
          </cell>
          <cell r="BS39">
            <v>0</v>
          </cell>
          <cell r="BT39">
            <v>141.5</v>
          </cell>
          <cell r="BU39">
            <v>146</v>
          </cell>
          <cell r="BV39">
            <v>19.043478260869563</v>
          </cell>
          <cell r="BW39">
            <v>0</v>
          </cell>
          <cell r="BX39">
            <v>0</v>
          </cell>
          <cell r="BY39">
            <v>138.33333333333334</v>
          </cell>
          <cell r="BZ39">
            <v>144</v>
          </cell>
          <cell r="CA39">
            <v>22.857142857142858</v>
          </cell>
          <cell r="CB39">
            <v>0</v>
          </cell>
          <cell r="CC39">
            <v>0</v>
          </cell>
          <cell r="CD39">
            <v>137.69999999999999</v>
          </cell>
          <cell r="CE39">
            <v>128</v>
          </cell>
          <cell r="CF39">
            <v>17.454545454545457</v>
          </cell>
          <cell r="CG39">
            <v>0</v>
          </cell>
          <cell r="CH39">
            <v>0</v>
          </cell>
          <cell r="CI39">
            <v>130.36666666666665</v>
          </cell>
          <cell r="CJ39">
            <v>119</v>
          </cell>
          <cell r="CK39">
            <v>14.571428571428573</v>
          </cell>
          <cell r="CL39">
            <v>0</v>
          </cell>
          <cell r="CM39">
            <v>0</v>
          </cell>
          <cell r="CN39">
            <v>110.83333333333333</v>
          </cell>
          <cell r="CO39">
            <v>115</v>
          </cell>
          <cell r="CP39">
            <v>14.081632653061225</v>
          </cell>
          <cell r="CQ39">
            <v>0</v>
          </cell>
          <cell r="CR39">
            <v>0</v>
          </cell>
          <cell r="CS39">
            <v>106.83333333333333</v>
          </cell>
          <cell r="CT39">
            <v>111</v>
          </cell>
          <cell r="CU39">
            <v>14.966292134831461</v>
          </cell>
          <cell r="CV39">
            <v>0</v>
          </cell>
          <cell r="CW39">
            <v>0</v>
          </cell>
          <cell r="CX39">
            <v>103.58333333333333</v>
          </cell>
          <cell r="CY39">
            <v>102</v>
          </cell>
          <cell r="CZ39">
            <v>13.752808988764045</v>
          </cell>
          <cell r="DA39">
            <v>0</v>
          </cell>
          <cell r="DB39">
            <v>0</v>
          </cell>
          <cell r="DC39">
            <v>94.583333333333329</v>
          </cell>
          <cell r="DD39">
            <v>98</v>
          </cell>
          <cell r="DE39">
            <v>8.0898876404494384</v>
          </cell>
          <cell r="DF39">
            <v>0</v>
          </cell>
          <cell r="DG39">
            <v>0</v>
          </cell>
          <cell r="DH39">
            <v>90.583333333333329</v>
          </cell>
          <cell r="DI39">
            <v>97</v>
          </cell>
          <cell r="DJ39">
            <v>14.071611253196931</v>
          </cell>
          <cell r="DK39">
            <v>0</v>
          </cell>
          <cell r="DL39">
            <v>0</v>
          </cell>
          <cell r="DM39">
            <v>85.695833333333326</v>
          </cell>
          <cell r="DN39">
            <v>104</v>
          </cell>
          <cell r="DO39">
            <v>15.59656652360515</v>
          </cell>
          <cell r="DP39">
            <v>0</v>
          </cell>
          <cell r="DQ39">
            <v>0</v>
          </cell>
          <cell r="DR39">
            <v>99.145833333333329</v>
          </cell>
          <cell r="DS39">
            <v>99.145833333333329</v>
          </cell>
          <cell r="DT39">
            <v>14.596566523605148</v>
          </cell>
          <cell r="DU39">
            <v>0</v>
          </cell>
          <cell r="DV39">
            <v>0</v>
          </cell>
          <cell r="DW39">
            <v>94.291666666666657</v>
          </cell>
          <cell r="DX39">
            <v>94.291666666666657</v>
          </cell>
          <cell r="DY39">
            <v>13.596566523605148</v>
          </cell>
          <cell r="DZ39">
            <v>0</v>
          </cell>
          <cell r="EA39">
            <v>0</v>
          </cell>
          <cell r="EB39">
            <v>89.437499999999986</v>
          </cell>
          <cell r="EC39">
            <v>89.437499999999986</v>
          </cell>
          <cell r="ED39">
            <v>12.596566523605146</v>
          </cell>
          <cell r="EE39">
            <v>0</v>
          </cell>
          <cell r="EF39">
            <v>0</v>
          </cell>
          <cell r="EG39">
            <v>84.583333333333314</v>
          </cell>
          <cell r="EH39">
            <v>84.583333333333314</v>
          </cell>
          <cell r="EI39">
            <v>11.596566523605146</v>
          </cell>
          <cell r="EJ39">
            <v>0</v>
          </cell>
          <cell r="EK39">
            <v>0</v>
          </cell>
          <cell r="EL39">
            <v>79.729166666666643</v>
          </cell>
          <cell r="EM39">
            <v>79.729166666666643</v>
          </cell>
          <cell r="EN39">
            <v>10.596566523605144</v>
          </cell>
          <cell r="EO39">
            <v>0</v>
          </cell>
          <cell r="EP39">
            <v>0</v>
          </cell>
          <cell r="EQ39">
            <v>74.874999999999972</v>
          </cell>
          <cell r="ER39">
            <v>74.874999999999972</v>
          </cell>
          <cell r="ES39">
            <v>9.5965665236051443</v>
          </cell>
          <cell r="ET39">
            <v>0</v>
          </cell>
          <cell r="EU39">
            <v>0</v>
          </cell>
          <cell r="EV39">
            <v>70.0208333333333</v>
          </cell>
          <cell r="EW39">
            <v>70.0208333333333</v>
          </cell>
          <cell r="EX39">
            <v>8.5965665236051443</v>
          </cell>
          <cell r="EY39">
            <v>0</v>
          </cell>
          <cell r="EZ39">
            <v>0</v>
          </cell>
          <cell r="FA39">
            <v>65.166666666666629</v>
          </cell>
          <cell r="FB39">
            <v>65.166666666666629</v>
          </cell>
          <cell r="FC39">
            <v>7.5965665236051425</v>
          </cell>
          <cell r="FD39">
            <v>0</v>
          </cell>
          <cell r="FE39">
            <v>0</v>
          </cell>
          <cell r="FF39">
            <v>60.312499999999964</v>
          </cell>
          <cell r="FG39">
            <v>60.312499999999964</v>
          </cell>
          <cell r="FH39">
            <v>6.5965665236051425</v>
          </cell>
          <cell r="FI39">
            <v>0</v>
          </cell>
          <cell r="FJ39">
            <v>0</v>
          </cell>
          <cell r="FK39">
            <v>55.4583333333333</v>
          </cell>
          <cell r="FL39">
            <v>55.4583333333333</v>
          </cell>
          <cell r="FM39">
            <v>5.5965665236051425</v>
          </cell>
          <cell r="FN39">
            <v>0</v>
          </cell>
          <cell r="FO39">
            <v>0</v>
          </cell>
          <cell r="FP39">
            <v>50.604166666666636</v>
          </cell>
          <cell r="FQ39">
            <v>50.604166666666636</v>
          </cell>
          <cell r="FR39">
            <v>4.5965665236051443</v>
          </cell>
          <cell r="FS39">
            <v>0</v>
          </cell>
          <cell r="FT39">
            <v>38</v>
          </cell>
          <cell r="FU39">
            <v>2.0333333333333332</v>
          </cell>
          <cell r="FV39" t="str">
            <v>SI</v>
          </cell>
          <cell r="FW39" t="str">
            <v>SOBRESTOCK</v>
          </cell>
          <cell r="FX39" t="str">
            <v>A</v>
          </cell>
          <cell r="FY39" t="str">
            <v>Si</v>
          </cell>
        </row>
        <row r="40">
          <cell r="B40" t="str">
            <v>REP-0039</v>
          </cell>
          <cell r="C40" t="str">
            <v>MIX</v>
          </cell>
          <cell r="D40">
            <v>0</v>
          </cell>
          <cell r="E40">
            <v>9</v>
          </cell>
          <cell r="F40">
            <v>0</v>
          </cell>
          <cell r="G40">
            <v>0</v>
          </cell>
          <cell r="H40">
            <v>10</v>
          </cell>
          <cell r="I40">
            <v>10</v>
          </cell>
          <cell r="J40">
            <v>0</v>
          </cell>
          <cell r="K40">
            <v>11</v>
          </cell>
          <cell r="L40">
            <v>1</v>
          </cell>
          <cell r="M40">
            <v>0</v>
          </cell>
          <cell r="N40">
            <v>1</v>
          </cell>
          <cell r="O40">
            <v>4</v>
          </cell>
          <cell r="P40">
            <v>2</v>
          </cell>
          <cell r="Q40">
            <v>2</v>
          </cell>
          <cell r="R40">
            <v>9</v>
          </cell>
          <cell r="S40">
            <v>3</v>
          </cell>
          <cell r="T40">
            <v>2</v>
          </cell>
          <cell r="U40">
            <v>4</v>
          </cell>
          <cell r="V40">
            <v>3</v>
          </cell>
          <cell r="W40">
            <v>2</v>
          </cell>
          <cell r="X40">
            <v>5</v>
          </cell>
          <cell r="Y40">
            <v>78</v>
          </cell>
          <cell r="AA40">
            <v>78</v>
          </cell>
          <cell r="AB40">
            <v>28</v>
          </cell>
          <cell r="AC40">
            <v>1.8333333333333333</v>
          </cell>
          <cell r="AD40">
            <v>6.1111111111111109E-2</v>
          </cell>
          <cell r="AE40">
            <v>3.0833333333333335</v>
          </cell>
          <cell r="AF40">
            <v>3.25</v>
          </cell>
          <cell r="AG40">
            <v>4.166666666666667</v>
          </cell>
          <cell r="AH40">
            <v>3.6666666666666665</v>
          </cell>
          <cell r="AI40">
            <v>2.6666666666666665</v>
          </cell>
          <cell r="AJ40">
            <v>2.6666666666666665</v>
          </cell>
          <cell r="AK40">
            <v>4.166666666666667</v>
          </cell>
          <cell r="AL40">
            <v>0.64978628965393248</v>
          </cell>
          <cell r="AM40">
            <v>3.2916666666666665</v>
          </cell>
          <cell r="AN40">
            <v>0.19740342976828329</v>
          </cell>
          <cell r="AO40">
            <v>0</v>
          </cell>
          <cell r="AP40">
            <v>45.833333333333336</v>
          </cell>
          <cell r="AQ40">
            <v>11</v>
          </cell>
          <cell r="AR40">
            <v>0</v>
          </cell>
          <cell r="AS40">
            <v>41</v>
          </cell>
          <cell r="AT40">
            <v>42</v>
          </cell>
          <cell r="AU40">
            <v>9.3333333333333339</v>
          </cell>
          <cell r="AV40">
            <v>0</v>
          </cell>
          <cell r="AW40">
            <v>37.5</v>
          </cell>
          <cell r="AX40">
            <v>40</v>
          </cell>
          <cell r="AY40">
            <v>9.6</v>
          </cell>
          <cell r="AZ40">
            <v>0</v>
          </cell>
          <cell r="BA40">
            <v>65.833333333333329</v>
          </cell>
          <cell r="BB40">
            <v>36</v>
          </cell>
          <cell r="BC40">
            <v>7.2</v>
          </cell>
          <cell r="BD40">
            <v>0</v>
          </cell>
          <cell r="BE40">
            <v>31</v>
          </cell>
          <cell r="BF40">
            <v>6.2</v>
          </cell>
          <cell r="BG40">
            <v>30</v>
          </cell>
          <cell r="BH40">
            <v>56</v>
          </cell>
          <cell r="BI40">
            <v>78</v>
          </cell>
          <cell r="BJ40">
            <v>18.72</v>
          </cell>
          <cell r="BK40">
            <v>0</v>
          </cell>
          <cell r="BL40">
            <v>125.83333333333333</v>
          </cell>
          <cell r="BM40">
            <v>127</v>
          </cell>
          <cell r="BN40">
            <v>30.479999999999997</v>
          </cell>
          <cell r="BO40">
            <v>0</v>
          </cell>
          <cell r="BP40">
            <v>122.83333333333333</v>
          </cell>
          <cell r="BQ40">
            <v>125</v>
          </cell>
          <cell r="BR40">
            <v>29.999999999999996</v>
          </cell>
          <cell r="BS40">
            <v>0</v>
          </cell>
          <cell r="BT40">
            <v>120.83333333333333</v>
          </cell>
          <cell r="BU40">
            <v>121</v>
          </cell>
          <cell r="BV40">
            <v>29.04</v>
          </cell>
          <cell r="BW40">
            <v>0</v>
          </cell>
          <cell r="BX40">
            <v>0</v>
          </cell>
          <cell r="BY40">
            <v>116.83333333333333</v>
          </cell>
          <cell r="BZ40">
            <v>118</v>
          </cell>
          <cell r="CA40">
            <v>28.319999999999997</v>
          </cell>
          <cell r="CB40">
            <v>0</v>
          </cell>
          <cell r="CC40">
            <v>0</v>
          </cell>
          <cell r="CD40">
            <v>113.83333333333333</v>
          </cell>
          <cell r="CE40">
            <v>109</v>
          </cell>
          <cell r="CF40">
            <v>25.153846153846157</v>
          </cell>
          <cell r="CG40">
            <v>0</v>
          </cell>
          <cell r="CH40">
            <v>0</v>
          </cell>
          <cell r="CI40">
            <v>109.5</v>
          </cell>
          <cell r="CJ40">
            <v>107</v>
          </cell>
          <cell r="CK40">
            <v>25.68</v>
          </cell>
          <cell r="CL40">
            <v>0</v>
          </cell>
          <cell r="CM40">
            <v>0</v>
          </cell>
          <cell r="CN40">
            <v>102.83333333333333</v>
          </cell>
          <cell r="CO40">
            <v>105</v>
          </cell>
          <cell r="CP40">
            <v>25.2</v>
          </cell>
          <cell r="CQ40">
            <v>0</v>
          </cell>
          <cell r="CR40">
            <v>0</v>
          </cell>
          <cell r="CS40">
            <v>100.83333333333333</v>
          </cell>
          <cell r="CT40">
            <v>98</v>
          </cell>
          <cell r="CU40">
            <v>23.52</v>
          </cell>
          <cell r="CV40">
            <v>0</v>
          </cell>
          <cell r="CW40">
            <v>0</v>
          </cell>
          <cell r="CX40">
            <v>93.833333333333329</v>
          </cell>
          <cell r="CY40">
            <v>87</v>
          </cell>
          <cell r="CZ40">
            <v>20.88</v>
          </cell>
          <cell r="DA40">
            <v>0</v>
          </cell>
          <cell r="DB40">
            <v>0</v>
          </cell>
          <cell r="DC40">
            <v>82.833333333333329</v>
          </cell>
          <cell r="DD40">
            <v>83</v>
          </cell>
          <cell r="DE40">
            <v>10.799999999999999</v>
          </cell>
          <cell r="DF40">
            <v>0</v>
          </cell>
          <cell r="DG40">
            <v>0</v>
          </cell>
          <cell r="DH40">
            <v>78.833333333333329</v>
          </cell>
          <cell r="DI40">
            <v>82</v>
          </cell>
          <cell r="DJ40">
            <v>12.559999999999999</v>
          </cell>
          <cell r="DK40">
            <v>0</v>
          </cell>
          <cell r="DL40">
            <v>0</v>
          </cell>
          <cell r="DM40">
            <v>74.666666666666657</v>
          </cell>
          <cell r="DN40">
            <v>78</v>
          </cell>
          <cell r="DO40">
            <v>11.6</v>
          </cell>
          <cell r="DP40">
            <v>0</v>
          </cell>
          <cell r="DQ40">
            <v>0</v>
          </cell>
          <cell r="DR40">
            <v>73.833333333333329</v>
          </cell>
          <cell r="DS40">
            <v>73.833333333333329</v>
          </cell>
          <cell r="DT40">
            <v>10.599999999999998</v>
          </cell>
          <cell r="DU40">
            <v>0</v>
          </cell>
          <cell r="DV40">
            <v>0</v>
          </cell>
          <cell r="DW40">
            <v>69.666666666666657</v>
          </cell>
          <cell r="DX40">
            <v>69.666666666666657</v>
          </cell>
          <cell r="DY40">
            <v>9.5999999999999979</v>
          </cell>
          <cell r="DZ40">
            <v>0</v>
          </cell>
          <cell r="EA40">
            <v>0</v>
          </cell>
          <cell r="EB40">
            <v>65.499999999999986</v>
          </cell>
          <cell r="EC40">
            <v>65.499999999999986</v>
          </cell>
          <cell r="ED40">
            <v>8.5999999999999961</v>
          </cell>
          <cell r="EE40">
            <v>0</v>
          </cell>
          <cell r="EF40">
            <v>0</v>
          </cell>
          <cell r="EG40">
            <v>61.333333333333321</v>
          </cell>
          <cell r="EH40">
            <v>61.333333333333321</v>
          </cell>
          <cell r="EI40">
            <v>7.599999999999997</v>
          </cell>
          <cell r="EJ40">
            <v>0</v>
          </cell>
          <cell r="EK40">
            <v>0</v>
          </cell>
          <cell r="EL40">
            <v>57.166666666666657</v>
          </cell>
          <cell r="EM40">
            <v>57.166666666666657</v>
          </cell>
          <cell r="EN40">
            <v>6.599999999999997</v>
          </cell>
          <cell r="EO40">
            <v>0</v>
          </cell>
          <cell r="EP40">
            <v>0</v>
          </cell>
          <cell r="EQ40">
            <v>52.999999999999993</v>
          </cell>
          <cell r="ER40">
            <v>52.999999999999993</v>
          </cell>
          <cell r="ES40">
            <v>5.5999999999999979</v>
          </cell>
          <cell r="ET40">
            <v>0</v>
          </cell>
          <cell r="EU40">
            <v>0</v>
          </cell>
          <cell r="EV40">
            <v>48.833333333333329</v>
          </cell>
          <cell r="EW40">
            <v>48.833333333333329</v>
          </cell>
          <cell r="EX40">
            <v>4.5999999999999988</v>
          </cell>
          <cell r="EY40">
            <v>0</v>
          </cell>
          <cell r="EZ40">
            <v>0</v>
          </cell>
          <cell r="FA40">
            <v>44.666666666666664</v>
          </cell>
          <cell r="FB40">
            <v>44.666666666666664</v>
          </cell>
          <cell r="FC40">
            <v>3.5999999999999996</v>
          </cell>
          <cell r="FD40">
            <v>0</v>
          </cell>
          <cell r="FE40">
            <v>0</v>
          </cell>
          <cell r="FF40">
            <v>40.5</v>
          </cell>
          <cell r="FG40">
            <v>40.5</v>
          </cell>
          <cell r="FH40">
            <v>2.6</v>
          </cell>
          <cell r="FI40">
            <v>0</v>
          </cell>
          <cell r="FJ40">
            <v>0</v>
          </cell>
          <cell r="FK40">
            <v>36.333333333333336</v>
          </cell>
          <cell r="FL40">
            <v>36.333333333333336</v>
          </cell>
          <cell r="FM40">
            <v>1.6000000000000005</v>
          </cell>
          <cell r="FN40">
            <v>1.6666666666666643</v>
          </cell>
          <cell r="FO40">
            <v>10</v>
          </cell>
          <cell r="FP40">
            <v>42.166666666666671</v>
          </cell>
          <cell r="FQ40">
            <v>42.166666666666671</v>
          </cell>
          <cell r="FR40">
            <v>3.0000000000000009</v>
          </cell>
          <cell r="FS40">
            <v>0</v>
          </cell>
          <cell r="FT40">
            <v>38</v>
          </cell>
          <cell r="FU40">
            <v>2.0333333333333332</v>
          </cell>
          <cell r="FW40" t="str">
            <v>SOBRESTOCK</v>
          </cell>
          <cell r="FX40" t="str">
            <v>B</v>
          </cell>
          <cell r="FY40" t="str">
            <v>Si</v>
          </cell>
        </row>
        <row r="41">
          <cell r="B41" t="str">
            <v>REP-0040</v>
          </cell>
          <cell r="C41" t="str">
            <v>MIX</v>
          </cell>
          <cell r="D41">
            <v>0</v>
          </cell>
          <cell r="E41">
            <v>465</v>
          </cell>
          <cell r="F41">
            <v>0</v>
          </cell>
          <cell r="G41">
            <v>0</v>
          </cell>
          <cell r="H41">
            <v>14</v>
          </cell>
          <cell r="I41">
            <v>14</v>
          </cell>
          <cell r="J41">
            <v>0</v>
          </cell>
          <cell r="K41">
            <v>14</v>
          </cell>
          <cell r="L41">
            <v>2</v>
          </cell>
          <cell r="M41">
            <v>14</v>
          </cell>
          <cell r="N41">
            <v>11</v>
          </cell>
          <cell r="O41">
            <v>8</v>
          </cell>
          <cell r="P41">
            <v>2</v>
          </cell>
          <cell r="Q41">
            <v>7</v>
          </cell>
          <cell r="R41">
            <v>20</v>
          </cell>
          <cell r="S41">
            <v>3</v>
          </cell>
          <cell r="T41">
            <v>8</v>
          </cell>
          <cell r="U41">
            <v>10</v>
          </cell>
          <cell r="V41">
            <v>10</v>
          </cell>
          <cell r="W41">
            <v>7</v>
          </cell>
          <cell r="X41">
            <v>18</v>
          </cell>
          <cell r="Y41">
            <v>627</v>
          </cell>
          <cell r="AA41">
            <v>627</v>
          </cell>
          <cell r="AB41">
            <v>435.5</v>
          </cell>
          <cell r="AC41">
            <v>49.166666666666664</v>
          </cell>
          <cell r="AD41">
            <v>1.6388888888888888</v>
          </cell>
          <cell r="AE41">
            <v>58.791666666666664</v>
          </cell>
          <cell r="AF41">
            <v>61.583333333333336</v>
          </cell>
          <cell r="AG41">
            <v>69.583333333333329</v>
          </cell>
          <cell r="AH41">
            <v>72.583333333333329</v>
          </cell>
          <cell r="AI41">
            <v>48.166666666666664</v>
          </cell>
          <cell r="AJ41">
            <v>48.166666666666664</v>
          </cell>
          <cell r="AK41">
            <v>72.583333333333329</v>
          </cell>
          <cell r="AL41">
            <v>11.540598626876648</v>
          </cell>
          <cell r="AM41">
            <v>59.624999999999993</v>
          </cell>
          <cell r="AN41">
            <v>0.19355301680296266</v>
          </cell>
          <cell r="AO41">
            <v>0</v>
          </cell>
          <cell r="AP41">
            <v>276</v>
          </cell>
          <cell r="AQ41">
            <v>3.9952830188679238</v>
          </cell>
          <cell r="AR41">
            <v>0</v>
          </cell>
          <cell r="AS41">
            <v>498.33333333333343</v>
          </cell>
          <cell r="AT41">
            <v>499</v>
          </cell>
          <cell r="AU41">
            <v>6.4525862068965525</v>
          </cell>
          <cell r="AV41">
            <v>0</v>
          </cell>
          <cell r="AW41">
            <v>421.66666666666669</v>
          </cell>
          <cell r="AX41">
            <v>424</v>
          </cell>
          <cell r="AY41">
            <v>5.8415614236509761</v>
          </cell>
          <cell r="AZ41">
            <v>0</v>
          </cell>
          <cell r="BA41">
            <v>547.83333333333337</v>
          </cell>
          <cell r="BB41">
            <v>312</v>
          </cell>
          <cell r="BC41">
            <v>2.9068322981366461</v>
          </cell>
          <cell r="BD41">
            <v>0</v>
          </cell>
          <cell r="BE41">
            <v>204.66666666666669</v>
          </cell>
          <cell r="BF41">
            <v>1.9068322981366461</v>
          </cell>
          <cell r="BG41">
            <v>200</v>
          </cell>
          <cell r="BH41">
            <v>297.33333333333337</v>
          </cell>
          <cell r="BI41">
            <v>627</v>
          </cell>
          <cell r="BJ41">
            <v>8.6383467278989681</v>
          </cell>
          <cell r="BK41">
            <v>0</v>
          </cell>
          <cell r="BL41">
            <v>676.5</v>
          </cell>
          <cell r="BM41">
            <v>699</v>
          </cell>
          <cell r="BN41">
            <v>8.8802177858439215</v>
          </cell>
          <cell r="BO41">
            <v>0</v>
          </cell>
          <cell r="BP41">
            <v>620.28571428571433</v>
          </cell>
          <cell r="BQ41">
            <v>609</v>
          </cell>
          <cell r="BR41">
            <v>8.3903559127439724</v>
          </cell>
          <cell r="BS41">
            <v>0</v>
          </cell>
          <cell r="BT41">
            <v>527.83333333333337</v>
          </cell>
          <cell r="BU41">
            <v>562</v>
          </cell>
          <cell r="BV41">
            <v>7.2987012987012987</v>
          </cell>
          <cell r="BW41">
            <v>54</v>
          </cell>
          <cell r="BX41">
            <v>0</v>
          </cell>
          <cell r="BY41">
            <v>485</v>
          </cell>
          <cell r="BZ41">
            <v>510</v>
          </cell>
          <cell r="CA41">
            <v>6.9387755102040813</v>
          </cell>
          <cell r="CB41">
            <v>78</v>
          </cell>
          <cell r="CC41">
            <v>0</v>
          </cell>
          <cell r="CD41">
            <v>736.5</v>
          </cell>
          <cell r="CE41">
            <v>447</v>
          </cell>
          <cell r="CF41">
            <v>6.1309226932668333</v>
          </cell>
          <cell r="CG41">
            <v>137</v>
          </cell>
          <cell r="CH41">
            <v>300</v>
          </cell>
          <cell r="CI41">
            <v>800.59090909090912</v>
          </cell>
          <cell r="CJ41">
            <v>691</v>
          </cell>
          <cell r="CK41">
            <v>9.5200918484500576</v>
          </cell>
          <cell r="CL41">
            <v>0</v>
          </cell>
          <cell r="CM41">
            <v>0</v>
          </cell>
          <cell r="CN41">
            <v>618.41666666666663</v>
          </cell>
          <cell r="CO41">
            <v>614</v>
          </cell>
          <cell r="CP41">
            <v>8.4592422502870264</v>
          </cell>
          <cell r="CQ41">
            <v>0</v>
          </cell>
          <cell r="CR41">
            <v>0</v>
          </cell>
          <cell r="CS41">
            <v>541.41666666666663</v>
          </cell>
          <cell r="CT41">
            <v>531</v>
          </cell>
          <cell r="CU41">
            <v>7.3157290470723311</v>
          </cell>
          <cell r="CV41">
            <v>0</v>
          </cell>
          <cell r="CW41">
            <v>0</v>
          </cell>
          <cell r="CX41">
            <v>458.41666666666669</v>
          </cell>
          <cell r="CY41">
            <v>468</v>
          </cell>
          <cell r="CZ41">
            <v>6.4477611940298516</v>
          </cell>
          <cell r="DA41">
            <v>0</v>
          </cell>
          <cell r="DB41">
            <v>250</v>
          </cell>
          <cell r="DC41">
            <v>645.41666666666663</v>
          </cell>
          <cell r="DD41">
            <v>706</v>
          </cell>
          <cell r="DE41">
            <v>7.1090700344431692</v>
          </cell>
          <cell r="DF41">
            <v>0</v>
          </cell>
          <cell r="DG41">
            <v>0</v>
          </cell>
          <cell r="DH41">
            <v>633.41666666666663</v>
          </cell>
          <cell r="DI41">
            <v>668</v>
          </cell>
          <cell r="DJ41">
            <v>8.5855338691159595</v>
          </cell>
          <cell r="DK41">
            <v>0</v>
          </cell>
          <cell r="DL41">
            <v>0</v>
          </cell>
          <cell r="DM41">
            <v>560.83333333333326</v>
          </cell>
          <cell r="DN41">
            <v>627</v>
          </cell>
          <cell r="DO41">
            <v>8.020665901262916</v>
          </cell>
          <cell r="DP41">
            <v>0</v>
          </cell>
          <cell r="DQ41">
            <v>0</v>
          </cell>
          <cell r="DR41">
            <v>554.41666666666663</v>
          </cell>
          <cell r="DS41">
            <v>554.41666666666663</v>
          </cell>
          <cell r="DT41">
            <v>7.020665901262916</v>
          </cell>
          <cell r="DU41">
            <v>0</v>
          </cell>
          <cell r="DV41">
            <v>0</v>
          </cell>
          <cell r="DW41">
            <v>481.83333333333331</v>
          </cell>
          <cell r="DX41">
            <v>481.83333333333331</v>
          </cell>
          <cell r="DY41">
            <v>6.020665901262916</v>
          </cell>
          <cell r="DZ41">
            <v>0</v>
          </cell>
          <cell r="EA41">
            <v>0</v>
          </cell>
          <cell r="EB41">
            <v>409.25</v>
          </cell>
          <cell r="EC41">
            <v>409.25</v>
          </cell>
          <cell r="ED41">
            <v>5.020665901262916</v>
          </cell>
          <cell r="EE41">
            <v>0</v>
          </cell>
          <cell r="EF41">
            <v>0</v>
          </cell>
          <cell r="EG41">
            <v>336.66666666666669</v>
          </cell>
          <cell r="EH41">
            <v>336.66666666666669</v>
          </cell>
          <cell r="EI41">
            <v>4.020665901262916</v>
          </cell>
          <cell r="EJ41">
            <v>0</v>
          </cell>
          <cell r="EK41">
            <v>150</v>
          </cell>
          <cell r="EL41">
            <v>414.08333333333337</v>
          </cell>
          <cell r="EM41">
            <v>414.08333333333337</v>
          </cell>
          <cell r="EN41">
            <v>5.0872560275545355</v>
          </cell>
          <cell r="EO41">
            <v>0</v>
          </cell>
          <cell r="EP41">
            <v>0</v>
          </cell>
          <cell r="EQ41">
            <v>341.50000000000006</v>
          </cell>
          <cell r="ER41">
            <v>341.50000000000006</v>
          </cell>
          <cell r="ES41">
            <v>4.0872560275545364</v>
          </cell>
          <cell r="ET41">
            <v>0</v>
          </cell>
          <cell r="EU41">
            <v>0</v>
          </cell>
          <cell r="EV41">
            <v>268.91666666666674</v>
          </cell>
          <cell r="EW41">
            <v>268.91666666666674</v>
          </cell>
          <cell r="EX41">
            <v>3.0872560275545364</v>
          </cell>
          <cell r="EY41">
            <v>0</v>
          </cell>
          <cell r="EZ41">
            <v>0</v>
          </cell>
          <cell r="FA41">
            <v>196.33333333333343</v>
          </cell>
          <cell r="FB41">
            <v>196.33333333333343</v>
          </cell>
          <cell r="FC41">
            <v>2.0872560275545364</v>
          </cell>
          <cell r="FD41">
            <v>0</v>
          </cell>
          <cell r="FE41">
            <v>300</v>
          </cell>
          <cell r="FF41">
            <v>423.75000000000011</v>
          </cell>
          <cell r="FG41">
            <v>423.75000000000011</v>
          </cell>
          <cell r="FH41">
            <v>5.2204362801377746</v>
          </cell>
          <cell r="FI41">
            <v>0</v>
          </cell>
          <cell r="FJ41">
            <v>0</v>
          </cell>
          <cell r="FK41">
            <v>351.1666666666668</v>
          </cell>
          <cell r="FL41">
            <v>351.1666666666668</v>
          </cell>
          <cell r="FM41">
            <v>4.2204362801377746</v>
          </cell>
          <cell r="FN41">
            <v>0</v>
          </cell>
          <cell r="FO41">
            <v>0</v>
          </cell>
          <cell r="FP41">
            <v>278.58333333333348</v>
          </cell>
          <cell r="FQ41">
            <v>278.58333333333348</v>
          </cell>
          <cell r="FR41">
            <v>3.2204362801377746</v>
          </cell>
          <cell r="FS41">
            <v>0</v>
          </cell>
          <cell r="FT41">
            <v>190</v>
          </cell>
          <cell r="FU41">
            <v>2.0333333333333332</v>
          </cell>
          <cell r="FW41" t="str">
            <v>SOBRESTOCK</v>
          </cell>
          <cell r="FX41" t="str">
            <v>A</v>
          </cell>
          <cell r="FY41" t="str">
            <v>Si</v>
          </cell>
        </row>
        <row r="42">
          <cell r="B42" t="str">
            <v>REP-0041</v>
          </cell>
          <cell r="C42" t="str">
            <v>MIX</v>
          </cell>
          <cell r="D42">
            <v>0</v>
          </cell>
          <cell r="E42">
            <v>90</v>
          </cell>
          <cell r="F42">
            <v>0</v>
          </cell>
          <cell r="G42">
            <v>0</v>
          </cell>
          <cell r="H42">
            <v>8</v>
          </cell>
          <cell r="I42">
            <v>9</v>
          </cell>
          <cell r="J42">
            <v>0</v>
          </cell>
          <cell r="K42">
            <v>8</v>
          </cell>
          <cell r="L42">
            <v>2</v>
          </cell>
          <cell r="M42">
            <v>7</v>
          </cell>
          <cell r="N42">
            <v>5</v>
          </cell>
          <cell r="O42">
            <v>5</v>
          </cell>
          <cell r="P42">
            <v>1</v>
          </cell>
          <cell r="Q42">
            <v>1</v>
          </cell>
          <cell r="R42">
            <v>8</v>
          </cell>
          <cell r="S42">
            <v>2</v>
          </cell>
          <cell r="T42">
            <v>3</v>
          </cell>
          <cell r="U42">
            <v>3</v>
          </cell>
          <cell r="V42">
            <v>5</v>
          </cell>
          <cell r="W42">
            <v>4</v>
          </cell>
          <cell r="X42">
            <v>2</v>
          </cell>
          <cell r="Y42">
            <v>163</v>
          </cell>
          <cell r="AA42">
            <v>163</v>
          </cell>
          <cell r="AB42">
            <v>40</v>
          </cell>
          <cell r="AC42">
            <v>7.166666666666667</v>
          </cell>
          <cell r="AD42">
            <v>0.2388888888888889</v>
          </cell>
          <cell r="AE42">
            <v>6.75</v>
          </cell>
          <cell r="AF42">
            <v>4.583333333333333</v>
          </cell>
          <cell r="AG42">
            <v>9.0833333333333339</v>
          </cell>
          <cell r="AH42">
            <v>16.166666666666668</v>
          </cell>
          <cell r="AI42">
            <v>14.666666666666666</v>
          </cell>
          <cell r="AJ42">
            <v>14.666666666666666</v>
          </cell>
          <cell r="AK42">
            <v>16.166666666666668</v>
          </cell>
          <cell r="AL42">
            <v>3.1227769870919637</v>
          </cell>
          <cell r="AM42">
            <v>13.645833333333332</v>
          </cell>
          <cell r="AN42">
            <v>0.22884472577162485</v>
          </cell>
          <cell r="AO42">
            <v>0</v>
          </cell>
          <cell r="AP42">
            <v>51.333333333333336</v>
          </cell>
          <cell r="AQ42">
            <v>6.2660550458715587</v>
          </cell>
          <cell r="AR42">
            <v>0</v>
          </cell>
          <cell r="AS42">
            <v>91</v>
          </cell>
          <cell r="AT42">
            <v>91</v>
          </cell>
          <cell r="AU42">
            <v>10.01834862385321</v>
          </cell>
          <cell r="AV42">
            <v>0</v>
          </cell>
          <cell r="AW42">
            <v>81.916666666666671</v>
          </cell>
          <cell r="AX42">
            <v>64</v>
          </cell>
          <cell r="AY42">
            <v>3.9587628865979378</v>
          </cell>
          <cell r="AZ42">
            <v>0</v>
          </cell>
          <cell r="BA42">
            <v>83.666666666666671</v>
          </cell>
          <cell r="BB42">
            <v>47</v>
          </cell>
          <cell r="BC42">
            <v>2.6603773584905657</v>
          </cell>
          <cell r="BD42">
            <v>0</v>
          </cell>
          <cell r="BE42">
            <v>29.333333333333332</v>
          </cell>
          <cell r="BF42">
            <v>1.6603773584905659</v>
          </cell>
          <cell r="BG42">
            <v>0</v>
          </cell>
          <cell r="BH42">
            <v>11.666666666666664</v>
          </cell>
          <cell r="BI42">
            <v>163</v>
          </cell>
          <cell r="BJ42">
            <v>10.082474226804123</v>
          </cell>
          <cell r="BK42">
            <v>0</v>
          </cell>
          <cell r="BL42">
            <v>41.666666666666664</v>
          </cell>
          <cell r="BM42">
            <v>41</v>
          </cell>
          <cell r="BN42">
            <v>2.8604651162790695</v>
          </cell>
          <cell r="BO42">
            <v>0</v>
          </cell>
          <cell r="BP42">
            <v>86.666666666666671</v>
          </cell>
          <cell r="BQ42">
            <v>135</v>
          </cell>
          <cell r="BR42">
            <v>8.3505154639175245</v>
          </cell>
          <cell r="BS42">
            <v>0</v>
          </cell>
          <cell r="BT42">
            <v>119.83333333333333</v>
          </cell>
          <cell r="BU42">
            <v>70</v>
          </cell>
          <cell r="BV42">
            <v>4.7727272727272725</v>
          </cell>
          <cell r="BW42">
            <v>48</v>
          </cell>
          <cell r="BX42">
            <v>0</v>
          </cell>
          <cell r="BY42">
            <v>55.333333333333336</v>
          </cell>
          <cell r="BZ42">
            <v>93</v>
          </cell>
          <cell r="CA42">
            <v>4.8947368421052628</v>
          </cell>
          <cell r="CB42">
            <v>59</v>
          </cell>
          <cell r="CC42">
            <v>0</v>
          </cell>
          <cell r="CD42">
            <v>124</v>
          </cell>
          <cell r="CE42">
            <v>44</v>
          </cell>
          <cell r="CF42">
            <v>2.2758620689655173</v>
          </cell>
          <cell r="CG42">
            <v>110</v>
          </cell>
          <cell r="CH42">
            <v>50</v>
          </cell>
          <cell r="CI42">
            <v>214.66666666666666</v>
          </cell>
          <cell r="CJ42">
            <v>85</v>
          </cell>
          <cell r="CK42">
            <v>4.4736842105263159</v>
          </cell>
          <cell r="CL42">
            <v>67</v>
          </cell>
          <cell r="CM42">
            <v>50</v>
          </cell>
          <cell r="CN42">
            <v>116</v>
          </cell>
          <cell r="CO42">
            <v>125</v>
          </cell>
          <cell r="CP42">
            <v>6.5789473684210522</v>
          </cell>
          <cell r="CQ42">
            <v>36</v>
          </cell>
          <cell r="CR42">
            <v>0</v>
          </cell>
          <cell r="CS42">
            <v>106</v>
          </cell>
          <cell r="CT42">
            <v>111</v>
          </cell>
          <cell r="CU42">
            <v>6</v>
          </cell>
          <cell r="CV42">
            <v>0</v>
          </cell>
          <cell r="CW42">
            <v>0</v>
          </cell>
          <cell r="CX42">
            <v>92.5</v>
          </cell>
          <cell r="CY42">
            <v>96</v>
          </cell>
          <cell r="CZ42">
            <v>5.9381443298969065</v>
          </cell>
          <cell r="DA42">
            <v>0</v>
          </cell>
          <cell r="DB42">
            <v>120</v>
          </cell>
          <cell r="DC42">
            <v>199.83333333333334</v>
          </cell>
          <cell r="DD42">
            <v>192</v>
          </cell>
          <cell r="DE42">
            <v>9.5257731958762886</v>
          </cell>
          <cell r="DF42">
            <v>0</v>
          </cell>
          <cell r="DG42">
            <v>0</v>
          </cell>
          <cell r="DH42">
            <v>175.83333333333334</v>
          </cell>
          <cell r="DI42">
            <v>179</v>
          </cell>
          <cell r="DJ42">
            <v>10.721649484536082</v>
          </cell>
          <cell r="DK42">
            <v>0</v>
          </cell>
          <cell r="DL42">
            <v>0</v>
          </cell>
          <cell r="DM42">
            <v>159.66666666666669</v>
          </cell>
          <cell r="DN42">
            <v>163</v>
          </cell>
          <cell r="DO42">
            <v>9.7319587628865971</v>
          </cell>
          <cell r="DP42">
            <v>0</v>
          </cell>
          <cell r="DQ42">
            <v>0</v>
          </cell>
          <cell r="DR42">
            <v>146.83333333333334</v>
          </cell>
          <cell r="DS42">
            <v>146.83333333333334</v>
          </cell>
          <cell r="DT42">
            <v>8.7319587628865989</v>
          </cell>
          <cell r="DU42">
            <v>0</v>
          </cell>
          <cell r="DV42">
            <v>0</v>
          </cell>
          <cell r="DW42">
            <v>130.66666666666669</v>
          </cell>
          <cell r="DX42">
            <v>130.66666666666669</v>
          </cell>
          <cell r="DY42">
            <v>7.7319587628865989</v>
          </cell>
          <cell r="DZ42">
            <v>0</v>
          </cell>
          <cell r="EA42">
            <v>0</v>
          </cell>
          <cell r="EB42">
            <v>114.50000000000001</v>
          </cell>
          <cell r="EC42">
            <v>114.50000000000001</v>
          </cell>
          <cell r="ED42">
            <v>6.7319587628865989</v>
          </cell>
          <cell r="EE42">
            <v>0</v>
          </cell>
          <cell r="EF42">
            <v>0</v>
          </cell>
          <cell r="EG42">
            <v>98.333333333333343</v>
          </cell>
          <cell r="EH42">
            <v>98.333333333333343</v>
          </cell>
          <cell r="EI42">
            <v>5.7319587628865989</v>
          </cell>
          <cell r="EJ42">
            <v>0</v>
          </cell>
          <cell r="EK42">
            <v>0</v>
          </cell>
          <cell r="EL42">
            <v>82.166666666666671</v>
          </cell>
          <cell r="EM42">
            <v>82.166666666666671</v>
          </cell>
          <cell r="EN42">
            <v>4.731958762886598</v>
          </cell>
          <cell r="EO42">
            <v>0</v>
          </cell>
          <cell r="EP42">
            <v>0</v>
          </cell>
          <cell r="EQ42">
            <v>66</v>
          </cell>
          <cell r="ER42">
            <v>66</v>
          </cell>
          <cell r="ES42">
            <v>3.731958762886598</v>
          </cell>
          <cell r="ET42">
            <v>0</v>
          </cell>
          <cell r="EU42">
            <v>0</v>
          </cell>
          <cell r="EV42">
            <v>49.833333333333329</v>
          </cell>
          <cell r="EW42">
            <v>49.833333333333329</v>
          </cell>
          <cell r="EX42">
            <v>2.7319587628865976</v>
          </cell>
          <cell r="EY42">
            <v>0</v>
          </cell>
          <cell r="EZ42">
            <v>0</v>
          </cell>
          <cell r="FA42">
            <v>33.666666666666657</v>
          </cell>
          <cell r="FB42">
            <v>33.666666666666657</v>
          </cell>
          <cell r="FC42">
            <v>1.7319587628865973</v>
          </cell>
          <cell r="FD42">
            <v>4.3333333333333428</v>
          </cell>
          <cell r="FE42">
            <v>50</v>
          </cell>
          <cell r="FF42">
            <v>67.499999999999986</v>
          </cell>
          <cell r="FG42">
            <v>67.499999999999986</v>
          </cell>
          <cell r="FH42">
            <v>3.824742268041236</v>
          </cell>
          <cell r="FI42">
            <v>0</v>
          </cell>
          <cell r="FJ42">
            <v>0</v>
          </cell>
          <cell r="FK42">
            <v>51.333333333333314</v>
          </cell>
          <cell r="FL42">
            <v>51.333333333333314</v>
          </cell>
          <cell r="FM42">
            <v>2.824742268041236</v>
          </cell>
          <cell r="FN42">
            <v>0</v>
          </cell>
          <cell r="FO42">
            <v>0</v>
          </cell>
          <cell r="FP42">
            <v>35.166666666666643</v>
          </cell>
          <cell r="FQ42">
            <v>35.166666666666643</v>
          </cell>
          <cell r="FR42">
            <v>1.8247422680412357</v>
          </cell>
          <cell r="FS42">
            <v>2.833333333333357</v>
          </cell>
          <cell r="FT42">
            <v>38</v>
          </cell>
          <cell r="FU42">
            <v>2.0333333333333332</v>
          </cell>
          <cell r="FV42" t="str">
            <v>SI</v>
          </cell>
          <cell r="FW42" t="str">
            <v>SOBRESTOCK</v>
          </cell>
          <cell r="FX42" t="str">
            <v>A</v>
          </cell>
          <cell r="FY42" t="str">
            <v>Si</v>
          </cell>
        </row>
        <row r="43">
          <cell r="B43" t="str">
            <v>REP-0042</v>
          </cell>
          <cell r="C43" t="str">
            <v>MIX</v>
          </cell>
          <cell r="D43">
            <v>0</v>
          </cell>
          <cell r="E43">
            <v>33</v>
          </cell>
          <cell r="F43">
            <v>0</v>
          </cell>
          <cell r="G43">
            <v>0</v>
          </cell>
          <cell r="H43">
            <v>14</v>
          </cell>
          <cell r="I43">
            <v>15</v>
          </cell>
          <cell r="J43">
            <v>0</v>
          </cell>
          <cell r="K43">
            <v>5</v>
          </cell>
          <cell r="L43">
            <v>1</v>
          </cell>
          <cell r="M43">
            <v>6</v>
          </cell>
          <cell r="N43">
            <v>4</v>
          </cell>
          <cell r="O43">
            <v>4</v>
          </cell>
          <cell r="P43">
            <v>2</v>
          </cell>
          <cell r="Q43">
            <v>4</v>
          </cell>
          <cell r="R43">
            <v>7</v>
          </cell>
          <cell r="S43">
            <v>4</v>
          </cell>
          <cell r="T43">
            <v>4</v>
          </cell>
          <cell r="U43">
            <v>2</v>
          </cell>
          <cell r="V43">
            <v>6</v>
          </cell>
          <cell r="W43">
            <v>0</v>
          </cell>
          <cell r="X43">
            <v>4</v>
          </cell>
          <cell r="Y43">
            <v>115</v>
          </cell>
          <cell r="AA43">
            <v>115</v>
          </cell>
          <cell r="AB43">
            <v>40</v>
          </cell>
          <cell r="AC43">
            <v>12</v>
          </cell>
          <cell r="AD43">
            <v>0.4</v>
          </cell>
          <cell r="AE43">
            <v>9.25</v>
          </cell>
          <cell r="AF43">
            <v>14.5</v>
          </cell>
          <cell r="AG43">
            <v>16.166666666666668</v>
          </cell>
          <cell r="AH43">
            <v>20</v>
          </cell>
          <cell r="AI43">
            <v>28.5</v>
          </cell>
          <cell r="AJ43">
            <v>28.5</v>
          </cell>
          <cell r="AK43">
            <v>30</v>
          </cell>
          <cell r="AL43">
            <v>6.6649997916145667</v>
          </cell>
          <cell r="AM43">
            <v>23.291666666666668</v>
          </cell>
          <cell r="AN43">
            <v>0.28615383720706544</v>
          </cell>
          <cell r="AO43">
            <v>0</v>
          </cell>
          <cell r="AP43">
            <v>162.66666666666666</v>
          </cell>
          <cell r="AQ43">
            <v>10.31958762886598</v>
          </cell>
          <cell r="AR43">
            <v>0</v>
          </cell>
          <cell r="AS43">
            <v>147</v>
          </cell>
          <cell r="AT43">
            <v>146</v>
          </cell>
          <cell r="AU43">
            <v>8.1111111111111107</v>
          </cell>
          <cell r="AV43">
            <v>0</v>
          </cell>
          <cell r="AW43">
            <v>128</v>
          </cell>
          <cell r="AX43">
            <v>132</v>
          </cell>
          <cell r="AY43">
            <v>4.4000000000000004</v>
          </cell>
          <cell r="AZ43">
            <v>0</v>
          </cell>
          <cell r="BA43">
            <v>195.83333333333334</v>
          </cell>
          <cell r="BB43">
            <v>116</v>
          </cell>
          <cell r="BC43">
            <v>5.3538461538461535</v>
          </cell>
          <cell r="BD43">
            <v>0</v>
          </cell>
          <cell r="BE43">
            <v>94.333333333333329</v>
          </cell>
          <cell r="BF43">
            <v>4.3538461538461535</v>
          </cell>
          <cell r="BG43">
            <v>20</v>
          </cell>
          <cell r="BH43">
            <v>92.666666666666657</v>
          </cell>
          <cell r="BI43">
            <v>115</v>
          </cell>
          <cell r="BJ43">
            <v>3.8333333333333335</v>
          </cell>
          <cell r="BK43">
            <v>0</v>
          </cell>
          <cell r="BL43">
            <v>149.16666666666666</v>
          </cell>
          <cell r="BM43">
            <v>148</v>
          </cell>
          <cell r="BN43">
            <v>7.9692307692307685</v>
          </cell>
          <cell r="BO43">
            <v>0</v>
          </cell>
          <cell r="BP43">
            <v>129.42857142857142</v>
          </cell>
          <cell r="BQ43">
            <v>118</v>
          </cell>
          <cell r="BR43">
            <v>3.9333333333333331</v>
          </cell>
          <cell r="BS43">
            <v>0</v>
          </cell>
          <cell r="BT43">
            <v>98</v>
          </cell>
          <cell r="BU43">
            <v>101</v>
          </cell>
          <cell r="BV43">
            <v>4.9672131147540988</v>
          </cell>
          <cell r="BW43">
            <v>61</v>
          </cell>
          <cell r="BX43">
            <v>0</v>
          </cell>
          <cell r="BY43">
            <v>80.666666666666671</v>
          </cell>
          <cell r="BZ43">
            <v>80</v>
          </cell>
          <cell r="CA43">
            <v>3.7795275590551181</v>
          </cell>
          <cell r="CB43">
            <v>90</v>
          </cell>
          <cell r="CC43">
            <v>0</v>
          </cell>
          <cell r="CD43">
            <v>108.83333333333333</v>
          </cell>
          <cell r="CE43">
            <v>56</v>
          </cell>
          <cell r="CF43">
            <v>2.5454545454545454</v>
          </cell>
          <cell r="CG43">
            <v>120</v>
          </cell>
          <cell r="CH43">
            <v>50</v>
          </cell>
          <cell r="CI43">
            <v>206.83333333333331</v>
          </cell>
          <cell r="CJ43">
            <v>82</v>
          </cell>
          <cell r="CK43">
            <v>3.7272727272727271</v>
          </cell>
          <cell r="CL43">
            <v>94</v>
          </cell>
          <cell r="CM43">
            <v>75</v>
          </cell>
          <cell r="CN43">
            <v>135</v>
          </cell>
          <cell r="CO43">
            <v>112</v>
          </cell>
          <cell r="CP43">
            <v>3.7333333333333334</v>
          </cell>
          <cell r="CQ43">
            <v>41</v>
          </cell>
          <cell r="CR43">
            <v>0</v>
          </cell>
          <cell r="CS43">
            <v>82</v>
          </cell>
          <cell r="CT43">
            <v>70</v>
          </cell>
          <cell r="CU43">
            <v>2.3333333333333335</v>
          </cell>
          <cell r="CV43">
            <v>17</v>
          </cell>
          <cell r="CW43">
            <v>0</v>
          </cell>
          <cell r="CX43">
            <v>40</v>
          </cell>
          <cell r="CY43">
            <v>42</v>
          </cell>
          <cell r="CZ43">
            <v>1.4</v>
          </cell>
          <cell r="DA43">
            <v>33</v>
          </cell>
          <cell r="DB43">
            <v>130</v>
          </cell>
          <cell r="DC43">
            <v>142</v>
          </cell>
          <cell r="DD43">
            <v>159</v>
          </cell>
          <cell r="DE43">
            <v>3.2666666666666666</v>
          </cell>
          <cell r="DF43">
            <v>0</v>
          </cell>
          <cell r="DG43">
            <v>0</v>
          </cell>
          <cell r="DH43">
            <v>129</v>
          </cell>
          <cell r="DI43">
            <v>141</v>
          </cell>
          <cell r="DJ43">
            <v>4.6666666666666661</v>
          </cell>
          <cell r="DK43">
            <v>0</v>
          </cell>
          <cell r="DL43">
            <v>0</v>
          </cell>
          <cell r="DM43">
            <v>99</v>
          </cell>
          <cell r="DN43">
            <v>115</v>
          </cell>
          <cell r="DO43">
            <v>3.8</v>
          </cell>
          <cell r="DP43">
            <v>0</v>
          </cell>
          <cell r="DQ43">
            <v>0</v>
          </cell>
          <cell r="DR43">
            <v>85</v>
          </cell>
          <cell r="DS43">
            <v>85</v>
          </cell>
          <cell r="DT43">
            <v>2.8</v>
          </cell>
          <cell r="DU43">
            <v>0</v>
          </cell>
          <cell r="DV43">
            <v>52</v>
          </cell>
          <cell r="DW43">
            <v>107</v>
          </cell>
          <cell r="DX43">
            <v>107</v>
          </cell>
          <cell r="DY43">
            <v>3.5333333333333332</v>
          </cell>
          <cell r="DZ43">
            <v>0</v>
          </cell>
          <cell r="EA43">
            <v>0</v>
          </cell>
          <cell r="EB43">
            <v>77</v>
          </cell>
          <cell r="EC43">
            <v>77</v>
          </cell>
          <cell r="ED43">
            <v>2.5333333333333332</v>
          </cell>
          <cell r="EE43">
            <v>0</v>
          </cell>
          <cell r="EF43">
            <v>0</v>
          </cell>
          <cell r="EG43">
            <v>47</v>
          </cell>
          <cell r="EH43">
            <v>47</v>
          </cell>
          <cell r="EI43">
            <v>1.5333333333333332</v>
          </cell>
          <cell r="EJ43">
            <v>14</v>
          </cell>
          <cell r="EK43">
            <v>90</v>
          </cell>
          <cell r="EL43">
            <v>107</v>
          </cell>
          <cell r="EM43">
            <v>107</v>
          </cell>
          <cell r="EN43">
            <v>3.5333333333333332</v>
          </cell>
          <cell r="EO43">
            <v>0</v>
          </cell>
          <cell r="EP43">
            <v>0</v>
          </cell>
          <cell r="EQ43">
            <v>77</v>
          </cell>
          <cell r="ER43">
            <v>77</v>
          </cell>
          <cell r="ES43">
            <v>2.5333333333333332</v>
          </cell>
          <cell r="ET43">
            <v>0</v>
          </cell>
          <cell r="EU43">
            <v>0</v>
          </cell>
          <cell r="EV43">
            <v>47</v>
          </cell>
          <cell r="EW43">
            <v>47</v>
          </cell>
          <cell r="EX43">
            <v>1.5333333333333332</v>
          </cell>
          <cell r="EY43">
            <v>14</v>
          </cell>
          <cell r="EZ43">
            <v>0</v>
          </cell>
          <cell r="FA43">
            <v>17</v>
          </cell>
          <cell r="FB43">
            <v>17</v>
          </cell>
          <cell r="FC43">
            <v>0.53333333333333344</v>
          </cell>
          <cell r="FD43">
            <v>44</v>
          </cell>
          <cell r="FE43">
            <v>130</v>
          </cell>
          <cell r="FF43">
            <v>117</v>
          </cell>
          <cell r="FG43">
            <v>117</v>
          </cell>
          <cell r="FH43">
            <v>3.8666666666666667</v>
          </cell>
          <cell r="FI43">
            <v>0</v>
          </cell>
          <cell r="FJ43">
            <v>0</v>
          </cell>
          <cell r="FK43">
            <v>87</v>
          </cell>
          <cell r="FL43">
            <v>87</v>
          </cell>
          <cell r="FM43">
            <v>2.8666666666666667</v>
          </cell>
          <cell r="FN43">
            <v>0</v>
          </cell>
          <cell r="FO43">
            <v>0</v>
          </cell>
          <cell r="FP43">
            <v>57</v>
          </cell>
          <cell r="FQ43">
            <v>57</v>
          </cell>
          <cell r="FR43">
            <v>1.8666666666666667</v>
          </cell>
          <cell r="FS43">
            <v>4</v>
          </cell>
          <cell r="FT43">
            <v>61</v>
          </cell>
          <cell r="FU43">
            <v>2.0333333333333332</v>
          </cell>
          <cell r="FW43" t="str">
            <v>STOCK OK</v>
          </cell>
          <cell r="FX43" t="str">
            <v>A</v>
          </cell>
          <cell r="FY43" t="str">
            <v>Si</v>
          </cell>
        </row>
        <row r="44">
          <cell r="B44" t="str">
            <v>REP-0043</v>
          </cell>
          <cell r="C44" t="str">
            <v>MIX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8.3333333333333329E-2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3.7267799624996489E-2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-1</v>
          </cell>
          <cell r="AR44">
            <v>0</v>
          </cell>
          <cell r="AS44">
            <v>-0.16666666666666666</v>
          </cell>
          <cell r="AT44">
            <v>0</v>
          </cell>
          <cell r="AU44" t="str">
            <v/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-1.1666666666666667</v>
          </cell>
          <cell r="BF44">
            <v>-1</v>
          </cell>
          <cell r="BG44">
            <v>0</v>
          </cell>
          <cell r="BH44">
            <v>-2.3333333333333335</v>
          </cell>
          <cell r="BI44">
            <v>0</v>
          </cell>
          <cell r="BJ44" t="str">
            <v/>
          </cell>
          <cell r="BK44">
            <v>0</v>
          </cell>
          <cell r="BL44">
            <v>0</v>
          </cell>
          <cell r="BM44">
            <v>0</v>
          </cell>
          <cell r="BN44" t="str">
            <v/>
          </cell>
          <cell r="BO44">
            <v>0</v>
          </cell>
          <cell r="BP44">
            <v>0</v>
          </cell>
          <cell r="BQ44">
            <v>0</v>
          </cell>
          <cell r="BR44" t="str">
            <v/>
          </cell>
          <cell r="BS44">
            <v>0</v>
          </cell>
          <cell r="BT44">
            <v>0</v>
          </cell>
          <cell r="BU44">
            <v>0</v>
          </cell>
          <cell r="BV44" t="str">
            <v/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 t="str">
            <v/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str">
            <v/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 t="str">
            <v/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 t="str">
            <v/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 t="str">
            <v/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/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 t="str">
            <v/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 t="str">
            <v/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 t="str">
            <v/>
          </cell>
          <cell r="DP44">
            <v>0</v>
          </cell>
          <cell r="DR44">
            <v>0</v>
          </cell>
          <cell r="DS44">
            <v>0</v>
          </cell>
          <cell r="DT44" t="str">
            <v/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 t="str">
            <v/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 t="str">
            <v/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 t="str">
            <v/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 t="str">
            <v/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 t="str">
            <v/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 t="str">
            <v/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 t="str">
            <v/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 t="str">
            <v/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 t="str">
            <v/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 t="str">
            <v/>
          </cell>
          <cell r="FS44">
            <v>0</v>
          </cell>
          <cell r="FT44">
            <v>0</v>
          </cell>
          <cell r="FU44">
            <v>2.0333333333333332</v>
          </cell>
          <cell r="FW44" t="e">
            <v>#N/A</v>
          </cell>
          <cell r="FX44" t="str">
            <v>C</v>
          </cell>
          <cell r="FY44" t="str">
            <v>Si</v>
          </cell>
        </row>
        <row r="45">
          <cell r="B45" t="str">
            <v>REP-0044</v>
          </cell>
          <cell r="C45" t="str">
            <v>MIX-NAC</v>
          </cell>
          <cell r="D45">
            <v>0</v>
          </cell>
          <cell r="E45">
            <v>97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9</v>
          </cell>
          <cell r="L45">
            <v>8</v>
          </cell>
          <cell r="M45">
            <v>1</v>
          </cell>
          <cell r="N45">
            <v>2</v>
          </cell>
          <cell r="O45">
            <v>2</v>
          </cell>
          <cell r="P45">
            <v>2</v>
          </cell>
          <cell r="Q45">
            <v>2</v>
          </cell>
          <cell r="R45">
            <v>1</v>
          </cell>
          <cell r="S45">
            <v>2</v>
          </cell>
          <cell r="T45">
            <v>4</v>
          </cell>
          <cell r="U45">
            <v>1</v>
          </cell>
          <cell r="V45">
            <v>2</v>
          </cell>
          <cell r="W45">
            <v>2</v>
          </cell>
          <cell r="X45">
            <v>2</v>
          </cell>
          <cell r="Y45">
            <v>137</v>
          </cell>
          <cell r="AA45">
            <v>137</v>
          </cell>
          <cell r="AB45">
            <v>21</v>
          </cell>
          <cell r="AC45">
            <v>3.5</v>
          </cell>
          <cell r="AD45">
            <v>0.11666666666666667</v>
          </cell>
          <cell r="AE45">
            <v>3.25</v>
          </cell>
          <cell r="AF45">
            <v>2.3333333333333335</v>
          </cell>
          <cell r="AG45">
            <v>1.6666666666666667</v>
          </cell>
          <cell r="AH45">
            <v>5.583333333333333</v>
          </cell>
          <cell r="AI45">
            <v>3.5</v>
          </cell>
          <cell r="AJ45">
            <v>3.5</v>
          </cell>
          <cell r="AK45">
            <v>5.583333333333333</v>
          </cell>
          <cell r="AL45">
            <v>1.6006002924828846</v>
          </cell>
          <cell r="AM45">
            <v>3.5625</v>
          </cell>
          <cell r="AN45">
            <v>0.44929131017063428</v>
          </cell>
          <cell r="AO45">
            <v>0</v>
          </cell>
          <cell r="AP45">
            <v>34.444444444444443</v>
          </cell>
          <cell r="AQ45">
            <v>15.285714285714283</v>
          </cell>
          <cell r="AR45">
            <v>0</v>
          </cell>
          <cell r="AS45">
            <v>33.333333333333329</v>
          </cell>
          <cell r="AT45">
            <v>34</v>
          </cell>
          <cell r="AU45">
            <v>17</v>
          </cell>
          <cell r="AV45">
            <v>0</v>
          </cell>
          <cell r="AW45">
            <v>32</v>
          </cell>
          <cell r="AX45">
            <v>27</v>
          </cell>
          <cell r="AY45">
            <v>4.8358208955223887</v>
          </cell>
          <cell r="AZ45">
            <v>0</v>
          </cell>
          <cell r="BA45">
            <v>25</v>
          </cell>
          <cell r="BB45">
            <v>19</v>
          </cell>
          <cell r="BC45">
            <v>3</v>
          </cell>
          <cell r="BD45">
            <v>0</v>
          </cell>
          <cell r="BE45">
            <v>12.666666666666668</v>
          </cell>
          <cell r="BF45">
            <v>2.0000000000000004</v>
          </cell>
          <cell r="BG45">
            <v>0</v>
          </cell>
          <cell r="BH45">
            <v>6.3333333333333348</v>
          </cell>
          <cell r="BI45">
            <v>137</v>
          </cell>
          <cell r="BJ45">
            <v>24.537313432835823</v>
          </cell>
          <cell r="BK45">
            <v>0</v>
          </cell>
          <cell r="BL45">
            <v>106.83333333333333</v>
          </cell>
          <cell r="BM45">
            <v>112</v>
          </cell>
          <cell r="BN45">
            <v>28</v>
          </cell>
          <cell r="BO45">
            <v>0</v>
          </cell>
          <cell r="BP45">
            <v>108</v>
          </cell>
          <cell r="BQ45">
            <v>107</v>
          </cell>
          <cell r="BR45">
            <v>19.164179104477611</v>
          </cell>
          <cell r="BS45">
            <v>0</v>
          </cell>
          <cell r="BT45">
            <v>102.83333333333333</v>
          </cell>
          <cell r="BU45">
            <v>104</v>
          </cell>
          <cell r="BV45">
            <v>29.25</v>
          </cell>
          <cell r="BW45">
            <v>0</v>
          </cell>
          <cell r="BX45">
            <v>0</v>
          </cell>
          <cell r="BY45">
            <v>100.44444444444444</v>
          </cell>
          <cell r="BZ45">
            <v>101</v>
          </cell>
          <cell r="CA45">
            <v>28.857142857142858</v>
          </cell>
          <cell r="CB45">
            <v>0</v>
          </cell>
          <cell r="CC45">
            <v>0</v>
          </cell>
          <cell r="CD45">
            <v>97.5</v>
          </cell>
          <cell r="CE45">
            <v>87</v>
          </cell>
          <cell r="CF45">
            <v>18</v>
          </cell>
          <cell r="CG45">
            <v>0</v>
          </cell>
          <cell r="CH45">
            <v>0</v>
          </cell>
          <cell r="CI45">
            <v>92.666666666666671</v>
          </cell>
          <cell r="CJ45">
            <v>69</v>
          </cell>
          <cell r="CK45">
            <v>10.097560975609756</v>
          </cell>
          <cell r="CL45">
            <v>0</v>
          </cell>
          <cell r="CM45">
            <v>0</v>
          </cell>
          <cell r="CN45">
            <v>62.166666666666664</v>
          </cell>
          <cell r="CO45">
            <v>66</v>
          </cell>
          <cell r="CP45">
            <v>9.6585365853658534</v>
          </cell>
          <cell r="CQ45">
            <v>0</v>
          </cell>
          <cell r="CR45">
            <v>0</v>
          </cell>
          <cell r="CS45">
            <v>59.166666666666664</v>
          </cell>
          <cell r="CT45">
            <v>61</v>
          </cell>
          <cell r="CU45">
            <v>8.7142857142857135</v>
          </cell>
          <cell r="CV45">
            <v>0</v>
          </cell>
          <cell r="CW45">
            <v>0</v>
          </cell>
          <cell r="CX45">
            <v>54</v>
          </cell>
          <cell r="CY45">
            <v>55</v>
          </cell>
          <cell r="CZ45">
            <v>9.4285714285714288</v>
          </cell>
          <cell r="DA45">
            <v>0</v>
          </cell>
          <cell r="DB45">
            <v>0</v>
          </cell>
          <cell r="DC45">
            <v>48.666666666666664</v>
          </cell>
          <cell r="DD45">
            <v>46</v>
          </cell>
          <cell r="DE45">
            <v>0.33333333333333331</v>
          </cell>
          <cell r="DF45">
            <v>0</v>
          </cell>
          <cell r="DG45">
            <v>0</v>
          </cell>
          <cell r="DH45">
            <v>40</v>
          </cell>
          <cell r="DI45">
            <v>87</v>
          </cell>
          <cell r="DJ45">
            <v>9.7014925373134329</v>
          </cell>
          <cell r="DK45">
            <v>0</v>
          </cell>
          <cell r="DL45">
            <v>0</v>
          </cell>
          <cell r="DM45">
            <v>34.416666666666664</v>
          </cell>
          <cell r="DN45">
            <v>137</v>
          </cell>
          <cell r="DO45">
            <v>18.656716417910449</v>
          </cell>
          <cell r="DP45">
            <v>0</v>
          </cell>
          <cell r="DQ45">
            <v>0</v>
          </cell>
          <cell r="DR45">
            <v>131.41666666666666</v>
          </cell>
          <cell r="DS45">
            <v>131.41666666666666</v>
          </cell>
          <cell r="DT45">
            <v>17.656716417910445</v>
          </cell>
          <cell r="DU45">
            <v>0</v>
          </cell>
          <cell r="DV45">
            <v>28</v>
          </cell>
          <cell r="DW45">
            <v>153.83333333333331</v>
          </cell>
          <cell r="DX45">
            <v>153.83333333333331</v>
          </cell>
          <cell r="DY45">
            <v>21.671641791044774</v>
          </cell>
          <cell r="DZ45">
            <v>0</v>
          </cell>
          <cell r="EA45">
            <v>0</v>
          </cell>
          <cell r="EB45">
            <v>148.24999999999997</v>
          </cell>
          <cell r="EC45">
            <v>148.24999999999997</v>
          </cell>
          <cell r="ED45">
            <v>20.67164179104477</v>
          </cell>
          <cell r="EE45">
            <v>0</v>
          </cell>
          <cell r="EF45">
            <v>0</v>
          </cell>
          <cell r="EG45">
            <v>142.66666666666663</v>
          </cell>
          <cell r="EH45">
            <v>142.66666666666663</v>
          </cell>
          <cell r="EI45">
            <v>19.67164179104477</v>
          </cell>
          <cell r="EJ45">
            <v>0</v>
          </cell>
          <cell r="EK45">
            <v>0</v>
          </cell>
          <cell r="EL45">
            <v>137.08333333333329</v>
          </cell>
          <cell r="EM45">
            <v>137.08333333333329</v>
          </cell>
          <cell r="EN45">
            <v>18.67164179104477</v>
          </cell>
          <cell r="EO45">
            <v>0</v>
          </cell>
          <cell r="EP45">
            <v>0</v>
          </cell>
          <cell r="EQ45">
            <v>131.49999999999994</v>
          </cell>
          <cell r="ER45">
            <v>131.49999999999994</v>
          </cell>
          <cell r="ES45">
            <v>17.671641791044767</v>
          </cell>
          <cell r="ET45">
            <v>0</v>
          </cell>
          <cell r="EU45">
            <v>0</v>
          </cell>
          <cell r="EV45">
            <v>125.91666666666661</v>
          </cell>
          <cell r="EW45">
            <v>125.91666666666661</v>
          </cell>
          <cell r="EX45">
            <v>16.671641791044767</v>
          </cell>
          <cell r="EY45">
            <v>0</v>
          </cell>
          <cell r="EZ45">
            <v>0</v>
          </cell>
          <cell r="FA45">
            <v>120.33333333333329</v>
          </cell>
          <cell r="FB45">
            <v>120.33333333333329</v>
          </cell>
          <cell r="FC45">
            <v>15.671641791044769</v>
          </cell>
          <cell r="FD45">
            <v>0</v>
          </cell>
          <cell r="FE45">
            <v>0</v>
          </cell>
          <cell r="FF45">
            <v>114.74999999999996</v>
          </cell>
          <cell r="FG45">
            <v>114.74999999999996</v>
          </cell>
          <cell r="FH45">
            <v>14.671641791044769</v>
          </cell>
          <cell r="FI45">
            <v>0</v>
          </cell>
          <cell r="FJ45">
            <v>0</v>
          </cell>
          <cell r="FK45">
            <v>109.16666666666663</v>
          </cell>
          <cell r="FL45">
            <v>109.16666666666663</v>
          </cell>
          <cell r="FM45">
            <v>13.67164179104477</v>
          </cell>
          <cell r="FN45">
            <v>0</v>
          </cell>
          <cell r="FO45">
            <v>0</v>
          </cell>
          <cell r="FP45">
            <v>103.5833333333333</v>
          </cell>
          <cell r="FQ45">
            <v>103.5833333333333</v>
          </cell>
          <cell r="FR45">
            <v>12.67164179104477</v>
          </cell>
          <cell r="FS45">
            <v>0</v>
          </cell>
          <cell r="FT45">
            <v>44</v>
          </cell>
          <cell r="FU45">
            <v>2.0333333333333332</v>
          </cell>
          <cell r="FW45" t="str">
            <v>SOBRESTOCK</v>
          </cell>
          <cell r="FX45" t="str">
            <v>B</v>
          </cell>
          <cell r="FY45" t="str">
            <v>Si</v>
          </cell>
        </row>
        <row r="46">
          <cell r="B46" t="str">
            <v>REP-0045</v>
          </cell>
          <cell r="C46" t="str">
            <v>MIX</v>
          </cell>
          <cell r="D46">
            <v>0</v>
          </cell>
          <cell r="E46">
            <v>11</v>
          </cell>
          <cell r="F46">
            <v>0</v>
          </cell>
          <cell r="G46">
            <v>0</v>
          </cell>
          <cell r="H46">
            <v>5</v>
          </cell>
          <cell r="I46">
            <v>5</v>
          </cell>
          <cell r="J46">
            <v>0</v>
          </cell>
          <cell r="K46">
            <v>11</v>
          </cell>
          <cell r="L46">
            <v>2</v>
          </cell>
          <cell r="M46">
            <v>4</v>
          </cell>
          <cell r="N46">
            <v>1</v>
          </cell>
          <cell r="O46">
            <v>2</v>
          </cell>
          <cell r="P46">
            <v>0</v>
          </cell>
          <cell r="Q46">
            <v>0</v>
          </cell>
          <cell r="R46">
            <v>4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0</v>
          </cell>
          <cell r="Y46">
            <v>51</v>
          </cell>
          <cell r="AA46">
            <v>51</v>
          </cell>
          <cell r="AB46">
            <v>0</v>
          </cell>
          <cell r="AC46">
            <v>1</v>
          </cell>
          <cell r="AD46">
            <v>3.3333333333333333E-2</v>
          </cell>
          <cell r="AE46">
            <v>0.75</v>
          </cell>
          <cell r="AF46">
            <v>0.91666666666666663</v>
          </cell>
          <cell r="AG46">
            <v>0.75</v>
          </cell>
          <cell r="AH46">
            <v>0.41666666666666669</v>
          </cell>
          <cell r="AI46">
            <v>2.1666666666666665</v>
          </cell>
          <cell r="AJ46">
            <v>2.1666666666666665</v>
          </cell>
          <cell r="AK46">
            <v>1.5833333333333333</v>
          </cell>
          <cell r="AL46">
            <v>0.92421137553411803</v>
          </cell>
          <cell r="AM46">
            <v>1.375</v>
          </cell>
          <cell r="AN46">
            <v>0.67215372766117676</v>
          </cell>
          <cell r="AO46">
            <v>0</v>
          </cell>
          <cell r="AP46">
            <v>28.25</v>
          </cell>
          <cell r="AQ46">
            <v>30.636363636363637</v>
          </cell>
          <cell r="AR46">
            <v>0</v>
          </cell>
          <cell r="AS46">
            <v>27</v>
          </cell>
          <cell r="AT46">
            <v>24</v>
          </cell>
          <cell r="AU46">
            <v>24</v>
          </cell>
          <cell r="AV46">
            <v>0</v>
          </cell>
          <cell r="AW46">
            <v>23</v>
          </cell>
          <cell r="AX46">
            <v>24</v>
          </cell>
          <cell r="AY46">
            <v>15.157894736842106</v>
          </cell>
          <cell r="AZ46">
            <v>0</v>
          </cell>
          <cell r="BA46">
            <v>33.166666666666664</v>
          </cell>
          <cell r="BB46">
            <v>23</v>
          </cell>
          <cell r="BC46">
            <v>30.666666666666668</v>
          </cell>
          <cell r="BD46">
            <v>0</v>
          </cell>
          <cell r="BE46">
            <v>22.25</v>
          </cell>
          <cell r="BF46">
            <v>29.666666666666668</v>
          </cell>
          <cell r="BG46">
            <v>10</v>
          </cell>
          <cell r="BH46">
            <v>31.5</v>
          </cell>
          <cell r="BI46">
            <v>51</v>
          </cell>
          <cell r="BJ46">
            <v>32.210526315789473</v>
          </cell>
          <cell r="BK46">
            <v>0</v>
          </cell>
          <cell r="BL46">
            <v>52.25</v>
          </cell>
          <cell r="BM46">
            <v>52</v>
          </cell>
          <cell r="BN46">
            <v>69.333333333333329</v>
          </cell>
          <cell r="BO46">
            <v>0</v>
          </cell>
          <cell r="BP46">
            <v>51.25</v>
          </cell>
          <cell r="BQ46">
            <v>52</v>
          </cell>
          <cell r="BR46">
            <v>32.842105263157897</v>
          </cell>
          <cell r="BS46">
            <v>0</v>
          </cell>
          <cell r="BT46">
            <v>51.25</v>
          </cell>
          <cell r="BU46">
            <v>52</v>
          </cell>
          <cell r="BV46">
            <v>69.333333333333329</v>
          </cell>
          <cell r="BW46">
            <v>0</v>
          </cell>
          <cell r="BX46">
            <v>0</v>
          </cell>
          <cell r="BY46">
            <v>51.25</v>
          </cell>
          <cell r="BZ46">
            <v>51</v>
          </cell>
          <cell r="CA46">
            <v>68</v>
          </cell>
          <cell r="CB46">
            <v>0</v>
          </cell>
          <cell r="CC46">
            <v>0</v>
          </cell>
          <cell r="CD46">
            <v>50.25</v>
          </cell>
          <cell r="CE46">
            <v>55</v>
          </cell>
          <cell r="CF46">
            <v>73.333333333333329</v>
          </cell>
          <cell r="CG46">
            <v>0</v>
          </cell>
          <cell r="CH46">
            <v>0</v>
          </cell>
          <cell r="CI46">
            <v>49.5</v>
          </cell>
          <cell r="CJ46">
            <v>54</v>
          </cell>
          <cell r="CK46">
            <v>72</v>
          </cell>
          <cell r="CL46">
            <v>0</v>
          </cell>
          <cell r="CM46">
            <v>0</v>
          </cell>
          <cell r="CN46">
            <v>53.25</v>
          </cell>
          <cell r="CO46">
            <v>45</v>
          </cell>
          <cell r="CP46">
            <v>45</v>
          </cell>
          <cell r="CQ46">
            <v>0</v>
          </cell>
          <cell r="CR46">
            <v>0</v>
          </cell>
          <cell r="CS46">
            <v>44</v>
          </cell>
          <cell r="CT46">
            <v>41</v>
          </cell>
          <cell r="CU46">
            <v>41</v>
          </cell>
          <cell r="CV46">
            <v>0</v>
          </cell>
          <cell r="CW46">
            <v>0</v>
          </cell>
          <cell r="CX46">
            <v>40</v>
          </cell>
          <cell r="CY46">
            <v>37</v>
          </cell>
          <cell r="CZ46">
            <v>37</v>
          </cell>
          <cell r="DA46">
            <v>0</v>
          </cell>
          <cell r="DB46">
            <v>0</v>
          </cell>
          <cell r="DC46">
            <v>35.194444444444443</v>
          </cell>
          <cell r="DD46">
            <v>40</v>
          </cell>
          <cell r="DE46">
            <v>19.938461538461542</v>
          </cell>
          <cell r="DF46">
            <v>0</v>
          </cell>
          <cell r="DG46">
            <v>0</v>
          </cell>
          <cell r="DH46">
            <v>38.194444444444443</v>
          </cell>
          <cell r="DI46">
            <v>38</v>
          </cell>
          <cell r="DJ46">
            <v>21.678456591639872</v>
          </cell>
          <cell r="DK46">
            <v>0</v>
          </cell>
          <cell r="DL46">
            <v>0</v>
          </cell>
          <cell r="DM46">
            <v>36.466666666666669</v>
          </cell>
          <cell r="DN46">
            <v>51</v>
          </cell>
          <cell r="DO46">
            <v>31.684210526315791</v>
          </cell>
          <cell r="DP46">
            <v>0</v>
          </cell>
          <cell r="DQ46">
            <v>0</v>
          </cell>
          <cell r="DR46">
            <v>49.416666666666664</v>
          </cell>
          <cell r="DS46">
            <v>49.416666666666664</v>
          </cell>
          <cell r="DT46">
            <v>30.684210526315788</v>
          </cell>
          <cell r="DU46">
            <v>0</v>
          </cell>
          <cell r="DV46">
            <v>0</v>
          </cell>
          <cell r="DW46">
            <v>47.833333333333329</v>
          </cell>
          <cell r="DX46">
            <v>47.833333333333329</v>
          </cell>
          <cell r="DY46">
            <v>29.684210526315788</v>
          </cell>
          <cell r="DZ46">
            <v>0</v>
          </cell>
          <cell r="EA46">
            <v>0</v>
          </cell>
          <cell r="EB46">
            <v>46.249999999999993</v>
          </cell>
          <cell r="EC46">
            <v>46.249999999999993</v>
          </cell>
          <cell r="ED46">
            <v>28.684210526315788</v>
          </cell>
          <cell r="EE46">
            <v>0</v>
          </cell>
          <cell r="EF46">
            <v>0</v>
          </cell>
          <cell r="EG46">
            <v>44.666666666666657</v>
          </cell>
          <cell r="EH46">
            <v>44.666666666666657</v>
          </cell>
          <cell r="EI46">
            <v>27.684210526315784</v>
          </cell>
          <cell r="EJ46">
            <v>0</v>
          </cell>
          <cell r="EK46">
            <v>0</v>
          </cell>
          <cell r="EL46">
            <v>43.083333333333321</v>
          </cell>
          <cell r="EM46">
            <v>43.083333333333321</v>
          </cell>
          <cell r="EN46">
            <v>26.684210526315784</v>
          </cell>
          <cell r="EO46">
            <v>0</v>
          </cell>
          <cell r="EP46">
            <v>0</v>
          </cell>
          <cell r="EQ46">
            <v>41.499999999999986</v>
          </cell>
          <cell r="ER46">
            <v>41.499999999999986</v>
          </cell>
          <cell r="ES46">
            <v>25.68421052631578</v>
          </cell>
          <cell r="ET46">
            <v>0</v>
          </cell>
          <cell r="EU46">
            <v>0</v>
          </cell>
          <cell r="EV46">
            <v>39.91666666666665</v>
          </cell>
          <cell r="EW46">
            <v>39.91666666666665</v>
          </cell>
          <cell r="EX46">
            <v>24.68421052631578</v>
          </cell>
          <cell r="EY46">
            <v>0</v>
          </cell>
          <cell r="EZ46">
            <v>0</v>
          </cell>
          <cell r="FA46">
            <v>38.333333333333314</v>
          </cell>
          <cell r="FB46">
            <v>38.333333333333314</v>
          </cell>
          <cell r="FC46">
            <v>23.684210526315777</v>
          </cell>
          <cell r="FD46">
            <v>0</v>
          </cell>
          <cell r="FE46">
            <v>0</v>
          </cell>
          <cell r="FF46">
            <v>36.749999999999979</v>
          </cell>
          <cell r="FG46">
            <v>36.749999999999979</v>
          </cell>
          <cell r="FH46">
            <v>22.684210526315777</v>
          </cell>
          <cell r="FI46">
            <v>0</v>
          </cell>
          <cell r="FJ46">
            <v>0</v>
          </cell>
          <cell r="FK46">
            <v>35.166666666666643</v>
          </cell>
          <cell r="FL46">
            <v>35.166666666666643</v>
          </cell>
          <cell r="FM46">
            <v>21.684210526315777</v>
          </cell>
          <cell r="FN46">
            <v>0</v>
          </cell>
          <cell r="FO46">
            <v>0</v>
          </cell>
          <cell r="FP46">
            <v>33.583333333333307</v>
          </cell>
          <cell r="FQ46">
            <v>33.583333333333307</v>
          </cell>
          <cell r="FR46">
            <v>20.684210526315773</v>
          </cell>
          <cell r="FS46">
            <v>0</v>
          </cell>
          <cell r="FT46">
            <v>4</v>
          </cell>
          <cell r="FU46">
            <v>2.0333333333333332</v>
          </cell>
          <cell r="FW46" t="str">
            <v>SOBRESTOCK</v>
          </cell>
          <cell r="FX46" t="str">
            <v>B</v>
          </cell>
          <cell r="FY46" t="str">
            <v>Si</v>
          </cell>
        </row>
        <row r="47">
          <cell r="B47" t="str">
            <v>REP-0046</v>
          </cell>
          <cell r="C47" t="str">
            <v>MIX</v>
          </cell>
          <cell r="D47">
            <v>0</v>
          </cell>
          <cell r="E47">
            <v>44</v>
          </cell>
          <cell r="F47">
            <v>0</v>
          </cell>
          <cell r="G47">
            <v>0</v>
          </cell>
          <cell r="H47">
            <v>3</v>
          </cell>
          <cell r="I47">
            <v>3</v>
          </cell>
          <cell r="J47">
            <v>0</v>
          </cell>
          <cell r="K47">
            <v>3</v>
          </cell>
          <cell r="L47">
            <v>7</v>
          </cell>
          <cell r="M47">
            <v>4</v>
          </cell>
          <cell r="N47">
            <v>2</v>
          </cell>
          <cell r="O47">
            <v>2</v>
          </cell>
          <cell r="P47">
            <v>2</v>
          </cell>
          <cell r="Q47">
            <v>2</v>
          </cell>
          <cell r="R47">
            <v>1</v>
          </cell>
          <cell r="S47">
            <v>2</v>
          </cell>
          <cell r="T47">
            <v>2</v>
          </cell>
          <cell r="U47">
            <v>2</v>
          </cell>
          <cell r="V47">
            <v>2</v>
          </cell>
          <cell r="W47">
            <v>2</v>
          </cell>
          <cell r="X47">
            <v>2</v>
          </cell>
          <cell r="Y47">
            <v>85</v>
          </cell>
          <cell r="AA47">
            <v>85</v>
          </cell>
          <cell r="AB47">
            <v>26</v>
          </cell>
          <cell r="AC47">
            <v>4.666666666666667</v>
          </cell>
          <cell r="AD47">
            <v>0.15555555555555556</v>
          </cell>
          <cell r="AE47">
            <v>4.416666666666667</v>
          </cell>
          <cell r="AF47">
            <v>2.75</v>
          </cell>
          <cell r="AG47">
            <v>0.91666666666666663</v>
          </cell>
          <cell r="AH47">
            <v>0.66666666666666663</v>
          </cell>
          <cell r="AI47">
            <v>1.3333333333333333</v>
          </cell>
          <cell r="AJ47">
            <v>1.3333333333333333</v>
          </cell>
          <cell r="AK47">
            <v>1.3333333333333333</v>
          </cell>
          <cell r="AL47">
            <v>0.32896442450908359</v>
          </cell>
          <cell r="AM47">
            <v>1.0625</v>
          </cell>
          <cell r="AN47">
            <v>0.30961357600854927</v>
          </cell>
          <cell r="AO47">
            <v>0</v>
          </cell>
          <cell r="AP47">
            <v>51.083333333333336</v>
          </cell>
          <cell r="AQ47">
            <v>17.90909090909091</v>
          </cell>
          <cell r="AR47">
            <v>0</v>
          </cell>
          <cell r="AS47">
            <v>46.5</v>
          </cell>
          <cell r="AT47">
            <v>50</v>
          </cell>
          <cell r="AU47">
            <v>50</v>
          </cell>
          <cell r="AV47">
            <v>0</v>
          </cell>
          <cell r="AW47">
            <v>49</v>
          </cell>
          <cell r="AX47">
            <v>49</v>
          </cell>
          <cell r="AY47">
            <v>36.75</v>
          </cell>
          <cell r="AZ47">
            <v>0</v>
          </cell>
          <cell r="BA47">
            <v>48</v>
          </cell>
          <cell r="BB47">
            <v>48</v>
          </cell>
          <cell r="BC47">
            <v>36</v>
          </cell>
          <cell r="BD47">
            <v>0</v>
          </cell>
          <cell r="BE47">
            <v>46.666666666666664</v>
          </cell>
          <cell r="BF47">
            <v>35</v>
          </cell>
          <cell r="BG47">
            <v>0</v>
          </cell>
          <cell r="BH47">
            <v>45.333333333333329</v>
          </cell>
          <cell r="BI47">
            <v>85</v>
          </cell>
          <cell r="BJ47">
            <v>63.75</v>
          </cell>
          <cell r="BK47">
            <v>0</v>
          </cell>
          <cell r="BL47">
            <v>46.083333333333336</v>
          </cell>
          <cell r="BM47">
            <v>48</v>
          </cell>
          <cell r="BN47">
            <v>52.363636363636367</v>
          </cell>
          <cell r="BO47">
            <v>0</v>
          </cell>
          <cell r="BP47">
            <v>47.083333333333336</v>
          </cell>
          <cell r="BQ47">
            <v>48</v>
          </cell>
          <cell r="BR47">
            <v>36</v>
          </cell>
          <cell r="BS47">
            <v>0</v>
          </cell>
          <cell r="BT47">
            <v>47.083333333333336</v>
          </cell>
          <cell r="BU47">
            <v>46</v>
          </cell>
          <cell r="BV47">
            <v>50.181818181818187</v>
          </cell>
          <cell r="BW47">
            <v>42</v>
          </cell>
          <cell r="BX47">
            <v>0</v>
          </cell>
          <cell r="BY47">
            <v>45.083333333333336</v>
          </cell>
          <cell r="BZ47">
            <v>46</v>
          </cell>
          <cell r="CA47">
            <v>50.181818181818187</v>
          </cell>
          <cell r="CB47">
            <v>42</v>
          </cell>
          <cell r="CC47">
            <v>0</v>
          </cell>
          <cell r="CD47">
            <v>45.083333333333336</v>
          </cell>
          <cell r="CE47">
            <v>44</v>
          </cell>
          <cell r="CF47">
            <v>48</v>
          </cell>
          <cell r="CG47">
            <v>44</v>
          </cell>
          <cell r="CH47">
            <v>0</v>
          </cell>
          <cell r="CI47">
            <v>88.166666666666671</v>
          </cell>
          <cell r="CJ47">
            <v>44</v>
          </cell>
          <cell r="CK47">
            <v>48</v>
          </cell>
          <cell r="CL47">
            <v>44</v>
          </cell>
          <cell r="CM47">
            <v>45</v>
          </cell>
          <cell r="CN47">
            <v>88.083333333333329</v>
          </cell>
          <cell r="CO47">
            <v>89</v>
          </cell>
          <cell r="CP47">
            <v>97.090909090909093</v>
          </cell>
          <cell r="CQ47">
            <v>0</v>
          </cell>
          <cell r="CR47">
            <v>0</v>
          </cell>
          <cell r="CS47">
            <v>88.083333333333329</v>
          </cell>
          <cell r="CT47">
            <v>89</v>
          </cell>
          <cell r="CU47">
            <v>97.090909090909093</v>
          </cell>
          <cell r="CV47">
            <v>0</v>
          </cell>
          <cell r="CW47">
            <v>0</v>
          </cell>
          <cell r="CX47">
            <v>88.083333333333329</v>
          </cell>
          <cell r="CY47">
            <v>88</v>
          </cell>
          <cell r="CZ47">
            <v>96</v>
          </cell>
          <cell r="DA47">
            <v>0</v>
          </cell>
          <cell r="DB47">
            <v>4</v>
          </cell>
          <cell r="DC47">
            <v>91.083333333333329</v>
          </cell>
          <cell r="DD47">
            <v>90</v>
          </cell>
          <cell r="DE47">
            <v>50.181818181818187</v>
          </cell>
          <cell r="DF47">
            <v>0</v>
          </cell>
          <cell r="DG47">
            <v>0</v>
          </cell>
          <cell r="DH47">
            <v>89.083333333333329</v>
          </cell>
          <cell r="DI47">
            <v>87</v>
          </cell>
          <cell r="DJ47">
            <v>45</v>
          </cell>
          <cell r="DK47">
            <v>0</v>
          </cell>
          <cell r="DL47">
            <v>0</v>
          </cell>
          <cell r="DM47">
            <v>88.083333333333329</v>
          </cell>
          <cell r="DN47">
            <v>85</v>
          </cell>
          <cell r="DO47">
            <v>32.75</v>
          </cell>
          <cell r="DP47">
            <v>0</v>
          </cell>
          <cell r="DQ47">
            <v>0</v>
          </cell>
          <cell r="DR47">
            <v>83.666666666666671</v>
          </cell>
          <cell r="DS47">
            <v>83.666666666666671</v>
          </cell>
          <cell r="DT47">
            <v>31.750000000000004</v>
          </cell>
          <cell r="DU47">
            <v>0</v>
          </cell>
          <cell r="DV47">
            <v>0</v>
          </cell>
          <cell r="DW47">
            <v>82.333333333333343</v>
          </cell>
          <cell r="DX47">
            <v>82.333333333333343</v>
          </cell>
          <cell r="DY47">
            <v>30.750000000000007</v>
          </cell>
          <cell r="DZ47">
            <v>0</v>
          </cell>
          <cell r="EA47">
            <v>0</v>
          </cell>
          <cell r="EB47">
            <v>81.000000000000014</v>
          </cell>
          <cell r="EC47">
            <v>81.000000000000014</v>
          </cell>
          <cell r="ED47">
            <v>29.750000000000011</v>
          </cell>
          <cell r="EE47">
            <v>0</v>
          </cell>
          <cell r="EF47">
            <v>0</v>
          </cell>
          <cell r="EG47">
            <v>79.666666666666686</v>
          </cell>
          <cell r="EH47">
            <v>79.666666666666686</v>
          </cell>
          <cell r="EI47">
            <v>28.750000000000014</v>
          </cell>
          <cell r="EJ47">
            <v>0</v>
          </cell>
          <cell r="EK47">
            <v>0</v>
          </cell>
          <cell r="EL47">
            <v>78.333333333333357</v>
          </cell>
          <cell r="EM47">
            <v>78.333333333333357</v>
          </cell>
          <cell r="EN47">
            <v>27.750000000000018</v>
          </cell>
          <cell r="EO47">
            <v>0</v>
          </cell>
          <cell r="EP47">
            <v>0</v>
          </cell>
          <cell r="EQ47">
            <v>77.000000000000028</v>
          </cell>
          <cell r="ER47">
            <v>77.000000000000028</v>
          </cell>
          <cell r="ES47">
            <v>26.750000000000021</v>
          </cell>
          <cell r="ET47">
            <v>0</v>
          </cell>
          <cell r="EU47">
            <v>0</v>
          </cell>
          <cell r="EV47">
            <v>75.6666666666667</v>
          </cell>
          <cell r="EW47">
            <v>75.6666666666667</v>
          </cell>
          <cell r="EX47">
            <v>25.750000000000025</v>
          </cell>
          <cell r="EY47">
            <v>0</v>
          </cell>
          <cell r="EZ47">
            <v>0</v>
          </cell>
          <cell r="FA47">
            <v>74.333333333333371</v>
          </cell>
          <cell r="FB47">
            <v>74.333333333333371</v>
          </cell>
          <cell r="FC47">
            <v>24.750000000000028</v>
          </cell>
          <cell r="FD47">
            <v>0</v>
          </cell>
          <cell r="FE47">
            <v>0</v>
          </cell>
          <cell r="FF47">
            <v>73.000000000000043</v>
          </cell>
          <cell r="FG47">
            <v>73.000000000000043</v>
          </cell>
          <cell r="FH47">
            <v>23.750000000000032</v>
          </cell>
          <cell r="FI47">
            <v>0</v>
          </cell>
          <cell r="FJ47">
            <v>0</v>
          </cell>
          <cell r="FK47">
            <v>71.666666666666714</v>
          </cell>
          <cell r="FL47">
            <v>71.666666666666714</v>
          </cell>
          <cell r="FM47">
            <v>22.750000000000036</v>
          </cell>
          <cell r="FN47">
            <v>0</v>
          </cell>
          <cell r="FO47">
            <v>0</v>
          </cell>
          <cell r="FP47">
            <v>70.333333333333385</v>
          </cell>
          <cell r="FQ47">
            <v>70.333333333333385</v>
          </cell>
          <cell r="FR47">
            <v>21.750000000000039</v>
          </cell>
          <cell r="FS47">
            <v>0</v>
          </cell>
          <cell r="FT47">
            <v>44</v>
          </cell>
          <cell r="FU47">
            <v>2.0333333333333332</v>
          </cell>
          <cell r="FW47" t="str">
            <v>SOBRESTOCK</v>
          </cell>
          <cell r="FX47" t="str">
            <v>B</v>
          </cell>
          <cell r="FY47" t="str">
            <v>Si</v>
          </cell>
        </row>
        <row r="48">
          <cell r="B48" t="str">
            <v>REP-0047</v>
          </cell>
          <cell r="C48" t="str">
            <v>MIX</v>
          </cell>
          <cell r="D48">
            <v>0</v>
          </cell>
          <cell r="E48">
            <v>15</v>
          </cell>
          <cell r="F48">
            <v>0</v>
          </cell>
          <cell r="G48">
            <v>0</v>
          </cell>
          <cell r="H48">
            <v>1</v>
          </cell>
          <cell r="I48">
            <v>1</v>
          </cell>
          <cell r="J48">
            <v>0</v>
          </cell>
          <cell r="K48">
            <v>11</v>
          </cell>
          <cell r="L48">
            <v>3</v>
          </cell>
          <cell r="M48">
            <v>3</v>
          </cell>
          <cell r="N48">
            <v>1</v>
          </cell>
          <cell r="O48">
            <v>1</v>
          </cell>
          <cell r="P48">
            <v>1</v>
          </cell>
          <cell r="Q48">
            <v>0</v>
          </cell>
          <cell r="R48">
            <v>1</v>
          </cell>
          <cell r="S48">
            <v>1</v>
          </cell>
          <cell r="T48">
            <v>3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46</v>
          </cell>
          <cell r="AA48">
            <v>46</v>
          </cell>
          <cell r="AB48">
            <v>2</v>
          </cell>
          <cell r="AC48">
            <v>0</v>
          </cell>
          <cell r="AD48">
            <v>0</v>
          </cell>
          <cell r="AE48">
            <v>0.16666666666666666</v>
          </cell>
          <cell r="AF48">
            <v>0.91666666666666663</v>
          </cell>
          <cell r="AG48">
            <v>0.91666666666666663</v>
          </cell>
          <cell r="AH48">
            <v>1.3333333333333333</v>
          </cell>
          <cell r="AI48">
            <v>1.8333333333333333</v>
          </cell>
          <cell r="AJ48">
            <v>1.8333333333333333</v>
          </cell>
          <cell r="AK48">
            <v>1.8333333333333333</v>
          </cell>
          <cell r="AL48">
            <v>0.44292274219727751</v>
          </cell>
          <cell r="AM48">
            <v>1.4791666666666665</v>
          </cell>
          <cell r="AN48">
            <v>0.29944072711928621</v>
          </cell>
          <cell r="AO48">
            <v>0</v>
          </cell>
          <cell r="AP48">
            <v>41.5</v>
          </cell>
          <cell r="AQ48">
            <v>45.909090909090914</v>
          </cell>
          <cell r="AR48">
            <v>0</v>
          </cell>
          <cell r="AS48">
            <v>41.166666666666671</v>
          </cell>
          <cell r="AT48">
            <v>40</v>
          </cell>
          <cell r="AU48">
            <v>43.63636363636364</v>
          </cell>
          <cell r="AV48">
            <v>0</v>
          </cell>
          <cell r="AW48">
            <v>39.083333333333336</v>
          </cell>
          <cell r="AX48">
            <v>38</v>
          </cell>
          <cell r="AY48">
            <v>20.727272727272727</v>
          </cell>
          <cell r="AZ48">
            <v>0</v>
          </cell>
          <cell r="BA48">
            <v>37.083333333333336</v>
          </cell>
          <cell r="BB48">
            <v>38</v>
          </cell>
          <cell r="BC48">
            <v>41.454545454545453</v>
          </cell>
          <cell r="BD48">
            <v>0</v>
          </cell>
          <cell r="BE48">
            <v>37.083333333333336</v>
          </cell>
          <cell r="BF48">
            <v>40.45454545454546</v>
          </cell>
          <cell r="BG48">
            <v>0</v>
          </cell>
          <cell r="BH48">
            <v>36.166666666666671</v>
          </cell>
          <cell r="BI48">
            <v>46</v>
          </cell>
          <cell r="BJ48">
            <v>25.090909090909093</v>
          </cell>
          <cell r="BK48">
            <v>0</v>
          </cell>
          <cell r="BL48">
            <v>35.083333333333336</v>
          </cell>
          <cell r="BM48">
            <v>33</v>
          </cell>
          <cell r="BN48">
            <v>33</v>
          </cell>
          <cell r="BO48">
            <v>0</v>
          </cell>
          <cell r="BP48">
            <v>32</v>
          </cell>
          <cell r="BQ48">
            <v>31</v>
          </cell>
          <cell r="BR48">
            <v>16.90909090909091</v>
          </cell>
          <cell r="BS48">
            <v>0</v>
          </cell>
          <cell r="BT48">
            <v>29.666666666666668</v>
          </cell>
          <cell r="BU48">
            <v>29</v>
          </cell>
          <cell r="BV48">
            <v>19.333333333333332</v>
          </cell>
          <cell r="BW48">
            <v>9</v>
          </cell>
          <cell r="BX48">
            <v>0</v>
          </cell>
          <cell r="BY48">
            <v>27.5</v>
          </cell>
          <cell r="BZ48">
            <v>29</v>
          </cell>
          <cell r="CA48">
            <v>19.333333333333332</v>
          </cell>
          <cell r="CB48">
            <v>9</v>
          </cell>
          <cell r="CC48">
            <v>0</v>
          </cell>
          <cell r="CD48">
            <v>67.5</v>
          </cell>
          <cell r="CE48">
            <v>29</v>
          </cell>
          <cell r="CF48">
            <v>15.818181818181818</v>
          </cell>
          <cell r="CG48">
            <v>9</v>
          </cell>
          <cell r="CH48">
            <v>40</v>
          </cell>
          <cell r="CI48">
            <v>74.666666666666671</v>
          </cell>
          <cell r="CJ48">
            <v>67</v>
          </cell>
          <cell r="CK48">
            <v>33.5</v>
          </cell>
          <cell r="CL48">
            <v>0</v>
          </cell>
          <cell r="CM48">
            <v>0</v>
          </cell>
          <cell r="CN48">
            <v>65</v>
          </cell>
          <cell r="CO48">
            <v>63</v>
          </cell>
          <cell r="CP48">
            <v>21</v>
          </cell>
          <cell r="CQ48">
            <v>0</v>
          </cell>
          <cell r="CR48">
            <v>0</v>
          </cell>
          <cell r="CS48">
            <v>60</v>
          </cell>
          <cell r="CT48">
            <v>63</v>
          </cell>
          <cell r="CU48">
            <v>37.799999999999997</v>
          </cell>
          <cell r="CV48">
            <v>0</v>
          </cell>
          <cell r="CW48">
            <v>0</v>
          </cell>
          <cell r="CX48">
            <v>61.333333333333336</v>
          </cell>
          <cell r="CY48">
            <v>60</v>
          </cell>
          <cell r="CZ48">
            <v>30</v>
          </cell>
          <cell r="DA48">
            <v>0</v>
          </cell>
          <cell r="DB48">
            <v>0</v>
          </cell>
          <cell r="DC48">
            <v>58</v>
          </cell>
          <cell r="DD48">
            <v>52</v>
          </cell>
          <cell r="DE48">
            <v>16.5</v>
          </cell>
          <cell r="DF48">
            <v>0</v>
          </cell>
          <cell r="DG48">
            <v>0</v>
          </cell>
          <cell r="DH48">
            <v>50</v>
          </cell>
          <cell r="DI48">
            <v>50</v>
          </cell>
          <cell r="DJ48">
            <v>17.5</v>
          </cell>
          <cell r="DK48">
            <v>0</v>
          </cell>
          <cell r="DL48">
            <v>0</v>
          </cell>
          <cell r="DM48">
            <v>48</v>
          </cell>
          <cell r="DN48">
            <v>46</v>
          </cell>
          <cell r="DO48">
            <v>16.727272727272727</v>
          </cell>
          <cell r="DP48">
            <v>0</v>
          </cell>
          <cell r="DQ48">
            <v>0</v>
          </cell>
          <cell r="DR48">
            <v>44.166666666666664</v>
          </cell>
          <cell r="DS48">
            <v>44.166666666666664</v>
          </cell>
          <cell r="DT48">
            <v>15.727272727272727</v>
          </cell>
          <cell r="DU48">
            <v>0</v>
          </cell>
          <cell r="DV48">
            <v>0</v>
          </cell>
          <cell r="DW48">
            <v>42.333333333333329</v>
          </cell>
          <cell r="DX48">
            <v>42.333333333333329</v>
          </cell>
          <cell r="DY48">
            <v>14.727272727272725</v>
          </cell>
          <cell r="DZ48">
            <v>0</v>
          </cell>
          <cell r="EA48">
            <v>0</v>
          </cell>
          <cell r="EB48">
            <v>40.499999999999993</v>
          </cell>
          <cell r="EC48">
            <v>40.499999999999993</v>
          </cell>
          <cell r="ED48">
            <v>13.727272727272723</v>
          </cell>
          <cell r="EE48">
            <v>0</v>
          </cell>
          <cell r="EF48">
            <v>0</v>
          </cell>
          <cell r="EG48">
            <v>38.666666666666657</v>
          </cell>
          <cell r="EH48">
            <v>38.666666666666657</v>
          </cell>
          <cell r="EI48">
            <v>12.727272727272723</v>
          </cell>
          <cell r="EJ48">
            <v>0</v>
          </cell>
          <cell r="EK48">
            <v>0</v>
          </cell>
          <cell r="EL48">
            <v>36.833333333333321</v>
          </cell>
          <cell r="EM48">
            <v>36.833333333333321</v>
          </cell>
          <cell r="EN48">
            <v>11.727272727272721</v>
          </cell>
          <cell r="EO48">
            <v>0</v>
          </cell>
          <cell r="EP48">
            <v>0</v>
          </cell>
          <cell r="EQ48">
            <v>34.999999999999986</v>
          </cell>
          <cell r="ER48">
            <v>34.999999999999986</v>
          </cell>
          <cell r="ES48">
            <v>10.72727272727272</v>
          </cell>
          <cell r="ET48">
            <v>0</v>
          </cell>
          <cell r="EU48">
            <v>0</v>
          </cell>
          <cell r="EV48">
            <v>33.16666666666665</v>
          </cell>
          <cell r="EW48">
            <v>33.16666666666665</v>
          </cell>
          <cell r="EX48">
            <v>9.7272727272727195</v>
          </cell>
          <cell r="EY48">
            <v>0</v>
          </cell>
          <cell r="EZ48">
            <v>0</v>
          </cell>
          <cell r="FA48">
            <v>31.333333333333318</v>
          </cell>
          <cell r="FB48">
            <v>31.333333333333318</v>
          </cell>
          <cell r="FC48">
            <v>8.7272727272727195</v>
          </cell>
          <cell r="FD48">
            <v>0</v>
          </cell>
          <cell r="FE48">
            <v>0</v>
          </cell>
          <cell r="FF48">
            <v>29.499999999999986</v>
          </cell>
          <cell r="FG48">
            <v>29.499999999999986</v>
          </cell>
          <cell r="FH48">
            <v>7.7272727272727195</v>
          </cell>
          <cell r="FI48">
            <v>0</v>
          </cell>
          <cell r="FJ48">
            <v>0</v>
          </cell>
          <cell r="FK48">
            <v>27.666666666666654</v>
          </cell>
          <cell r="FL48">
            <v>27.666666666666654</v>
          </cell>
          <cell r="FM48">
            <v>6.7272727272727204</v>
          </cell>
          <cell r="FN48">
            <v>0</v>
          </cell>
          <cell r="FO48">
            <v>0</v>
          </cell>
          <cell r="FP48">
            <v>25.833333333333321</v>
          </cell>
          <cell r="FQ48">
            <v>25.833333333333321</v>
          </cell>
          <cell r="FR48">
            <v>5.7272727272727213</v>
          </cell>
          <cell r="FS48">
            <v>0</v>
          </cell>
          <cell r="FT48">
            <v>19</v>
          </cell>
          <cell r="FU48">
            <v>2.0333333333333332</v>
          </cell>
          <cell r="FV48" t="str">
            <v>SI</v>
          </cell>
          <cell r="FW48" t="str">
            <v>SOBRESTOCK</v>
          </cell>
          <cell r="FX48" t="str">
            <v>B</v>
          </cell>
          <cell r="FY48" t="str">
            <v>Si</v>
          </cell>
        </row>
        <row r="49">
          <cell r="B49" t="str">
            <v>REP-0048</v>
          </cell>
          <cell r="C49" t="str">
            <v>MIX</v>
          </cell>
          <cell r="D49">
            <v>0</v>
          </cell>
          <cell r="E49">
            <v>6</v>
          </cell>
          <cell r="F49">
            <v>0</v>
          </cell>
          <cell r="G49">
            <v>0</v>
          </cell>
          <cell r="H49">
            <v>3</v>
          </cell>
          <cell r="I49">
            <v>3</v>
          </cell>
          <cell r="J49">
            <v>0</v>
          </cell>
          <cell r="K49">
            <v>8</v>
          </cell>
          <cell r="L49">
            <v>0</v>
          </cell>
          <cell r="M49">
            <v>1</v>
          </cell>
          <cell r="N49">
            <v>1</v>
          </cell>
          <cell r="O49">
            <v>0</v>
          </cell>
          <cell r="P49">
            <v>1</v>
          </cell>
          <cell r="Q49">
            <v>0</v>
          </cell>
          <cell r="R49">
            <v>4</v>
          </cell>
          <cell r="S49">
            <v>1</v>
          </cell>
          <cell r="T49">
            <v>0</v>
          </cell>
          <cell r="U49">
            <v>1</v>
          </cell>
          <cell r="V49">
            <v>1</v>
          </cell>
          <cell r="W49">
            <v>0</v>
          </cell>
          <cell r="X49">
            <v>2</v>
          </cell>
          <cell r="Y49">
            <v>32</v>
          </cell>
          <cell r="AA49">
            <v>32</v>
          </cell>
          <cell r="AB49">
            <v>7</v>
          </cell>
          <cell r="AC49">
            <v>1.6666666666666667</v>
          </cell>
          <cell r="AD49">
            <v>5.5555555555555559E-2</v>
          </cell>
          <cell r="AE49">
            <v>1.3333333333333333</v>
          </cell>
          <cell r="AF49">
            <v>2.1666666666666665</v>
          </cell>
          <cell r="AG49">
            <v>2.25</v>
          </cell>
          <cell r="AH49">
            <v>1.3333333333333333</v>
          </cell>
          <cell r="AI49">
            <v>3.6666666666666665</v>
          </cell>
          <cell r="AJ49">
            <v>3.6666666666666665</v>
          </cell>
          <cell r="AK49">
            <v>3.6666666666666665</v>
          </cell>
          <cell r="AL49">
            <v>1.1453913288899547</v>
          </cell>
          <cell r="AM49">
            <v>2.7291666666666665</v>
          </cell>
          <cell r="AN49">
            <v>0.41968537241769333</v>
          </cell>
          <cell r="AO49">
            <v>0</v>
          </cell>
          <cell r="AP49">
            <v>18.75</v>
          </cell>
          <cell r="AQ49">
            <v>8</v>
          </cell>
          <cell r="AR49">
            <v>0</v>
          </cell>
          <cell r="AS49">
            <v>26.666666666666664</v>
          </cell>
          <cell r="AT49">
            <v>26</v>
          </cell>
          <cell r="AU49">
            <v>11.555555555555555</v>
          </cell>
          <cell r="AV49">
            <v>0</v>
          </cell>
          <cell r="AW49">
            <v>23.75</v>
          </cell>
          <cell r="AX49">
            <v>22</v>
          </cell>
          <cell r="AY49">
            <v>6</v>
          </cell>
          <cell r="AZ49">
            <v>0</v>
          </cell>
          <cell r="BA49">
            <v>39.666666666666664</v>
          </cell>
          <cell r="BB49">
            <v>23</v>
          </cell>
          <cell r="BC49">
            <v>9.8571428571428559</v>
          </cell>
          <cell r="BD49">
            <v>0</v>
          </cell>
          <cell r="BE49">
            <v>20.666666666666668</v>
          </cell>
          <cell r="BF49">
            <v>8.8571428571428577</v>
          </cell>
          <cell r="BG49">
            <v>0</v>
          </cell>
          <cell r="BH49">
            <v>18.333333333333336</v>
          </cell>
          <cell r="BI49">
            <v>32</v>
          </cell>
          <cell r="BJ49">
            <v>8.7272727272727284</v>
          </cell>
          <cell r="BK49">
            <v>0</v>
          </cell>
          <cell r="BL49">
            <v>37.75</v>
          </cell>
          <cell r="BM49">
            <v>43</v>
          </cell>
          <cell r="BN49">
            <v>19.111111111111111</v>
          </cell>
          <cell r="BO49">
            <v>0</v>
          </cell>
          <cell r="BP49">
            <v>40.75</v>
          </cell>
          <cell r="BQ49">
            <v>39</v>
          </cell>
          <cell r="BR49">
            <v>10.636363636363637</v>
          </cell>
          <cell r="BS49">
            <v>0</v>
          </cell>
          <cell r="BT49">
            <v>36.75</v>
          </cell>
          <cell r="BU49">
            <v>39</v>
          </cell>
          <cell r="BV49">
            <v>17.333333333333332</v>
          </cell>
          <cell r="BW49">
            <v>0</v>
          </cell>
          <cell r="BX49">
            <v>0</v>
          </cell>
          <cell r="BY49">
            <v>36.75</v>
          </cell>
          <cell r="BZ49">
            <v>38</v>
          </cell>
          <cell r="CA49">
            <v>16.888888888888889</v>
          </cell>
          <cell r="CB49">
            <v>0</v>
          </cell>
          <cell r="CC49">
            <v>0</v>
          </cell>
          <cell r="CD49">
            <v>35.75</v>
          </cell>
          <cell r="CE49">
            <v>40</v>
          </cell>
          <cell r="CF49">
            <v>17.777777777777779</v>
          </cell>
          <cell r="CG49">
            <v>0</v>
          </cell>
          <cell r="CH49">
            <v>0</v>
          </cell>
          <cell r="CI49">
            <v>33.5</v>
          </cell>
          <cell r="CJ49">
            <v>36</v>
          </cell>
          <cell r="CK49">
            <v>16</v>
          </cell>
          <cell r="CL49">
            <v>0</v>
          </cell>
          <cell r="CM49">
            <v>20</v>
          </cell>
          <cell r="CN49">
            <v>53.75</v>
          </cell>
          <cell r="CO49">
            <v>48</v>
          </cell>
          <cell r="CP49">
            <v>8</v>
          </cell>
          <cell r="CQ49">
            <v>0</v>
          </cell>
          <cell r="CR49">
            <v>0</v>
          </cell>
          <cell r="CS49">
            <v>42</v>
          </cell>
          <cell r="CT49">
            <v>47</v>
          </cell>
          <cell r="CU49">
            <v>11.75</v>
          </cell>
          <cell r="CV49">
            <v>0</v>
          </cell>
          <cell r="CW49">
            <v>0</v>
          </cell>
          <cell r="CX49">
            <v>43</v>
          </cell>
          <cell r="CY49">
            <v>41</v>
          </cell>
          <cell r="CZ49">
            <v>10.25</v>
          </cell>
          <cell r="DA49">
            <v>0</v>
          </cell>
          <cell r="DB49">
            <v>0</v>
          </cell>
          <cell r="DC49">
            <v>37.5</v>
          </cell>
          <cell r="DD49">
            <v>39</v>
          </cell>
          <cell r="DE49">
            <v>8.2666666666666675</v>
          </cell>
          <cell r="DF49">
            <v>0</v>
          </cell>
          <cell r="DG49">
            <v>0</v>
          </cell>
          <cell r="DH49">
            <v>35.25</v>
          </cell>
          <cell r="DI49">
            <v>36</v>
          </cell>
          <cell r="DJ49">
            <v>9.7777777777777786</v>
          </cell>
          <cell r="DK49">
            <v>0</v>
          </cell>
          <cell r="DL49">
            <v>0</v>
          </cell>
          <cell r="DM49">
            <v>31.65</v>
          </cell>
          <cell r="DN49">
            <v>32</v>
          </cell>
          <cell r="DO49">
            <v>8.5454545454545467</v>
          </cell>
          <cell r="DP49">
            <v>0</v>
          </cell>
          <cell r="DQ49">
            <v>0</v>
          </cell>
          <cell r="DR49">
            <v>28.333333333333332</v>
          </cell>
          <cell r="DS49">
            <v>28.333333333333332</v>
          </cell>
          <cell r="DT49">
            <v>7.545454545454545</v>
          </cell>
          <cell r="DU49">
            <v>0</v>
          </cell>
          <cell r="DV49">
            <v>0</v>
          </cell>
          <cell r="DW49">
            <v>24.666666666666664</v>
          </cell>
          <cell r="DX49">
            <v>24.666666666666664</v>
          </cell>
          <cell r="DY49">
            <v>6.545454545454545</v>
          </cell>
          <cell r="DZ49">
            <v>0</v>
          </cell>
          <cell r="EA49">
            <v>0</v>
          </cell>
          <cell r="EB49">
            <v>20.999999999999996</v>
          </cell>
          <cell r="EC49">
            <v>20.999999999999996</v>
          </cell>
          <cell r="ED49">
            <v>5.545454545454545</v>
          </cell>
          <cell r="EE49">
            <v>0</v>
          </cell>
          <cell r="EF49">
            <v>0</v>
          </cell>
          <cell r="EG49">
            <v>17.333333333333329</v>
          </cell>
          <cell r="EH49">
            <v>17.333333333333329</v>
          </cell>
          <cell r="EI49">
            <v>4.5454545454545441</v>
          </cell>
          <cell r="EJ49">
            <v>0</v>
          </cell>
          <cell r="EK49">
            <v>0</v>
          </cell>
          <cell r="EL49">
            <v>13.666666666666663</v>
          </cell>
          <cell r="EM49">
            <v>13.666666666666663</v>
          </cell>
          <cell r="EN49">
            <v>3.5454545454545441</v>
          </cell>
          <cell r="EO49">
            <v>0</v>
          </cell>
          <cell r="EP49">
            <v>0</v>
          </cell>
          <cell r="EQ49">
            <v>9.9999999999999964</v>
          </cell>
          <cell r="ER49">
            <v>9.9999999999999964</v>
          </cell>
          <cell r="ES49">
            <v>2.5454545454545445</v>
          </cell>
          <cell r="ET49">
            <v>0</v>
          </cell>
          <cell r="EU49">
            <v>0</v>
          </cell>
          <cell r="EV49">
            <v>6.3333333333333304</v>
          </cell>
          <cell r="EW49">
            <v>6.3333333333333304</v>
          </cell>
          <cell r="EX49">
            <v>1.5454545454545445</v>
          </cell>
          <cell r="EY49">
            <v>1.6666666666666696</v>
          </cell>
          <cell r="EZ49">
            <v>0</v>
          </cell>
          <cell r="FA49">
            <v>2.6666666666666639</v>
          </cell>
          <cell r="FB49">
            <v>2.6666666666666639</v>
          </cell>
          <cell r="FC49">
            <v>0.54545454545454475</v>
          </cell>
          <cell r="FD49">
            <v>5.3333333333333357</v>
          </cell>
          <cell r="FE49">
            <v>15</v>
          </cell>
          <cell r="FF49">
            <v>13.999999999999998</v>
          </cell>
          <cell r="FG49">
            <v>13.999999999999998</v>
          </cell>
          <cell r="FH49">
            <v>3.6363636363636358</v>
          </cell>
          <cell r="FI49">
            <v>0</v>
          </cell>
          <cell r="FJ49">
            <v>0</v>
          </cell>
          <cell r="FK49">
            <v>10.333333333333332</v>
          </cell>
          <cell r="FL49">
            <v>10.333333333333332</v>
          </cell>
          <cell r="FM49">
            <v>2.6363636363636358</v>
          </cell>
          <cell r="FN49">
            <v>0</v>
          </cell>
          <cell r="FO49">
            <v>0</v>
          </cell>
          <cell r="FP49">
            <v>6.6666666666666661</v>
          </cell>
          <cell r="FQ49">
            <v>6.6666666666666661</v>
          </cell>
          <cell r="FR49">
            <v>1.6363636363636362</v>
          </cell>
          <cell r="FS49">
            <v>1.3333333333333339</v>
          </cell>
          <cell r="FT49">
            <v>8</v>
          </cell>
          <cell r="FU49">
            <v>2.0333333333333332</v>
          </cell>
          <cell r="FW49" t="str">
            <v>SOBRESTOCK</v>
          </cell>
          <cell r="FX49" t="str">
            <v>B</v>
          </cell>
          <cell r="FY49" t="str">
            <v>Si</v>
          </cell>
        </row>
        <row r="50">
          <cell r="B50" t="str">
            <v>REP-0049</v>
          </cell>
          <cell r="C50" t="str">
            <v>MIX</v>
          </cell>
          <cell r="D50">
            <v>0</v>
          </cell>
          <cell r="E50">
            <v>9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</v>
          </cell>
          <cell r="P50">
            <v>0</v>
          </cell>
          <cell r="Q50">
            <v>0</v>
          </cell>
          <cell r="R50">
            <v>0</v>
          </cell>
          <cell r="S50">
            <v>2</v>
          </cell>
          <cell r="T50">
            <v>2</v>
          </cell>
          <cell r="U50">
            <v>2</v>
          </cell>
          <cell r="V50">
            <v>2</v>
          </cell>
          <cell r="W50">
            <v>0</v>
          </cell>
          <cell r="X50">
            <v>0</v>
          </cell>
          <cell r="Y50">
            <v>19</v>
          </cell>
          <cell r="AA50">
            <v>19</v>
          </cell>
          <cell r="AB50">
            <v>0</v>
          </cell>
          <cell r="AC50">
            <v>0.66666666666666663</v>
          </cell>
          <cell r="AD50">
            <v>2.222222222222222E-2</v>
          </cell>
          <cell r="AE50">
            <v>0.66666666666666663</v>
          </cell>
          <cell r="AF50">
            <v>0.41666666666666669</v>
          </cell>
          <cell r="AG50">
            <v>0.41666666666666669</v>
          </cell>
          <cell r="AH50">
            <v>0.66666666666666663</v>
          </cell>
          <cell r="AI50">
            <v>0</v>
          </cell>
          <cell r="AJ50">
            <v>0</v>
          </cell>
          <cell r="AK50">
            <v>0.66666666666666663</v>
          </cell>
          <cell r="AL50">
            <v>0.3289644245090837</v>
          </cell>
          <cell r="AM50">
            <v>0.27083333333333331</v>
          </cell>
          <cell r="AN50">
            <v>1.214637875110463</v>
          </cell>
          <cell r="AO50">
            <v>0</v>
          </cell>
          <cell r="AP50">
            <v>24.583333333333332</v>
          </cell>
          <cell r="AQ50">
            <v>58.999999999999993</v>
          </cell>
          <cell r="AR50">
            <v>0</v>
          </cell>
          <cell r="AS50">
            <v>24.166666666666664</v>
          </cell>
          <cell r="AT50">
            <v>25</v>
          </cell>
          <cell r="AU50">
            <v>60</v>
          </cell>
          <cell r="AV50">
            <v>0</v>
          </cell>
          <cell r="AW50">
            <v>24.583333333333332</v>
          </cell>
          <cell r="AX50">
            <v>24</v>
          </cell>
          <cell r="AY50">
            <v>36</v>
          </cell>
          <cell r="AZ50">
            <v>0</v>
          </cell>
          <cell r="BA50">
            <v>23.583333333333332</v>
          </cell>
          <cell r="BB50">
            <v>24</v>
          </cell>
          <cell r="BC50">
            <v>57.599999999999994</v>
          </cell>
          <cell r="BD50">
            <v>0</v>
          </cell>
          <cell r="BE50">
            <v>23.583333333333332</v>
          </cell>
          <cell r="BF50">
            <v>56.599999999999994</v>
          </cell>
          <cell r="BG50">
            <v>0</v>
          </cell>
          <cell r="BH50">
            <v>23.166666666666664</v>
          </cell>
          <cell r="BI50">
            <v>19</v>
          </cell>
          <cell r="BJ50">
            <v>28.5</v>
          </cell>
          <cell r="BK50">
            <v>0</v>
          </cell>
          <cell r="BL50">
            <v>22.583333333333332</v>
          </cell>
          <cell r="BM50">
            <v>23</v>
          </cell>
          <cell r="BN50">
            <v>55.199999999999996</v>
          </cell>
          <cell r="BO50">
            <v>0</v>
          </cell>
          <cell r="BP50">
            <v>22.583333333333332</v>
          </cell>
          <cell r="BQ50">
            <v>23</v>
          </cell>
          <cell r="BR50">
            <v>34.5</v>
          </cell>
          <cell r="BS50">
            <v>0</v>
          </cell>
          <cell r="BT50">
            <v>22.583333333333332</v>
          </cell>
          <cell r="BU50">
            <v>23</v>
          </cell>
          <cell r="BV50">
            <v>55.199999999999996</v>
          </cell>
          <cell r="BW50">
            <v>0</v>
          </cell>
          <cell r="BX50">
            <v>0</v>
          </cell>
          <cell r="BY50">
            <v>22.583333333333332</v>
          </cell>
          <cell r="BZ50">
            <v>23</v>
          </cell>
          <cell r="CA50">
            <v>55.199999999999996</v>
          </cell>
          <cell r="CB50">
            <v>0</v>
          </cell>
          <cell r="CC50">
            <v>0</v>
          </cell>
          <cell r="CD50">
            <v>22.583333333333332</v>
          </cell>
          <cell r="CE50">
            <v>21</v>
          </cell>
          <cell r="CF50">
            <v>50.4</v>
          </cell>
          <cell r="CG50">
            <v>0</v>
          </cell>
          <cell r="CH50">
            <v>0</v>
          </cell>
          <cell r="CI50">
            <v>22.166666666666664</v>
          </cell>
          <cell r="CJ50">
            <v>17</v>
          </cell>
          <cell r="CK50">
            <v>17</v>
          </cell>
          <cell r="CL50">
            <v>0</v>
          </cell>
          <cell r="CM50">
            <v>0</v>
          </cell>
          <cell r="CN50">
            <v>16</v>
          </cell>
          <cell r="CO50">
            <v>19</v>
          </cell>
          <cell r="CP50">
            <v>19</v>
          </cell>
          <cell r="CQ50">
            <v>0</v>
          </cell>
          <cell r="CR50">
            <v>0</v>
          </cell>
          <cell r="CS50">
            <v>18</v>
          </cell>
          <cell r="CT50">
            <v>19</v>
          </cell>
          <cell r="CU50">
            <v>19</v>
          </cell>
          <cell r="CV50">
            <v>0</v>
          </cell>
          <cell r="CW50">
            <v>0</v>
          </cell>
          <cell r="CX50">
            <v>18</v>
          </cell>
          <cell r="CY50">
            <v>21</v>
          </cell>
          <cell r="CZ50">
            <v>31.5</v>
          </cell>
          <cell r="DA50">
            <v>0</v>
          </cell>
          <cell r="DB50">
            <v>0</v>
          </cell>
          <cell r="DC50">
            <v>20.333333333333332</v>
          </cell>
          <cell r="DD50">
            <v>19</v>
          </cell>
          <cell r="DE50">
            <v>25.5</v>
          </cell>
          <cell r="DF50">
            <v>0</v>
          </cell>
          <cell r="DG50">
            <v>0</v>
          </cell>
          <cell r="DH50">
            <v>18.333333333333332</v>
          </cell>
          <cell r="DI50">
            <v>19</v>
          </cell>
          <cell r="DJ50">
            <v>27.5</v>
          </cell>
          <cell r="DK50">
            <v>0</v>
          </cell>
          <cell r="DL50">
            <v>0</v>
          </cell>
          <cell r="DM50">
            <v>17.666666666666664</v>
          </cell>
          <cell r="DN50">
            <v>19</v>
          </cell>
          <cell r="DO50">
            <v>27.5</v>
          </cell>
          <cell r="DP50">
            <v>0</v>
          </cell>
          <cell r="DQ50">
            <v>0</v>
          </cell>
          <cell r="DR50">
            <v>18.333333333333332</v>
          </cell>
          <cell r="DS50">
            <v>18.333333333333332</v>
          </cell>
          <cell r="DT50">
            <v>26.5</v>
          </cell>
          <cell r="DU50">
            <v>0</v>
          </cell>
          <cell r="DV50">
            <v>0</v>
          </cell>
          <cell r="DW50">
            <v>17.666666666666664</v>
          </cell>
          <cell r="DX50">
            <v>17.666666666666664</v>
          </cell>
          <cell r="DY50">
            <v>25.499999999999996</v>
          </cell>
          <cell r="DZ50">
            <v>0</v>
          </cell>
          <cell r="EA50">
            <v>0</v>
          </cell>
          <cell r="EB50">
            <v>16.999999999999996</v>
          </cell>
          <cell r="EC50">
            <v>16.999999999999996</v>
          </cell>
          <cell r="ED50">
            <v>24.499999999999996</v>
          </cell>
          <cell r="EE50">
            <v>0</v>
          </cell>
          <cell r="EF50">
            <v>0</v>
          </cell>
          <cell r="EG50">
            <v>16.333333333333329</v>
          </cell>
          <cell r="EH50">
            <v>16.333333333333329</v>
          </cell>
          <cell r="EI50">
            <v>23.499999999999993</v>
          </cell>
          <cell r="EJ50">
            <v>0</v>
          </cell>
          <cell r="EK50">
            <v>0</v>
          </cell>
          <cell r="EL50">
            <v>15.666666666666663</v>
          </cell>
          <cell r="EM50">
            <v>15.666666666666663</v>
          </cell>
          <cell r="EN50">
            <v>22.499999999999996</v>
          </cell>
          <cell r="EO50">
            <v>0</v>
          </cell>
          <cell r="EP50">
            <v>0</v>
          </cell>
          <cell r="EQ50">
            <v>14.999999999999996</v>
          </cell>
          <cell r="ER50">
            <v>14.999999999999996</v>
          </cell>
          <cell r="ES50">
            <v>21.499999999999996</v>
          </cell>
          <cell r="ET50">
            <v>0</v>
          </cell>
          <cell r="EU50">
            <v>0</v>
          </cell>
          <cell r="EV50">
            <v>14.33333333333333</v>
          </cell>
          <cell r="EW50">
            <v>14.33333333333333</v>
          </cell>
          <cell r="EX50">
            <v>20.499999999999996</v>
          </cell>
          <cell r="EY50">
            <v>0</v>
          </cell>
          <cell r="EZ50">
            <v>0</v>
          </cell>
          <cell r="FA50">
            <v>13.666666666666664</v>
          </cell>
          <cell r="FB50">
            <v>13.666666666666664</v>
          </cell>
          <cell r="FC50">
            <v>19.499999999999996</v>
          </cell>
          <cell r="FD50">
            <v>0</v>
          </cell>
          <cell r="FE50">
            <v>0</v>
          </cell>
          <cell r="FF50">
            <v>12.999999999999998</v>
          </cell>
          <cell r="FG50">
            <v>12.999999999999998</v>
          </cell>
          <cell r="FH50">
            <v>18.5</v>
          </cell>
          <cell r="FI50">
            <v>0</v>
          </cell>
          <cell r="FJ50">
            <v>0</v>
          </cell>
          <cell r="FK50">
            <v>12.333333333333332</v>
          </cell>
          <cell r="FL50">
            <v>12.333333333333332</v>
          </cell>
          <cell r="FM50">
            <v>17.5</v>
          </cell>
          <cell r="FN50">
            <v>0</v>
          </cell>
          <cell r="FO50">
            <v>0</v>
          </cell>
          <cell r="FP50">
            <v>11.666666666666666</v>
          </cell>
          <cell r="FQ50">
            <v>11.666666666666666</v>
          </cell>
          <cell r="FR50">
            <v>16.5</v>
          </cell>
          <cell r="FS50">
            <v>0</v>
          </cell>
          <cell r="FT50">
            <v>2</v>
          </cell>
          <cell r="FU50">
            <v>2.0333333333333332</v>
          </cell>
          <cell r="FW50" t="str">
            <v>SIN ROTACIÓN</v>
          </cell>
          <cell r="FX50" t="str">
            <v>C</v>
          </cell>
          <cell r="FY50" t="str">
            <v>Si</v>
          </cell>
        </row>
        <row r="51">
          <cell r="B51" t="str">
            <v>REP-0050</v>
          </cell>
          <cell r="C51" t="str">
            <v>MIX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5</v>
          </cell>
          <cell r="L51">
            <v>1</v>
          </cell>
          <cell r="M51">
            <v>2</v>
          </cell>
          <cell r="N51">
            <v>2</v>
          </cell>
          <cell r="O51">
            <v>2</v>
          </cell>
          <cell r="P51">
            <v>1</v>
          </cell>
          <cell r="Q51">
            <v>0</v>
          </cell>
          <cell r="R51">
            <v>2</v>
          </cell>
          <cell r="S51">
            <v>3</v>
          </cell>
          <cell r="T51">
            <v>0</v>
          </cell>
          <cell r="U51">
            <v>2</v>
          </cell>
          <cell r="V51">
            <v>2</v>
          </cell>
          <cell r="W51">
            <v>2</v>
          </cell>
          <cell r="X51">
            <v>2</v>
          </cell>
          <cell r="Y51">
            <v>29</v>
          </cell>
          <cell r="AA51">
            <v>29</v>
          </cell>
          <cell r="AB51">
            <v>12</v>
          </cell>
          <cell r="AC51">
            <v>1.1666666666666667</v>
          </cell>
          <cell r="AD51">
            <v>3.888888888888889E-2</v>
          </cell>
          <cell r="AE51">
            <v>1.3333333333333333</v>
          </cell>
          <cell r="AF51">
            <v>1</v>
          </cell>
          <cell r="AG51">
            <v>1</v>
          </cell>
          <cell r="AH51">
            <v>1.0833333333333333</v>
          </cell>
          <cell r="AI51">
            <v>0.33333333333333331</v>
          </cell>
          <cell r="AJ51">
            <v>0.33333333333333331</v>
          </cell>
          <cell r="AK51">
            <v>1.0833333333333333</v>
          </cell>
          <cell r="AL51">
            <v>0.41036907507483755</v>
          </cell>
          <cell r="AM51">
            <v>0.6875</v>
          </cell>
          <cell r="AN51">
            <v>0.59690047283612735</v>
          </cell>
          <cell r="AO51">
            <v>0</v>
          </cell>
          <cell r="AP51">
            <v>8.6666666666666661</v>
          </cell>
          <cell r="AQ51">
            <v>9</v>
          </cell>
          <cell r="AR51">
            <v>0</v>
          </cell>
          <cell r="AS51">
            <v>12</v>
          </cell>
          <cell r="AT51">
            <v>12</v>
          </cell>
          <cell r="AU51">
            <v>8</v>
          </cell>
          <cell r="AV51">
            <v>0</v>
          </cell>
          <cell r="AW51">
            <v>10.5</v>
          </cell>
          <cell r="AX51">
            <v>10</v>
          </cell>
          <cell r="AY51">
            <v>9.2307692307692317</v>
          </cell>
          <cell r="AZ51">
            <v>0</v>
          </cell>
          <cell r="BA51">
            <v>18.333333333333332</v>
          </cell>
          <cell r="BB51">
            <v>8</v>
          </cell>
          <cell r="BC51">
            <v>3.4285714285714284</v>
          </cell>
          <cell r="BD51">
            <v>0</v>
          </cell>
          <cell r="BE51">
            <v>5.6666666666666661</v>
          </cell>
          <cell r="BF51">
            <v>2.4285714285714284</v>
          </cell>
          <cell r="BG51">
            <v>10</v>
          </cell>
          <cell r="BH51">
            <v>13.333333333333332</v>
          </cell>
          <cell r="BI51">
            <v>29</v>
          </cell>
          <cell r="BJ51">
            <v>26.76923076923077</v>
          </cell>
          <cell r="BK51">
            <v>0</v>
          </cell>
          <cell r="BL51">
            <v>34.333333333333336</v>
          </cell>
          <cell r="BM51">
            <v>35</v>
          </cell>
          <cell r="BN51">
            <v>24.5</v>
          </cell>
          <cell r="BO51">
            <v>0</v>
          </cell>
          <cell r="BP51">
            <v>33.571428571428569</v>
          </cell>
          <cell r="BQ51">
            <v>34</v>
          </cell>
          <cell r="BR51">
            <v>31.384615384615387</v>
          </cell>
          <cell r="BS51">
            <v>0</v>
          </cell>
          <cell r="BT51">
            <v>32.5</v>
          </cell>
          <cell r="BU51">
            <v>34</v>
          </cell>
          <cell r="BV51">
            <v>25.5</v>
          </cell>
          <cell r="BW51">
            <v>0</v>
          </cell>
          <cell r="BX51">
            <v>0</v>
          </cell>
          <cell r="BY51">
            <v>32.666666666666664</v>
          </cell>
          <cell r="BZ51">
            <v>34</v>
          </cell>
          <cell r="CA51">
            <v>28.333333333333336</v>
          </cell>
          <cell r="CB51">
            <v>0</v>
          </cell>
          <cell r="CC51">
            <v>0</v>
          </cell>
          <cell r="CD51">
            <v>32.799999999999997</v>
          </cell>
          <cell r="CE51">
            <v>33</v>
          </cell>
          <cell r="CF51">
            <v>27.923076923076923</v>
          </cell>
          <cell r="CG51">
            <v>0</v>
          </cell>
          <cell r="CH51">
            <v>0</v>
          </cell>
          <cell r="CI51">
            <v>31.618181818181814</v>
          </cell>
          <cell r="CJ51">
            <v>43</v>
          </cell>
          <cell r="CK51">
            <v>39.692307692307693</v>
          </cell>
          <cell r="CL51">
            <v>0</v>
          </cell>
          <cell r="CM51">
            <v>0</v>
          </cell>
          <cell r="CN51">
            <v>41.916666666666664</v>
          </cell>
          <cell r="CO51">
            <v>33</v>
          </cell>
          <cell r="CP51">
            <v>30.461538461538463</v>
          </cell>
          <cell r="CQ51">
            <v>0</v>
          </cell>
          <cell r="CR51">
            <v>0</v>
          </cell>
          <cell r="CS51">
            <v>31.916666666666668</v>
          </cell>
          <cell r="CT51">
            <v>33</v>
          </cell>
          <cell r="CU51">
            <v>30.461538461538463</v>
          </cell>
          <cell r="CV51">
            <v>5</v>
          </cell>
          <cell r="CW51">
            <v>0</v>
          </cell>
          <cell r="CX51">
            <v>31.916666666666668</v>
          </cell>
          <cell r="CY51">
            <v>32</v>
          </cell>
          <cell r="CZ51">
            <v>29.53846153846154</v>
          </cell>
          <cell r="DA51">
            <v>6.0833333333333321</v>
          </cell>
          <cell r="DB51">
            <v>0</v>
          </cell>
          <cell r="DC51">
            <v>30.916666666666668</v>
          </cell>
          <cell r="DD51">
            <v>31</v>
          </cell>
          <cell r="DE51">
            <v>-6.4615384615384617</v>
          </cell>
          <cell r="DF51">
            <v>7.0833333333333321</v>
          </cell>
          <cell r="DG51">
            <v>0</v>
          </cell>
          <cell r="DH51">
            <v>29.916666666666668</v>
          </cell>
          <cell r="DI51">
            <v>30</v>
          </cell>
          <cell r="DJ51">
            <v>-5.384615384615385</v>
          </cell>
          <cell r="DK51">
            <v>8.0833333333333321</v>
          </cell>
          <cell r="DL51">
            <v>0</v>
          </cell>
          <cell r="DM51">
            <v>36.916666666666664</v>
          </cell>
          <cell r="DN51">
            <v>29</v>
          </cell>
          <cell r="DO51">
            <v>-6.3076923076923084</v>
          </cell>
          <cell r="DP51">
            <v>9</v>
          </cell>
          <cell r="DQ51">
            <v>0</v>
          </cell>
          <cell r="DR51">
            <v>27.916666666666668</v>
          </cell>
          <cell r="DS51">
            <v>27.916666666666668</v>
          </cell>
          <cell r="DT51">
            <v>-7.3076923076923066</v>
          </cell>
          <cell r="DU51">
            <v>10.083333333333332</v>
          </cell>
          <cell r="DV51">
            <v>13</v>
          </cell>
          <cell r="DW51">
            <v>39.833333333333336</v>
          </cell>
          <cell r="DX51">
            <v>39.833333333333336</v>
          </cell>
          <cell r="DY51">
            <v>3.6923076923076943</v>
          </cell>
          <cell r="DZ51">
            <v>0</v>
          </cell>
          <cell r="EA51">
            <v>0</v>
          </cell>
          <cell r="EB51">
            <v>38.75</v>
          </cell>
          <cell r="EC51">
            <v>38.75</v>
          </cell>
          <cell r="ED51">
            <v>2.6923076923076925</v>
          </cell>
          <cell r="EE51">
            <v>0</v>
          </cell>
          <cell r="EF51">
            <v>0</v>
          </cell>
          <cell r="EG51">
            <v>37.666666666666664</v>
          </cell>
          <cell r="EH51">
            <v>37.666666666666664</v>
          </cell>
          <cell r="EI51">
            <v>1.6923076923076901</v>
          </cell>
          <cell r="EJ51">
            <v>0.3333333333333357</v>
          </cell>
          <cell r="EK51">
            <v>10</v>
          </cell>
          <cell r="EL51">
            <v>46.583333333333329</v>
          </cell>
          <cell r="EM51">
            <v>46.583333333333329</v>
          </cell>
          <cell r="EN51">
            <v>9.9230769230769198</v>
          </cell>
          <cell r="EO51">
            <v>0</v>
          </cell>
          <cell r="EP51">
            <v>0</v>
          </cell>
          <cell r="EQ51">
            <v>45.499999999999993</v>
          </cell>
          <cell r="ER51">
            <v>45.499999999999993</v>
          </cell>
          <cell r="ES51">
            <v>8.9230769230769162</v>
          </cell>
          <cell r="ET51">
            <v>0</v>
          </cell>
          <cell r="EU51">
            <v>0</v>
          </cell>
          <cell r="EV51">
            <v>44.416666666666657</v>
          </cell>
          <cell r="EW51">
            <v>44.416666666666657</v>
          </cell>
          <cell r="EX51">
            <v>7.9230769230769145</v>
          </cell>
          <cell r="EY51">
            <v>0</v>
          </cell>
          <cell r="EZ51">
            <v>0</v>
          </cell>
          <cell r="FA51">
            <v>43.333333333333321</v>
          </cell>
          <cell r="FB51">
            <v>43.333333333333321</v>
          </cell>
          <cell r="FC51">
            <v>6.9230769230769127</v>
          </cell>
          <cell r="FD51">
            <v>0</v>
          </cell>
          <cell r="FE51">
            <v>0</v>
          </cell>
          <cell r="FF51">
            <v>42.249999999999986</v>
          </cell>
          <cell r="FG51">
            <v>42.249999999999986</v>
          </cell>
          <cell r="FH51">
            <v>5.92307692307691</v>
          </cell>
          <cell r="FI51">
            <v>0</v>
          </cell>
          <cell r="FJ51">
            <v>0</v>
          </cell>
          <cell r="FK51">
            <v>41.16666666666665</v>
          </cell>
          <cell r="FL51">
            <v>41.16666666666665</v>
          </cell>
          <cell r="FM51">
            <v>4.9230769230769074</v>
          </cell>
          <cell r="FN51">
            <v>0</v>
          </cell>
          <cell r="FO51">
            <v>0</v>
          </cell>
          <cell r="FP51">
            <v>40.083333333333314</v>
          </cell>
          <cell r="FQ51">
            <v>40.083333333333314</v>
          </cell>
          <cell r="FR51">
            <v>3.9230769230769056</v>
          </cell>
          <cell r="FS51">
            <v>0</v>
          </cell>
          <cell r="FT51">
            <v>38</v>
          </cell>
          <cell r="FU51">
            <v>2.0333333333333332</v>
          </cell>
          <cell r="FW51" t="str">
            <v>STOCK OK</v>
          </cell>
          <cell r="FX51" t="str">
            <v>C</v>
          </cell>
          <cell r="FY51" t="str">
            <v>Si</v>
          </cell>
        </row>
        <row r="52">
          <cell r="B52" t="str">
            <v>REP-0051</v>
          </cell>
          <cell r="C52" t="str">
            <v>MIX</v>
          </cell>
          <cell r="D52">
            <v>0</v>
          </cell>
          <cell r="E52">
            <v>7</v>
          </cell>
          <cell r="F52">
            <v>0</v>
          </cell>
          <cell r="G52">
            <v>0</v>
          </cell>
          <cell r="H52">
            <v>4</v>
          </cell>
          <cell r="I52">
            <v>4</v>
          </cell>
          <cell r="J52">
            <v>0</v>
          </cell>
          <cell r="K52">
            <v>5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1</v>
          </cell>
          <cell r="S52">
            <v>1</v>
          </cell>
          <cell r="T52">
            <v>0</v>
          </cell>
          <cell r="U52">
            <v>2</v>
          </cell>
          <cell r="V52">
            <v>0</v>
          </cell>
          <cell r="W52">
            <v>1</v>
          </cell>
          <cell r="X52">
            <v>0</v>
          </cell>
          <cell r="Y52">
            <v>27</v>
          </cell>
          <cell r="AA52">
            <v>27</v>
          </cell>
          <cell r="AB52">
            <v>20</v>
          </cell>
          <cell r="AC52">
            <v>2.5</v>
          </cell>
          <cell r="AD52">
            <v>8.3333333333333329E-2</v>
          </cell>
          <cell r="AE52">
            <v>2.75</v>
          </cell>
          <cell r="AF52">
            <v>2.75</v>
          </cell>
          <cell r="AG52">
            <v>3</v>
          </cell>
          <cell r="AH52">
            <v>2.9166666666666665</v>
          </cell>
          <cell r="AI52">
            <v>3.3333333333333335</v>
          </cell>
          <cell r="AJ52">
            <v>3.3333333333333335</v>
          </cell>
          <cell r="AK52">
            <v>3.3333333333333335</v>
          </cell>
          <cell r="AL52">
            <v>0.25954019170662407</v>
          </cell>
          <cell r="AM52">
            <v>3.1458333333333335</v>
          </cell>
          <cell r="AN52">
            <v>8.2502842396807649E-2</v>
          </cell>
          <cell r="AO52">
            <v>0</v>
          </cell>
          <cell r="AP52">
            <v>22</v>
          </cell>
          <cell r="AQ52">
            <v>7.333333333333333</v>
          </cell>
          <cell r="AR52">
            <v>0</v>
          </cell>
          <cell r="AS52">
            <v>29.5</v>
          </cell>
          <cell r="AT52">
            <v>32</v>
          </cell>
          <cell r="AU52">
            <v>10.666666666666666</v>
          </cell>
          <cell r="AV52">
            <v>0</v>
          </cell>
          <cell r="AW52">
            <v>29</v>
          </cell>
          <cell r="AX52">
            <v>28</v>
          </cell>
          <cell r="AY52">
            <v>8.4</v>
          </cell>
          <cell r="AZ52">
            <v>0</v>
          </cell>
          <cell r="BA52">
            <v>35</v>
          </cell>
          <cell r="BB52">
            <v>24</v>
          </cell>
          <cell r="BC52">
            <v>6.5454545454545459</v>
          </cell>
          <cell r="BD52">
            <v>0</v>
          </cell>
          <cell r="BE52">
            <v>20.333333333333332</v>
          </cell>
          <cell r="BF52">
            <v>5.545454545454545</v>
          </cell>
          <cell r="BG52">
            <v>0</v>
          </cell>
          <cell r="BH52">
            <v>16.666666666666664</v>
          </cell>
          <cell r="BI52">
            <v>27</v>
          </cell>
          <cell r="BJ52">
            <v>8.1</v>
          </cell>
          <cell r="BK52">
            <v>0</v>
          </cell>
          <cell r="BL52">
            <v>26</v>
          </cell>
          <cell r="BM52">
            <v>25</v>
          </cell>
          <cell r="BN52">
            <v>8.3333333333333339</v>
          </cell>
          <cell r="BO52">
            <v>0</v>
          </cell>
          <cell r="BP52">
            <v>22</v>
          </cell>
          <cell r="BQ52">
            <v>23</v>
          </cell>
          <cell r="BR52">
            <v>6.8999999999999995</v>
          </cell>
          <cell r="BS52">
            <v>0</v>
          </cell>
          <cell r="BT52">
            <v>20</v>
          </cell>
          <cell r="BU52">
            <v>23</v>
          </cell>
          <cell r="BV52">
            <v>7.666666666666667</v>
          </cell>
          <cell r="BW52">
            <v>1</v>
          </cell>
          <cell r="BX52">
            <v>0</v>
          </cell>
          <cell r="BY52">
            <v>20</v>
          </cell>
          <cell r="BZ52">
            <v>18</v>
          </cell>
          <cell r="CA52">
            <v>6</v>
          </cell>
          <cell r="CB52">
            <v>6</v>
          </cell>
          <cell r="CC52">
            <v>0</v>
          </cell>
          <cell r="CD52">
            <v>35</v>
          </cell>
          <cell r="CE52">
            <v>15</v>
          </cell>
          <cell r="CF52">
            <v>5</v>
          </cell>
          <cell r="CG52">
            <v>9</v>
          </cell>
          <cell r="CH52">
            <v>20</v>
          </cell>
          <cell r="CI52">
            <v>41</v>
          </cell>
          <cell r="CJ52">
            <v>33</v>
          </cell>
          <cell r="CK52">
            <v>10.421052631578949</v>
          </cell>
          <cell r="CL52">
            <v>0</v>
          </cell>
          <cell r="CM52">
            <v>0</v>
          </cell>
          <cell r="CN52">
            <v>29.833333333333332</v>
          </cell>
          <cell r="CO52">
            <v>31</v>
          </cell>
          <cell r="CP52">
            <v>9.7894736842105274</v>
          </cell>
          <cell r="CQ52">
            <v>0</v>
          </cell>
          <cell r="CR52">
            <v>0</v>
          </cell>
          <cell r="CS52">
            <v>27.833333333333332</v>
          </cell>
          <cell r="CT52">
            <v>31</v>
          </cell>
          <cell r="CU52">
            <v>10.333333333333334</v>
          </cell>
          <cell r="CV52">
            <v>0</v>
          </cell>
          <cell r="CW52">
            <v>0</v>
          </cell>
          <cell r="CX52">
            <v>28</v>
          </cell>
          <cell r="CY52">
            <v>25</v>
          </cell>
          <cell r="CZ52">
            <v>6.5217391304347823</v>
          </cell>
          <cell r="DA52">
            <v>0</v>
          </cell>
          <cell r="DB52">
            <v>10</v>
          </cell>
          <cell r="DC52">
            <v>30.75</v>
          </cell>
          <cell r="DD52">
            <v>28</v>
          </cell>
          <cell r="DE52">
            <v>5</v>
          </cell>
          <cell r="DF52">
            <v>0</v>
          </cell>
          <cell r="DG52">
            <v>0</v>
          </cell>
          <cell r="DH52">
            <v>24</v>
          </cell>
          <cell r="DI52">
            <v>27</v>
          </cell>
          <cell r="DJ52">
            <v>7.4285714285714288</v>
          </cell>
          <cell r="DK52">
            <v>0</v>
          </cell>
          <cell r="DL52">
            <v>0</v>
          </cell>
          <cell r="DM52">
            <v>20.5</v>
          </cell>
          <cell r="DN52">
            <v>27</v>
          </cell>
          <cell r="DO52">
            <v>8</v>
          </cell>
          <cell r="DP52">
            <v>0</v>
          </cell>
          <cell r="DQ52">
            <v>0</v>
          </cell>
          <cell r="DR52">
            <v>23.666666666666668</v>
          </cell>
          <cell r="DS52">
            <v>23.666666666666668</v>
          </cell>
          <cell r="DT52">
            <v>7</v>
          </cell>
          <cell r="DU52">
            <v>0</v>
          </cell>
          <cell r="DV52">
            <v>2</v>
          </cell>
          <cell r="DW52">
            <v>22.333333333333336</v>
          </cell>
          <cell r="DX52">
            <v>22.333333333333336</v>
          </cell>
          <cell r="DY52">
            <v>6.6000000000000005</v>
          </cell>
          <cell r="DZ52">
            <v>0</v>
          </cell>
          <cell r="EA52">
            <v>0</v>
          </cell>
          <cell r="EB52">
            <v>19.000000000000004</v>
          </cell>
          <cell r="EC52">
            <v>19.000000000000004</v>
          </cell>
          <cell r="ED52">
            <v>5.6000000000000014</v>
          </cell>
          <cell r="EE52">
            <v>0</v>
          </cell>
          <cell r="EF52">
            <v>0</v>
          </cell>
          <cell r="EG52">
            <v>15.66666666666667</v>
          </cell>
          <cell r="EH52">
            <v>15.66666666666667</v>
          </cell>
          <cell r="EI52">
            <v>4.6000000000000014</v>
          </cell>
          <cell r="EJ52">
            <v>0</v>
          </cell>
          <cell r="EK52">
            <v>8</v>
          </cell>
          <cell r="EL52">
            <v>20.333333333333339</v>
          </cell>
          <cell r="EM52">
            <v>20.333333333333339</v>
          </cell>
          <cell r="EN52">
            <v>6.0000000000000018</v>
          </cell>
          <cell r="EO52">
            <v>0</v>
          </cell>
          <cell r="EP52">
            <v>0</v>
          </cell>
          <cell r="EQ52">
            <v>17.000000000000007</v>
          </cell>
          <cell r="ER52">
            <v>17.000000000000007</v>
          </cell>
          <cell r="ES52">
            <v>5.0000000000000018</v>
          </cell>
          <cell r="ET52">
            <v>0</v>
          </cell>
          <cell r="EU52">
            <v>0</v>
          </cell>
          <cell r="EV52">
            <v>13.666666666666673</v>
          </cell>
          <cell r="EW52">
            <v>13.666666666666673</v>
          </cell>
          <cell r="EX52">
            <v>4.0000000000000018</v>
          </cell>
          <cell r="EY52">
            <v>0</v>
          </cell>
          <cell r="EZ52">
            <v>0</v>
          </cell>
          <cell r="FA52">
            <v>10.333333333333339</v>
          </cell>
          <cell r="FB52">
            <v>10.333333333333339</v>
          </cell>
          <cell r="FC52">
            <v>3.0000000000000018</v>
          </cell>
          <cell r="FD52">
            <v>0</v>
          </cell>
          <cell r="FE52">
            <v>15</v>
          </cell>
          <cell r="FF52">
            <v>22.000000000000007</v>
          </cell>
          <cell r="FG52">
            <v>22.000000000000007</v>
          </cell>
          <cell r="FH52">
            <v>6.5000000000000018</v>
          </cell>
          <cell r="FI52">
            <v>0</v>
          </cell>
          <cell r="FJ52">
            <v>0</v>
          </cell>
          <cell r="FK52">
            <v>18.666666666666675</v>
          </cell>
          <cell r="FL52">
            <v>18.666666666666675</v>
          </cell>
          <cell r="FM52">
            <v>5.5000000000000018</v>
          </cell>
          <cell r="FN52">
            <v>0</v>
          </cell>
          <cell r="FO52">
            <v>0</v>
          </cell>
          <cell r="FP52">
            <v>15.333333333333341</v>
          </cell>
          <cell r="FQ52">
            <v>15.333333333333341</v>
          </cell>
          <cell r="FR52">
            <v>4.5000000000000018</v>
          </cell>
          <cell r="FS52">
            <v>0</v>
          </cell>
          <cell r="FT52">
            <v>7</v>
          </cell>
          <cell r="FU52">
            <v>2.0333333333333332</v>
          </cell>
          <cell r="FW52" t="str">
            <v>SOBRESTOCK</v>
          </cell>
          <cell r="FX52" t="str">
            <v>B</v>
          </cell>
          <cell r="FY52" t="str">
            <v>Si</v>
          </cell>
        </row>
        <row r="53">
          <cell r="B53" t="str">
            <v>REP-0052</v>
          </cell>
          <cell r="C53" t="str">
            <v>MIX</v>
          </cell>
          <cell r="D53">
            <v>0</v>
          </cell>
          <cell r="E53">
            <v>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7</v>
          </cell>
          <cell r="L53">
            <v>2</v>
          </cell>
          <cell r="M53">
            <v>3</v>
          </cell>
          <cell r="N53">
            <v>1</v>
          </cell>
          <cell r="O53">
            <v>1</v>
          </cell>
          <cell r="P53">
            <v>0</v>
          </cell>
          <cell r="Q53">
            <v>1</v>
          </cell>
          <cell r="R53">
            <v>0</v>
          </cell>
          <cell r="S53">
            <v>1</v>
          </cell>
          <cell r="T53">
            <v>1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23</v>
          </cell>
          <cell r="AA53">
            <v>23</v>
          </cell>
          <cell r="AB53">
            <v>4</v>
          </cell>
          <cell r="AC53">
            <v>0.66666666666666663</v>
          </cell>
          <cell r="AD53">
            <v>2.222222222222222E-2</v>
          </cell>
          <cell r="AE53">
            <v>0.58333333333333337</v>
          </cell>
          <cell r="AF53">
            <v>0.91666666666666663</v>
          </cell>
          <cell r="AG53">
            <v>1.5833333333333333</v>
          </cell>
          <cell r="AH53">
            <v>1.1666666666666667</v>
          </cell>
          <cell r="AI53">
            <v>1.6666666666666667</v>
          </cell>
          <cell r="AJ53">
            <v>1.6666666666666667</v>
          </cell>
          <cell r="AK53">
            <v>1.6666666666666667</v>
          </cell>
          <cell r="AL53">
            <v>0.34054694569504174</v>
          </cell>
          <cell r="AM53">
            <v>1.5208333333333335</v>
          </cell>
          <cell r="AN53">
            <v>0.2239212793611233</v>
          </cell>
          <cell r="AO53">
            <v>0</v>
          </cell>
          <cell r="AP53">
            <v>19.416666666666668</v>
          </cell>
          <cell r="AQ53">
            <v>11.6</v>
          </cell>
          <cell r="AR53">
            <v>0</v>
          </cell>
          <cell r="AS53">
            <v>16</v>
          </cell>
          <cell r="AT53">
            <v>16</v>
          </cell>
          <cell r="AU53">
            <v>6.4</v>
          </cell>
          <cell r="AV53">
            <v>0</v>
          </cell>
          <cell r="AW53">
            <v>13.5</v>
          </cell>
          <cell r="AX53">
            <v>14</v>
          </cell>
          <cell r="AY53">
            <v>8.4</v>
          </cell>
          <cell r="AZ53">
            <v>0</v>
          </cell>
          <cell r="BA53">
            <v>22</v>
          </cell>
          <cell r="BB53">
            <v>14</v>
          </cell>
          <cell r="BC53">
            <v>6</v>
          </cell>
          <cell r="BD53">
            <v>0</v>
          </cell>
          <cell r="BE53">
            <v>11.666666666666666</v>
          </cell>
          <cell r="BF53">
            <v>4.9999999999999991</v>
          </cell>
          <cell r="BG53">
            <v>10</v>
          </cell>
          <cell r="BH53">
            <v>19.333333333333332</v>
          </cell>
          <cell r="BI53">
            <v>23</v>
          </cell>
          <cell r="BJ53">
            <v>13.799999999999999</v>
          </cell>
          <cell r="BK53">
            <v>0</v>
          </cell>
          <cell r="BL53">
            <v>28.416666666666668</v>
          </cell>
          <cell r="BM53">
            <v>29</v>
          </cell>
          <cell r="BN53">
            <v>16.916666666666668</v>
          </cell>
          <cell r="BO53">
            <v>0</v>
          </cell>
          <cell r="BP53">
            <v>47.285714285714285</v>
          </cell>
          <cell r="BQ53">
            <v>48</v>
          </cell>
          <cell r="BR53">
            <v>28.799999999999997</v>
          </cell>
          <cell r="BS53">
            <v>0</v>
          </cell>
          <cell r="BT53">
            <v>46.375</v>
          </cell>
          <cell r="BU53">
            <v>47</v>
          </cell>
          <cell r="BV53">
            <v>29.684210526315791</v>
          </cell>
          <cell r="BW53">
            <v>0</v>
          </cell>
          <cell r="BX53">
            <v>0</v>
          </cell>
          <cell r="BY53">
            <v>45.416666666666664</v>
          </cell>
          <cell r="BZ53">
            <v>47</v>
          </cell>
          <cell r="CA53">
            <v>29.684210526315791</v>
          </cell>
          <cell r="CB53">
            <v>0</v>
          </cell>
          <cell r="CC53">
            <v>0</v>
          </cell>
          <cell r="CD53">
            <v>45.416666666666664</v>
          </cell>
          <cell r="CE53">
            <v>47</v>
          </cell>
          <cell r="CF53">
            <v>29.684210526315791</v>
          </cell>
          <cell r="CG53">
            <v>0</v>
          </cell>
          <cell r="CH53">
            <v>0</v>
          </cell>
          <cell r="CI53">
            <v>43.833333333333329</v>
          </cell>
          <cell r="CJ53">
            <v>49</v>
          </cell>
          <cell r="CK53">
            <v>30.947368421052634</v>
          </cell>
          <cell r="CL53">
            <v>0</v>
          </cell>
          <cell r="CM53">
            <v>0</v>
          </cell>
          <cell r="CN53">
            <v>47.416666666666664</v>
          </cell>
          <cell r="CO53">
            <v>43</v>
          </cell>
          <cell r="CP53">
            <v>10.75</v>
          </cell>
          <cell r="CQ53">
            <v>0</v>
          </cell>
          <cell r="CR53">
            <v>0</v>
          </cell>
          <cell r="CS53">
            <v>39</v>
          </cell>
          <cell r="CT53">
            <v>43</v>
          </cell>
          <cell r="CU53">
            <v>21.5</v>
          </cell>
          <cell r="CV53">
            <v>0</v>
          </cell>
          <cell r="CW53">
            <v>0</v>
          </cell>
          <cell r="CX53">
            <v>41</v>
          </cell>
          <cell r="CY53">
            <v>37</v>
          </cell>
          <cell r="CZ53">
            <v>22.2</v>
          </cell>
          <cell r="DA53">
            <v>0</v>
          </cell>
          <cell r="DB53">
            <v>0</v>
          </cell>
          <cell r="DC53">
            <v>35.25</v>
          </cell>
          <cell r="DD53">
            <v>33</v>
          </cell>
          <cell r="DE53">
            <v>14</v>
          </cell>
          <cell r="DF53">
            <v>0</v>
          </cell>
          <cell r="DG53">
            <v>0</v>
          </cell>
          <cell r="DH53">
            <v>31</v>
          </cell>
          <cell r="DI53">
            <v>30</v>
          </cell>
          <cell r="DJ53">
            <v>14.5</v>
          </cell>
          <cell r="DK53">
            <v>0</v>
          </cell>
          <cell r="DL53">
            <v>0</v>
          </cell>
          <cell r="DM53">
            <v>29</v>
          </cell>
          <cell r="DN53">
            <v>23</v>
          </cell>
          <cell r="DO53">
            <v>13.4</v>
          </cell>
          <cell r="DP53">
            <v>0</v>
          </cell>
          <cell r="DQ53">
            <v>0</v>
          </cell>
          <cell r="DR53">
            <v>21.333333333333332</v>
          </cell>
          <cell r="DS53">
            <v>21.333333333333332</v>
          </cell>
          <cell r="DT53">
            <v>12.399999999999999</v>
          </cell>
          <cell r="DU53">
            <v>0</v>
          </cell>
          <cell r="DV53">
            <v>0</v>
          </cell>
          <cell r="DW53">
            <v>19.666666666666664</v>
          </cell>
          <cell r="DX53">
            <v>19.666666666666664</v>
          </cell>
          <cell r="DY53">
            <v>11.399999999999999</v>
          </cell>
          <cell r="DZ53">
            <v>0</v>
          </cell>
          <cell r="EA53">
            <v>0</v>
          </cell>
          <cell r="EB53">
            <v>17.999999999999996</v>
          </cell>
          <cell r="EC53">
            <v>17.999999999999996</v>
          </cell>
          <cell r="ED53">
            <v>10.399999999999997</v>
          </cell>
          <cell r="EE53">
            <v>0</v>
          </cell>
          <cell r="EF53">
            <v>0</v>
          </cell>
          <cell r="EG53">
            <v>16.333333333333329</v>
          </cell>
          <cell r="EH53">
            <v>16.333333333333329</v>
          </cell>
          <cell r="EI53">
            <v>9.3999999999999968</v>
          </cell>
          <cell r="EJ53">
            <v>0</v>
          </cell>
          <cell r="EK53">
            <v>0</v>
          </cell>
          <cell r="EL53">
            <v>14.666666666666663</v>
          </cell>
          <cell r="EM53">
            <v>14.666666666666663</v>
          </cell>
          <cell r="EN53">
            <v>8.3999999999999968</v>
          </cell>
          <cell r="EO53">
            <v>0</v>
          </cell>
          <cell r="EP53">
            <v>0</v>
          </cell>
          <cell r="EQ53">
            <v>12.999999999999996</v>
          </cell>
          <cell r="ER53">
            <v>12.999999999999996</v>
          </cell>
          <cell r="ES53">
            <v>7.3999999999999977</v>
          </cell>
          <cell r="ET53">
            <v>0</v>
          </cell>
          <cell r="EU53">
            <v>0</v>
          </cell>
          <cell r="EV53">
            <v>11.33333333333333</v>
          </cell>
          <cell r="EW53">
            <v>11.33333333333333</v>
          </cell>
          <cell r="EX53">
            <v>6.3999999999999977</v>
          </cell>
          <cell r="EY53">
            <v>0</v>
          </cell>
          <cell r="EZ53">
            <v>0</v>
          </cell>
          <cell r="FA53">
            <v>9.6666666666666643</v>
          </cell>
          <cell r="FB53">
            <v>9.6666666666666643</v>
          </cell>
          <cell r="FC53">
            <v>5.3999999999999986</v>
          </cell>
          <cell r="FD53">
            <v>0</v>
          </cell>
          <cell r="FE53">
            <v>0</v>
          </cell>
          <cell r="FF53">
            <v>7.9999999999999973</v>
          </cell>
          <cell r="FG53">
            <v>7.9999999999999973</v>
          </cell>
          <cell r="FH53">
            <v>4.3999999999999986</v>
          </cell>
          <cell r="FI53">
            <v>0</v>
          </cell>
          <cell r="FJ53">
            <v>0</v>
          </cell>
          <cell r="FK53">
            <v>6.3333333333333304</v>
          </cell>
          <cell r="FL53">
            <v>6.3333333333333304</v>
          </cell>
          <cell r="FM53">
            <v>3.3999999999999981</v>
          </cell>
          <cell r="FN53">
            <v>0</v>
          </cell>
          <cell r="FO53">
            <v>0</v>
          </cell>
          <cell r="FP53">
            <v>4.6666666666666634</v>
          </cell>
          <cell r="FQ53">
            <v>4.6666666666666634</v>
          </cell>
          <cell r="FR53">
            <v>2.3999999999999981</v>
          </cell>
          <cell r="FS53">
            <v>0</v>
          </cell>
          <cell r="FT53">
            <v>4</v>
          </cell>
          <cell r="FU53">
            <v>2.0333333333333332</v>
          </cell>
          <cell r="FV53" t="str">
            <v>SI</v>
          </cell>
          <cell r="FW53" t="str">
            <v>SOBRESTOCK</v>
          </cell>
          <cell r="FX53" t="str">
            <v>B</v>
          </cell>
          <cell r="FY53" t="str">
            <v>Si</v>
          </cell>
        </row>
        <row r="54">
          <cell r="B54" t="str">
            <v>REP-0053</v>
          </cell>
          <cell r="C54" t="str">
            <v>MIX</v>
          </cell>
          <cell r="D54">
            <v>0</v>
          </cell>
          <cell r="E54">
            <v>9</v>
          </cell>
          <cell r="F54">
            <v>0</v>
          </cell>
          <cell r="G54">
            <v>0</v>
          </cell>
          <cell r="H54">
            <v>20</v>
          </cell>
          <cell r="I54">
            <v>20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1</v>
          </cell>
          <cell r="O54">
            <v>1</v>
          </cell>
          <cell r="P54">
            <v>3</v>
          </cell>
          <cell r="Q54">
            <v>0</v>
          </cell>
          <cell r="R54">
            <v>1</v>
          </cell>
          <cell r="S54">
            <v>1</v>
          </cell>
          <cell r="T54">
            <v>1</v>
          </cell>
          <cell r="U54">
            <v>2</v>
          </cell>
          <cell r="V54">
            <v>0</v>
          </cell>
          <cell r="W54">
            <v>2</v>
          </cell>
          <cell r="X54">
            <v>1</v>
          </cell>
          <cell r="Y54">
            <v>62</v>
          </cell>
          <cell r="AA54">
            <v>62</v>
          </cell>
          <cell r="AB54">
            <v>36</v>
          </cell>
          <cell r="AC54">
            <v>3</v>
          </cell>
          <cell r="AD54">
            <v>0.1</v>
          </cell>
          <cell r="AE54">
            <v>3.6666666666666665</v>
          </cell>
          <cell r="AF54">
            <v>2.5</v>
          </cell>
          <cell r="AG54">
            <v>2.25</v>
          </cell>
          <cell r="AH54">
            <v>2</v>
          </cell>
          <cell r="AI54">
            <v>2</v>
          </cell>
          <cell r="AJ54">
            <v>2</v>
          </cell>
          <cell r="AK54">
            <v>2.25</v>
          </cell>
          <cell r="AL54">
            <v>0.22360679774997896</v>
          </cell>
          <cell r="AM54">
            <v>2.0625</v>
          </cell>
          <cell r="AN54">
            <v>0.10841541709089889</v>
          </cell>
          <cell r="AO54">
            <v>0</v>
          </cell>
          <cell r="AP54">
            <v>43.75</v>
          </cell>
          <cell r="AQ54">
            <v>17.399999999999999</v>
          </cell>
          <cell r="AR54">
            <v>0</v>
          </cell>
          <cell r="AS54">
            <v>41</v>
          </cell>
          <cell r="AT54">
            <v>41</v>
          </cell>
          <cell r="AU54">
            <v>16.399999999999999</v>
          </cell>
          <cell r="AV54">
            <v>0</v>
          </cell>
          <cell r="AW54">
            <v>38.5</v>
          </cell>
          <cell r="AX54">
            <v>38</v>
          </cell>
          <cell r="AY54">
            <v>16.888888888888889</v>
          </cell>
          <cell r="AZ54">
            <v>0</v>
          </cell>
          <cell r="BA54">
            <v>35</v>
          </cell>
          <cell r="BB54">
            <v>36</v>
          </cell>
          <cell r="BC54">
            <v>9.8181818181818183</v>
          </cell>
          <cell r="BD54">
            <v>0</v>
          </cell>
          <cell r="BE54">
            <v>32.333333333333336</v>
          </cell>
          <cell r="BF54">
            <v>8.8181818181818183</v>
          </cell>
          <cell r="BG54">
            <v>0</v>
          </cell>
          <cell r="BH54">
            <v>28.666666666666668</v>
          </cell>
          <cell r="BI54">
            <v>62</v>
          </cell>
          <cell r="BJ54">
            <v>27.555555555555557</v>
          </cell>
          <cell r="BK54">
            <v>0</v>
          </cell>
          <cell r="BL54">
            <v>26.333333333333332</v>
          </cell>
          <cell r="BM54">
            <v>31</v>
          </cell>
          <cell r="BN54">
            <v>13.285714285714285</v>
          </cell>
          <cell r="BO54">
            <v>0</v>
          </cell>
          <cell r="BP54">
            <v>38.666666666666664</v>
          </cell>
          <cell r="BQ54">
            <v>40</v>
          </cell>
          <cell r="BR54">
            <v>17.777777777777779</v>
          </cell>
          <cell r="BS54">
            <v>0</v>
          </cell>
          <cell r="BT54">
            <v>37.75</v>
          </cell>
          <cell r="BU54">
            <v>39</v>
          </cell>
          <cell r="BV54">
            <v>17.333333333333332</v>
          </cell>
          <cell r="BW54">
            <v>0</v>
          </cell>
          <cell r="BX54">
            <v>0</v>
          </cell>
          <cell r="BY54">
            <v>36.75</v>
          </cell>
          <cell r="BZ54">
            <v>39</v>
          </cell>
          <cell r="CA54">
            <v>17.333333333333332</v>
          </cell>
          <cell r="CB54">
            <v>0</v>
          </cell>
          <cell r="CC54">
            <v>0</v>
          </cell>
          <cell r="CD54">
            <v>56.75</v>
          </cell>
          <cell r="CE54">
            <v>37</v>
          </cell>
          <cell r="CF54">
            <v>16.444444444444443</v>
          </cell>
          <cell r="CG54">
            <v>0</v>
          </cell>
          <cell r="CH54">
            <v>20</v>
          </cell>
          <cell r="CI54">
            <v>54.5</v>
          </cell>
          <cell r="CJ54">
            <v>56</v>
          </cell>
          <cell r="CK54">
            <v>24.888888888888889</v>
          </cell>
          <cell r="CL54">
            <v>0</v>
          </cell>
          <cell r="CM54">
            <v>0</v>
          </cell>
          <cell r="CN54">
            <v>53.75</v>
          </cell>
          <cell r="CO54">
            <v>55</v>
          </cell>
          <cell r="CP54">
            <v>24.444444444444443</v>
          </cell>
          <cell r="CQ54">
            <v>0</v>
          </cell>
          <cell r="CR54">
            <v>0</v>
          </cell>
          <cell r="CS54">
            <v>52.75</v>
          </cell>
          <cell r="CT54">
            <v>53</v>
          </cell>
          <cell r="CU54">
            <v>21.2</v>
          </cell>
          <cell r="CV54">
            <v>0</v>
          </cell>
          <cell r="CW54">
            <v>0</v>
          </cell>
          <cell r="CX54">
            <v>50.5</v>
          </cell>
          <cell r="CY54">
            <v>50</v>
          </cell>
          <cell r="CZ54">
            <v>18.75</v>
          </cell>
          <cell r="DA54">
            <v>0</v>
          </cell>
          <cell r="DB54">
            <v>0</v>
          </cell>
          <cell r="DC54">
            <v>47.75</v>
          </cell>
          <cell r="DD54">
            <v>47</v>
          </cell>
          <cell r="DE54">
            <v>18.666666666666668</v>
          </cell>
          <cell r="DF54">
            <v>0</v>
          </cell>
          <cell r="DG54">
            <v>0</v>
          </cell>
          <cell r="DH54">
            <v>44.75</v>
          </cell>
          <cell r="DI54">
            <v>43</v>
          </cell>
          <cell r="DJ54">
            <v>18.888888888888889</v>
          </cell>
          <cell r="DK54">
            <v>0</v>
          </cell>
          <cell r="DL54">
            <v>0</v>
          </cell>
          <cell r="DM54">
            <v>42.5</v>
          </cell>
          <cell r="DN54">
            <v>62</v>
          </cell>
          <cell r="DO54">
            <v>27.333333333333332</v>
          </cell>
          <cell r="DP54">
            <v>0</v>
          </cell>
          <cell r="DQ54">
            <v>0</v>
          </cell>
          <cell r="DR54">
            <v>59.75</v>
          </cell>
          <cell r="DS54">
            <v>59.75</v>
          </cell>
          <cell r="DT54">
            <v>26.333333333333332</v>
          </cell>
          <cell r="DU54">
            <v>0</v>
          </cell>
          <cell r="DV54">
            <v>0</v>
          </cell>
          <cell r="DW54">
            <v>57.5</v>
          </cell>
          <cell r="DX54">
            <v>57.5</v>
          </cell>
          <cell r="DY54">
            <v>25.333333333333332</v>
          </cell>
          <cell r="DZ54">
            <v>0</v>
          </cell>
          <cell r="EA54">
            <v>0</v>
          </cell>
          <cell r="EB54">
            <v>55.25</v>
          </cell>
          <cell r="EC54">
            <v>55.25</v>
          </cell>
          <cell r="ED54">
            <v>24.333333333333332</v>
          </cell>
          <cell r="EE54">
            <v>0</v>
          </cell>
          <cell r="EF54">
            <v>0</v>
          </cell>
          <cell r="EG54">
            <v>53</v>
          </cell>
          <cell r="EH54">
            <v>53</v>
          </cell>
          <cell r="EI54">
            <v>23.333333333333332</v>
          </cell>
          <cell r="EJ54">
            <v>0</v>
          </cell>
          <cell r="EK54">
            <v>0</v>
          </cell>
          <cell r="EL54">
            <v>50.75</v>
          </cell>
          <cell r="EM54">
            <v>50.75</v>
          </cell>
          <cell r="EN54">
            <v>22.333333333333332</v>
          </cell>
          <cell r="EO54">
            <v>0</v>
          </cell>
          <cell r="EP54">
            <v>0</v>
          </cell>
          <cell r="EQ54">
            <v>48.5</v>
          </cell>
          <cell r="ER54">
            <v>48.5</v>
          </cell>
          <cell r="ES54">
            <v>21.333333333333332</v>
          </cell>
          <cell r="ET54">
            <v>0</v>
          </cell>
          <cell r="EU54">
            <v>0</v>
          </cell>
          <cell r="EV54">
            <v>46.25</v>
          </cell>
          <cell r="EW54">
            <v>46.25</v>
          </cell>
          <cell r="EX54">
            <v>20.333333333333332</v>
          </cell>
          <cell r="EY54">
            <v>0</v>
          </cell>
          <cell r="EZ54">
            <v>0</v>
          </cell>
          <cell r="FA54">
            <v>44</v>
          </cell>
          <cell r="FB54">
            <v>44</v>
          </cell>
          <cell r="FC54">
            <v>19.333333333333332</v>
          </cell>
          <cell r="FD54">
            <v>0</v>
          </cell>
          <cell r="FE54">
            <v>0</v>
          </cell>
          <cell r="FF54">
            <v>41.75</v>
          </cell>
          <cell r="FG54">
            <v>41.75</v>
          </cell>
          <cell r="FH54">
            <v>18.333333333333332</v>
          </cell>
          <cell r="FI54">
            <v>0</v>
          </cell>
          <cell r="FJ54">
            <v>0</v>
          </cell>
          <cell r="FK54">
            <v>39.5</v>
          </cell>
          <cell r="FL54">
            <v>39.5</v>
          </cell>
          <cell r="FM54">
            <v>17.333333333333336</v>
          </cell>
          <cell r="FN54">
            <v>0</v>
          </cell>
          <cell r="FO54">
            <v>0</v>
          </cell>
          <cell r="FP54">
            <v>37.25</v>
          </cell>
          <cell r="FQ54">
            <v>37.25</v>
          </cell>
          <cell r="FR54">
            <v>16.333333333333336</v>
          </cell>
          <cell r="FS54">
            <v>0</v>
          </cell>
          <cell r="FT54">
            <v>5</v>
          </cell>
          <cell r="FU54">
            <v>2.0333333333333332</v>
          </cell>
          <cell r="FW54" t="str">
            <v>SOBRESTOCK</v>
          </cell>
          <cell r="FX54" t="str">
            <v>B</v>
          </cell>
          <cell r="FY54" t="str">
            <v>Si</v>
          </cell>
        </row>
        <row r="55">
          <cell r="B55" t="str">
            <v>REP-0054</v>
          </cell>
          <cell r="C55" t="str">
            <v>MIX</v>
          </cell>
          <cell r="D55">
            <v>0</v>
          </cell>
          <cell r="E55">
            <v>15</v>
          </cell>
          <cell r="F55">
            <v>0</v>
          </cell>
          <cell r="G55">
            <v>0</v>
          </cell>
          <cell r="H55">
            <v>2</v>
          </cell>
          <cell r="I55">
            <v>2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</v>
          </cell>
          <cell r="O55">
            <v>1</v>
          </cell>
          <cell r="P55">
            <v>4</v>
          </cell>
          <cell r="Q55">
            <v>1</v>
          </cell>
          <cell r="R55">
            <v>1</v>
          </cell>
          <cell r="S55">
            <v>0</v>
          </cell>
          <cell r="T55">
            <v>0</v>
          </cell>
          <cell r="U55">
            <v>1</v>
          </cell>
          <cell r="V55">
            <v>2</v>
          </cell>
          <cell r="W55">
            <v>2</v>
          </cell>
          <cell r="X55">
            <v>0</v>
          </cell>
          <cell r="Y55">
            <v>33</v>
          </cell>
          <cell r="AA55">
            <v>33</v>
          </cell>
          <cell r="AB55">
            <v>22</v>
          </cell>
          <cell r="AC55">
            <v>1.1666666666666667</v>
          </cell>
          <cell r="AD55">
            <v>3.888888888888889E-2</v>
          </cell>
          <cell r="AE55">
            <v>2.4166666666666665</v>
          </cell>
          <cell r="AF55">
            <v>2.5833333333333335</v>
          </cell>
          <cell r="AG55">
            <v>2</v>
          </cell>
          <cell r="AH55">
            <v>2.75</v>
          </cell>
          <cell r="AI55">
            <v>1.6666666666666667</v>
          </cell>
          <cell r="AJ55">
            <v>1.6666666666666667</v>
          </cell>
          <cell r="AK55">
            <v>2.75</v>
          </cell>
          <cell r="AL55">
            <v>0.50894771615341661</v>
          </cell>
          <cell r="AM55">
            <v>2.0208333333333335</v>
          </cell>
          <cell r="AN55">
            <v>0.2518504162408659</v>
          </cell>
          <cell r="AO55">
            <v>0</v>
          </cell>
          <cell r="AP55">
            <v>40.222222222222221</v>
          </cell>
          <cell r="AQ55">
            <v>15.645161290322578</v>
          </cell>
          <cell r="AR55">
            <v>0</v>
          </cell>
          <cell r="AS55">
            <v>37</v>
          </cell>
          <cell r="AT55">
            <v>37</v>
          </cell>
          <cell r="AU55">
            <v>12.333333333333334</v>
          </cell>
          <cell r="AV55">
            <v>0</v>
          </cell>
          <cell r="AW55">
            <v>34</v>
          </cell>
          <cell r="AX55">
            <v>33</v>
          </cell>
          <cell r="AY55">
            <v>12</v>
          </cell>
          <cell r="AZ55">
            <v>0</v>
          </cell>
          <cell r="BA55">
            <v>30</v>
          </cell>
          <cell r="BB55">
            <v>31</v>
          </cell>
          <cell r="BC55">
            <v>7.75</v>
          </cell>
          <cell r="BD55">
            <v>0</v>
          </cell>
          <cell r="BE55">
            <v>27</v>
          </cell>
          <cell r="BF55">
            <v>6.75</v>
          </cell>
          <cell r="BG55">
            <v>0</v>
          </cell>
          <cell r="BH55">
            <v>23</v>
          </cell>
          <cell r="BI55">
            <v>33</v>
          </cell>
          <cell r="BJ55">
            <v>12</v>
          </cell>
          <cell r="BK55">
            <v>0</v>
          </cell>
          <cell r="BL55">
            <v>16.666666666666668</v>
          </cell>
          <cell r="BM55">
            <v>21</v>
          </cell>
          <cell r="BN55">
            <v>5.7272727272727275</v>
          </cell>
          <cell r="BO55">
            <v>0</v>
          </cell>
          <cell r="BP55">
            <v>17.333333333333332</v>
          </cell>
          <cell r="BQ55">
            <v>20</v>
          </cell>
          <cell r="BR55">
            <v>7.2727272727272725</v>
          </cell>
          <cell r="BS55">
            <v>0</v>
          </cell>
          <cell r="BT55">
            <v>17.125</v>
          </cell>
          <cell r="BU55">
            <v>18</v>
          </cell>
          <cell r="BV55">
            <v>6.48</v>
          </cell>
          <cell r="BW55">
            <v>4</v>
          </cell>
          <cell r="BX55">
            <v>0</v>
          </cell>
          <cell r="BY55">
            <v>15.222222222222221</v>
          </cell>
          <cell r="BZ55">
            <v>15</v>
          </cell>
          <cell r="CA55">
            <v>5.3571428571428577</v>
          </cell>
          <cell r="CB55">
            <v>7</v>
          </cell>
          <cell r="CC55">
            <v>0</v>
          </cell>
          <cell r="CD55">
            <v>37.200000000000003</v>
          </cell>
          <cell r="CE55">
            <v>13</v>
          </cell>
          <cell r="CF55">
            <v>4.7666666666666666</v>
          </cell>
          <cell r="CG55">
            <v>9</v>
          </cell>
          <cell r="CH55">
            <v>25</v>
          </cell>
          <cell r="CI55">
            <v>43.472727272727276</v>
          </cell>
          <cell r="CJ55">
            <v>35</v>
          </cell>
          <cell r="CK55">
            <v>12.727272727272727</v>
          </cell>
          <cell r="CL55">
            <v>0</v>
          </cell>
          <cell r="CM55">
            <v>0</v>
          </cell>
          <cell r="CN55">
            <v>32.25</v>
          </cell>
          <cell r="CO55">
            <v>33</v>
          </cell>
          <cell r="CP55">
            <v>12</v>
          </cell>
          <cell r="CQ55">
            <v>0</v>
          </cell>
          <cell r="CR55">
            <v>0</v>
          </cell>
          <cell r="CS55">
            <v>30.25</v>
          </cell>
          <cell r="CT55">
            <v>32</v>
          </cell>
          <cell r="CU55">
            <v>11.636363636363637</v>
          </cell>
          <cell r="CV55">
            <v>0</v>
          </cell>
          <cell r="CW55">
            <v>0</v>
          </cell>
          <cell r="CX55">
            <v>29.25</v>
          </cell>
          <cell r="CY55">
            <v>33</v>
          </cell>
          <cell r="CZ55">
            <v>12</v>
          </cell>
          <cell r="DA55">
            <v>0</v>
          </cell>
          <cell r="DB55">
            <v>10</v>
          </cell>
          <cell r="DC55">
            <v>40.25</v>
          </cell>
          <cell r="DD55">
            <v>36</v>
          </cell>
          <cell r="DE55">
            <v>10.909090909090908</v>
          </cell>
          <cell r="DF55">
            <v>0</v>
          </cell>
          <cell r="DG55">
            <v>0</v>
          </cell>
          <cell r="DH55">
            <v>33.25</v>
          </cell>
          <cell r="DI55">
            <v>34</v>
          </cell>
          <cell r="DJ55">
            <v>12.181818181818182</v>
          </cell>
          <cell r="DK55">
            <v>0</v>
          </cell>
          <cell r="DL55">
            <v>0</v>
          </cell>
          <cell r="DM55">
            <v>30.5</v>
          </cell>
          <cell r="DN55">
            <v>33</v>
          </cell>
          <cell r="DO55">
            <v>11.818181818181818</v>
          </cell>
          <cell r="DP55">
            <v>0</v>
          </cell>
          <cell r="DQ55">
            <v>0</v>
          </cell>
          <cell r="DR55">
            <v>30.25</v>
          </cell>
          <cell r="DS55">
            <v>30.25</v>
          </cell>
          <cell r="DT55">
            <v>10.818181818181818</v>
          </cell>
          <cell r="DU55">
            <v>0</v>
          </cell>
          <cell r="DV55">
            <v>0</v>
          </cell>
          <cell r="DW55">
            <v>27.5</v>
          </cell>
          <cell r="DX55">
            <v>27.5</v>
          </cell>
          <cell r="DY55">
            <v>9.8181818181818183</v>
          </cell>
          <cell r="DZ55">
            <v>0</v>
          </cell>
          <cell r="EA55">
            <v>0</v>
          </cell>
          <cell r="EB55">
            <v>24.75</v>
          </cell>
          <cell r="EC55">
            <v>24.75</v>
          </cell>
          <cell r="ED55">
            <v>8.8181818181818183</v>
          </cell>
          <cell r="EE55">
            <v>0</v>
          </cell>
          <cell r="EF55">
            <v>0</v>
          </cell>
          <cell r="EG55">
            <v>22</v>
          </cell>
          <cell r="EH55">
            <v>22</v>
          </cell>
          <cell r="EI55">
            <v>7.8181818181818183</v>
          </cell>
          <cell r="EJ55">
            <v>0</v>
          </cell>
          <cell r="EK55">
            <v>0</v>
          </cell>
          <cell r="EL55">
            <v>19.25</v>
          </cell>
          <cell r="EM55">
            <v>19.25</v>
          </cell>
          <cell r="EN55">
            <v>6.8181818181818183</v>
          </cell>
          <cell r="EO55">
            <v>0</v>
          </cell>
          <cell r="EP55">
            <v>0</v>
          </cell>
          <cell r="EQ55">
            <v>16.5</v>
          </cell>
          <cell r="ER55">
            <v>16.5</v>
          </cell>
          <cell r="ES55">
            <v>5.8181818181818183</v>
          </cell>
          <cell r="ET55">
            <v>0</v>
          </cell>
          <cell r="EU55">
            <v>0</v>
          </cell>
          <cell r="EV55">
            <v>13.75</v>
          </cell>
          <cell r="EW55">
            <v>13.75</v>
          </cell>
          <cell r="EX55">
            <v>4.8181818181818183</v>
          </cell>
          <cell r="EY55">
            <v>0</v>
          </cell>
          <cell r="EZ55">
            <v>0</v>
          </cell>
          <cell r="FA55">
            <v>11</v>
          </cell>
          <cell r="FB55">
            <v>11</v>
          </cell>
          <cell r="FC55">
            <v>3.8181818181818183</v>
          </cell>
          <cell r="FD55">
            <v>0</v>
          </cell>
          <cell r="FE55">
            <v>0</v>
          </cell>
          <cell r="FF55">
            <v>8.25</v>
          </cell>
          <cell r="FG55">
            <v>8.25</v>
          </cell>
          <cell r="FH55">
            <v>2.8181818181818183</v>
          </cell>
          <cell r="FI55">
            <v>0</v>
          </cell>
          <cell r="FJ55">
            <v>0</v>
          </cell>
          <cell r="FK55">
            <v>5.5</v>
          </cell>
          <cell r="FL55">
            <v>5.5</v>
          </cell>
          <cell r="FM55">
            <v>1.8181818181818181</v>
          </cell>
          <cell r="FN55">
            <v>0.5</v>
          </cell>
          <cell r="FO55">
            <v>6</v>
          </cell>
          <cell r="FP55">
            <v>8.75</v>
          </cell>
          <cell r="FQ55">
            <v>8.75</v>
          </cell>
          <cell r="FR55">
            <v>3</v>
          </cell>
          <cell r="FS55">
            <v>0</v>
          </cell>
          <cell r="FT55">
            <v>6</v>
          </cell>
          <cell r="FU55">
            <v>2.0333333333333332</v>
          </cell>
          <cell r="FW55" t="str">
            <v>SOBRESTOCK</v>
          </cell>
          <cell r="FX55" t="str">
            <v>B</v>
          </cell>
          <cell r="FY55" t="str">
            <v>Si</v>
          </cell>
        </row>
        <row r="56">
          <cell r="B56" t="str">
            <v>REP-0055</v>
          </cell>
          <cell r="C56" t="str">
            <v>MIX</v>
          </cell>
          <cell r="D56">
            <v>0</v>
          </cell>
          <cell r="E56">
            <v>15</v>
          </cell>
          <cell r="F56">
            <v>0</v>
          </cell>
          <cell r="G56">
            <v>0</v>
          </cell>
          <cell r="H56">
            <v>3</v>
          </cell>
          <cell r="I56">
            <v>3</v>
          </cell>
          <cell r="J56">
            <v>0</v>
          </cell>
          <cell r="K56">
            <v>2</v>
          </cell>
          <cell r="L56">
            <v>0</v>
          </cell>
          <cell r="M56">
            <v>1</v>
          </cell>
          <cell r="N56">
            <v>1</v>
          </cell>
          <cell r="O56">
            <v>2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35</v>
          </cell>
          <cell r="AA56">
            <v>35</v>
          </cell>
          <cell r="AB56">
            <v>16</v>
          </cell>
          <cell r="AC56">
            <v>1.6666666666666667</v>
          </cell>
          <cell r="AD56">
            <v>5.5555555555555559E-2</v>
          </cell>
          <cell r="AE56">
            <v>1.6666666666666667</v>
          </cell>
          <cell r="AF56">
            <v>2.1666666666666665</v>
          </cell>
          <cell r="AG56">
            <v>1.8333333333333333</v>
          </cell>
          <cell r="AH56">
            <v>1.5</v>
          </cell>
          <cell r="AI56">
            <v>1.1666666666666667</v>
          </cell>
          <cell r="AJ56">
            <v>1.1666666666666667</v>
          </cell>
          <cell r="AK56">
            <v>1.8333333333333333</v>
          </cell>
          <cell r="AL56">
            <v>0.31914236925211259</v>
          </cell>
          <cell r="AM56">
            <v>1.4166666666666667</v>
          </cell>
          <cell r="AN56">
            <v>0.22527696653090298</v>
          </cell>
          <cell r="AO56">
            <v>0</v>
          </cell>
          <cell r="AP56">
            <v>9.1666666666666661</v>
          </cell>
          <cell r="AQ56">
            <v>4.0769230769230775</v>
          </cell>
          <cell r="AR56">
            <v>0</v>
          </cell>
          <cell r="AS56">
            <v>28.666666666666668</v>
          </cell>
          <cell r="AT56">
            <v>31</v>
          </cell>
          <cell r="AU56">
            <v>16.90909090909091</v>
          </cell>
          <cell r="AV56">
            <v>0</v>
          </cell>
          <cell r="AW56">
            <v>29.166666666666668</v>
          </cell>
          <cell r="AX56">
            <v>29</v>
          </cell>
          <cell r="AY56">
            <v>15.818181818181818</v>
          </cell>
          <cell r="AZ56">
            <v>0</v>
          </cell>
          <cell r="BA56">
            <v>27.166666666666668</v>
          </cell>
          <cell r="BB56">
            <v>27</v>
          </cell>
          <cell r="BC56">
            <v>13.5</v>
          </cell>
          <cell r="BD56">
            <v>0</v>
          </cell>
          <cell r="BE56">
            <v>25</v>
          </cell>
          <cell r="BF56">
            <v>12.5</v>
          </cell>
          <cell r="BG56">
            <v>0</v>
          </cell>
          <cell r="BH56">
            <v>23</v>
          </cell>
          <cell r="BI56">
            <v>35</v>
          </cell>
          <cell r="BJ56">
            <v>19.09090909090909</v>
          </cell>
          <cell r="BK56">
            <v>0</v>
          </cell>
          <cell r="BL56">
            <v>21.166666666666668</v>
          </cell>
          <cell r="BM56">
            <v>27</v>
          </cell>
          <cell r="BN56">
            <v>14.727272727272728</v>
          </cell>
          <cell r="BO56">
            <v>0</v>
          </cell>
          <cell r="BP56">
            <v>25.166666666666668</v>
          </cell>
          <cell r="BQ56">
            <v>19</v>
          </cell>
          <cell r="BR56">
            <v>10.363636363636363</v>
          </cell>
          <cell r="BS56">
            <v>0</v>
          </cell>
          <cell r="BT56">
            <v>17</v>
          </cell>
          <cell r="BU56">
            <v>19</v>
          </cell>
          <cell r="BV56">
            <v>10.363636363636363</v>
          </cell>
          <cell r="BW56">
            <v>0</v>
          </cell>
          <cell r="BX56">
            <v>0</v>
          </cell>
          <cell r="BY56">
            <v>17.166666666666668</v>
          </cell>
          <cell r="BZ56">
            <v>18</v>
          </cell>
          <cell r="CA56">
            <v>9.8181818181818183</v>
          </cell>
          <cell r="CB56">
            <v>0</v>
          </cell>
          <cell r="CC56">
            <v>0</v>
          </cell>
          <cell r="CD56">
            <v>16.166666666666668</v>
          </cell>
          <cell r="CE56">
            <v>16</v>
          </cell>
          <cell r="CF56">
            <v>8.7272727272727284</v>
          </cell>
          <cell r="CG56">
            <v>0</v>
          </cell>
          <cell r="CH56">
            <v>0</v>
          </cell>
          <cell r="CI56">
            <v>14.333333333333334</v>
          </cell>
          <cell r="CJ56">
            <v>15</v>
          </cell>
          <cell r="CK56">
            <v>8.1818181818181817</v>
          </cell>
          <cell r="CL56">
            <v>0</v>
          </cell>
          <cell r="CM56">
            <v>25</v>
          </cell>
          <cell r="CN56">
            <v>38.166666666666664</v>
          </cell>
          <cell r="CO56">
            <v>39</v>
          </cell>
          <cell r="CP56">
            <v>21.272727272727273</v>
          </cell>
          <cell r="CQ56">
            <v>0</v>
          </cell>
          <cell r="CR56">
            <v>0</v>
          </cell>
          <cell r="CS56">
            <v>37.166666666666664</v>
          </cell>
          <cell r="CT56">
            <v>38</v>
          </cell>
          <cell r="CU56">
            <v>20.727272727272727</v>
          </cell>
          <cell r="CV56">
            <v>0</v>
          </cell>
          <cell r="CW56">
            <v>0</v>
          </cell>
          <cell r="CX56">
            <v>36.166666666666664</v>
          </cell>
          <cell r="CY56">
            <v>36</v>
          </cell>
          <cell r="CZ56">
            <v>19.636363636363637</v>
          </cell>
          <cell r="DA56">
            <v>0</v>
          </cell>
          <cell r="DB56">
            <v>0</v>
          </cell>
          <cell r="DC56">
            <v>34.166666666666664</v>
          </cell>
          <cell r="DD56">
            <v>36</v>
          </cell>
          <cell r="DE56">
            <v>9.2727272727272734</v>
          </cell>
          <cell r="DF56">
            <v>0</v>
          </cell>
          <cell r="DG56">
            <v>0</v>
          </cell>
          <cell r="DH56">
            <v>34.166666666666664</v>
          </cell>
          <cell r="DI56">
            <v>34</v>
          </cell>
          <cell r="DJ56">
            <v>10.181818181818182</v>
          </cell>
          <cell r="DK56">
            <v>0</v>
          </cell>
          <cell r="DL56">
            <v>0</v>
          </cell>
          <cell r="DM56">
            <v>32.333333333333329</v>
          </cell>
          <cell r="DN56">
            <v>35</v>
          </cell>
          <cell r="DO56">
            <v>10.727272727272728</v>
          </cell>
          <cell r="DP56">
            <v>0</v>
          </cell>
          <cell r="DQ56">
            <v>0</v>
          </cell>
          <cell r="DR56">
            <v>33.166666666666664</v>
          </cell>
          <cell r="DS56">
            <v>33.166666666666664</v>
          </cell>
          <cell r="DT56">
            <v>9.7272727272727266</v>
          </cell>
          <cell r="DU56">
            <v>0</v>
          </cell>
          <cell r="DV56">
            <v>0</v>
          </cell>
          <cell r="DW56">
            <v>31.333333333333332</v>
          </cell>
          <cell r="DX56">
            <v>31.333333333333332</v>
          </cell>
          <cell r="DY56">
            <v>8.7272727272727266</v>
          </cell>
          <cell r="DZ56">
            <v>0</v>
          </cell>
          <cell r="EA56">
            <v>0</v>
          </cell>
          <cell r="EB56">
            <v>29.5</v>
          </cell>
          <cell r="EC56">
            <v>29.5</v>
          </cell>
          <cell r="ED56">
            <v>7.7272727272727275</v>
          </cell>
          <cell r="EE56">
            <v>0</v>
          </cell>
          <cell r="EF56">
            <v>0</v>
          </cell>
          <cell r="EG56">
            <v>27.666666666666668</v>
          </cell>
          <cell r="EH56">
            <v>27.666666666666668</v>
          </cell>
          <cell r="EI56">
            <v>6.7272727272727284</v>
          </cell>
          <cell r="EJ56">
            <v>0</v>
          </cell>
          <cell r="EK56">
            <v>0</v>
          </cell>
          <cell r="EL56">
            <v>25.833333333333336</v>
          </cell>
          <cell r="EM56">
            <v>25.833333333333336</v>
          </cell>
          <cell r="EN56">
            <v>5.7272727272727284</v>
          </cell>
          <cell r="EO56">
            <v>0</v>
          </cell>
          <cell r="EP56">
            <v>0</v>
          </cell>
          <cell r="EQ56">
            <v>24.000000000000004</v>
          </cell>
          <cell r="ER56">
            <v>24.000000000000004</v>
          </cell>
          <cell r="ES56">
            <v>4.7272727272727293</v>
          </cell>
          <cell r="ET56">
            <v>0</v>
          </cell>
          <cell r="EU56">
            <v>0</v>
          </cell>
          <cell r="EV56">
            <v>22.166666666666671</v>
          </cell>
          <cell r="EW56">
            <v>22.166666666666671</v>
          </cell>
          <cell r="EX56">
            <v>3.7272727272727302</v>
          </cell>
          <cell r="EY56">
            <v>0</v>
          </cell>
          <cell r="EZ56">
            <v>0</v>
          </cell>
          <cell r="FA56">
            <v>20.333333333333339</v>
          </cell>
          <cell r="FB56">
            <v>20.333333333333339</v>
          </cell>
          <cell r="FC56">
            <v>2.7272727272727306</v>
          </cell>
          <cell r="FD56">
            <v>0</v>
          </cell>
          <cell r="FE56">
            <v>8</v>
          </cell>
          <cell r="FF56">
            <v>26.500000000000007</v>
          </cell>
          <cell r="FG56">
            <v>26.500000000000007</v>
          </cell>
          <cell r="FH56">
            <v>6.0909090909090953</v>
          </cell>
          <cell r="FI56">
            <v>0</v>
          </cell>
          <cell r="FJ56">
            <v>0</v>
          </cell>
          <cell r="FK56">
            <v>24.666666666666675</v>
          </cell>
          <cell r="FL56">
            <v>24.666666666666675</v>
          </cell>
          <cell r="FM56">
            <v>5.0909090909090953</v>
          </cell>
          <cell r="FN56">
            <v>0</v>
          </cell>
          <cell r="FO56">
            <v>0</v>
          </cell>
          <cell r="FP56">
            <v>22.833333333333343</v>
          </cell>
          <cell r="FQ56">
            <v>22.833333333333343</v>
          </cell>
          <cell r="FR56">
            <v>4.0909090909090962</v>
          </cell>
          <cell r="FS56">
            <v>0</v>
          </cell>
          <cell r="FT56">
            <v>19</v>
          </cell>
          <cell r="FU56">
            <v>2.0333333333333332</v>
          </cell>
          <cell r="FW56" t="str">
            <v>SOBRESTOCK</v>
          </cell>
          <cell r="FX56" t="str">
            <v>B</v>
          </cell>
          <cell r="FY56" t="str">
            <v>Si</v>
          </cell>
        </row>
        <row r="57">
          <cell r="B57" t="str">
            <v>REP-0056</v>
          </cell>
          <cell r="C57" t="str">
            <v>MIX</v>
          </cell>
          <cell r="D57">
            <v>0</v>
          </cell>
          <cell r="E57">
            <v>10</v>
          </cell>
          <cell r="F57">
            <v>0</v>
          </cell>
          <cell r="G57">
            <v>0</v>
          </cell>
          <cell r="H57">
            <v>3</v>
          </cell>
          <cell r="I57">
            <v>3</v>
          </cell>
          <cell r="J57">
            <v>0</v>
          </cell>
          <cell r="K57">
            <v>6</v>
          </cell>
          <cell r="L57">
            <v>3</v>
          </cell>
          <cell r="M57">
            <v>3</v>
          </cell>
          <cell r="N57">
            <v>0</v>
          </cell>
          <cell r="O57">
            <v>1</v>
          </cell>
          <cell r="P57">
            <v>1</v>
          </cell>
          <cell r="Q57">
            <v>0</v>
          </cell>
          <cell r="R57">
            <v>0</v>
          </cell>
          <cell r="S57">
            <v>1</v>
          </cell>
          <cell r="T57">
            <v>0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33</v>
          </cell>
          <cell r="AA57">
            <v>33</v>
          </cell>
          <cell r="AB57">
            <v>8</v>
          </cell>
          <cell r="AC57">
            <v>0.66666666666666663</v>
          </cell>
          <cell r="AD57">
            <v>2.222222222222222E-2</v>
          </cell>
          <cell r="AE57">
            <v>0.91666666666666663</v>
          </cell>
          <cell r="AF57">
            <v>1.0833333333333333</v>
          </cell>
          <cell r="AG57">
            <v>0.83333333333333337</v>
          </cell>
          <cell r="AH57">
            <v>1.3333333333333333</v>
          </cell>
          <cell r="AI57">
            <v>1.3333333333333333</v>
          </cell>
          <cell r="AJ57">
            <v>1.3333333333333333</v>
          </cell>
          <cell r="AK57">
            <v>1.3333333333333333</v>
          </cell>
          <cell r="AL57">
            <v>0.22360679774997957</v>
          </cell>
          <cell r="AM57">
            <v>1.2083333333333333</v>
          </cell>
          <cell r="AN57">
            <v>0.18505390158619001</v>
          </cell>
          <cell r="AO57">
            <v>0</v>
          </cell>
          <cell r="AP57">
            <v>17.888888888888889</v>
          </cell>
          <cell r="AQ57">
            <v>16.53846153846154</v>
          </cell>
          <cell r="AR57">
            <v>0</v>
          </cell>
          <cell r="AS57">
            <v>15</v>
          </cell>
          <cell r="AT57">
            <v>15</v>
          </cell>
          <cell r="AU57">
            <v>7.5</v>
          </cell>
          <cell r="AV57">
            <v>0</v>
          </cell>
          <cell r="AW57">
            <v>13</v>
          </cell>
          <cell r="AX57">
            <v>13</v>
          </cell>
          <cell r="AY57">
            <v>9.75</v>
          </cell>
          <cell r="AZ57">
            <v>0</v>
          </cell>
          <cell r="BA57">
            <v>20.666666666666668</v>
          </cell>
          <cell r="BB57">
            <v>13</v>
          </cell>
          <cell r="BC57">
            <v>5.5714285714285712</v>
          </cell>
          <cell r="BD57">
            <v>0</v>
          </cell>
          <cell r="BE57">
            <v>10.666666666666666</v>
          </cell>
          <cell r="BF57">
            <v>4.5714285714285712</v>
          </cell>
          <cell r="BG57">
            <v>10</v>
          </cell>
          <cell r="BH57">
            <v>18.333333333333332</v>
          </cell>
          <cell r="BI57">
            <v>33</v>
          </cell>
          <cell r="BJ57">
            <v>24.75</v>
          </cell>
          <cell r="BK57">
            <v>0</v>
          </cell>
          <cell r="BL57">
            <v>39.5</v>
          </cell>
          <cell r="BM57">
            <v>43</v>
          </cell>
          <cell r="BN57">
            <v>33.444444444444443</v>
          </cell>
          <cell r="BO57">
            <v>0</v>
          </cell>
          <cell r="BP57">
            <v>41.714285714285715</v>
          </cell>
          <cell r="BQ57">
            <v>40</v>
          </cell>
          <cell r="BR57">
            <v>30</v>
          </cell>
          <cell r="BS57">
            <v>0</v>
          </cell>
          <cell r="BT57">
            <v>38.75</v>
          </cell>
          <cell r="BU57">
            <v>40</v>
          </cell>
          <cell r="BV57">
            <v>36</v>
          </cell>
          <cell r="BW57">
            <v>0</v>
          </cell>
          <cell r="BX57">
            <v>0</v>
          </cell>
          <cell r="BY57">
            <v>38.888888888888886</v>
          </cell>
          <cell r="BZ57">
            <v>39</v>
          </cell>
          <cell r="CA57">
            <v>35.454545454545453</v>
          </cell>
          <cell r="CB57">
            <v>0</v>
          </cell>
          <cell r="CC57">
            <v>0</v>
          </cell>
          <cell r="CD57">
            <v>37.9</v>
          </cell>
          <cell r="CE57">
            <v>35</v>
          </cell>
          <cell r="CF57">
            <v>25.666666666666668</v>
          </cell>
          <cell r="CG57">
            <v>0</v>
          </cell>
          <cell r="CH57">
            <v>0</v>
          </cell>
          <cell r="CI57">
            <v>36.536363636363632</v>
          </cell>
          <cell r="CJ57">
            <v>34</v>
          </cell>
          <cell r="CK57">
            <v>25.5</v>
          </cell>
          <cell r="CL57">
            <v>0</v>
          </cell>
          <cell r="CM57">
            <v>10</v>
          </cell>
          <cell r="CN57">
            <v>42.666666666666664</v>
          </cell>
          <cell r="CO57">
            <v>44</v>
          </cell>
          <cell r="CP57">
            <v>22</v>
          </cell>
          <cell r="CQ57">
            <v>0</v>
          </cell>
          <cell r="CR57">
            <v>0</v>
          </cell>
          <cell r="CS57">
            <v>42</v>
          </cell>
          <cell r="CT57">
            <v>41</v>
          </cell>
          <cell r="CU57">
            <v>20.5</v>
          </cell>
          <cell r="CV57">
            <v>0</v>
          </cell>
          <cell r="CW57">
            <v>0</v>
          </cell>
          <cell r="CX57">
            <v>39</v>
          </cell>
          <cell r="CY57">
            <v>40</v>
          </cell>
          <cell r="CZ57">
            <v>21.81818181818182</v>
          </cell>
          <cell r="DA57">
            <v>0</v>
          </cell>
          <cell r="DB57">
            <v>0</v>
          </cell>
          <cell r="DC57">
            <v>38.166666666666664</v>
          </cell>
          <cell r="DD57">
            <v>37</v>
          </cell>
          <cell r="DE57">
            <v>20.399999999999999</v>
          </cell>
          <cell r="DF57">
            <v>0</v>
          </cell>
          <cell r="DG57">
            <v>0</v>
          </cell>
          <cell r="DH57">
            <v>35.333333333333336</v>
          </cell>
          <cell r="DI57">
            <v>35</v>
          </cell>
          <cell r="DJ57">
            <v>24.857142857142858</v>
          </cell>
          <cell r="DK57">
            <v>0</v>
          </cell>
          <cell r="DL57">
            <v>0</v>
          </cell>
          <cell r="DM57">
            <v>33.933333333333337</v>
          </cell>
          <cell r="DN57">
            <v>33</v>
          </cell>
          <cell r="DO57">
            <v>24.5</v>
          </cell>
          <cell r="DP57">
            <v>0</v>
          </cell>
          <cell r="DQ57">
            <v>0</v>
          </cell>
          <cell r="DR57">
            <v>31.666666666666668</v>
          </cell>
          <cell r="DS57">
            <v>31.666666666666668</v>
          </cell>
          <cell r="DT57">
            <v>23.500000000000004</v>
          </cell>
          <cell r="DU57">
            <v>0</v>
          </cell>
          <cell r="DV57">
            <v>0</v>
          </cell>
          <cell r="DW57">
            <v>30.333333333333336</v>
          </cell>
          <cell r="DX57">
            <v>30.333333333333336</v>
          </cell>
          <cell r="DY57">
            <v>22.500000000000004</v>
          </cell>
          <cell r="DZ57">
            <v>0</v>
          </cell>
          <cell r="EA57">
            <v>0</v>
          </cell>
          <cell r="EB57">
            <v>29.000000000000004</v>
          </cell>
          <cell r="EC57">
            <v>29.000000000000004</v>
          </cell>
          <cell r="ED57">
            <v>21.500000000000004</v>
          </cell>
          <cell r="EE57">
            <v>0</v>
          </cell>
          <cell r="EF57">
            <v>0</v>
          </cell>
          <cell r="EG57">
            <v>27.666666666666671</v>
          </cell>
          <cell r="EH57">
            <v>27.666666666666671</v>
          </cell>
          <cell r="EI57">
            <v>20.500000000000004</v>
          </cell>
          <cell r="EJ57">
            <v>0</v>
          </cell>
          <cell r="EK57">
            <v>0</v>
          </cell>
          <cell r="EL57">
            <v>26.333333333333339</v>
          </cell>
          <cell r="EM57">
            <v>26.333333333333339</v>
          </cell>
          <cell r="EN57">
            <v>19.500000000000007</v>
          </cell>
          <cell r="EO57">
            <v>0</v>
          </cell>
          <cell r="EP57">
            <v>0</v>
          </cell>
          <cell r="EQ57">
            <v>25.000000000000007</v>
          </cell>
          <cell r="ER57">
            <v>25.000000000000007</v>
          </cell>
          <cell r="ES57">
            <v>18.500000000000007</v>
          </cell>
          <cell r="ET57">
            <v>0</v>
          </cell>
          <cell r="EU57">
            <v>0</v>
          </cell>
          <cell r="EV57">
            <v>23.666666666666675</v>
          </cell>
          <cell r="EW57">
            <v>23.666666666666675</v>
          </cell>
          <cell r="EX57">
            <v>17.500000000000007</v>
          </cell>
          <cell r="EY57">
            <v>0</v>
          </cell>
          <cell r="EZ57">
            <v>0</v>
          </cell>
          <cell r="FA57">
            <v>22.333333333333343</v>
          </cell>
          <cell r="FB57">
            <v>22.333333333333343</v>
          </cell>
          <cell r="FC57">
            <v>16.500000000000007</v>
          </cell>
          <cell r="FD57">
            <v>0</v>
          </cell>
          <cell r="FE57">
            <v>0</v>
          </cell>
          <cell r="FF57">
            <v>21.000000000000011</v>
          </cell>
          <cell r="FG57">
            <v>21.000000000000011</v>
          </cell>
          <cell r="FH57">
            <v>15.500000000000009</v>
          </cell>
          <cell r="FI57">
            <v>0</v>
          </cell>
          <cell r="FJ57">
            <v>0</v>
          </cell>
          <cell r="FK57">
            <v>19.666666666666679</v>
          </cell>
          <cell r="FL57">
            <v>19.666666666666679</v>
          </cell>
          <cell r="FM57">
            <v>14.500000000000009</v>
          </cell>
          <cell r="FN57">
            <v>0</v>
          </cell>
          <cell r="FO57">
            <v>0</v>
          </cell>
          <cell r="FP57">
            <v>18.333333333333346</v>
          </cell>
          <cell r="FQ57">
            <v>18.333333333333346</v>
          </cell>
          <cell r="FR57">
            <v>13.500000000000011</v>
          </cell>
          <cell r="FS57">
            <v>0</v>
          </cell>
          <cell r="FT57">
            <v>3</v>
          </cell>
          <cell r="FU57">
            <v>2.0333333333333332</v>
          </cell>
          <cell r="FW57" t="str">
            <v>SOBRESTOCK</v>
          </cell>
          <cell r="FX57" t="str">
            <v>B</v>
          </cell>
          <cell r="FY57" t="str">
            <v>Si</v>
          </cell>
        </row>
        <row r="58">
          <cell r="B58" t="str">
            <v>REP-0057</v>
          </cell>
          <cell r="C58" t="str">
            <v>MIX</v>
          </cell>
          <cell r="D58">
            <v>0</v>
          </cell>
          <cell r="E58">
            <v>32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12</v>
          </cell>
          <cell r="L58">
            <v>0</v>
          </cell>
          <cell r="M58">
            <v>0</v>
          </cell>
          <cell r="N58">
            <v>2</v>
          </cell>
          <cell r="O58">
            <v>0</v>
          </cell>
          <cell r="P58">
            <v>0</v>
          </cell>
          <cell r="Q58">
            <v>2</v>
          </cell>
          <cell r="R58">
            <v>0</v>
          </cell>
          <cell r="S58">
            <v>2</v>
          </cell>
          <cell r="T58">
            <v>2</v>
          </cell>
          <cell r="U58">
            <v>0</v>
          </cell>
          <cell r="V58">
            <v>0</v>
          </cell>
          <cell r="W58">
            <v>2</v>
          </cell>
          <cell r="X58">
            <v>0</v>
          </cell>
          <cell r="Y58">
            <v>54</v>
          </cell>
          <cell r="AA58">
            <v>54</v>
          </cell>
          <cell r="AB58">
            <v>9</v>
          </cell>
          <cell r="AC58">
            <v>1</v>
          </cell>
          <cell r="AD58">
            <v>3.3333333333333333E-2</v>
          </cell>
          <cell r="AE58">
            <v>1.0833333333333333</v>
          </cell>
          <cell r="AF58">
            <v>1.1666666666666667</v>
          </cell>
          <cell r="AG58">
            <v>2.9166666666666665</v>
          </cell>
          <cell r="AH58">
            <v>1.75</v>
          </cell>
          <cell r="AI58">
            <v>2.8333333333333335</v>
          </cell>
          <cell r="AJ58">
            <v>2.8333333333333335</v>
          </cell>
          <cell r="AK58">
            <v>2.9166666666666665</v>
          </cell>
          <cell r="AL58">
            <v>0.55694271266009443</v>
          </cell>
          <cell r="AM58">
            <v>2.5833333333333335</v>
          </cell>
          <cell r="AN58">
            <v>0.21559072748132688</v>
          </cell>
          <cell r="AO58">
            <v>0</v>
          </cell>
          <cell r="AP58">
            <v>21.083333333333332</v>
          </cell>
          <cell r="AQ58">
            <v>7</v>
          </cell>
          <cell r="AR58">
            <v>0</v>
          </cell>
          <cell r="AS58">
            <v>38</v>
          </cell>
          <cell r="AT58">
            <v>38</v>
          </cell>
          <cell r="AU58">
            <v>12.666666666666666</v>
          </cell>
          <cell r="AV58">
            <v>0</v>
          </cell>
          <cell r="AW58">
            <v>35</v>
          </cell>
          <cell r="AX58">
            <v>34</v>
          </cell>
          <cell r="AY58">
            <v>11.657142857142858</v>
          </cell>
          <cell r="AZ58">
            <v>0</v>
          </cell>
          <cell r="BA58">
            <v>40.666666666666664</v>
          </cell>
          <cell r="BB58">
            <v>34</v>
          </cell>
          <cell r="BC58">
            <v>9.7142857142857135</v>
          </cell>
          <cell r="BD58">
            <v>0</v>
          </cell>
          <cell r="BE58">
            <v>30.5</v>
          </cell>
          <cell r="BF58">
            <v>8.7142857142857135</v>
          </cell>
          <cell r="BG58">
            <v>10</v>
          </cell>
          <cell r="BH58">
            <v>37</v>
          </cell>
          <cell r="BI58">
            <v>54</v>
          </cell>
          <cell r="BJ58">
            <v>18.514285714285716</v>
          </cell>
          <cell r="BK58">
            <v>0</v>
          </cell>
          <cell r="BL58">
            <v>46.083333333333336</v>
          </cell>
          <cell r="BM58">
            <v>49</v>
          </cell>
          <cell r="BN58">
            <v>16.8</v>
          </cell>
          <cell r="BO58">
            <v>0</v>
          </cell>
          <cell r="BP58">
            <v>46.083333333333336</v>
          </cell>
          <cell r="BQ58">
            <v>48</v>
          </cell>
          <cell r="BR58">
            <v>16.457142857142859</v>
          </cell>
          <cell r="BS58">
            <v>0</v>
          </cell>
          <cell r="BT58">
            <v>45.083333333333336</v>
          </cell>
          <cell r="BU58">
            <v>46</v>
          </cell>
          <cell r="BV58">
            <v>15.771428571428572</v>
          </cell>
          <cell r="BW58">
            <v>0</v>
          </cell>
          <cell r="BX58">
            <v>0</v>
          </cell>
          <cell r="BY58">
            <v>43.083333333333336</v>
          </cell>
          <cell r="BZ58">
            <v>46</v>
          </cell>
          <cell r="CA58">
            <v>15.771428571428572</v>
          </cell>
          <cell r="CB58">
            <v>0</v>
          </cell>
          <cell r="CC58">
            <v>0</v>
          </cell>
          <cell r="CD58">
            <v>43.083333333333336</v>
          </cell>
          <cell r="CE58">
            <v>46</v>
          </cell>
          <cell r="CF58">
            <v>15.771428571428572</v>
          </cell>
          <cell r="CG58">
            <v>0</v>
          </cell>
          <cell r="CH58">
            <v>0</v>
          </cell>
          <cell r="CI58">
            <v>40.166666666666671</v>
          </cell>
          <cell r="CJ58">
            <v>43</v>
          </cell>
          <cell r="CK58">
            <v>14.742857142857144</v>
          </cell>
          <cell r="CL58">
            <v>0</v>
          </cell>
          <cell r="CM58">
            <v>0</v>
          </cell>
          <cell r="CN58">
            <v>40.083333333333336</v>
          </cell>
          <cell r="CO58">
            <v>34</v>
          </cell>
          <cell r="CP58">
            <v>11.333333333333334</v>
          </cell>
          <cell r="CQ58">
            <v>0</v>
          </cell>
          <cell r="CR58">
            <v>0</v>
          </cell>
          <cell r="CS58">
            <v>31</v>
          </cell>
          <cell r="CT58">
            <v>36</v>
          </cell>
          <cell r="CU58">
            <v>12</v>
          </cell>
          <cell r="CV58">
            <v>0</v>
          </cell>
          <cell r="CW58">
            <v>40</v>
          </cell>
          <cell r="CX58">
            <v>73</v>
          </cell>
          <cell r="CY58">
            <v>76</v>
          </cell>
          <cell r="CZ58">
            <v>25.333333333333332</v>
          </cell>
          <cell r="DA58">
            <v>0</v>
          </cell>
          <cell r="DB58">
            <v>0</v>
          </cell>
          <cell r="DC58">
            <v>74.027777777777771</v>
          </cell>
          <cell r="DD58">
            <v>70</v>
          </cell>
          <cell r="DE58">
            <v>26.790697674418606</v>
          </cell>
          <cell r="DF58">
            <v>0</v>
          </cell>
          <cell r="DG58">
            <v>0</v>
          </cell>
          <cell r="DH58">
            <v>67.611111111111114</v>
          </cell>
          <cell r="DI58">
            <v>64</v>
          </cell>
          <cell r="DJ58">
            <v>23.795407098121082</v>
          </cell>
          <cell r="DK58">
            <v>0</v>
          </cell>
          <cell r="DL58">
            <v>0</v>
          </cell>
          <cell r="DM58">
            <v>64.95</v>
          </cell>
          <cell r="DN58">
            <v>54</v>
          </cell>
          <cell r="DO58">
            <v>18.457142857142859</v>
          </cell>
          <cell r="DP58">
            <v>0</v>
          </cell>
          <cell r="DQ58">
            <v>0</v>
          </cell>
          <cell r="DR58">
            <v>51.083333333333336</v>
          </cell>
          <cell r="DS58">
            <v>51.083333333333336</v>
          </cell>
          <cell r="DT58">
            <v>17.457142857142859</v>
          </cell>
          <cell r="DU58">
            <v>0</v>
          </cell>
          <cell r="DV58">
            <v>0</v>
          </cell>
          <cell r="DW58">
            <v>48.166666666666671</v>
          </cell>
          <cell r="DX58">
            <v>48.166666666666671</v>
          </cell>
          <cell r="DY58">
            <v>16.457142857142859</v>
          </cell>
          <cell r="DZ58">
            <v>0</v>
          </cell>
          <cell r="EA58">
            <v>0</v>
          </cell>
          <cell r="EB58">
            <v>45.250000000000007</v>
          </cell>
          <cell r="EC58">
            <v>45.250000000000007</v>
          </cell>
          <cell r="ED58">
            <v>15.457142857142861</v>
          </cell>
          <cell r="EE58">
            <v>0</v>
          </cell>
          <cell r="EF58">
            <v>0</v>
          </cell>
          <cell r="EG58">
            <v>42.333333333333343</v>
          </cell>
          <cell r="EH58">
            <v>42.333333333333343</v>
          </cell>
          <cell r="EI58">
            <v>14.457142857142861</v>
          </cell>
          <cell r="EJ58">
            <v>0</v>
          </cell>
          <cell r="EK58">
            <v>0</v>
          </cell>
          <cell r="EL58">
            <v>39.416666666666679</v>
          </cell>
          <cell r="EM58">
            <v>39.416666666666679</v>
          </cell>
          <cell r="EN58">
            <v>13.457142857142863</v>
          </cell>
          <cell r="EO58">
            <v>0</v>
          </cell>
          <cell r="EP58">
            <v>0</v>
          </cell>
          <cell r="EQ58">
            <v>36.500000000000014</v>
          </cell>
          <cell r="ER58">
            <v>36.500000000000014</v>
          </cell>
          <cell r="ES58">
            <v>12.457142857142863</v>
          </cell>
          <cell r="ET58">
            <v>0</v>
          </cell>
          <cell r="EU58">
            <v>0</v>
          </cell>
          <cell r="EV58">
            <v>33.58333333333335</v>
          </cell>
          <cell r="EW58">
            <v>33.58333333333335</v>
          </cell>
          <cell r="EX58">
            <v>11.457142857142863</v>
          </cell>
          <cell r="EY58">
            <v>0</v>
          </cell>
          <cell r="EZ58">
            <v>0</v>
          </cell>
          <cell r="FA58">
            <v>30.666666666666682</v>
          </cell>
          <cell r="FB58">
            <v>30.666666666666682</v>
          </cell>
          <cell r="FC58">
            <v>10.457142857142863</v>
          </cell>
          <cell r="FD58">
            <v>0</v>
          </cell>
          <cell r="FE58">
            <v>0</v>
          </cell>
          <cell r="FF58">
            <v>27.750000000000014</v>
          </cell>
          <cell r="FG58">
            <v>27.750000000000014</v>
          </cell>
          <cell r="FH58">
            <v>9.4571428571428626</v>
          </cell>
          <cell r="FI58">
            <v>0</v>
          </cell>
          <cell r="FJ58">
            <v>0</v>
          </cell>
          <cell r="FK58">
            <v>24.833333333333346</v>
          </cell>
          <cell r="FL58">
            <v>24.833333333333346</v>
          </cell>
          <cell r="FM58">
            <v>8.4571428571428626</v>
          </cell>
          <cell r="FN58">
            <v>0</v>
          </cell>
          <cell r="FO58">
            <v>0</v>
          </cell>
          <cell r="FP58">
            <v>21.916666666666679</v>
          </cell>
          <cell r="FQ58">
            <v>21.916666666666679</v>
          </cell>
          <cell r="FR58">
            <v>7.4571428571428617</v>
          </cell>
          <cell r="FS58">
            <v>0</v>
          </cell>
          <cell r="FT58">
            <v>6</v>
          </cell>
          <cell r="FU58">
            <v>2.0333333333333332</v>
          </cell>
          <cell r="FV58" t="str">
            <v>SI</v>
          </cell>
          <cell r="FW58" t="str">
            <v>SOBRESTOCK</v>
          </cell>
          <cell r="FX58" t="str">
            <v>B</v>
          </cell>
          <cell r="FY58" t="str">
            <v>Si</v>
          </cell>
        </row>
        <row r="59">
          <cell r="B59" t="str">
            <v>REP-0058</v>
          </cell>
          <cell r="C59" t="str">
            <v>MIX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2</v>
          </cell>
          <cell r="I59">
            <v>2</v>
          </cell>
          <cell r="J59">
            <v>0</v>
          </cell>
          <cell r="K59">
            <v>3</v>
          </cell>
          <cell r="L59">
            <v>6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14</v>
          </cell>
          <cell r="AA59">
            <v>14</v>
          </cell>
          <cell r="AB59">
            <v>6</v>
          </cell>
          <cell r="AC59">
            <v>0.33333333333333331</v>
          </cell>
          <cell r="AD59">
            <v>1.111111111111111E-2</v>
          </cell>
          <cell r="AE59">
            <v>0.58333333333333337</v>
          </cell>
          <cell r="AF59">
            <v>8.3333333333333329E-2</v>
          </cell>
          <cell r="AG59">
            <v>8.3333333333333329E-2</v>
          </cell>
          <cell r="AH59">
            <v>0.5</v>
          </cell>
          <cell r="AI59">
            <v>0</v>
          </cell>
          <cell r="AJ59">
            <v>0</v>
          </cell>
          <cell r="AK59">
            <v>0.5</v>
          </cell>
          <cell r="AL59">
            <v>0.2393567769390845</v>
          </cell>
          <cell r="AM59">
            <v>0.14583333333333334</v>
          </cell>
          <cell r="AN59">
            <v>1.6413036132965793</v>
          </cell>
          <cell r="AO59">
            <v>0</v>
          </cell>
          <cell r="AP59">
            <v>18.166666666666668</v>
          </cell>
          <cell r="AQ59">
            <v>227.00000000000003</v>
          </cell>
          <cell r="AR59">
            <v>0</v>
          </cell>
          <cell r="AS59">
            <v>18.833333333333336</v>
          </cell>
          <cell r="AT59">
            <v>17</v>
          </cell>
          <cell r="AU59">
            <v>204</v>
          </cell>
          <cell r="AV59">
            <v>0</v>
          </cell>
          <cell r="AW59">
            <v>16.916666666666668</v>
          </cell>
          <cell r="AX59">
            <v>16</v>
          </cell>
          <cell r="AY59">
            <v>32</v>
          </cell>
          <cell r="AZ59">
            <v>0</v>
          </cell>
          <cell r="BA59">
            <v>15.666666666666666</v>
          </cell>
          <cell r="BB59">
            <v>16</v>
          </cell>
          <cell r="BC59">
            <v>48</v>
          </cell>
          <cell r="BD59">
            <v>0</v>
          </cell>
          <cell r="BE59">
            <v>15.666666666666666</v>
          </cell>
          <cell r="BF59">
            <v>47</v>
          </cell>
          <cell r="BG59">
            <v>0</v>
          </cell>
          <cell r="BH59">
            <v>15.333333333333332</v>
          </cell>
          <cell r="BI59">
            <v>14</v>
          </cell>
          <cell r="BJ59">
            <v>28</v>
          </cell>
          <cell r="BK59">
            <v>0</v>
          </cell>
          <cell r="BL59">
            <v>12.333333333333334</v>
          </cell>
          <cell r="BM59">
            <v>13</v>
          </cell>
          <cell r="BN59">
            <v>19.5</v>
          </cell>
          <cell r="BO59">
            <v>0</v>
          </cell>
          <cell r="BP59">
            <v>12.333333333333334</v>
          </cell>
          <cell r="BQ59">
            <v>11</v>
          </cell>
          <cell r="BR59">
            <v>22</v>
          </cell>
          <cell r="BS59">
            <v>0</v>
          </cell>
          <cell r="BT59">
            <v>10</v>
          </cell>
          <cell r="BU59">
            <v>11</v>
          </cell>
          <cell r="BV59">
            <v>13.2</v>
          </cell>
          <cell r="BW59">
            <v>0</v>
          </cell>
          <cell r="BX59">
            <v>0</v>
          </cell>
          <cell r="BY59">
            <v>10.166666666666666</v>
          </cell>
          <cell r="BZ59">
            <v>11</v>
          </cell>
          <cell r="CA59">
            <v>13.2</v>
          </cell>
          <cell r="CB59">
            <v>0</v>
          </cell>
          <cell r="CC59">
            <v>0</v>
          </cell>
          <cell r="CD59">
            <v>10.166666666666666</v>
          </cell>
          <cell r="CE59">
            <v>13</v>
          </cell>
          <cell r="CF59">
            <v>19.5</v>
          </cell>
          <cell r="CG59">
            <v>0</v>
          </cell>
          <cell r="CH59">
            <v>0</v>
          </cell>
          <cell r="CI59">
            <v>9.5</v>
          </cell>
          <cell r="CJ59">
            <v>13</v>
          </cell>
          <cell r="CK59">
            <v>26</v>
          </cell>
          <cell r="CL59">
            <v>0</v>
          </cell>
          <cell r="CM59">
            <v>0</v>
          </cell>
          <cell r="CN59">
            <v>12.5</v>
          </cell>
          <cell r="CO59">
            <v>10</v>
          </cell>
          <cell r="CP59">
            <v>20</v>
          </cell>
          <cell r="CQ59">
            <v>0</v>
          </cell>
          <cell r="CR59">
            <v>0</v>
          </cell>
          <cell r="CS59">
            <v>9.5</v>
          </cell>
          <cell r="CT59">
            <v>12</v>
          </cell>
          <cell r="CU59">
            <v>24</v>
          </cell>
          <cell r="CV59">
            <v>0</v>
          </cell>
          <cell r="CW59">
            <v>0</v>
          </cell>
          <cell r="CX59">
            <v>11.5</v>
          </cell>
          <cell r="CY59">
            <v>12</v>
          </cell>
          <cell r="CZ59">
            <v>24</v>
          </cell>
          <cell r="DA59">
            <v>0</v>
          </cell>
          <cell r="DB59">
            <v>0</v>
          </cell>
          <cell r="DC59">
            <v>11.5</v>
          </cell>
          <cell r="DD59">
            <v>12</v>
          </cell>
          <cell r="DE59">
            <v>20</v>
          </cell>
          <cell r="DF59">
            <v>0</v>
          </cell>
          <cell r="DG59">
            <v>0</v>
          </cell>
          <cell r="DH59">
            <v>11.5</v>
          </cell>
          <cell r="DI59">
            <v>12</v>
          </cell>
          <cell r="DJ59">
            <v>22</v>
          </cell>
          <cell r="DK59">
            <v>0</v>
          </cell>
          <cell r="DL59">
            <v>0</v>
          </cell>
          <cell r="DM59">
            <v>11</v>
          </cell>
          <cell r="DN59">
            <v>14</v>
          </cell>
          <cell r="DO59">
            <v>26</v>
          </cell>
          <cell r="DP59">
            <v>0</v>
          </cell>
          <cell r="DQ59">
            <v>0</v>
          </cell>
          <cell r="DR59">
            <v>13.5</v>
          </cell>
          <cell r="DS59">
            <v>13.5</v>
          </cell>
          <cell r="DT59">
            <v>25</v>
          </cell>
          <cell r="DU59">
            <v>0</v>
          </cell>
          <cell r="DV59">
            <v>0</v>
          </cell>
          <cell r="DW59">
            <v>13</v>
          </cell>
          <cell r="DX59">
            <v>13</v>
          </cell>
          <cell r="DY59">
            <v>24</v>
          </cell>
          <cell r="DZ59">
            <v>0</v>
          </cell>
          <cell r="EA59">
            <v>0</v>
          </cell>
          <cell r="EB59">
            <v>12.5</v>
          </cell>
          <cell r="EC59">
            <v>12.5</v>
          </cell>
          <cell r="ED59">
            <v>23</v>
          </cell>
          <cell r="EE59">
            <v>0</v>
          </cell>
          <cell r="EF59">
            <v>0</v>
          </cell>
          <cell r="EG59">
            <v>12</v>
          </cell>
          <cell r="EH59">
            <v>12</v>
          </cell>
          <cell r="EI59">
            <v>22</v>
          </cell>
          <cell r="EJ59">
            <v>0</v>
          </cell>
          <cell r="EK59">
            <v>0</v>
          </cell>
          <cell r="EL59">
            <v>11.5</v>
          </cell>
          <cell r="EM59">
            <v>11.5</v>
          </cell>
          <cell r="EN59">
            <v>21</v>
          </cell>
          <cell r="EO59">
            <v>0</v>
          </cell>
          <cell r="EP59">
            <v>0</v>
          </cell>
          <cell r="EQ59">
            <v>11</v>
          </cell>
          <cell r="ER59">
            <v>11</v>
          </cell>
          <cell r="ES59">
            <v>20</v>
          </cell>
          <cell r="ET59">
            <v>0</v>
          </cell>
          <cell r="EU59">
            <v>0</v>
          </cell>
          <cell r="EV59">
            <v>10.5</v>
          </cell>
          <cell r="EW59">
            <v>10.5</v>
          </cell>
          <cell r="EX59">
            <v>19</v>
          </cell>
          <cell r="EY59">
            <v>0</v>
          </cell>
          <cell r="EZ59">
            <v>0</v>
          </cell>
          <cell r="FA59">
            <v>10</v>
          </cell>
          <cell r="FB59">
            <v>10</v>
          </cell>
          <cell r="FC59">
            <v>18</v>
          </cell>
          <cell r="FD59">
            <v>0</v>
          </cell>
          <cell r="FE59">
            <v>0</v>
          </cell>
          <cell r="FF59">
            <v>9.5</v>
          </cell>
          <cell r="FG59">
            <v>9.5</v>
          </cell>
          <cell r="FH59">
            <v>17</v>
          </cell>
          <cell r="FI59">
            <v>0</v>
          </cell>
          <cell r="FJ59">
            <v>0</v>
          </cell>
          <cell r="FK59">
            <v>9</v>
          </cell>
          <cell r="FL59">
            <v>9</v>
          </cell>
          <cell r="FM59">
            <v>16</v>
          </cell>
          <cell r="FN59">
            <v>0</v>
          </cell>
          <cell r="FO59">
            <v>0</v>
          </cell>
          <cell r="FP59">
            <v>8.5</v>
          </cell>
          <cell r="FQ59">
            <v>8.5</v>
          </cell>
          <cell r="FR59">
            <v>15</v>
          </cell>
          <cell r="FS59">
            <v>0</v>
          </cell>
          <cell r="FT59">
            <v>2</v>
          </cell>
          <cell r="FU59">
            <v>2.0333333333333332</v>
          </cell>
          <cell r="FW59" t="str">
            <v>SIN ROTACIÓN</v>
          </cell>
          <cell r="FX59" t="str">
            <v>C</v>
          </cell>
          <cell r="FY59" t="str">
            <v>Si</v>
          </cell>
        </row>
        <row r="60">
          <cell r="B60" t="str">
            <v>REP-0059</v>
          </cell>
          <cell r="C60" t="str">
            <v>MIX</v>
          </cell>
          <cell r="D60">
            <v>0</v>
          </cell>
          <cell r="E60">
            <v>13</v>
          </cell>
          <cell r="F60">
            <v>0</v>
          </cell>
          <cell r="G60">
            <v>0</v>
          </cell>
          <cell r="H60">
            <v>1</v>
          </cell>
          <cell r="I60">
            <v>1</v>
          </cell>
          <cell r="J60">
            <v>0</v>
          </cell>
          <cell r="K60">
            <v>5</v>
          </cell>
          <cell r="L60">
            <v>5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28</v>
          </cell>
          <cell r="AA60">
            <v>28</v>
          </cell>
          <cell r="AB60">
            <v>6</v>
          </cell>
          <cell r="AC60">
            <v>0.33333333333333331</v>
          </cell>
          <cell r="AD60">
            <v>1.111111111111111E-2</v>
          </cell>
          <cell r="AE60">
            <v>0.58333333333333337</v>
          </cell>
          <cell r="AF60">
            <v>0.16666666666666666</v>
          </cell>
          <cell r="AG60">
            <v>0.16666666666666666</v>
          </cell>
          <cell r="AH60">
            <v>0.33333333333333331</v>
          </cell>
          <cell r="AI60">
            <v>0</v>
          </cell>
          <cell r="AJ60">
            <v>0</v>
          </cell>
          <cell r="AK60">
            <v>0.33333333333333331</v>
          </cell>
          <cell r="AL60">
            <v>0.15957118462605635</v>
          </cell>
          <cell r="AM60">
            <v>0.125</v>
          </cell>
          <cell r="AN60">
            <v>1.2765694770084508</v>
          </cell>
          <cell r="AO60">
            <v>0</v>
          </cell>
          <cell r="AP60">
            <v>29.5</v>
          </cell>
          <cell r="AQ60">
            <v>179</v>
          </cell>
          <cell r="AR60">
            <v>0</v>
          </cell>
          <cell r="AS60">
            <v>29.666666666666664</v>
          </cell>
          <cell r="AT60">
            <v>27</v>
          </cell>
          <cell r="AU60">
            <v>162</v>
          </cell>
          <cell r="AV60">
            <v>0</v>
          </cell>
          <cell r="AW60">
            <v>26.833333333333332</v>
          </cell>
          <cell r="AX60">
            <v>26</v>
          </cell>
          <cell r="AY60">
            <v>78</v>
          </cell>
          <cell r="AZ60">
            <v>0</v>
          </cell>
          <cell r="BA60">
            <v>25.666666666666668</v>
          </cell>
          <cell r="BB60">
            <v>26</v>
          </cell>
          <cell r="BC60">
            <v>52</v>
          </cell>
          <cell r="BD60">
            <v>0</v>
          </cell>
          <cell r="BE60">
            <v>25.5</v>
          </cell>
          <cell r="BF60">
            <v>51</v>
          </cell>
          <cell r="BG60">
            <v>0</v>
          </cell>
          <cell r="BH60">
            <v>25</v>
          </cell>
          <cell r="BI60">
            <v>28</v>
          </cell>
          <cell r="BJ60">
            <v>84</v>
          </cell>
          <cell r="BK60">
            <v>0</v>
          </cell>
          <cell r="BL60">
            <v>22.333333333333332</v>
          </cell>
          <cell r="BM60">
            <v>24</v>
          </cell>
          <cell r="BN60">
            <v>36</v>
          </cell>
          <cell r="BO60">
            <v>0</v>
          </cell>
          <cell r="BP60">
            <v>23.333333333333332</v>
          </cell>
          <cell r="BQ60">
            <v>23</v>
          </cell>
          <cell r="BR60">
            <v>69</v>
          </cell>
          <cell r="BS60">
            <v>0</v>
          </cell>
          <cell r="BT60">
            <v>22.333333333333332</v>
          </cell>
          <cell r="BU60">
            <v>23</v>
          </cell>
          <cell r="BV60">
            <v>46</v>
          </cell>
          <cell r="BW60">
            <v>0</v>
          </cell>
          <cell r="BX60">
            <v>0</v>
          </cell>
          <cell r="BY60">
            <v>22.5</v>
          </cell>
          <cell r="BZ60">
            <v>23</v>
          </cell>
          <cell r="CA60">
            <v>46</v>
          </cell>
          <cell r="CB60">
            <v>0</v>
          </cell>
          <cell r="CC60">
            <v>0</v>
          </cell>
          <cell r="CD60">
            <v>22.5</v>
          </cell>
          <cell r="CE60">
            <v>26</v>
          </cell>
          <cell r="CF60">
            <v>71.5</v>
          </cell>
          <cell r="CG60">
            <v>0</v>
          </cell>
          <cell r="CH60">
            <v>0</v>
          </cell>
          <cell r="CI60">
            <v>22.136363636363637</v>
          </cell>
          <cell r="CJ60">
            <v>27</v>
          </cell>
          <cell r="CK60">
            <v>81</v>
          </cell>
          <cell r="CL60">
            <v>0</v>
          </cell>
          <cell r="CM60">
            <v>0</v>
          </cell>
          <cell r="CN60">
            <v>26.666666666666668</v>
          </cell>
          <cell r="CO60">
            <v>29</v>
          </cell>
          <cell r="CP60">
            <v>87</v>
          </cell>
          <cell r="CQ60">
            <v>0</v>
          </cell>
          <cell r="CR60">
            <v>0</v>
          </cell>
          <cell r="CS60">
            <v>28.666666666666668</v>
          </cell>
          <cell r="CT60">
            <v>27</v>
          </cell>
          <cell r="CU60">
            <v>81</v>
          </cell>
          <cell r="CV60">
            <v>0</v>
          </cell>
          <cell r="CW60">
            <v>0</v>
          </cell>
          <cell r="CX60">
            <v>26.666666666666668</v>
          </cell>
          <cell r="CY60">
            <v>27</v>
          </cell>
          <cell r="CZ60">
            <v>81</v>
          </cell>
          <cell r="DA60">
            <v>0</v>
          </cell>
          <cell r="DB60">
            <v>0</v>
          </cell>
          <cell r="DC60">
            <v>26.666666666666668</v>
          </cell>
          <cell r="DD60">
            <v>27</v>
          </cell>
          <cell r="DE60">
            <v>78</v>
          </cell>
          <cell r="DF60">
            <v>0</v>
          </cell>
          <cell r="DG60">
            <v>0</v>
          </cell>
          <cell r="DH60">
            <v>26.666666666666668</v>
          </cell>
          <cell r="DI60">
            <v>27</v>
          </cell>
          <cell r="DJ60">
            <v>80</v>
          </cell>
          <cell r="DK60">
            <v>0</v>
          </cell>
          <cell r="DL60">
            <v>0</v>
          </cell>
          <cell r="DM60">
            <v>26.333333333333336</v>
          </cell>
          <cell r="DN60">
            <v>28</v>
          </cell>
          <cell r="DO60">
            <v>83</v>
          </cell>
          <cell r="DP60">
            <v>0</v>
          </cell>
          <cell r="DQ60">
            <v>0</v>
          </cell>
          <cell r="DR60">
            <v>27.666666666666668</v>
          </cell>
          <cell r="DS60">
            <v>27.666666666666668</v>
          </cell>
          <cell r="DT60">
            <v>82.000000000000014</v>
          </cell>
          <cell r="DU60">
            <v>0</v>
          </cell>
          <cell r="DV60">
            <v>0</v>
          </cell>
          <cell r="DW60">
            <v>27.333333333333336</v>
          </cell>
          <cell r="DX60">
            <v>27.333333333333336</v>
          </cell>
          <cell r="DY60">
            <v>81.000000000000014</v>
          </cell>
          <cell r="DZ60">
            <v>0</v>
          </cell>
          <cell r="EA60">
            <v>0</v>
          </cell>
          <cell r="EB60">
            <v>27.000000000000004</v>
          </cell>
          <cell r="EC60">
            <v>27.000000000000004</v>
          </cell>
          <cell r="ED60">
            <v>80.000000000000014</v>
          </cell>
          <cell r="EE60">
            <v>0</v>
          </cell>
          <cell r="EF60">
            <v>0</v>
          </cell>
          <cell r="EG60">
            <v>26.666666666666671</v>
          </cell>
          <cell r="EH60">
            <v>26.666666666666671</v>
          </cell>
          <cell r="EI60">
            <v>79.000000000000014</v>
          </cell>
          <cell r="EJ60">
            <v>0</v>
          </cell>
          <cell r="EK60">
            <v>0</v>
          </cell>
          <cell r="EL60">
            <v>26.333333333333339</v>
          </cell>
          <cell r="EM60">
            <v>26.333333333333339</v>
          </cell>
          <cell r="EN60">
            <v>78.000000000000028</v>
          </cell>
          <cell r="EO60">
            <v>0</v>
          </cell>
          <cell r="EP60">
            <v>0</v>
          </cell>
          <cell r="EQ60">
            <v>26.000000000000007</v>
          </cell>
          <cell r="ER60">
            <v>26.000000000000007</v>
          </cell>
          <cell r="ES60">
            <v>77.000000000000028</v>
          </cell>
          <cell r="ET60">
            <v>0</v>
          </cell>
          <cell r="EU60">
            <v>0</v>
          </cell>
          <cell r="EV60">
            <v>25.666666666666675</v>
          </cell>
          <cell r="EW60">
            <v>25.666666666666675</v>
          </cell>
          <cell r="EX60">
            <v>76.000000000000028</v>
          </cell>
          <cell r="EY60">
            <v>0</v>
          </cell>
          <cell r="EZ60">
            <v>0</v>
          </cell>
          <cell r="FA60">
            <v>25.333333333333343</v>
          </cell>
          <cell r="FB60">
            <v>25.333333333333343</v>
          </cell>
          <cell r="FC60">
            <v>75.000000000000028</v>
          </cell>
          <cell r="FD60">
            <v>0</v>
          </cell>
          <cell r="FE60">
            <v>0</v>
          </cell>
          <cell r="FF60">
            <v>25.000000000000011</v>
          </cell>
          <cell r="FG60">
            <v>25.000000000000011</v>
          </cell>
          <cell r="FH60">
            <v>74.000000000000043</v>
          </cell>
          <cell r="FI60">
            <v>0</v>
          </cell>
          <cell r="FJ60">
            <v>0</v>
          </cell>
          <cell r="FK60">
            <v>24.666666666666679</v>
          </cell>
          <cell r="FL60">
            <v>24.666666666666679</v>
          </cell>
          <cell r="FM60">
            <v>73.000000000000043</v>
          </cell>
          <cell r="FN60">
            <v>0</v>
          </cell>
          <cell r="FO60">
            <v>0</v>
          </cell>
          <cell r="FP60">
            <v>24.333333333333346</v>
          </cell>
          <cell r="FQ60">
            <v>24.333333333333346</v>
          </cell>
          <cell r="FR60">
            <v>72.000000000000043</v>
          </cell>
          <cell r="FS60">
            <v>0</v>
          </cell>
          <cell r="FT60">
            <v>1</v>
          </cell>
          <cell r="FU60">
            <v>2.0333333333333332</v>
          </cell>
          <cell r="FW60" t="str">
            <v>SIN ROTACIÓN</v>
          </cell>
          <cell r="FX60" t="str">
            <v>C</v>
          </cell>
          <cell r="FY60" t="str">
            <v>Si</v>
          </cell>
        </row>
        <row r="61">
          <cell r="B61" t="str">
            <v>REP-0060</v>
          </cell>
          <cell r="C61" t="str">
            <v>MIX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3</v>
          </cell>
          <cell r="I61">
            <v>3</v>
          </cell>
          <cell r="J61">
            <v>0</v>
          </cell>
          <cell r="K61">
            <v>2</v>
          </cell>
          <cell r="L61">
            <v>4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15</v>
          </cell>
          <cell r="AA61">
            <v>15</v>
          </cell>
          <cell r="AB61">
            <v>7</v>
          </cell>
          <cell r="AC61">
            <v>0.5</v>
          </cell>
          <cell r="AD61">
            <v>1.6666666666666666E-2</v>
          </cell>
          <cell r="AE61">
            <v>0.83333333333333337</v>
          </cell>
          <cell r="AF61">
            <v>0.25</v>
          </cell>
          <cell r="AG61">
            <v>0.33333333333333331</v>
          </cell>
          <cell r="AH61">
            <v>0.33333333333333331</v>
          </cell>
          <cell r="AI61">
            <v>0</v>
          </cell>
          <cell r="AJ61">
            <v>0</v>
          </cell>
          <cell r="AK61">
            <v>0.33333333333333331</v>
          </cell>
          <cell r="AL61">
            <v>0.19245008972987526</v>
          </cell>
          <cell r="AM61">
            <v>0.16666666666666666</v>
          </cell>
          <cell r="AN61">
            <v>1.1547005383792517</v>
          </cell>
          <cell r="AO61">
            <v>0</v>
          </cell>
          <cell r="AP61">
            <v>22.666666666666668</v>
          </cell>
          <cell r="AQ61">
            <v>68.000000000000014</v>
          </cell>
          <cell r="AR61">
            <v>0</v>
          </cell>
          <cell r="AS61">
            <v>22.333333333333336</v>
          </cell>
          <cell r="AT61">
            <v>21</v>
          </cell>
          <cell r="AU61">
            <v>63</v>
          </cell>
          <cell r="AV61">
            <v>0</v>
          </cell>
          <cell r="AW61">
            <v>20.666666666666668</v>
          </cell>
          <cell r="AX61">
            <v>20</v>
          </cell>
          <cell r="AY61">
            <v>60</v>
          </cell>
          <cell r="AZ61">
            <v>0</v>
          </cell>
          <cell r="BA61">
            <v>19.5</v>
          </cell>
          <cell r="BB61">
            <v>14</v>
          </cell>
          <cell r="BC61">
            <v>42</v>
          </cell>
          <cell r="BD61">
            <v>0</v>
          </cell>
          <cell r="BE61">
            <v>13.666666666666666</v>
          </cell>
          <cell r="BF61">
            <v>41</v>
          </cell>
          <cell r="BG61">
            <v>0</v>
          </cell>
          <cell r="BH61">
            <v>13.333333333333332</v>
          </cell>
          <cell r="BI61">
            <v>15</v>
          </cell>
          <cell r="BJ61">
            <v>45</v>
          </cell>
          <cell r="BK61">
            <v>0</v>
          </cell>
          <cell r="BL61">
            <v>12.666666666666666</v>
          </cell>
          <cell r="BM61">
            <v>16</v>
          </cell>
          <cell r="BN61">
            <v>48</v>
          </cell>
          <cell r="BO61">
            <v>0</v>
          </cell>
          <cell r="BP61">
            <v>15.666666666666666</v>
          </cell>
          <cell r="BQ61">
            <v>13</v>
          </cell>
          <cell r="BR61">
            <v>39</v>
          </cell>
          <cell r="BS61">
            <v>0</v>
          </cell>
          <cell r="BT61">
            <v>12.666666666666666</v>
          </cell>
          <cell r="BU61">
            <v>13</v>
          </cell>
          <cell r="BV61">
            <v>39</v>
          </cell>
          <cell r="BW61">
            <v>0</v>
          </cell>
          <cell r="BX61">
            <v>0</v>
          </cell>
          <cell r="BY61">
            <v>12.666666666666666</v>
          </cell>
          <cell r="BZ61">
            <v>13</v>
          </cell>
          <cell r="CA61">
            <v>39</v>
          </cell>
          <cell r="CB61">
            <v>0</v>
          </cell>
          <cell r="CC61">
            <v>0</v>
          </cell>
          <cell r="CD61">
            <v>12.666666666666666</v>
          </cell>
          <cell r="CE61">
            <v>15</v>
          </cell>
          <cell r="CF61">
            <v>45</v>
          </cell>
          <cell r="CG61">
            <v>0</v>
          </cell>
          <cell r="CH61">
            <v>0</v>
          </cell>
          <cell r="CI61">
            <v>12.333333333333332</v>
          </cell>
          <cell r="CJ61">
            <v>13</v>
          </cell>
          <cell r="CK61">
            <v>39</v>
          </cell>
          <cell r="CL61">
            <v>0</v>
          </cell>
          <cell r="CM61">
            <v>0</v>
          </cell>
          <cell r="CN61">
            <v>12.666666666666666</v>
          </cell>
          <cell r="CO61">
            <v>14</v>
          </cell>
          <cell r="CP61">
            <v>42</v>
          </cell>
          <cell r="CQ61">
            <v>0</v>
          </cell>
          <cell r="CR61">
            <v>0</v>
          </cell>
          <cell r="CS61">
            <v>13.666666666666666</v>
          </cell>
          <cell r="CT61">
            <v>12</v>
          </cell>
          <cell r="CU61">
            <v>36</v>
          </cell>
          <cell r="CV61">
            <v>0</v>
          </cell>
          <cell r="CW61">
            <v>0</v>
          </cell>
          <cell r="CX61">
            <v>11.666666666666666</v>
          </cell>
          <cell r="CY61">
            <v>12</v>
          </cell>
          <cell r="CZ61">
            <v>36</v>
          </cell>
          <cell r="DA61">
            <v>0</v>
          </cell>
          <cell r="DB61">
            <v>0</v>
          </cell>
          <cell r="DC61">
            <v>11.666666666666666</v>
          </cell>
          <cell r="DD61">
            <v>12</v>
          </cell>
          <cell r="DE61">
            <v>33</v>
          </cell>
          <cell r="DF61">
            <v>0</v>
          </cell>
          <cell r="DG61">
            <v>0</v>
          </cell>
          <cell r="DH61">
            <v>11.666666666666666</v>
          </cell>
          <cell r="DI61">
            <v>12</v>
          </cell>
          <cell r="DJ61">
            <v>35</v>
          </cell>
          <cell r="DK61">
            <v>0</v>
          </cell>
          <cell r="DL61">
            <v>0</v>
          </cell>
          <cell r="DM61">
            <v>11.333333333333332</v>
          </cell>
          <cell r="DN61">
            <v>15</v>
          </cell>
          <cell r="DO61">
            <v>44</v>
          </cell>
          <cell r="DP61">
            <v>0</v>
          </cell>
          <cell r="DQ61">
            <v>0</v>
          </cell>
          <cell r="DR61">
            <v>14.666666666666666</v>
          </cell>
          <cell r="DS61">
            <v>14.666666666666666</v>
          </cell>
          <cell r="DT61">
            <v>43</v>
          </cell>
          <cell r="DU61">
            <v>0</v>
          </cell>
          <cell r="DV61">
            <v>0</v>
          </cell>
          <cell r="DW61">
            <v>14.333333333333332</v>
          </cell>
          <cell r="DX61">
            <v>14.333333333333332</v>
          </cell>
          <cell r="DY61">
            <v>42</v>
          </cell>
          <cell r="DZ61">
            <v>0</v>
          </cell>
          <cell r="EA61">
            <v>0</v>
          </cell>
          <cell r="EB61">
            <v>13.999999999999998</v>
          </cell>
          <cell r="EC61">
            <v>13.999999999999998</v>
          </cell>
          <cell r="ED61">
            <v>41</v>
          </cell>
          <cell r="EE61">
            <v>0</v>
          </cell>
          <cell r="EF61">
            <v>0</v>
          </cell>
          <cell r="EG61">
            <v>13.666666666666664</v>
          </cell>
          <cell r="EH61">
            <v>13.666666666666664</v>
          </cell>
          <cell r="EI61">
            <v>39.999999999999993</v>
          </cell>
          <cell r="EJ61">
            <v>0</v>
          </cell>
          <cell r="EK61">
            <v>0</v>
          </cell>
          <cell r="EL61">
            <v>13.33333333333333</v>
          </cell>
          <cell r="EM61">
            <v>13.33333333333333</v>
          </cell>
          <cell r="EN61">
            <v>38.999999999999993</v>
          </cell>
          <cell r="EO61">
            <v>0</v>
          </cell>
          <cell r="EP61">
            <v>0</v>
          </cell>
          <cell r="EQ61">
            <v>12.999999999999996</v>
          </cell>
          <cell r="ER61">
            <v>12.999999999999996</v>
          </cell>
          <cell r="ES61">
            <v>37.999999999999993</v>
          </cell>
          <cell r="ET61">
            <v>0</v>
          </cell>
          <cell r="EU61">
            <v>0</v>
          </cell>
          <cell r="EV61">
            <v>12.666666666666663</v>
          </cell>
          <cell r="EW61">
            <v>12.666666666666663</v>
          </cell>
          <cell r="EX61">
            <v>36.999999999999993</v>
          </cell>
          <cell r="EY61">
            <v>0</v>
          </cell>
          <cell r="EZ61">
            <v>0</v>
          </cell>
          <cell r="FA61">
            <v>12.333333333333329</v>
          </cell>
          <cell r="FB61">
            <v>12.333333333333329</v>
          </cell>
          <cell r="FC61">
            <v>35.999999999999986</v>
          </cell>
          <cell r="FD61">
            <v>0</v>
          </cell>
          <cell r="FE61">
            <v>0</v>
          </cell>
          <cell r="FF61">
            <v>11.999999999999995</v>
          </cell>
          <cell r="FG61">
            <v>11.999999999999995</v>
          </cell>
          <cell r="FH61">
            <v>34.999999999999986</v>
          </cell>
          <cell r="FI61">
            <v>0</v>
          </cell>
          <cell r="FJ61">
            <v>0</v>
          </cell>
          <cell r="FK61">
            <v>11.666666666666661</v>
          </cell>
          <cell r="FL61">
            <v>11.666666666666661</v>
          </cell>
          <cell r="FM61">
            <v>33.999999999999986</v>
          </cell>
          <cell r="FN61">
            <v>0</v>
          </cell>
          <cell r="FO61">
            <v>0</v>
          </cell>
          <cell r="FP61">
            <v>11.333333333333327</v>
          </cell>
          <cell r="FQ61">
            <v>11.333333333333327</v>
          </cell>
          <cell r="FR61">
            <v>32.999999999999986</v>
          </cell>
          <cell r="FS61">
            <v>0</v>
          </cell>
          <cell r="FT61">
            <v>1</v>
          </cell>
          <cell r="FU61">
            <v>2.0333333333333332</v>
          </cell>
          <cell r="FW61" t="str">
            <v>SIN ROTACIÓN</v>
          </cell>
          <cell r="FX61" t="str">
            <v>C</v>
          </cell>
          <cell r="FY61" t="str">
            <v>Si</v>
          </cell>
        </row>
        <row r="62">
          <cell r="B62" t="str">
            <v>REP-0061</v>
          </cell>
          <cell r="C62" t="str">
            <v>MIX</v>
          </cell>
          <cell r="D62">
            <v>0</v>
          </cell>
          <cell r="E62">
            <v>37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40</v>
          </cell>
          <cell r="AA62">
            <v>40</v>
          </cell>
          <cell r="AB62">
            <v>2</v>
          </cell>
          <cell r="AC62">
            <v>0.33333333333333331</v>
          </cell>
          <cell r="AD62">
            <v>1.111111111111111E-2</v>
          </cell>
          <cell r="AE62">
            <v>0.25</v>
          </cell>
          <cell r="AF62">
            <v>0.33333333333333331</v>
          </cell>
          <cell r="AG62">
            <v>8.3333333333333329E-2</v>
          </cell>
          <cell r="AH62">
            <v>0.33333333333333331</v>
          </cell>
          <cell r="AI62">
            <v>0</v>
          </cell>
          <cell r="AJ62">
            <v>0</v>
          </cell>
          <cell r="AK62">
            <v>0.33333333333333331</v>
          </cell>
          <cell r="AL62">
            <v>0.15774745405000762</v>
          </cell>
          <cell r="AM62">
            <v>0.10416666666666666</v>
          </cell>
          <cell r="AN62">
            <v>1.5143755588800734</v>
          </cell>
          <cell r="AO62">
            <v>0</v>
          </cell>
          <cell r="AP62">
            <v>4.666666666666667</v>
          </cell>
          <cell r="AQ62">
            <v>14.000000000000002</v>
          </cell>
          <cell r="AR62">
            <v>0</v>
          </cell>
          <cell r="AS62">
            <v>4.3333333333333339</v>
          </cell>
          <cell r="AT62">
            <v>5</v>
          </cell>
          <cell r="AU62">
            <v>30</v>
          </cell>
          <cell r="AV62">
            <v>0</v>
          </cell>
          <cell r="AW62">
            <v>4.833333333333333</v>
          </cell>
          <cell r="AX62">
            <v>4</v>
          </cell>
          <cell r="AY62">
            <v>12</v>
          </cell>
          <cell r="AZ62">
            <v>0</v>
          </cell>
          <cell r="BA62">
            <v>3.8333333333333335</v>
          </cell>
          <cell r="BB62">
            <v>4</v>
          </cell>
          <cell r="BC62">
            <v>12</v>
          </cell>
          <cell r="BD62">
            <v>0</v>
          </cell>
          <cell r="BE62">
            <v>3.6666666666666665</v>
          </cell>
          <cell r="BF62">
            <v>11</v>
          </cell>
          <cell r="BG62">
            <v>0</v>
          </cell>
          <cell r="BH62">
            <v>3.333333333333333</v>
          </cell>
          <cell r="BI62">
            <v>40</v>
          </cell>
          <cell r="BJ62">
            <v>120</v>
          </cell>
          <cell r="BK62">
            <v>0</v>
          </cell>
          <cell r="BL62">
            <v>1.5</v>
          </cell>
          <cell r="BM62">
            <v>2</v>
          </cell>
          <cell r="BN62">
            <v>4</v>
          </cell>
          <cell r="BO62">
            <v>0</v>
          </cell>
          <cell r="BP62">
            <v>1.5</v>
          </cell>
          <cell r="BQ62">
            <v>2</v>
          </cell>
          <cell r="BR62">
            <v>6</v>
          </cell>
          <cell r="BS62">
            <v>0</v>
          </cell>
          <cell r="BT62">
            <v>1.5</v>
          </cell>
          <cell r="BU62">
            <v>2</v>
          </cell>
          <cell r="BV62">
            <v>6</v>
          </cell>
          <cell r="BW62">
            <v>0</v>
          </cell>
          <cell r="BX62">
            <v>0</v>
          </cell>
          <cell r="BY62">
            <v>1.6666666666666667</v>
          </cell>
          <cell r="BZ62">
            <v>2</v>
          </cell>
          <cell r="CA62">
            <v>6</v>
          </cell>
          <cell r="CB62">
            <v>0</v>
          </cell>
          <cell r="CC62">
            <v>0</v>
          </cell>
          <cell r="CD62">
            <v>6.666666666666667</v>
          </cell>
          <cell r="CE62">
            <v>1</v>
          </cell>
          <cell r="CF62">
            <v>2.75</v>
          </cell>
          <cell r="CG62">
            <v>1</v>
          </cell>
          <cell r="CH62">
            <v>5</v>
          </cell>
          <cell r="CI62">
            <v>7.3030303030303036</v>
          </cell>
          <cell r="CJ62">
            <v>6</v>
          </cell>
          <cell r="CK62">
            <v>18</v>
          </cell>
          <cell r="CL62">
            <v>0</v>
          </cell>
          <cell r="CM62">
            <v>35</v>
          </cell>
          <cell r="CN62">
            <v>40.666666666666664</v>
          </cell>
          <cell r="CO62">
            <v>41</v>
          </cell>
          <cell r="CP62">
            <v>123</v>
          </cell>
          <cell r="CQ62">
            <v>0</v>
          </cell>
          <cell r="CR62">
            <v>0</v>
          </cell>
          <cell r="CS62">
            <v>40.666666666666664</v>
          </cell>
          <cell r="CT62">
            <v>41</v>
          </cell>
          <cell r="CU62">
            <v>123</v>
          </cell>
          <cell r="CV62">
            <v>0</v>
          </cell>
          <cell r="CW62">
            <v>0</v>
          </cell>
          <cell r="CX62">
            <v>40.666666666666664</v>
          </cell>
          <cell r="CY62">
            <v>41</v>
          </cell>
          <cell r="CZ62">
            <v>123</v>
          </cell>
          <cell r="DA62">
            <v>0</v>
          </cell>
          <cell r="DB62">
            <v>0</v>
          </cell>
          <cell r="DC62">
            <v>40.666666666666664</v>
          </cell>
          <cell r="DD62">
            <v>41</v>
          </cell>
          <cell r="DE62">
            <v>120</v>
          </cell>
          <cell r="DF62">
            <v>0</v>
          </cell>
          <cell r="DG62">
            <v>0</v>
          </cell>
          <cell r="DH62">
            <v>40.666666666666664</v>
          </cell>
          <cell r="DI62">
            <v>41</v>
          </cell>
          <cell r="DJ62">
            <v>122</v>
          </cell>
          <cell r="DK62">
            <v>0</v>
          </cell>
          <cell r="DL62">
            <v>0</v>
          </cell>
          <cell r="DM62">
            <v>40.333333333333329</v>
          </cell>
          <cell r="DN62">
            <v>40</v>
          </cell>
          <cell r="DO62">
            <v>119</v>
          </cell>
          <cell r="DP62">
            <v>0</v>
          </cell>
          <cell r="DQ62">
            <v>0</v>
          </cell>
          <cell r="DR62">
            <v>39.666666666666664</v>
          </cell>
          <cell r="DS62">
            <v>39.666666666666664</v>
          </cell>
          <cell r="DT62">
            <v>118</v>
          </cell>
          <cell r="DU62">
            <v>0</v>
          </cell>
          <cell r="DV62">
            <v>0</v>
          </cell>
          <cell r="DW62">
            <v>39.333333333333329</v>
          </cell>
          <cell r="DX62">
            <v>39.333333333333329</v>
          </cell>
          <cell r="DY62">
            <v>116.99999999999999</v>
          </cell>
          <cell r="DZ62">
            <v>0</v>
          </cell>
          <cell r="EA62">
            <v>0</v>
          </cell>
          <cell r="EB62">
            <v>38.999999999999993</v>
          </cell>
          <cell r="EC62">
            <v>38.999999999999993</v>
          </cell>
          <cell r="ED62">
            <v>115.99999999999999</v>
          </cell>
          <cell r="EE62">
            <v>0</v>
          </cell>
          <cell r="EF62">
            <v>0</v>
          </cell>
          <cell r="EG62">
            <v>38.666666666666657</v>
          </cell>
          <cell r="EH62">
            <v>38.666666666666657</v>
          </cell>
          <cell r="EI62">
            <v>114.99999999999997</v>
          </cell>
          <cell r="EJ62">
            <v>0</v>
          </cell>
          <cell r="EK62">
            <v>0</v>
          </cell>
          <cell r="EL62">
            <v>38.333333333333321</v>
          </cell>
          <cell r="EM62">
            <v>38.333333333333321</v>
          </cell>
          <cell r="EN62">
            <v>113.99999999999997</v>
          </cell>
          <cell r="EO62">
            <v>0</v>
          </cell>
          <cell r="EP62">
            <v>0</v>
          </cell>
          <cell r="EQ62">
            <v>37.999999999999986</v>
          </cell>
          <cell r="ER62">
            <v>37.999999999999986</v>
          </cell>
          <cell r="ES62">
            <v>112.99999999999996</v>
          </cell>
          <cell r="ET62">
            <v>0</v>
          </cell>
          <cell r="EU62">
            <v>0</v>
          </cell>
          <cell r="EV62">
            <v>37.66666666666665</v>
          </cell>
          <cell r="EW62">
            <v>37.66666666666665</v>
          </cell>
          <cell r="EX62">
            <v>111.99999999999996</v>
          </cell>
          <cell r="EY62">
            <v>0</v>
          </cell>
          <cell r="EZ62">
            <v>0</v>
          </cell>
          <cell r="FA62">
            <v>37.333333333333314</v>
          </cell>
          <cell r="FB62">
            <v>37.333333333333314</v>
          </cell>
          <cell r="FC62">
            <v>110.99999999999994</v>
          </cell>
          <cell r="FD62">
            <v>0</v>
          </cell>
          <cell r="FE62">
            <v>0</v>
          </cell>
          <cell r="FF62">
            <v>36.999999999999979</v>
          </cell>
          <cell r="FG62">
            <v>36.999999999999979</v>
          </cell>
          <cell r="FH62">
            <v>109.99999999999994</v>
          </cell>
          <cell r="FI62">
            <v>0</v>
          </cell>
          <cell r="FJ62">
            <v>0</v>
          </cell>
          <cell r="FK62">
            <v>36.666666666666643</v>
          </cell>
          <cell r="FL62">
            <v>36.666666666666643</v>
          </cell>
          <cell r="FM62">
            <v>108.99999999999993</v>
          </cell>
          <cell r="FN62">
            <v>0</v>
          </cell>
          <cell r="FO62">
            <v>0</v>
          </cell>
          <cell r="FP62">
            <v>36.333333333333307</v>
          </cell>
          <cell r="FQ62">
            <v>36.333333333333307</v>
          </cell>
          <cell r="FR62">
            <v>107.99999999999993</v>
          </cell>
          <cell r="FS62">
            <v>0</v>
          </cell>
          <cell r="FT62">
            <v>1</v>
          </cell>
          <cell r="FU62">
            <v>2.0333333333333332</v>
          </cell>
          <cell r="FW62" t="str">
            <v>SIN ROTACIÓN</v>
          </cell>
          <cell r="FX62" t="str">
            <v>C</v>
          </cell>
          <cell r="FY62" t="str">
            <v>Si</v>
          </cell>
        </row>
        <row r="63">
          <cell r="B63" t="str">
            <v>REP-0062</v>
          </cell>
          <cell r="C63" t="str">
            <v>MIX</v>
          </cell>
          <cell r="D63">
            <v>0</v>
          </cell>
          <cell r="E63">
            <v>25</v>
          </cell>
          <cell r="F63">
            <v>0</v>
          </cell>
          <cell r="G63">
            <v>0</v>
          </cell>
          <cell r="H63">
            <v>7</v>
          </cell>
          <cell r="I63">
            <v>7</v>
          </cell>
          <cell r="J63">
            <v>0</v>
          </cell>
          <cell r="K63">
            <v>3</v>
          </cell>
          <cell r="L63">
            <v>3</v>
          </cell>
          <cell r="M63">
            <v>1</v>
          </cell>
          <cell r="N63">
            <v>1</v>
          </cell>
          <cell r="O63">
            <v>1</v>
          </cell>
          <cell r="P63">
            <v>2</v>
          </cell>
          <cell r="Q63">
            <v>0</v>
          </cell>
          <cell r="R63">
            <v>1</v>
          </cell>
          <cell r="S63">
            <v>1</v>
          </cell>
          <cell r="T63">
            <v>0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56</v>
          </cell>
          <cell r="AA63">
            <v>56</v>
          </cell>
          <cell r="AB63">
            <v>12</v>
          </cell>
          <cell r="AC63">
            <v>2.5</v>
          </cell>
          <cell r="AD63">
            <v>8.3333333333333329E-2</v>
          </cell>
          <cell r="AE63">
            <v>2.25</v>
          </cell>
          <cell r="AF63">
            <v>3.5</v>
          </cell>
          <cell r="AG63">
            <v>4</v>
          </cell>
          <cell r="AH63">
            <v>1.9166666666666667</v>
          </cell>
          <cell r="AI63">
            <v>2.3333333333333335</v>
          </cell>
          <cell r="AJ63">
            <v>2.3333333333333335</v>
          </cell>
          <cell r="AK63">
            <v>2.6458333333333335</v>
          </cell>
          <cell r="AL63">
            <v>0.92389824275347721</v>
          </cell>
          <cell r="AM63">
            <v>2.6458333333333335</v>
          </cell>
          <cell r="AN63">
            <v>0.34918988702493625</v>
          </cell>
          <cell r="AO63">
            <v>0</v>
          </cell>
          <cell r="AP63">
            <v>12</v>
          </cell>
          <cell r="AQ63">
            <v>2.0000000000000004</v>
          </cell>
          <cell r="AR63">
            <v>0</v>
          </cell>
          <cell r="AS63">
            <v>20.333333333333336</v>
          </cell>
          <cell r="AT63">
            <v>21</v>
          </cell>
          <cell r="AU63">
            <v>3.9375</v>
          </cell>
          <cell r="AV63">
            <v>0</v>
          </cell>
          <cell r="AW63">
            <v>15.666666666666668</v>
          </cell>
          <cell r="AX63">
            <v>22</v>
          </cell>
          <cell r="AY63">
            <v>8.3149606299212593</v>
          </cell>
          <cell r="AZ63">
            <v>0</v>
          </cell>
          <cell r="BA63">
            <v>31.666666666666668</v>
          </cell>
          <cell r="BB63">
            <v>18</v>
          </cell>
          <cell r="BC63">
            <v>4.1538461538461542</v>
          </cell>
          <cell r="BD63">
            <v>0</v>
          </cell>
          <cell r="BE63">
            <v>13.666666666666668</v>
          </cell>
          <cell r="BF63">
            <v>3.1538461538461542</v>
          </cell>
          <cell r="BG63">
            <v>15</v>
          </cell>
          <cell r="BH63">
            <v>24.333333333333336</v>
          </cell>
          <cell r="BI63">
            <v>56</v>
          </cell>
          <cell r="BJ63">
            <v>21.165354330708659</v>
          </cell>
          <cell r="BK63">
            <v>0</v>
          </cell>
          <cell r="BL63">
            <v>26</v>
          </cell>
          <cell r="BM63">
            <v>31</v>
          </cell>
          <cell r="BN63">
            <v>7.75</v>
          </cell>
          <cell r="BO63">
            <v>0</v>
          </cell>
          <cell r="BP63">
            <v>27</v>
          </cell>
          <cell r="BQ63">
            <v>26</v>
          </cell>
          <cell r="BR63">
            <v>9.8267716535433074</v>
          </cell>
          <cell r="BS63">
            <v>0</v>
          </cell>
          <cell r="BT63">
            <v>22</v>
          </cell>
          <cell r="BU63">
            <v>25</v>
          </cell>
          <cell r="BV63">
            <v>6.25</v>
          </cell>
          <cell r="BW63">
            <v>7</v>
          </cell>
          <cell r="BX63">
            <v>0</v>
          </cell>
          <cell r="BY63">
            <v>21</v>
          </cell>
          <cell r="BZ63">
            <v>25</v>
          </cell>
          <cell r="CA63">
            <v>6.25</v>
          </cell>
          <cell r="CB63">
            <v>7</v>
          </cell>
          <cell r="CC63">
            <v>0</v>
          </cell>
          <cell r="CD63">
            <v>41</v>
          </cell>
          <cell r="CE63">
            <v>25</v>
          </cell>
          <cell r="CF63">
            <v>6.25</v>
          </cell>
          <cell r="CG63">
            <v>7</v>
          </cell>
          <cell r="CH63">
            <v>20</v>
          </cell>
          <cell r="CI63">
            <v>44</v>
          </cell>
          <cell r="CJ63">
            <v>45</v>
          </cell>
          <cell r="CK63">
            <v>11.25</v>
          </cell>
          <cell r="CL63">
            <v>0</v>
          </cell>
          <cell r="CM63">
            <v>20</v>
          </cell>
          <cell r="CN63">
            <v>61</v>
          </cell>
          <cell r="CO63">
            <v>62</v>
          </cell>
          <cell r="CP63">
            <v>15.5</v>
          </cell>
          <cell r="CQ63">
            <v>0</v>
          </cell>
          <cell r="CR63">
            <v>0</v>
          </cell>
          <cell r="CS63">
            <v>58</v>
          </cell>
          <cell r="CT63">
            <v>61</v>
          </cell>
          <cell r="CU63">
            <v>15.25</v>
          </cell>
          <cell r="CV63">
            <v>0</v>
          </cell>
          <cell r="CW63">
            <v>0</v>
          </cell>
          <cell r="CX63">
            <v>57</v>
          </cell>
          <cell r="CY63">
            <v>58</v>
          </cell>
          <cell r="CZ63">
            <v>14.5</v>
          </cell>
          <cell r="DA63">
            <v>0</v>
          </cell>
          <cell r="DB63">
            <v>0</v>
          </cell>
          <cell r="DC63">
            <v>55.4375</v>
          </cell>
          <cell r="DD63">
            <v>55</v>
          </cell>
          <cell r="DE63">
            <v>14.644067796610168</v>
          </cell>
          <cell r="DF63">
            <v>0</v>
          </cell>
          <cell r="DG63">
            <v>0</v>
          </cell>
          <cell r="DH63">
            <v>52.541666666666664</v>
          </cell>
          <cell r="DI63">
            <v>51</v>
          </cell>
          <cell r="DJ63">
            <v>13.797235023041475</v>
          </cell>
          <cell r="DK63">
            <v>0</v>
          </cell>
          <cell r="DL63">
            <v>0</v>
          </cell>
          <cell r="DM63">
            <v>49.829166666666666</v>
          </cell>
          <cell r="DN63">
            <v>56</v>
          </cell>
          <cell r="DO63">
            <v>15.984251968503937</v>
          </cell>
          <cell r="DP63">
            <v>0</v>
          </cell>
          <cell r="DQ63">
            <v>0</v>
          </cell>
          <cell r="DR63">
            <v>53.354166666666664</v>
          </cell>
          <cell r="DS63">
            <v>53.354166666666664</v>
          </cell>
          <cell r="DT63">
            <v>14.984251968503935</v>
          </cell>
          <cell r="DU63">
            <v>0</v>
          </cell>
          <cell r="DV63">
            <v>0</v>
          </cell>
          <cell r="DW63">
            <v>50.708333333333329</v>
          </cell>
          <cell r="DX63">
            <v>50.708333333333329</v>
          </cell>
          <cell r="DY63">
            <v>13.984251968503935</v>
          </cell>
          <cell r="DZ63">
            <v>0</v>
          </cell>
          <cell r="EA63">
            <v>0</v>
          </cell>
          <cell r="EB63">
            <v>48.062499999999993</v>
          </cell>
          <cell r="EC63">
            <v>48.062499999999993</v>
          </cell>
          <cell r="ED63">
            <v>12.984251968503933</v>
          </cell>
          <cell r="EE63">
            <v>0</v>
          </cell>
          <cell r="EF63">
            <v>0</v>
          </cell>
          <cell r="EG63">
            <v>45.416666666666657</v>
          </cell>
          <cell r="EH63">
            <v>45.416666666666657</v>
          </cell>
          <cell r="EI63">
            <v>11.984251968503933</v>
          </cell>
          <cell r="EJ63">
            <v>0</v>
          </cell>
          <cell r="EK63">
            <v>0</v>
          </cell>
          <cell r="EL63">
            <v>42.770833333333321</v>
          </cell>
          <cell r="EM63">
            <v>42.770833333333321</v>
          </cell>
          <cell r="EN63">
            <v>10.984251968503932</v>
          </cell>
          <cell r="EO63">
            <v>0</v>
          </cell>
          <cell r="EP63">
            <v>0</v>
          </cell>
          <cell r="EQ63">
            <v>40.124999999999986</v>
          </cell>
          <cell r="ER63">
            <v>40.124999999999986</v>
          </cell>
          <cell r="ES63">
            <v>9.9842519685039299</v>
          </cell>
          <cell r="ET63">
            <v>0</v>
          </cell>
          <cell r="EU63">
            <v>0</v>
          </cell>
          <cell r="EV63">
            <v>37.47916666666665</v>
          </cell>
          <cell r="EW63">
            <v>37.47916666666665</v>
          </cell>
          <cell r="EX63">
            <v>8.9842519685039299</v>
          </cell>
          <cell r="EY63">
            <v>0</v>
          </cell>
          <cell r="EZ63">
            <v>0</v>
          </cell>
          <cell r="FA63">
            <v>34.833333333333314</v>
          </cell>
          <cell r="FB63">
            <v>34.833333333333314</v>
          </cell>
          <cell r="FC63">
            <v>7.9842519685039299</v>
          </cell>
          <cell r="FD63">
            <v>0</v>
          </cell>
          <cell r="FE63">
            <v>0</v>
          </cell>
          <cell r="FF63">
            <v>32.187499999999979</v>
          </cell>
          <cell r="FG63">
            <v>32.187499999999979</v>
          </cell>
          <cell r="FH63">
            <v>6.984251968503929</v>
          </cell>
          <cell r="FI63">
            <v>0</v>
          </cell>
          <cell r="FJ63">
            <v>0</v>
          </cell>
          <cell r="FK63">
            <v>29.541666666666647</v>
          </cell>
          <cell r="FL63">
            <v>29.541666666666647</v>
          </cell>
          <cell r="FM63">
            <v>5.984251968503929</v>
          </cell>
          <cell r="FN63">
            <v>0</v>
          </cell>
          <cell r="FO63">
            <v>0</v>
          </cell>
          <cell r="FP63">
            <v>26.895833333333314</v>
          </cell>
          <cell r="FQ63">
            <v>26.895833333333314</v>
          </cell>
          <cell r="FR63">
            <v>4.9842519685039299</v>
          </cell>
          <cell r="FS63">
            <v>0</v>
          </cell>
          <cell r="FT63">
            <v>19</v>
          </cell>
          <cell r="FU63">
            <v>2.0333333333333332</v>
          </cell>
          <cell r="FW63" t="str">
            <v>SOBRESTOCK</v>
          </cell>
          <cell r="FX63" t="str">
            <v>B</v>
          </cell>
          <cell r="FY63" t="str">
            <v>Si</v>
          </cell>
        </row>
        <row r="64">
          <cell r="B64" t="str">
            <v>REP-0063</v>
          </cell>
          <cell r="C64" t="str">
            <v>MIX</v>
          </cell>
          <cell r="D64">
            <v>0</v>
          </cell>
          <cell r="E64">
            <v>13</v>
          </cell>
          <cell r="F64">
            <v>0</v>
          </cell>
          <cell r="G64">
            <v>0</v>
          </cell>
          <cell r="H64">
            <v>4</v>
          </cell>
          <cell r="I64">
            <v>4</v>
          </cell>
          <cell r="J64">
            <v>0</v>
          </cell>
          <cell r="K64">
            <v>2</v>
          </cell>
          <cell r="L64">
            <v>4</v>
          </cell>
          <cell r="M64">
            <v>0</v>
          </cell>
          <cell r="N64">
            <v>1</v>
          </cell>
          <cell r="O64">
            <v>1</v>
          </cell>
          <cell r="P64">
            <v>2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39</v>
          </cell>
          <cell r="AA64">
            <v>39</v>
          </cell>
          <cell r="AB64">
            <v>0</v>
          </cell>
          <cell r="AC64">
            <v>1.1666666666666667</v>
          </cell>
          <cell r="AD64">
            <v>3.888888888888889E-2</v>
          </cell>
          <cell r="AE64">
            <v>1.5</v>
          </cell>
          <cell r="AF64">
            <v>1.5</v>
          </cell>
          <cell r="AG64">
            <v>1.25</v>
          </cell>
          <cell r="AH64">
            <v>1.4166666666666667</v>
          </cell>
          <cell r="AI64">
            <v>2</v>
          </cell>
          <cell r="AJ64">
            <v>2</v>
          </cell>
          <cell r="AK64">
            <v>2</v>
          </cell>
          <cell r="AL64">
            <v>0.34661057238475595</v>
          </cell>
          <cell r="AM64">
            <v>1.6666666666666667</v>
          </cell>
          <cell r="AN64">
            <v>0.20796634343085357</v>
          </cell>
          <cell r="AO64">
            <v>0</v>
          </cell>
          <cell r="AP64">
            <v>18.5</v>
          </cell>
          <cell r="AQ64">
            <v>12.333333333333334</v>
          </cell>
          <cell r="AR64">
            <v>0</v>
          </cell>
          <cell r="AS64">
            <v>17</v>
          </cell>
          <cell r="AT64">
            <v>16</v>
          </cell>
          <cell r="AU64">
            <v>12.8</v>
          </cell>
          <cell r="AV64">
            <v>0</v>
          </cell>
          <cell r="AW64">
            <v>14.75</v>
          </cell>
          <cell r="AX64">
            <v>14</v>
          </cell>
          <cell r="AY64">
            <v>7</v>
          </cell>
          <cell r="AZ64">
            <v>0</v>
          </cell>
          <cell r="BA64">
            <v>17.75</v>
          </cell>
          <cell r="BB64">
            <v>14</v>
          </cell>
          <cell r="BC64">
            <v>10.5</v>
          </cell>
          <cell r="BD64">
            <v>0</v>
          </cell>
          <cell r="BE64">
            <v>12.666666666666666</v>
          </cell>
          <cell r="BF64">
            <v>9.5</v>
          </cell>
          <cell r="BG64">
            <v>5</v>
          </cell>
          <cell r="BH64">
            <v>16.333333333333332</v>
          </cell>
          <cell r="BI64">
            <v>39</v>
          </cell>
          <cell r="BJ64">
            <v>19.5</v>
          </cell>
          <cell r="BK64">
            <v>0</v>
          </cell>
          <cell r="BL64">
            <v>26.75</v>
          </cell>
          <cell r="BM64">
            <v>26</v>
          </cell>
          <cell r="BN64">
            <v>20.8</v>
          </cell>
          <cell r="BO64">
            <v>0</v>
          </cell>
          <cell r="BP64">
            <v>24.75</v>
          </cell>
          <cell r="BQ64">
            <v>22</v>
          </cell>
          <cell r="BR64">
            <v>11</v>
          </cell>
          <cell r="BS64">
            <v>0</v>
          </cell>
          <cell r="BT64">
            <v>20.333333333333332</v>
          </cell>
          <cell r="BU64">
            <v>21</v>
          </cell>
          <cell r="BV64">
            <v>14</v>
          </cell>
          <cell r="BW64">
            <v>17</v>
          </cell>
          <cell r="BX64">
            <v>0</v>
          </cell>
          <cell r="BY64">
            <v>19.5</v>
          </cell>
          <cell r="BZ64">
            <v>21</v>
          </cell>
          <cell r="CA64">
            <v>14</v>
          </cell>
          <cell r="CB64">
            <v>17</v>
          </cell>
          <cell r="CC64">
            <v>0</v>
          </cell>
          <cell r="CD64">
            <v>49.5</v>
          </cell>
          <cell r="CE64">
            <v>21</v>
          </cell>
          <cell r="CF64">
            <v>14</v>
          </cell>
          <cell r="CG64">
            <v>17</v>
          </cell>
          <cell r="CH64">
            <v>30</v>
          </cell>
          <cell r="CI64">
            <v>65</v>
          </cell>
          <cell r="CJ64">
            <v>50</v>
          </cell>
          <cell r="CK64">
            <v>27.272727272727273</v>
          </cell>
          <cell r="CL64">
            <v>0</v>
          </cell>
          <cell r="CM64">
            <v>0</v>
          </cell>
          <cell r="CN64">
            <v>48.166666666666664</v>
          </cell>
          <cell r="CO64">
            <v>48</v>
          </cell>
          <cell r="CP64">
            <v>24</v>
          </cell>
          <cell r="CQ64">
            <v>0</v>
          </cell>
          <cell r="CR64">
            <v>0</v>
          </cell>
          <cell r="CS64">
            <v>46</v>
          </cell>
          <cell r="CT64">
            <v>46</v>
          </cell>
          <cell r="CU64">
            <v>23</v>
          </cell>
          <cell r="CV64">
            <v>0</v>
          </cell>
          <cell r="CW64">
            <v>0</v>
          </cell>
          <cell r="CX64">
            <v>44</v>
          </cell>
          <cell r="CY64">
            <v>43</v>
          </cell>
          <cell r="CZ64">
            <v>18.428571428571427</v>
          </cell>
          <cell r="DA64">
            <v>0</v>
          </cell>
          <cell r="DB64">
            <v>0</v>
          </cell>
          <cell r="DC64">
            <v>40.75</v>
          </cell>
          <cell r="DD64">
            <v>40</v>
          </cell>
          <cell r="DE64">
            <v>9.3333333333333339</v>
          </cell>
          <cell r="DF64">
            <v>0</v>
          </cell>
          <cell r="DG64">
            <v>0</v>
          </cell>
          <cell r="DH64">
            <v>37.75</v>
          </cell>
          <cell r="DI64">
            <v>38</v>
          </cell>
          <cell r="DJ64">
            <v>10.636363636363635</v>
          </cell>
          <cell r="DK64">
            <v>0</v>
          </cell>
          <cell r="DL64">
            <v>0</v>
          </cell>
          <cell r="DM64">
            <v>35.549999999999997</v>
          </cell>
          <cell r="DN64">
            <v>39</v>
          </cell>
          <cell r="DO64">
            <v>12</v>
          </cell>
          <cell r="DP64">
            <v>0</v>
          </cell>
          <cell r="DQ64">
            <v>0</v>
          </cell>
          <cell r="DR64">
            <v>37</v>
          </cell>
          <cell r="DS64">
            <v>37</v>
          </cell>
          <cell r="DT64">
            <v>11</v>
          </cell>
          <cell r="DU64">
            <v>0</v>
          </cell>
          <cell r="DV64">
            <v>0</v>
          </cell>
          <cell r="DW64">
            <v>35</v>
          </cell>
          <cell r="DX64">
            <v>35</v>
          </cell>
          <cell r="DY64">
            <v>10</v>
          </cell>
          <cell r="DZ64">
            <v>0</v>
          </cell>
          <cell r="EA64">
            <v>0</v>
          </cell>
          <cell r="EB64">
            <v>33</v>
          </cell>
          <cell r="EC64">
            <v>33</v>
          </cell>
          <cell r="ED64">
            <v>9</v>
          </cell>
          <cell r="EE64">
            <v>0</v>
          </cell>
          <cell r="EF64">
            <v>0</v>
          </cell>
          <cell r="EG64">
            <v>31</v>
          </cell>
          <cell r="EH64">
            <v>31</v>
          </cell>
          <cell r="EI64">
            <v>8</v>
          </cell>
          <cell r="EJ64">
            <v>0</v>
          </cell>
          <cell r="EK64">
            <v>0</v>
          </cell>
          <cell r="EL64">
            <v>29</v>
          </cell>
          <cell r="EM64">
            <v>29</v>
          </cell>
          <cell r="EN64">
            <v>7</v>
          </cell>
          <cell r="EO64">
            <v>0</v>
          </cell>
          <cell r="EP64">
            <v>0</v>
          </cell>
          <cell r="EQ64">
            <v>27</v>
          </cell>
          <cell r="ER64">
            <v>27</v>
          </cell>
          <cell r="ES64">
            <v>6</v>
          </cell>
          <cell r="ET64">
            <v>0</v>
          </cell>
          <cell r="EU64">
            <v>0</v>
          </cell>
          <cell r="EV64">
            <v>25</v>
          </cell>
          <cell r="EW64">
            <v>25</v>
          </cell>
          <cell r="EX64">
            <v>5</v>
          </cell>
          <cell r="EY64">
            <v>0</v>
          </cell>
          <cell r="EZ64">
            <v>0</v>
          </cell>
          <cell r="FA64">
            <v>23</v>
          </cell>
          <cell r="FB64">
            <v>23</v>
          </cell>
          <cell r="FC64">
            <v>4</v>
          </cell>
          <cell r="FD64">
            <v>0</v>
          </cell>
          <cell r="FE64">
            <v>7</v>
          </cell>
          <cell r="FF64">
            <v>28</v>
          </cell>
          <cell r="FG64">
            <v>28</v>
          </cell>
          <cell r="FH64">
            <v>6.5</v>
          </cell>
          <cell r="FI64">
            <v>0</v>
          </cell>
          <cell r="FJ64">
            <v>0</v>
          </cell>
          <cell r="FK64">
            <v>26</v>
          </cell>
          <cell r="FL64">
            <v>26</v>
          </cell>
          <cell r="FM64">
            <v>5.5</v>
          </cell>
          <cell r="FN64">
            <v>0</v>
          </cell>
          <cell r="FO64">
            <v>0</v>
          </cell>
          <cell r="FP64">
            <v>24</v>
          </cell>
          <cell r="FQ64">
            <v>24</v>
          </cell>
          <cell r="FR64">
            <v>4.5</v>
          </cell>
          <cell r="FS64">
            <v>0</v>
          </cell>
          <cell r="FT64">
            <v>19</v>
          </cell>
          <cell r="FU64">
            <v>2.0333333333333332</v>
          </cell>
          <cell r="FV64" t="str">
            <v>SI</v>
          </cell>
          <cell r="FW64" t="str">
            <v>SOBRESTOCK</v>
          </cell>
          <cell r="FX64" t="str">
            <v>B</v>
          </cell>
          <cell r="FY64" t="str">
            <v>Si</v>
          </cell>
        </row>
        <row r="65">
          <cell r="B65" t="str">
            <v>REP-0064</v>
          </cell>
          <cell r="C65" t="str">
            <v>MIX</v>
          </cell>
          <cell r="D65">
            <v>0</v>
          </cell>
          <cell r="E65">
            <v>255</v>
          </cell>
          <cell r="F65">
            <v>0</v>
          </cell>
          <cell r="G65">
            <v>0</v>
          </cell>
          <cell r="H65">
            <v>12</v>
          </cell>
          <cell r="I65">
            <v>13</v>
          </cell>
          <cell r="J65">
            <v>0</v>
          </cell>
          <cell r="K65">
            <v>5</v>
          </cell>
          <cell r="L65">
            <v>2</v>
          </cell>
          <cell r="M65">
            <v>7</v>
          </cell>
          <cell r="N65">
            <v>3</v>
          </cell>
          <cell r="O65">
            <v>6</v>
          </cell>
          <cell r="P65">
            <v>5</v>
          </cell>
          <cell r="Q65">
            <v>2</v>
          </cell>
          <cell r="R65">
            <v>7</v>
          </cell>
          <cell r="S65">
            <v>5</v>
          </cell>
          <cell r="T65">
            <v>1</v>
          </cell>
          <cell r="U65">
            <v>2</v>
          </cell>
          <cell r="V65">
            <v>6</v>
          </cell>
          <cell r="W65">
            <v>4</v>
          </cell>
          <cell r="X65">
            <v>3</v>
          </cell>
          <cell r="Y65">
            <v>338</v>
          </cell>
          <cell r="AA65">
            <v>338</v>
          </cell>
          <cell r="AB65">
            <v>122.5</v>
          </cell>
          <cell r="AC65">
            <v>31.333333333333332</v>
          </cell>
          <cell r="AD65">
            <v>1.0444444444444445</v>
          </cell>
          <cell r="AE65">
            <v>24.875</v>
          </cell>
          <cell r="AF65">
            <v>27.166666666666668</v>
          </cell>
          <cell r="AG65">
            <v>30.333333333333332</v>
          </cell>
          <cell r="AH65">
            <v>39.083333333333336</v>
          </cell>
          <cell r="AI65">
            <v>31.666666666666668</v>
          </cell>
          <cell r="AJ65">
            <v>31.666666666666668</v>
          </cell>
          <cell r="AK65">
            <v>39.083333333333336</v>
          </cell>
          <cell r="AL65">
            <v>4.3741665872864788</v>
          </cell>
          <cell r="AM65">
            <v>33.1875</v>
          </cell>
          <cell r="AN65">
            <v>0.13180162974874512</v>
          </cell>
          <cell r="AO65">
            <v>0</v>
          </cell>
          <cell r="AP65">
            <v>131.44444444444446</v>
          </cell>
          <cell r="AQ65">
            <v>4.1818181818181817</v>
          </cell>
          <cell r="AR65">
            <v>0</v>
          </cell>
          <cell r="AS65">
            <v>206</v>
          </cell>
          <cell r="AT65">
            <v>205</v>
          </cell>
          <cell r="AU65">
            <v>4.8235294117647056</v>
          </cell>
          <cell r="AV65">
            <v>0</v>
          </cell>
          <cell r="AW65">
            <v>162.5</v>
          </cell>
          <cell r="AX65">
            <v>162</v>
          </cell>
          <cell r="AY65">
            <v>4.1449893390191894</v>
          </cell>
          <cell r="AZ65">
            <v>0</v>
          </cell>
          <cell r="BA65">
            <v>422</v>
          </cell>
          <cell r="BB65">
            <v>117</v>
          </cell>
          <cell r="BC65">
            <v>2.0892857142857144</v>
          </cell>
          <cell r="BD65">
            <v>0</v>
          </cell>
          <cell r="BE65">
            <v>61</v>
          </cell>
          <cell r="BF65">
            <v>1.0892857142857142</v>
          </cell>
          <cell r="BG65">
            <v>0</v>
          </cell>
          <cell r="BH65">
            <v>5</v>
          </cell>
          <cell r="BI65">
            <v>338</v>
          </cell>
          <cell r="BJ65">
            <v>8.6481876332622605</v>
          </cell>
          <cell r="BK65">
            <v>0</v>
          </cell>
          <cell r="BL65">
            <v>305.83333333333331</v>
          </cell>
          <cell r="BM65">
            <v>306</v>
          </cell>
          <cell r="BN65">
            <v>7.5689045936395756</v>
          </cell>
          <cell r="BO65">
            <v>0</v>
          </cell>
          <cell r="BP65">
            <v>265.57142857142856</v>
          </cell>
          <cell r="BQ65">
            <v>261</v>
          </cell>
          <cell r="BR65">
            <v>6.6780383795309168</v>
          </cell>
          <cell r="BS65">
            <v>0</v>
          </cell>
          <cell r="BT65">
            <v>220.125</v>
          </cell>
          <cell r="BU65">
            <v>233</v>
          </cell>
          <cell r="BV65">
            <v>5.8904494382022472</v>
          </cell>
          <cell r="BW65">
            <v>83</v>
          </cell>
          <cell r="BX65">
            <v>0</v>
          </cell>
          <cell r="BY65">
            <v>193.44444444444446</v>
          </cell>
          <cell r="BZ65">
            <v>205</v>
          </cell>
          <cell r="CA65">
            <v>5.338541666666667</v>
          </cell>
          <cell r="CB65">
            <v>103</v>
          </cell>
          <cell r="CC65">
            <v>0</v>
          </cell>
          <cell r="CD65">
            <v>316.60000000000002</v>
          </cell>
          <cell r="CE65">
            <v>175</v>
          </cell>
          <cell r="CF65">
            <v>4.6274038461538458</v>
          </cell>
          <cell r="CG65">
            <v>127</v>
          </cell>
          <cell r="CH65">
            <v>150</v>
          </cell>
          <cell r="CI65">
            <v>405.78181818181821</v>
          </cell>
          <cell r="CJ65">
            <v>272</v>
          </cell>
          <cell r="CK65">
            <v>6.9594882729211083</v>
          </cell>
          <cell r="CL65">
            <v>40</v>
          </cell>
          <cell r="CM65">
            <v>55</v>
          </cell>
          <cell r="CN65">
            <v>287.91666666666669</v>
          </cell>
          <cell r="CO65">
            <v>290</v>
          </cell>
          <cell r="CP65">
            <v>7.4200426439232405</v>
          </cell>
          <cell r="CQ65">
            <v>24.083333333333314</v>
          </cell>
          <cell r="CR65">
            <v>0</v>
          </cell>
          <cell r="CS65">
            <v>250.91666666666666</v>
          </cell>
          <cell r="CT65">
            <v>248</v>
          </cell>
          <cell r="CU65">
            <v>6.3454157782515992</v>
          </cell>
          <cell r="CV65">
            <v>0</v>
          </cell>
          <cell r="CW65">
            <v>0</v>
          </cell>
          <cell r="CX65">
            <v>208.91666666666666</v>
          </cell>
          <cell r="CY65">
            <v>204</v>
          </cell>
          <cell r="CZ65">
            <v>5.2196162046908317</v>
          </cell>
          <cell r="DA65">
            <v>0</v>
          </cell>
          <cell r="DB65">
            <v>200</v>
          </cell>
          <cell r="DC65">
            <v>364.25</v>
          </cell>
          <cell r="DD65">
            <v>367</v>
          </cell>
          <cell r="DE65">
            <v>7.3121019108280256</v>
          </cell>
          <cell r="DF65">
            <v>0</v>
          </cell>
          <cell r="DG65">
            <v>0</v>
          </cell>
          <cell r="DH65">
            <v>327.75</v>
          </cell>
          <cell r="DI65">
            <v>344</v>
          </cell>
          <cell r="DJ65">
            <v>8.7547974413646052</v>
          </cell>
          <cell r="DK65">
            <v>0</v>
          </cell>
          <cell r="DL65">
            <v>0</v>
          </cell>
          <cell r="DM65">
            <v>288.66666666666669</v>
          </cell>
          <cell r="DN65">
            <v>338</v>
          </cell>
          <cell r="DO65">
            <v>8.6012793176972266</v>
          </cell>
          <cell r="DP65">
            <v>0</v>
          </cell>
          <cell r="DQ65">
            <v>0</v>
          </cell>
          <cell r="DR65">
            <v>298.91666666666669</v>
          </cell>
          <cell r="DS65">
            <v>298.91666666666669</v>
          </cell>
          <cell r="DT65">
            <v>7.6012793176972284</v>
          </cell>
          <cell r="DU65">
            <v>0</v>
          </cell>
          <cell r="DV65">
            <v>0</v>
          </cell>
          <cell r="DW65">
            <v>259.83333333333337</v>
          </cell>
          <cell r="DX65">
            <v>259.83333333333337</v>
          </cell>
          <cell r="DY65">
            <v>6.6012793176972284</v>
          </cell>
          <cell r="DZ65">
            <v>0</v>
          </cell>
          <cell r="EA65">
            <v>0</v>
          </cell>
          <cell r="EB65">
            <v>220.75000000000003</v>
          </cell>
          <cell r="EC65">
            <v>220.75000000000003</v>
          </cell>
          <cell r="ED65">
            <v>5.6012793176972284</v>
          </cell>
          <cell r="EE65">
            <v>0</v>
          </cell>
          <cell r="EF65">
            <v>0</v>
          </cell>
          <cell r="EG65">
            <v>181.66666666666669</v>
          </cell>
          <cell r="EH65">
            <v>181.66666666666669</v>
          </cell>
          <cell r="EI65">
            <v>4.6012793176972284</v>
          </cell>
          <cell r="EJ65">
            <v>0</v>
          </cell>
          <cell r="EK65">
            <v>70</v>
          </cell>
          <cell r="EL65">
            <v>212.58333333333334</v>
          </cell>
          <cell r="EM65">
            <v>212.58333333333334</v>
          </cell>
          <cell r="EN65">
            <v>5.3923240938166312</v>
          </cell>
          <cell r="EO65">
            <v>0</v>
          </cell>
          <cell r="EP65">
            <v>0</v>
          </cell>
          <cell r="EQ65">
            <v>173.5</v>
          </cell>
          <cell r="ER65">
            <v>173.5</v>
          </cell>
          <cell r="ES65">
            <v>4.3923240938166312</v>
          </cell>
          <cell r="ET65">
            <v>0</v>
          </cell>
          <cell r="EU65">
            <v>0</v>
          </cell>
          <cell r="EV65">
            <v>134.41666666666666</v>
          </cell>
          <cell r="EW65">
            <v>134.41666666666666</v>
          </cell>
          <cell r="EX65">
            <v>3.3923240938166308</v>
          </cell>
          <cell r="EY65">
            <v>0</v>
          </cell>
          <cell r="EZ65">
            <v>0</v>
          </cell>
          <cell r="FA65">
            <v>95.333333333333314</v>
          </cell>
          <cell r="FB65">
            <v>95.333333333333314</v>
          </cell>
          <cell r="FC65">
            <v>2.3923240938166308</v>
          </cell>
          <cell r="FD65">
            <v>0</v>
          </cell>
          <cell r="FE65">
            <v>140</v>
          </cell>
          <cell r="FF65">
            <v>196.24999999999997</v>
          </cell>
          <cell r="FG65">
            <v>196.24999999999997</v>
          </cell>
          <cell r="FH65">
            <v>4.974413646055436</v>
          </cell>
          <cell r="FI65">
            <v>0</v>
          </cell>
          <cell r="FJ65">
            <v>0</v>
          </cell>
          <cell r="FK65">
            <v>157.16666666666663</v>
          </cell>
          <cell r="FL65">
            <v>157.16666666666663</v>
          </cell>
          <cell r="FM65">
            <v>3.974413646055436</v>
          </cell>
          <cell r="FN65">
            <v>0</v>
          </cell>
          <cell r="FO65">
            <v>0</v>
          </cell>
          <cell r="FP65">
            <v>118.08333333333329</v>
          </cell>
          <cell r="FQ65">
            <v>118.08333333333329</v>
          </cell>
          <cell r="FR65">
            <v>2.974413646055436</v>
          </cell>
          <cell r="FS65">
            <v>0</v>
          </cell>
          <cell r="FT65">
            <v>80</v>
          </cell>
          <cell r="FU65">
            <v>2.0333333333333332</v>
          </cell>
          <cell r="FW65" t="str">
            <v>SOBRESTOCK</v>
          </cell>
          <cell r="FX65" t="str">
            <v>A</v>
          </cell>
          <cell r="FY65" t="str">
            <v>Si</v>
          </cell>
        </row>
        <row r="66">
          <cell r="B66" t="str">
            <v>REP-0065</v>
          </cell>
          <cell r="C66" t="str">
            <v>MIX</v>
          </cell>
          <cell r="D66">
            <v>0</v>
          </cell>
          <cell r="E66">
            <v>2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2</v>
          </cell>
          <cell r="AA66">
            <v>2</v>
          </cell>
          <cell r="AB66">
            <v>2</v>
          </cell>
          <cell r="AC66">
            <v>0</v>
          </cell>
          <cell r="AD66">
            <v>0</v>
          </cell>
          <cell r="AE66">
            <v>0.16666666666666666</v>
          </cell>
          <cell r="AF66">
            <v>0</v>
          </cell>
          <cell r="AG66">
            <v>8.3333333333333329E-2</v>
          </cell>
          <cell r="AH66">
            <v>0.16666666666666666</v>
          </cell>
          <cell r="AI66">
            <v>0</v>
          </cell>
          <cell r="AJ66">
            <v>0</v>
          </cell>
          <cell r="AK66">
            <v>0.16666666666666666</v>
          </cell>
          <cell r="AL66">
            <v>7.9785592313028175E-2</v>
          </cell>
          <cell r="AM66">
            <v>6.25E-2</v>
          </cell>
          <cell r="AN66">
            <v>1.2765694770084508</v>
          </cell>
          <cell r="AO66">
            <v>0</v>
          </cell>
          <cell r="AP66">
            <v>3.7777777777777777</v>
          </cell>
          <cell r="AQ66">
            <v>23.000000000000004</v>
          </cell>
          <cell r="AR66">
            <v>0</v>
          </cell>
          <cell r="AS66">
            <v>4</v>
          </cell>
          <cell r="AT66">
            <v>4</v>
          </cell>
          <cell r="AU66">
            <v>48</v>
          </cell>
          <cell r="AV66">
            <v>0</v>
          </cell>
          <cell r="AW66">
            <v>3.9166666666666665</v>
          </cell>
          <cell r="AX66">
            <v>3</v>
          </cell>
          <cell r="AY66">
            <v>18</v>
          </cell>
          <cell r="AZ66">
            <v>0</v>
          </cell>
          <cell r="BA66">
            <v>2.9166666666666665</v>
          </cell>
          <cell r="BB66">
            <v>3</v>
          </cell>
          <cell r="BC66">
            <v>9</v>
          </cell>
          <cell r="BD66">
            <v>0</v>
          </cell>
          <cell r="BE66">
            <v>2.6666666666666665</v>
          </cell>
          <cell r="BF66">
            <v>8</v>
          </cell>
          <cell r="BG66">
            <v>0</v>
          </cell>
          <cell r="BH66">
            <v>2.333333333333333</v>
          </cell>
          <cell r="BI66">
            <v>2</v>
          </cell>
          <cell r="BJ66">
            <v>12</v>
          </cell>
          <cell r="BK66">
            <v>0</v>
          </cell>
          <cell r="BL66">
            <v>1.6666666666666667</v>
          </cell>
          <cell r="BM66">
            <v>2</v>
          </cell>
          <cell r="BN66">
            <v>6</v>
          </cell>
          <cell r="BO66">
            <v>0</v>
          </cell>
          <cell r="BP66">
            <v>1.6666666666666667</v>
          </cell>
          <cell r="BQ66">
            <v>1</v>
          </cell>
          <cell r="BR66">
            <v>6</v>
          </cell>
          <cell r="BS66">
            <v>0</v>
          </cell>
          <cell r="BT66">
            <v>0.66666666666666674</v>
          </cell>
          <cell r="BU66">
            <v>1</v>
          </cell>
          <cell r="BV66">
            <v>4.5</v>
          </cell>
          <cell r="BW66">
            <v>1</v>
          </cell>
          <cell r="BX66">
            <v>0</v>
          </cell>
          <cell r="BY66">
            <v>0.77777777777777779</v>
          </cell>
          <cell r="BZ66">
            <v>1</v>
          </cell>
          <cell r="CA66">
            <v>5</v>
          </cell>
          <cell r="CB66">
            <v>1</v>
          </cell>
          <cell r="CC66">
            <v>0</v>
          </cell>
          <cell r="CD66">
            <v>0.8</v>
          </cell>
          <cell r="CE66">
            <v>1</v>
          </cell>
          <cell r="CF66">
            <v>5.5</v>
          </cell>
          <cell r="CG66">
            <v>1</v>
          </cell>
          <cell r="CH66">
            <v>0</v>
          </cell>
          <cell r="CI66">
            <v>1.6181818181818182</v>
          </cell>
          <cell r="CJ66">
            <v>2</v>
          </cell>
          <cell r="CK66">
            <v>12</v>
          </cell>
          <cell r="CL66">
            <v>0</v>
          </cell>
          <cell r="CM66">
            <v>1</v>
          </cell>
          <cell r="CN66">
            <v>2.8333333333333335</v>
          </cell>
          <cell r="CO66">
            <v>3</v>
          </cell>
          <cell r="CP66">
            <v>18</v>
          </cell>
          <cell r="CQ66">
            <v>0</v>
          </cell>
          <cell r="CR66">
            <v>0</v>
          </cell>
          <cell r="CS66">
            <v>2.8333333333333335</v>
          </cell>
          <cell r="CT66">
            <v>3</v>
          </cell>
          <cell r="CU66">
            <v>18</v>
          </cell>
          <cell r="CV66">
            <v>0</v>
          </cell>
          <cell r="CW66">
            <v>0</v>
          </cell>
          <cell r="CX66">
            <v>2.8333333333333335</v>
          </cell>
          <cell r="CY66">
            <v>3</v>
          </cell>
          <cell r="CZ66">
            <v>18</v>
          </cell>
          <cell r="DA66">
            <v>0</v>
          </cell>
          <cell r="DB66">
            <v>0</v>
          </cell>
          <cell r="DC66">
            <v>2.8333333333333335</v>
          </cell>
          <cell r="DD66">
            <v>3</v>
          </cell>
          <cell r="DE66">
            <v>12</v>
          </cell>
          <cell r="DF66">
            <v>0</v>
          </cell>
          <cell r="DG66">
            <v>0</v>
          </cell>
          <cell r="DH66">
            <v>2.8333333333333335</v>
          </cell>
          <cell r="DI66">
            <v>3</v>
          </cell>
          <cell r="DJ66">
            <v>14</v>
          </cell>
          <cell r="DK66">
            <v>0</v>
          </cell>
          <cell r="DL66">
            <v>0</v>
          </cell>
          <cell r="DM66">
            <v>2.666666666666667</v>
          </cell>
          <cell r="DN66">
            <v>2</v>
          </cell>
          <cell r="DO66">
            <v>8</v>
          </cell>
          <cell r="DP66">
            <v>0</v>
          </cell>
          <cell r="DQ66">
            <v>0</v>
          </cell>
          <cell r="DR66">
            <v>1.8333333333333333</v>
          </cell>
          <cell r="DS66">
            <v>1.8333333333333333</v>
          </cell>
          <cell r="DT66">
            <v>7</v>
          </cell>
          <cell r="DU66">
            <v>0</v>
          </cell>
          <cell r="DV66">
            <v>0</v>
          </cell>
          <cell r="DW66">
            <v>1.6666666666666665</v>
          </cell>
          <cell r="DX66">
            <v>1.6666666666666665</v>
          </cell>
          <cell r="DY66">
            <v>5.9999999999999991</v>
          </cell>
          <cell r="DZ66">
            <v>0</v>
          </cell>
          <cell r="EA66">
            <v>0</v>
          </cell>
          <cell r="EB66">
            <v>1.4999999999999998</v>
          </cell>
          <cell r="EC66">
            <v>1.4999999999999998</v>
          </cell>
          <cell r="ED66">
            <v>4.9999999999999982</v>
          </cell>
          <cell r="EE66">
            <v>0</v>
          </cell>
          <cell r="EF66">
            <v>0</v>
          </cell>
          <cell r="EG66">
            <v>1.333333333333333</v>
          </cell>
          <cell r="EH66">
            <v>1.333333333333333</v>
          </cell>
          <cell r="EI66">
            <v>3.9999999999999982</v>
          </cell>
          <cell r="EJ66">
            <v>0</v>
          </cell>
          <cell r="EK66">
            <v>0</v>
          </cell>
          <cell r="EL66">
            <v>1.1666666666666663</v>
          </cell>
          <cell r="EM66">
            <v>1.1666666666666663</v>
          </cell>
          <cell r="EN66">
            <v>2.9999999999999978</v>
          </cell>
          <cell r="EO66">
            <v>0</v>
          </cell>
          <cell r="EP66">
            <v>0</v>
          </cell>
          <cell r="EQ66">
            <v>0.99999999999999967</v>
          </cell>
          <cell r="ER66">
            <v>0.99999999999999967</v>
          </cell>
          <cell r="ES66">
            <v>1.999999999999998</v>
          </cell>
          <cell r="ET66">
            <v>3.3306690738754696E-16</v>
          </cell>
          <cell r="EU66">
            <v>0</v>
          </cell>
          <cell r="EV66">
            <v>0.83333333333333304</v>
          </cell>
          <cell r="EW66">
            <v>0.83333333333333304</v>
          </cell>
          <cell r="EX66">
            <v>0.99999999999999822</v>
          </cell>
          <cell r="EY66">
            <v>0.16666666666666696</v>
          </cell>
          <cell r="EZ66">
            <v>0</v>
          </cell>
          <cell r="FA66">
            <v>0.66666666666666641</v>
          </cell>
          <cell r="FB66">
            <v>0.66666666666666641</v>
          </cell>
          <cell r="FC66">
            <v>-1.7763568394002505E-15</v>
          </cell>
          <cell r="FD66">
            <v>0.33333333333333359</v>
          </cell>
          <cell r="FE66">
            <v>0</v>
          </cell>
          <cell r="FF66">
            <v>0.49999999999999978</v>
          </cell>
          <cell r="FG66">
            <v>0.49999999999999978</v>
          </cell>
          <cell r="FH66">
            <v>-1.0000000000000013</v>
          </cell>
          <cell r="FI66">
            <v>0.50000000000000022</v>
          </cell>
          <cell r="FJ66">
            <v>0</v>
          </cell>
          <cell r="FK66">
            <v>0.33333333333333315</v>
          </cell>
          <cell r="FL66">
            <v>0.33333333333333315</v>
          </cell>
          <cell r="FM66">
            <v>-2.0000000000000018</v>
          </cell>
          <cell r="FN66">
            <v>0.66666666666666685</v>
          </cell>
          <cell r="FO66">
            <v>0</v>
          </cell>
          <cell r="FP66">
            <v>0.16666666666666649</v>
          </cell>
          <cell r="FQ66">
            <v>0.16666666666666649</v>
          </cell>
          <cell r="FR66">
            <v>-3.0000000000000009</v>
          </cell>
          <cell r="FS66">
            <v>0.83333333333333348</v>
          </cell>
          <cell r="FT66">
            <v>1</v>
          </cell>
          <cell r="FU66">
            <v>2.0333333333333332</v>
          </cell>
          <cell r="FW66" t="str">
            <v>SIN ROTACIÓN</v>
          </cell>
          <cell r="FX66" t="str">
            <v>C</v>
          </cell>
          <cell r="FY66" t="str">
            <v>Si</v>
          </cell>
        </row>
        <row r="67">
          <cell r="B67" t="str">
            <v>REP-0066</v>
          </cell>
          <cell r="C67" t="str">
            <v>MIX</v>
          </cell>
          <cell r="D67">
            <v>0</v>
          </cell>
          <cell r="E67">
            <v>15</v>
          </cell>
          <cell r="F67">
            <v>0</v>
          </cell>
          <cell r="G67">
            <v>0</v>
          </cell>
          <cell r="H67">
            <v>1</v>
          </cell>
          <cell r="I67">
            <v>1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19</v>
          </cell>
          <cell r="AA67">
            <v>19</v>
          </cell>
          <cell r="AB67">
            <v>2</v>
          </cell>
          <cell r="AC67">
            <v>0.16666666666666666</v>
          </cell>
          <cell r="AD67">
            <v>5.5555555555555549E-3</v>
          </cell>
          <cell r="AE67">
            <v>0.25</v>
          </cell>
          <cell r="AF67">
            <v>0.41666666666666669</v>
          </cell>
          <cell r="AG67">
            <v>0.25</v>
          </cell>
          <cell r="AH67">
            <v>0.58333333333333337</v>
          </cell>
          <cell r="AI67">
            <v>0.33333333333333331</v>
          </cell>
          <cell r="AJ67">
            <v>0.33333333333333331</v>
          </cell>
          <cell r="AK67">
            <v>0.58333333333333337</v>
          </cell>
          <cell r="AL67">
            <v>0.14433756729740643</v>
          </cell>
          <cell r="AM67">
            <v>0.375</v>
          </cell>
          <cell r="AN67">
            <v>0.38490017945975047</v>
          </cell>
          <cell r="AO67">
            <v>0</v>
          </cell>
          <cell r="AP67">
            <v>17.666666666666668</v>
          </cell>
          <cell r="AQ67">
            <v>42.199999999999996</v>
          </cell>
          <cell r="AR67">
            <v>0</v>
          </cell>
          <cell r="AS67">
            <v>17.166666666666664</v>
          </cell>
          <cell r="AT67">
            <v>20</v>
          </cell>
          <cell r="AU67">
            <v>80</v>
          </cell>
          <cell r="AV67">
            <v>0</v>
          </cell>
          <cell r="AW67">
            <v>19.75</v>
          </cell>
          <cell r="AX67">
            <v>19</v>
          </cell>
          <cell r="AY67">
            <v>32.571428571428569</v>
          </cell>
          <cell r="AZ67">
            <v>0</v>
          </cell>
          <cell r="BA67">
            <v>18.666666666666668</v>
          </cell>
          <cell r="BB67">
            <v>19</v>
          </cell>
          <cell r="BC67">
            <v>57</v>
          </cell>
          <cell r="BD67">
            <v>0</v>
          </cell>
          <cell r="BE67">
            <v>18.666666666666668</v>
          </cell>
          <cell r="BF67">
            <v>56.000000000000007</v>
          </cell>
          <cell r="BG67">
            <v>0</v>
          </cell>
          <cell r="BH67">
            <v>18.333333333333336</v>
          </cell>
          <cell r="BI67">
            <v>19</v>
          </cell>
          <cell r="BJ67">
            <v>32.571428571428569</v>
          </cell>
          <cell r="BK67">
            <v>0</v>
          </cell>
          <cell r="BL67">
            <v>16.666666666666668</v>
          </cell>
          <cell r="BM67">
            <v>17</v>
          </cell>
          <cell r="BN67">
            <v>34</v>
          </cell>
          <cell r="BO67">
            <v>0</v>
          </cell>
          <cell r="BP67">
            <v>16.5</v>
          </cell>
          <cell r="BQ67">
            <v>17</v>
          </cell>
          <cell r="BR67">
            <v>29.142857142857142</v>
          </cell>
          <cell r="BS67">
            <v>0</v>
          </cell>
          <cell r="BT67">
            <v>16.5</v>
          </cell>
          <cell r="BU67">
            <v>17</v>
          </cell>
          <cell r="BV67">
            <v>51</v>
          </cell>
          <cell r="BW67">
            <v>0</v>
          </cell>
          <cell r="BX67">
            <v>0</v>
          </cell>
          <cell r="BY67">
            <v>16.666666666666668</v>
          </cell>
          <cell r="BZ67">
            <v>16</v>
          </cell>
          <cell r="CA67">
            <v>32</v>
          </cell>
          <cell r="CB67">
            <v>0</v>
          </cell>
          <cell r="CC67">
            <v>0</v>
          </cell>
          <cell r="CD67">
            <v>15.5</v>
          </cell>
          <cell r="CE67">
            <v>15</v>
          </cell>
          <cell r="CF67">
            <v>22.5</v>
          </cell>
          <cell r="CG67">
            <v>1</v>
          </cell>
          <cell r="CH67">
            <v>0</v>
          </cell>
          <cell r="CI67">
            <v>15.833333333333334</v>
          </cell>
          <cell r="CJ67">
            <v>13</v>
          </cell>
          <cell r="CK67">
            <v>15.6</v>
          </cell>
          <cell r="CL67">
            <v>3</v>
          </cell>
          <cell r="CM67">
            <v>5</v>
          </cell>
          <cell r="CN67">
            <v>17.166666666666668</v>
          </cell>
          <cell r="CO67">
            <v>18</v>
          </cell>
          <cell r="CP67">
            <v>21.599999999999998</v>
          </cell>
          <cell r="CQ67">
            <v>0</v>
          </cell>
          <cell r="CR67">
            <v>0</v>
          </cell>
          <cell r="CS67">
            <v>17.166666666666668</v>
          </cell>
          <cell r="CT67">
            <v>18</v>
          </cell>
          <cell r="CU67">
            <v>27</v>
          </cell>
          <cell r="CV67">
            <v>0</v>
          </cell>
          <cell r="CW67">
            <v>0</v>
          </cell>
          <cell r="CX67">
            <v>17.333333333333332</v>
          </cell>
          <cell r="CY67">
            <v>15</v>
          </cell>
          <cell r="CZ67">
            <v>18</v>
          </cell>
          <cell r="DA67">
            <v>0</v>
          </cell>
          <cell r="DB67">
            <v>3</v>
          </cell>
          <cell r="DC67">
            <v>17.333333333333332</v>
          </cell>
          <cell r="DD67">
            <v>18</v>
          </cell>
          <cell r="DE67">
            <v>27.428571428571427</v>
          </cell>
          <cell r="DF67">
            <v>0</v>
          </cell>
          <cell r="DG67">
            <v>0</v>
          </cell>
          <cell r="DH67">
            <v>17.416666666666668</v>
          </cell>
          <cell r="DI67">
            <v>18</v>
          </cell>
          <cell r="DJ67">
            <v>29.428571428571427</v>
          </cell>
          <cell r="DK67">
            <v>0</v>
          </cell>
          <cell r="DL67">
            <v>0</v>
          </cell>
          <cell r="DM67">
            <v>16.833333333333336</v>
          </cell>
          <cell r="DN67">
            <v>19</v>
          </cell>
          <cell r="DO67">
            <v>31.142857142857142</v>
          </cell>
          <cell r="DP67">
            <v>0</v>
          </cell>
          <cell r="DQ67">
            <v>0</v>
          </cell>
          <cell r="DR67">
            <v>18.416666666666668</v>
          </cell>
          <cell r="DS67">
            <v>18.416666666666668</v>
          </cell>
          <cell r="DT67">
            <v>30.142857142857142</v>
          </cell>
          <cell r="DU67">
            <v>0</v>
          </cell>
          <cell r="DV67">
            <v>0</v>
          </cell>
          <cell r="DW67">
            <v>17.833333333333336</v>
          </cell>
          <cell r="DX67">
            <v>17.833333333333336</v>
          </cell>
          <cell r="DY67">
            <v>29.142857142857146</v>
          </cell>
          <cell r="DZ67">
            <v>0</v>
          </cell>
          <cell r="EA67">
            <v>0</v>
          </cell>
          <cell r="EB67">
            <v>17.250000000000004</v>
          </cell>
          <cell r="EC67">
            <v>17.250000000000004</v>
          </cell>
          <cell r="ED67">
            <v>28.142857142857146</v>
          </cell>
          <cell r="EE67">
            <v>0</v>
          </cell>
          <cell r="EF67">
            <v>0</v>
          </cell>
          <cell r="EG67">
            <v>16.666666666666671</v>
          </cell>
          <cell r="EH67">
            <v>16.666666666666671</v>
          </cell>
          <cell r="EI67">
            <v>27.142857142857149</v>
          </cell>
          <cell r="EJ67">
            <v>0</v>
          </cell>
          <cell r="EK67">
            <v>0</v>
          </cell>
          <cell r="EL67">
            <v>16.083333333333339</v>
          </cell>
          <cell r="EM67">
            <v>16.083333333333339</v>
          </cell>
          <cell r="EN67">
            <v>26.142857142857153</v>
          </cell>
          <cell r="EO67">
            <v>0</v>
          </cell>
          <cell r="EP67">
            <v>0</v>
          </cell>
          <cell r="EQ67">
            <v>15.500000000000005</v>
          </cell>
          <cell r="ER67">
            <v>15.500000000000005</v>
          </cell>
          <cell r="ES67">
            <v>25.142857142857149</v>
          </cell>
          <cell r="ET67">
            <v>0</v>
          </cell>
          <cell r="EU67">
            <v>0</v>
          </cell>
          <cell r="EV67">
            <v>14.916666666666671</v>
          </cell>
          <cell r="EW67">
            <v>14.916666666666671</v>
          </cell>
          <cell r="EX67">
            <v>24.142857142857149</v>
          </cell>
          <cell r="EY67">
            <v>0</v>
          </cell>
          <cell r="EZ67">
            <v>0</v>
          </cell>
          <cell r="FA67">
            <v>14.333333333333337</v>
          </cell>
          <cell r="FB67">
            <v>14.333333333333337</v>
          </cell>
          <cell r="FC67">
            <v>23.142857142857149</v>
          </cell>
          <cell r="FD67">
            <v>0</v>
          </cell>
          <cell r="FE67">
            <v>0</v>
          </cell>
          <cell r="FF67">
            <v>13.750000000000004</v>
          </cell>
          <cell r="FG67">
            <v>13.750000000000004</v>
          </cell>
          <cell r="FH67">
            <v>22.142857142857146</v>
          </cell>
          <cell r="FI67">
            <v>0</v>
          </cell>
          <cell r="FJ67">
            <v>0</v>
          </cell>
          <cell r="FK67">
            <v>13.16666666666667</v>
          </cell>
          <cell r="FL67">
            <v>13.16666666666667</v>
          </cell>
          <cell r="FM67">
            <v>21.142857142857146</v>
          </cell>
          <cell r="FN67">
            <v>0</v>
          </cell>
          <cell r="FO67">
            <v>0</v>
          </cell>
          <cell r="FP67">
            <v>12.583333333333336</v>
          </cell>
          <cell r="FQ67">
            <v>12.583333333333336</v>
          </cell>
          <cell r="FR67">
            <v>20.142857142857146</v>
          </cell>
          <cell r="FS67">
            <v>0</v>
          </cell>
          <cell r="FT67">
            <v>2</v>
          </cell>
          <cell r="FU67">
            <v>2.0333333333333332</v>
          </cell>
          <cell r="FW67" t="str">
            <v>SOBRESTOCK</v>
          </cell>
          <cell r="FX67" t="str">
            <v>C</v>
          </cell>
          <cell r="FY67" t="str">
            <v>Si</v>
          </cell>
        </row>
        <row r="68">
          <cell r="B68" t="str">
            <v>REP-0067</v>
          </cell>
          <cell r="C68" t="str">
            <v>MIX</v>
          </cell>
          <cell r="D68">
            <v>0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AA68">
            <v>1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0.33333333333333331</v>
          </cell>
          <cell r="AI68">
            <v>0</v>
          </cell>
          <cell r="AJ68">
            <v>0</v>
          </cell>
          <cell r="AK68">
            <v>0.1111111111111111</v>
          </cell>
          <cell r="AL68">
            <v>0.16666666666666666</v>
          </cell>
          <cell r="AM68">
            <v>8.3333333333333329E-2</v>
          </cell>
          <cell r="AN68">
            <v>2</v>
          </cell>
          <cell r="AO68">
            <v>0</v>
          </cell>
          <cell r="AP68">
            <v>5</v>
          </cell>
          <cell r="AQ68" t="str">
            <v/>
          </cell>
          <cell r="AR68">
            <v>0</v>
          </cell>
          <cell r="AS68">
            <v>5</v>
          </cell>
          <cell r="AT68">
            <v>5</v>
          </cell>
          <cell r="AU68" t="str">
            <v/>
          </cell>
          <cell r="AV68">
            <v>0</v>
          </cell>
          <cell r="AW68">
            <v>5</v>
          </cell>
          <cell r="AX68">
            <v>5</v>
          </cell>
          <cell r="AY68">
            <v>45</v>
          </cell>
          <cell r="AZ68">
            <v>0</v>
          </cell>
          <cell r="BA68">
            <v>5</v>
          </cell>
          <cell r="BB68">
            <v>5</v>
          </cell>
          <cell r="BC68" t="str">
            <v/>
          </cell>
          <cell r="BD68">
            <v>0</v>
          </cell>
          <cell r="BE68">
            <v>5</v>
          </cell>
          <cell r="BF68" t="str">
            <v/>
          </cell>
          <cell r="BG68">
            <v>0</v>
          </cell>
          <cell r="BH68">
            <v>5</v>
          </cell>
          <cell r="BI68">
            <v>1</v>
          </cell>
          <cell r="BJ68">
            <v>9</v>
          </cell>
          <cell r="BK68">
            <v>0</v>
          </cell>
          <cell r="BL68">
            <v>5</v>
          </cell>
          <cell r="BM68">
            <v>5</v>
          </cell>
          <cell r="BN68" t="str">
            <v/>
          </cell>
          <cell r="BO68">
            <v>0</v>
          </cell>
          <cell r="BP68">
            <v>5</v>
          </cell>
          <cell r="BQ68">
            <v>5</v>
          </cell>
          <cell r="BR68">
            <v>45</v>
          </cell>
          <cell r="BS68">
            <v>0</v>
          </cell>
          <cell r="BT68">
            <v>5</v>
          </cell>
          <cell r="BU68">
            <v>5</v>
          </cell>
          <cell r="BV68" t="str">
            <v/>
          </cell>
          <cell r="BW68">
            <v>0</v>
          </cell>
          <cell r="BX68">
            <v>0</v>
          </cell>
          <cell r="BY68">
            <v>5</v>
          </cell>
          <cell r="BZ68">
            <v>5</v>
          </cell>
          <cell r="CA68" t="str">
            <v/>
          </cell>
          <cell r="CB68">
            <v>0</v>
          </cell>
          <cell r="CC68">
            <v>0</v>
          </cell>
          <cell r="CD68">
            <v>5</v>
          </cell>
          <cell r="CE68">
            <v>2</v>
          </cell>
          <cell r="CF68">
            <v>4</v>
          </cell>
          <cell r="CG68">
            <v>2</v>
          </cell>
          <cell r="CH68">
            <v>0</v>
          </cell>
          <cell r="CI68">
            <v>6.5</v>
          </cell>
          <cell r="CJ68">
            <v>1</v>
          </cell>
          <cell r="CK68">
            <v>1.5</v>
          </cell>
          <cell r="CL68">
            <v>5</v>
          </cell>
          <cell r="CM68">
            <v>0</v>
          </cell>
          <cell r="CN68">
            <v>0.33333333333333337</v>
          </cell>
          <cell r="CO68">
            <v>1</v>
          </cell>
          <cell r="CP68">
            <v>1.5</v>
          </cell>
          <cell r="CQ68">
            <v>5.666666666666667</v>
          </cell>
          <cell r="CR68">
            <v>0</v>
          </cell>
          <cell r="CS68">
            <v>0.33333333333333337</v>
          </cell>
          <cell r="CT68">
            <v>1</v>
          </cell>
          <cell r="CU68">
            <v>1.5</v>
          </cell>
          <cell r="CV68">
            <v>1</v>
          </cell>
          <cell r="CW68">
            <v>0</v>
          </cell>
          <cell r="CX68">
            <v>0.33333333333333337</v>
          </cell>
          <cell r="CY68">
            <v>1</v>
          </cell>
          <cell r="CZ68">
            <v>1.5</v>
          </cell>
          <cell r="DA68">
            <v>1.6666666666666665</v>
          </cell>
          <cell r="DB68">
            <v>0</v>
          </cell>
          <cell r="DC68">
            <v>0.66666666666666674</v>
          </cell>
          <cell r="DD68">
            <v>1</v>
          </cell>
          <cell r="DE68">
            <v>0</v>
          </cell>
          <cell r="DF68">
            <v>0</v>
          </cell>
          <cell r="DG68">
            <v>0</v>
          </cell>
          <cell r="DH68">
            <v>0.72222222222222232</v>
          </cell>
          <cell r="DI68">
            <v>1</v>
          </cell>
          <cell r="DJ68">
            <v>2</v>
          </cell>
          <cell r="DK68">
            <v>0</v>
          </cell>
          <cell r="DL68">
            <v>0</v>
          </cell>
          <cell r="DM68">
            <v>0.61111111111111116</v>
          </cell>
          <cell r="DN68">
            <v>1</v>
          </cell>
          <cell r="DO68">
            <v>2</v>
          </cell>
          <cell r="DP68">
            <v>0</v>
          </cell>
          <cell r="DR68">
            <v>0.88888888888888884</v>
          </cell>
          <cell r="DS68">
            <v>0.88888888888888884</v>
          </cell>
          <cell r="DT68">
            <v>0.99999999999999956</v>
          </cell>
          <cell r="DU68">
            <v>0.11111111111111116</v>
          </cell>
          <cell r="DV68">
            <v>0</v>
          </cell>
          <cell r="DW68">
            <v>0.77777777777777768</v>
          </cell>
          <cell r="DX68">
            <v>0.77777777777777768</v>
          </cell>
          <cell r="DY68">
            <v>-8.8817841970012523E-16</v>
          </cell>
          <cell r="DZ68">
            <v>0.22222222222222232</v>
          </cell>
          <cell r="EA68">
            <v>0</v>
          </cell>
          <cell r="EB68">
            <v>0.66666666666666652</v>
          </cell>
          <cell r="EC68">
            <v>0.66666666666666652</v>
          </cell>
          <cell r="ED68">
            <v>-1.0000000000000013</v>
          </cell>
          <cell r="EE68">
            <v>0.33333333333333348</v>
          </cell>
          <cell r="EF68">
            <v>0</v>
          </cell>
          <cell r="EG68">
            <v>0.55555555555555536</v>
          </cell>
          <cell r="EH68">
            <v>0.55555555555555536</v>
          </cell>
          <cell r="EI68">
            <v>-2.0000000000000018</v>
          </cell>
          <cell r="EJ68">
            <v>0.44444444444444464</v>
          </cell>
          <cell r="EK68">
            <v>0</v>
          </cell>
          <cell r="EL68">
            <v>0.44444444444444425</v>
          </cell>
          <cell r="EM68">
            <v>0.44444444444444425</v>
          </cell>
          <cell r="EN68">
            <v>-3.0000000000000027</v>
          </cell>
          <cell r="EO68">
            <v>0.5555555555555558</v>
          </cell>
          <cell r="EP68">
            <v>0</v>
          </cell>
          <cell r="EQ68">
            <v>0.33333333333333315</v>
          </cell>
          <cell r="ER68">
            <v>0.33333333333333315</v>
          </cell>
          <cell r="ES68">
            <v>-4.0000000000000018</v>
          </cell>
          <cell r="ET68">
            <v>0.66666666666666685</v>
          </cell>
          <cell r="EU68">
            <v>0</v>
          </cell>
          <cell r="EV68">
            <v>0.22222222222222204</v>
          </cell>
          <cell r="EW68">
            <v>0.22222222222222204</v>
          </cell>
          <cell r="EX68">
            <v>-5.0000000000000018</v>
          </cell>
          <cell r="EY68">
            <v>0.7777777777777779</v>
          </cell>
          <cell r="EZ68">
            <v>0</v>
          </cell>
          <cell r="FA68">
            <v>0.11111111111111094</v>
          </cell>
          <cell r="FB68">
            <v>0.11111111111111094</v>
          </cell>
          <cell r="FC68">
            <v>-6.0000000000000018</v>
          </cell>
          <cell r="FD68">
            <v>0.88888888888888906</v>
          </cell>
          <cell r="FE68">
            <v>0</v>
          </cell>
          <cell r="FF68">
            <v>-1.6653345369377348E-16</v>
          </cell>
          <cell r="FG68">
            <v>-1.6653345369377348E-16</v>
          </cell>
          <cell r="FH68">
            <v>-7.0000000000000018</v>
          </cell>
          <cell r="FI68">
            <v>1.0000000000000002</v>
          </cell>
          <cell r="FJ68">
            <v>0</v>
          </cell>
          <cell r="FK68">
            <v>-0.11111111111111127</v>
          </cell>
          <cell r="FL68">
            <v>-0.11111111111111127</v>
          </cell>
          <cell r="FM68">
            <v>-8.0000000000000018</v>
          </cell>
          <cell r="FN68">
            <v>1.1111111111111112</v>
          </cell>
          <cell r="FO68">
            <v>0</v>
          </cell>
          <cell r="FP68">
            <v>-0.22222222222222238</v>
          </cell>
          <cell r="FQ68">
            <v>-0.22222222222222238</v>
          </cell>
          <cell r="FR68">
            <v>-9.0000000000000018</v>
          </cell>
          <cell r="FS68">
            <v>1.2222222222222223</v>
          </cell>
          <cell r="FT68">
            <v>1</v>
          </cell>
          <cell r="FU68">
            <v>2.0333333333333332</v>
          </cell>
          <cell r="FV68" t="str">
            <v>DAR DE BAJA</v>
          </cell>
          <cell r="FW68" t="str">
            <v>SIN ROTACIÓN</v>
          </cell>
          <cell r="FX68" t="str">
            <v>C</v>
          </cell>
          <cell r="FY68" t="str">
            <v>Si</v>
          </cell>
        </row>
        <row r="69">
          <cell r="B69" t="str">
            <v>REP-0068</v>
          </cell>
          <cell r="C69" t="str">
            <v>MIX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1</v>
          </cell>
          <cell r="J69">
            <v>0</v>
          </cell>
          <cell r="K69">
            <v>3</v>
          </cell>
          <cell r="L69">
            <v>0</v>
          </cell>
          <cell r="M69">
            <v>0</v>
          </cell>
          <cell r="N69">
            <v>0</v>
          </cell>
          <cell r="O69">
            <v>1</v>
          </cell>
          <cell r="P69">
            <v>0</v>
          </cell>
          <cell r="Q69">
            <v>2</v>
          </cell>
          <cell r="R69">
            <v>2</v>
          </cell>
          <cell r="S69">
            <v>1</v>
          </cell>
          <cell r="T69">
            <v>1</v>
          </cell>
          <cell r="U69">
            <v>0</v>
          </cell>
          <cell r="V69">
            <v>1</v>
          </cell>
          <cell r="W69">
            <v>0</v>
          </cell>
          <cell r="X69">
            <v>1</v>
          </cell>
          <cell r="Y69">
            <v>14</v>
          </cell>
          <cell r="AA69">
            <v>14</v>
          </cell>
          <cell r="AB69">
            <v>5</v>
          </cell>
          <cell r="AC69">
            <v>0.83333333333333337</v>
          </cell>
          <cell r="AD69">
            <v>2.777777777777778E-2</v>
          </cell>
          <cell r="AE69">
            <v>0.75</v>
          </cell>
          <cell r="AF69">
            <v>0.66666666666666663</v>
          </cell>
          <cell r="AG69">
            <v>1</v>
          </cell>
          <cell r="AH69">
            <v>1.75</v>
          </cell>
          <cell r="AI69">
            <v>2.3333333333333335</v>
          </cell>
          <cell r="AJ69">
            <v>2.3333333333333335</v>
          </cell>
          <cell r="AK69">
            <v>2.3333333333333335</v>
          </cell>
          <cell r="AL69">
            <v>0.6323640243240114</v>
          </cell>
          <cell r="AM69">
            <v>1.854166666666667</v>
          </cell>
          <cell r="AN69">
            <v>0.34105026030957913</v>
          </cell>
          <cell r="AO69">
            <v>0</v>
          </cell>
          <cell r="AP69">
            <v>30.555555555555557</v>
          </cell>
          <cell r="AQ69">
            <v>31</v>
          </cell>
          <cell r="AR69">
            <v>0</v>
          </cell>
          <cell r="AS69">
            <v>27</v>
          </cell>
          <cell r="AT69">
            <v>26</v>
          </cell>
          <cell r="AU69">
            <v>10.4</v>
          </cell>
          <cell r="AV69">
            <v>0</v>
          </cell>
          <cell r="AW69">
            <v>23.5</v>
          </cell>
          <cell r="AX69">
            <v>24</v>
          </cell>
          <cell r="AY69">
            <v>10.285714285714285</v>
          </cell>
          <cell r="AZ69">
            <v>0</v>
          </cell>
          <cell r="BA69">
            <v>42.333333333333336</v>
          </cell>
          <cell r="BB69">
            <v>23</v>
          </cell>
          <cell r="BC69">
            <v>8.625</v>
          </cell>
          <cell r="BD69">
            <v>0</v>
          </cell>
          <cell r="BE69">
            <v>20.333333333333332</v>
          </cell>
          <cell r="BF69">
            <v>7.625</v>
          </cell>
          <cell r="BG69">
            <v>0</v>
          </cell>
          <cell r="BH69">
            <v>17.666666666666664</v>
          </cell>
          <cell r="BI69">
            <v>14</v>
          </cell>
          <cell r="BJ69">
            <v>6</v>
          </cell>
          <cell r="BK69">
            <v>0</v>
          </cell>
          <cell r="BL69">
            <v>35</v>
          </cell>
          <cell r="BM69">
            <v>39</v>
          </cell>
          <cell r="BN69">
            <v>22.75</v>
          </cell>
          <cell r="BO69">
            <v>0</v>
          </cell>
          <cell r="BP69">
            <v>37.285714285714285</v>
          </cell>
          <cell r="BQ69">
            <v>37</v>
          </cell>
          <cell r="BR69">
            <v>15.857142857142856</v>
          </cell>
          <cell r="BS69">
            <v>0</v>
          </cell>
          <cell r="BT69">
            <v>35.375</v>
          </cell>
          <cell r="BU69">
            <v>37</v>
          </cell>
          <cell r="BV69">
            <v>25.615384615384617</v>
          </cell>
          <cell r="BW69">
            <v>0</v>
          </cell>
          <cell r="BX69">
            <v>0</v>
          </cell>
          <cell r="BY69">
            <v>35.555555555555557</v>
          </cell>
          <cell r="BZ69">
            <v>37</v>
          </cell>
          <cell r="CA69">
            <v>28.46153846153846</v>
          </cell>
          <cell r="CB69">
            <v>0</v>
          </cell>
          <cell r="CC69">
            <v>0</v>
          </cell>
          <cell r="CD69">
            <v>35.700000000000003</v>
          </cell>
          <cell r="CE69">
            <v>37</v>
          </cell>
          <cell r="CF69">
            <v>29.071428571428573</v>
          </cell>
          <cell r="CG69">
            <v>0</v>
          </cell>
          <cell r="CH69">
            <v>0</v>
          </cell>
          <cell r="CI69">
            <v>34.427272727272729</v>
          </cell>
          <cell r="CJ69">
            <v>30</v>
          </cell>
          <cell r="CK69">
            <v>17.142857142857142</v>
          </cell>
          <cell r="CL69">
            <v>0</v>
          </cell>
          <cell r="CM69">
            <v>0</v>
          </cell>
          <cell r="CN69">
            <v>28.25</v>
          </cell>
          <cell r="CO69">
            <v>29</v>
          </cell>
          <cell r="CP69">
            <v>14.5</v>
          </cell>
          <cell r="CQ69">
            <v>0</v>
          </cell>
          <cell r="CR69">
            <v>0</v>
          </cell>
          <cell r="CS69">
            <v>27</v>
          </cell>
          <cell r="CT69">
            <v>27</v>
          </cell>
          <cell r="CU69">
            <v>13.5</v>
          </cell>
          <cell r="CV69">
            <v>0</v>
          </cell>
          <cell r="CW69">
            <v>0</v>
          </cell>
          <cell r="CX69">
            <v>25</v>
          </cell>
          <cell r="CY69">
            <v>19</v>
          </cell>
          <cell r="CZ69">
            <v>7.125</v>
          </cell>
          <cell r="DA69">
            <v>0</v>
          </cell>
          <cell r="DB69">
            <v>0</v>
          </cell>
          <cell r="DC69">
            <v>16.5</v>
          </cell>
          <cell r="DD69">
            <v>17</v>
          </cell>
          <cell r="DE69">
            <v>4.4000000000000004</v>
          </cell>
          <cell r="DF69">
            <v>0</v>
          </cell>
          <cell r="DG69">
            <v>0</v>
          </cell>
          <cell r="DH69">
            <v>14.5</v>
          </cell>
          <cell r="DI69">
            <v>14</v>
          </cell>
          <cell r="DJ69">
            <v>4.8235294117647056</v>
          </cell>
          <cell r="DK69">
            <v>0</v>
          </cell>
          <cell r="DL69">
            <v>0</v>
          </cell>
          <cell r="DM69">
            <v>11.666666666666666</v>
          </cell>
          <cell r="DN69">
            <v>14</v>
          </cell>
          <cell r="DO69">
            <v>5.8571428571428568</v>
          </cell>
          <cell r="DP69">
            <v>0</v>
          </cell>
          <cell r="DQ69">
            <v>0</v>
          </cell>
          <cell r="DR69">
            <v>11.666666666666666</v>
          </cell>
          <cell r="DS69">
            <v>11.666666666666666</v>
          </cell>
          <cell r="DT69">
            <v>4.8571428571428568</v>
          </cell>
          <cell r="DU69">
            <v>0</v>
          </cell>
          <cell r="DV69">
            <v>3</v>
          </cell>
          <cell r="DW69">
            <v>12.333333333333332</v>
          </cell>
          <cell r="DX69">
            <v>12.333333333333332</v>
          </cell>
          <cell r="DY69">
            <v>5.1428571428571423</v>
          </cell>
          <cell r="DZ69">
            <v>0</v>
          </cell>
          <cell r="EA69">
            <v>0</v>
          </cell>
          <cell r="EB69">
            <v>9.9999999999999982</v>
          </cell>
          <cell r="EC69">
            <v>9.9999999999999982</v>
          </cell>
          <cell r="ED69">
            <v>4.1428571428571423</v>
          </cell>
          <cell r="EE69">
            <v>0</v>
          </cell>
          <cell r="EF69">
            <v>0</v>
          </cell>
          <cell r="EG69">
            <v>7.6666666666666643</v>
          </cell>
          <cell r="EH69">
            <v>7.6666666666666643</v>
          </cell>
          <cell r="EI69">
            <v>3.1428571428571415</v>
          </cell>
          <cell r="EJ69">
            <v>0</v>
          </cell>
          <cell r="EK69">
            <v>15</v>
          </cell>
          <cell r="EL69">
            <v>20.333333333333332</v>
          </cell>
          <cell r="EM69">
            <v>20.333333333333332</v>
          </cell>
          <cell r="EN69">
            <v>8.5714285714285694</v>
          </cell>
          <cell r="EO69">
            <v>0</v>
          </cell>
          <cell r="EP69">
            <v>0</v>
          </cell>
          <cell r="EQ69">
            <v>18</v>
          </cell>
          <cell r="ER69">
            <v>18</v>
          </cell>
          <cell r="ES69">
            <v>7.5714285714285712</v>
          </cell>
          <cell r="ET69">
            <v>0</v>
          </cell>
          <cell r="EU69">
            <v>0</v>
          </cell>
          <cell r="EV69">
            <v>15.666666666666666</v>
          </cell>
          <cell r="EW69">
            <v>15.666666666666666</v>
          </cell>
          <cell r="EX69">
            <v>6.5714285714285712</v>
          </cell>
          <cell r="EY69">
            <v>0</v>
          </cell>
          <cell r="EZ69">
            <v>0</v>
          </cell>
          <cell r="FA69">
            <v>13.333333333333332</v>
          </cell>
          <cell r="FB69">
            <v>13.333333333333332</v>
          </cell>
          <cell r="FC69">
            <v>5.5714285714285712</v>
          </cell>
          <cell r="FD69">
            <v>0</v>
          </cell>
          <cell r="FE69">
            <v>15</v>
          </cell>
          <cell r="FF69">
            <v>26</v>
          </cell>
          <cell r="FG69">
            <v>26</v>
          </cell>
          <cell r="FH69">
            <v>11</v>
          </cell>
          <cell r="FI69">
            <v>0</v>
          </cell>
          <cell r="FJ69">
            <v>0</v>
          </cell>
          <cell r="FK69">
            <v>23.666666666666668</v>
          </cell>
          <cell r="FL69">
            <v>23.666666666666668</v>
          </cell>
          <cell r="FM69">
            <v>10</v>
          </cell>
          <cell r="FN69">
            <v>0</v>
          </cell>
          <cell r="FO69">
            <v>0</v>
          </cell>
          <cell r="FP69">
            <v>21.333333333333336</v>
          </cell>
          <cell r="FQ69">
            <v>21.333333333333336</v>
          </cell>
          <cell r="FR69">
            <v>9</v>
          </cell>
          <cell r="FS69">
            <v>0</v>
          </cell>
          <cell r="FT69">
            <v>5</v>
          </cell>
          <cell r="FU69">
            <v>2.0333333333333332</v>
          </cell>
          <cell r="FW69" t="str">
            <v>SOBRESTOCK</v>
          </cell>
          <cell r="FX69" t="str">
            <v>B</v>
          </cell>
          <cell r="FY69" t="str">
            <v>Si</v>
          </cell>
        </row>
        <row r="70">
          <cell r="B70" t="str">
            <v>REP-0069</v>
          </cell>
          <cell r="C70" t="str">
            <v>MIX</v>
          </cell>
          <cell r="D70">
            <v>0</v>
          </cell>
          <cell r="E70">
            <v>7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1</v>
          </cell>
          <cell r="O70">
            <v>0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2</v>
          </cell>
          <cell r="U70">
            <v>3</v>
          </cell>
          <cell r="V70">
            <v>0</v>
          </cell>
          <cell r="W70">
            <v>0</v>
          </cell>
          <cell r="X70">
            <v>0</v>
          </cell>
          <cell r="Y70">
            <v>14</v>
          </cell>
          <cell r="AA70">
            <v>14</v>
          </cell>
          <cell r="AB70">
            <v>1</v>
          </cell>
          <cell r="AC70">
            <v>0.16666666666666666</v>
          </cell>
          <cell r="AD70">
            <v>5.5555555555555549E-3</v>
          </cell>
          <cell r="AE70">
            <v>0.16666666666666666</v>
          </cell>
          <cell r="AF70">
            <v>0.33333333333333331</v>
          </cell>
          <cell r="AG70">
            <v>0</v>
          </cell>
          <cell r="AH70">
            <v>0.58333333333333337</v>
          </cell>
          <cell r="AI70">
            <v>0.16666666666666666</v>
          </cell>
          <cell r="AJ70">
            <v>0.16666666666666666</v>
          </cell>
          <cell r="AK70">
            <v>0.58333333333333337</v>
          </cell>
          <cell r="AL70">
            <v>0.2488399009329017</v>
          </cell>
          <cell r="AM70">
            <v>0.22916666666666666</v>
          </cell>
          <cell r="AN70">
            <v>1.0858468404344801</v>
          </cell>
          <cell r="AO70">
            <v>0</v>
          </cell>
          <cell r="AP70">
            <v>23.333333333333332</v>
          </cell>
          <cell r="AQ70">
            <v>71.000000000000014</v>
          </cell>
          <cell r="AR70">
            <v>0</v>
          </cell>
          <cell r="AS70">
            <v>23.333333333333336</v>
          </cell>
          <cell r="AT70">
            <v>24</v>
          </cell>
          <cell r="AU70" t="str">
            <v/>
          </cell>
          <cell r="AV70">
            <v>0</v>
          </cell>
          <cell r="AW70">
            <v>24</v>
          </cell>
          <cell r="AX70">
            <v>23</v>
          </cell>
          <cell r="AY70">
            <v>39.428571428571423</v>
          </cell>
          <cell r="AZ70">
            <v>0</v>
          </cell>
          <cell r="BA70">
            <v>22.666666666666668</v>
          </cell>
          <cell r="BB70">
            <v>23</v>
          </cell>
          <cell r="BC70">
            <v>69</v>
          </cell>
          <cell r="BD70">
            <v>0</v>
          </cell>
          <cell r="BE70">
            <v>22.666666666666668</v>
          </cell>
          <cell r="BF70">
            <v>68.000000000000014</v>
          </cell>
          <cell r="BG70">
            <v>0</v>
          </cell>
          <cell r="BH70">
            <v>22.333333333333336</v>
          </cell>
          <cell r="BI70">
            <v>14</v>
          </cell>
          <cell r="BJ70">
            <v>24</v>
          </cell>
          <cell r="BK70">
            <v>0</v>
          </cell>
          <cell r="BL70">
            <v>18.166666666666668</v>
          </cell>
          <cell r="BM70">
            <v>19</v>
          </cell>
          <cell r="BN70">
            <v>22.8</v>
          </cell>
          <cell r="BO70">
            <v>0</v>
          </cell>
          <cell r="BP70">
            <v>18.166666666666668</v>
          </cell>
          <cell r="BQ70">
            <v>19</v>
          </cell>
          <cell r="BR70">
            <v>32.571428571428569</v>
          </cell>
          <cell r="BS70">
            <v>0</v>
          </cell>
          <cell r="BT70">
            <v>18.166666666666668</v>
          </cell>
          <cell r="BU70">
            <v>19</v>
          </cell>
          <cell r="BV70">
            <v>28.5</v>
          </cell>
          <cell r="BW70">
            <v>0</v>
          </cell>
          <cell r="BX70">
            <v>0</v>
          </cell>
          <cell r="BY70">
            <v>18.333333333333332</v>
          </cell>
          <cell r="BZ70">
            <v>18</v>
          </cell>
          <cell r="CA70">
            <v>21.599999999999998</v>
          </cell>
          <cell r="CB70">
            <v>0</v>
          </cell>
          <cell r="CC70">
            <v>0</v>
          </cell>
          <cell r="CD70">
            <v>17.166666666666668</v>
          </cell>
          <cell r="CE70">
            <v>17</v>
          </cell>
          <cell r="CF70">
            <v>25.5</v>
          </cell>
          <cell r="CG70">
            <v>0</v>
          </cell>
          <cell r="CH70">
            <v>0</v>
          </cell>
          <cell r="CI70">
            <v>16.5</v>
          </cell>
          <cell r="CJ70">
            <v>17</v>
          </cell>
          <cell r="CK70">
            <v>29.142857142857142</v>
          </cell>
          <cell r="CL70">
            <v>0</v>
          </cell>
          <cell r="CM70">
            <v>0</v>
          </cell>
          <cell r="CN70">
            <v>16.416666666666668</v>
          </cell>
          <cell r="CO70">
            <v>18</v>
          </cell>
          <cell r="CP70">
            <v>30.857142857142854</v>
          </cell>
          <cell r="CQ70">
            <v>0</v>
          </cell>
          <cell r="CR70">
            <v>0</v>
          </cell>
          <cell r="CS70">
            <v>17.416666666666668</v>
          </cell>
          <cell r="CT70">
            <v>18</v>
          </cell>
          <cell r="CU70">
            <v>30.857142857142854</v>
          </cell>
          <cell r="CV70">
            <v>0</v>
          </cell>
          <cell r="CW70">
            <v>0</v>
          </cell>
          <cell r="CX70">
            <v>17.416666666666668</v>
          </cell>
          <cell r="CY70">
            <v>20</v>
          </cell>
          <cell r="CZ70">
            <v>34.285714285714285</v>
          </cell>
          <cell r="DA70">
            <v>0</v>
          </cell>
          <cell r="DB70">
            <v>0</v>
          </cell>
          <cell r="DC70">
            <v>19.416666666666668</v>
          </cell>
          <cell r="DD70">
            <v>19</v>
          </cell>
          <cell r="DE70">
            <v>29.142857142857142</v>
          </cell>
          <cell r="DF70">
            <v>0</v>
          </cell>
          <cell r="DG70">
            <v>0</v>
          </cell>
          <cell r="DH70">
            <v>18.416666666666668</v>
          </cell>
          <cell r="DI70">
            <v>18</v>
          </cell>
          <cell r="DJ70">
            <v>29.428571428571427</v>
          </cell>
          <cell r="DK70">
            <v>0</v>
          </cell>
          <cell r="DL70">
            <v>0</v>
          </cell>
          <cell r="DM70">
            <v>17.833333333333336</v>
          </cell>
          <cell r="DN70">
            <v>14</v>
          </cell>
          <cell r="DO70">
            <v>22.571428571428569</v>
          </cell>
          <cell r="DP70">
            <v>0</v>
          </cell>
          <cell r="DQ70">
            <v>0</v>
          </cell>
          <cell r="DR70">
            <v>13.416666666666666</v>
          </cell>
          <cell r="DS70">
            <v>13.416666666666666</v>
          </cell>
          <cell r="DT70">
            <v>21.571428571428569</v>
          </cell>
          <cell r="DU70">
            <v>0</v>
          </cell>
          <cell r="DV70">
            <v>0</v>
          </cell>
          <cell r="DW70">
            <v>12.833333333333332</v>
          </cell>
          <cell r="DX70">
            <v>12.833333333333332</v>
          </cell>
          <cell r="DY70">
            <v>20.571428571428569</v>
          </cell>
          <cell r="DZ70">
            <v>0</v>
          </cell>
          <cell r="EA70">
            <v>0</v>
          </cell>
          <cell r="EB70">
            <v>12.249999999999998</v>
          </cell>
          <cell r="EC70">
            <v>12.249999999999998</v>
          </cell>
          <cell r="ED70">
            <v>19.571428571428566</v>
          </cell>
          <cell r="EE70">
            <v>0</v>
          </cell>
          <cell r="EF70">
            <v>0</v>
          </cell>
          <cell r="EG70">
            <v>11.666666666666664</v>
          </cell>
          <cell r="EH70">
            <v>11.666666666666664</v>
          </cell>
          <cell r="EI70">
            <v>18.571428571428566</v>
          </cell>
          <cell r="EJ70">
            <v>0</v>
          </cell>
          <cell r="EK70">
            <v>0</v>
          </cell>
          <cell r="EL70">
            <v>11.08333333333333</v>
          </cell>
          <cell r="EM70">
            <v>11.08333333333333</v>
          </cell>
          <cell r="EN70">
            <v>17.571428571428566</v>
          </cell>
          <cell r="EO70">
            <v>0</v>
          </cell>
          <cell r="EP70">
            <v>0</v>
          </cell>
          <cell r="EQ70">
            <v>10.499999999999996</v>
          </cell>
          <cell r="ER70">
            <v>10.499999999999996</v>
          </cell>
          <cell r="ES70">
            <v>16.571428571428562</v>
          </cell>
          <cell r="ET70">
            <v>0</v>
          </cell>
          <cell r="EU70">
            <v>0</v>
          </cell>
          <cell r="EV70">
            <v>9.9166666666666625</v>
          </cell>
          <cell r="EW70">
            <v>9.9166666666666625</v>
          </cell>
          <cell r="EX70">
            <v>15.571428571428564</v>
          </cell>
          <cell r="EY70">
            <v>0</v>
          </cell>
          <cell r="EZ70">
            <v>0</v>
          </cell>
          <cell r="FA70">
            <v>9.3333333333333286</v>
          </cell>
          <cell r="FB70">
            <v>9.3333333333333286</v>
          </cell>
          <cell r="FC70">
            <v>14.571428571428562</v>
          </cell>
          <cell r="FD70">
            <v>0</v>
          </cell>
          <cell r="FE70">
            <v>0</v>
          </cell>
          <cell r="FF70">
            <v>8.7499999999999947</v>
          </cell>
          <cell r="FG70">
            <v>8.7499999999999947</v>
          </cell>
          <cell r="FH70">
            <v>13.571428571428562</v>
          </cell>
          <cell r="FI70">
            <v>0</v>
          </cell>
          <cell r="FJ70">
            <v>0</v>
          </cell>
          <cell r="FK70">
            <v>8.1666666666666607</v>
          </cell>
          <cell r="FL70">
            <v>8.1666666666666607</v>
          </cell>
          <cell r="FM70">
            <v>12.571428571428561</v>
          </cell>
          <cell r="FN70">
            <v>0</v>
          </cell>
          <cell r="FO70">
            <v>0</v>
          </cell>
          <cell r="FP70">
            <v>7.5833333333333277</v>
          </cell>
          <cell r="FQ70">
            <v>7.5833333333333277</v>
          </cell>
          <cell r="FR70">
            <v>11.571428571428561</v>
          </cell>
          <cell r="FS70">
            <v>0</v>
          </cell>
          <cell r="FT70">
            <v>2</v>
          </cell>
          <cell r="FU70">
            <v>2.0333333333333332</v>
          </cell>
          <cell r="FW70" t="str">
            <v>SOBRESTOCK</v>
          </cell>
          <cell r="FX70" t="str">
            <v>C</v>
          </cell>
          <cell r="FY70" t="str">
            <v>Si</v>
          </cell>
        </row>
        <row r="71">
          <cell r="B71" t="str">
            <v>REP-0070</v>
          </cell>
          <cell r="C71" t="str">
            <v>MIX</v>
          </cell>
          <cell r="D71">
            <v>0</v>
          </cell>
          <cell r="E71">
            <v>16</v>
          </cell>
          <cell r="F71">
            <v>0</v>
          </cell>
          <cell r="G71">
            <v>0</v>
          </cell>
          <cell r="H71">
            <v>1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18</v>
          </cell>
          <cell r="AA71">
            <v>18</v>
          </cell>
          <cell r="AB71">
            <v>3</v>
          </cell>
          <cell r="AC71">
            <v>0.33333333333333331</v>
          </cell>
          <cell r="AD71">
            <v>1.111111111111111E-2</v>
          </cell>
          <cell r="AE71">
            <v>0.41666666666666669</v>
          </cell>
          <cell r="AF71">
            <v>0.41666666666666669</v>
          </cell>
          <cell r="AG71">
            <v>0.25</v>
          </cell>
          <cell r="AH71">
            <v>0.25</v>
          </cell>
          <cell r="AI71">
            <v>0.16666666666666666</v>
          </cell>
          <cell r="AJ71">
            <v>0.16666666666666666</v>
          </cell>
          <cell r="AK71">
            <v>0.25</v>
          </cell>
          <cell r="AL71">
            <v>4.8112522432469017E-2</v>
          </cell>
          <cell r="AM71">
            <v>0.20833333333333331</v>
          </cell>
          <cell r="AN71">
            <v>0.2309401076758513</v>
          </cell>
          <cell r="AO71">
            <v>0</v>
          </cell>
          <cell r="AP71">
            <v>21.5</v>
          </cell>
          <cell r="AQ71">
            <v>51.8</v>
          </cell>
          <cell r="AR71">
            <v>0</v>
          </cell>
          <cell r="AS71">
            <v>21.166666666666664</v>
          </cell>
          <cell r="AT71">
            <v>22</v>
          </cell>
          <cell r="AU71">
            <v>88</v>
          </cell>
          <cell r="AV71">
            <v>0</v>
          </cell>
          <cell r="AW71">
            <v>21.75</v>
          </cell>
          <cell r="AX71">
            <v>22</v>
          </cell>
          <cell r="AY71">
            <v>88</v>
          </cell>
          <cell r="AZ71">
            <v>0</v>
          </cell>
          <cell r="BA71">
            <v>21.75</v>
          </cell>
          <cell r="BB71">
            <v>22</v>
          </cell>
          <cell r="BC71">
            <v>88</v>
          </cell>
          <cell r="BD71">
            <v>0</v>
          </cell>
          <cell r="BE71">
            <v>21.75</v>
          </cell>
          <cell r="BF71">
            <v>87</v>
          </cell>
          <cell r="BG71">
            <v>0</v>
          </cell>
          <cell r="BH71">
            <v>21.5</v>
          </cell>
          <cell r="BI71">
            <v>18</v>
          </cell>
          <cell r="BJ71">
            <v>72</v>
          </cell>
          <cell r="BK71">
            <v>0</v>
          </cell>
          <cell r="BL71">
            <v>19.666666666666668</v>
          </cell>
          <cell r="BM71">
            <v>19</v>
          </cell>
          <cell r="BN71">
            <v>57</v>
          </cell>
          <cell r="BO71">
            <v>0</v>
          </cell>
          <cell r="BP71">
            <v>18.666666666666668</v>
          </cell>
          <cell r="BQ71">
            <v>18</v>
          </cell>
          <cell r="BR71">
            <v>72</v>
          </cell>
          <cell r="BS71">
            <v>0</v>
          </cell>
          <cell r="BT71">
            <v>17.5</v>
          </cell>
          <cell r="BU71">
            <v>19</v>
          </cell>
          <cell r="BV71">
            <v>38</v>
          </cell>
          <cell r="BW71">
            <v>0</v>
          </cell>
          <cell r="BX71">
            <v>0</v>
          </cell>
          <cell r="BY71">
            <v>18.5</v>
          </cell>
          <cell r="BZ71">
            <v>18</v>
          </cell>
          <cell r="CA71">
            <v>36</v>
          </cell>
          <cell r="CB71">
            <v>0</v>
          </cell>
          <cell r="CC71">
            <v>0</v>
          </cell>
          <cell r="CD71">
            <v>17.5</v>
          </cell>
          <cell r="CE71">
            <v>18</v>
          </cell>
          <cell r="CF71">
            <v>66</v>
          </cell>
          <cell r="CG71">
            <v>0</v>
          </cell>
          <cell r="CH71">
            <v>0</v>
          </cell>
          <cell r="CI71">
            <v>17.227272727272727</v>
          </cell>
          <cell r="CJ71">
            <v>18</v>
          </cell>
          <cell r="CK71">
            <v>72</v>
          </cell>
          <cell r="CL71">
            <v>0</v>
          </cell>
          <cell r="CM71">
            <v>0</v>
          </cell>
          <cell r="CN71">
            <v>17.75</v>
          </cell>
          <cell r="CO71">
            <v>18</v>
          </cell>
          <cell r="CP71">
            <v>72</v>
          </cell>
          <cell r="CQ71">
            <v>0</v>
          </cell>
          <cell r="CR71">
            <v>0</v>
          </cell>
          <cell r="CS71">
            <v>17.75</v>
          </cell>
          <cell r="CT71">
            <v>18</v>
          </cell>
          <cell r="CU71">
            <v>72</v>
          </cell>
          <cell r="CV71">
            <v>0</v>
          </cell>
          <cell r="CW71">
            <v>0</v>
          </cell>
          <cell r="CX71">
            <v>17.75</v>
          </cell>
          <cell r="CY71">
            <v>17</v>
          </cell>
          <cell r="CZ71">
            <v>51</v>
          </cell>
          <cell r="DA71">
            <v>0</v>
          </cell>
          <cell r="DB71">
            <v>0</v>
          </cell>
          <cell r="DC71">
            <v>16.75</v>
          </cell>
          <cell r="DD71">
            <v>18</v>
          </cell>
          <cell r="DE71">
            <v>68</v>
          </cell>
          <cell r="DF71">
            <v>0</v>
          </cell>
          <cell r="DG71">
            <v>0</v>
          </cell>
          <cell r="DH71">
            <v>17.75</v>
          </cell>
          <cell r="DI71">
            <v>18</v>
          </cell>
          <cell r="DJ71">
            <v>70</v>
          </cell>
          <cell r="DK71">
            <v>0</v>
          </cell>
          <cell r="DL71">
            <v>0</v>
          </cell>
          <cell r="DM71">
            <v>17.5</v>
          </cell>
          <cell r="DN71">
            <v>18</v>
          </cell>
          <cell r="DO71">
            <v>70</v>
          </cell>
          <cell r="DP71">
            <v>0</v>
          </cell>
          <cell r="DQ71">
            <v>0</v>
          </cell>
          <cell r="DR71">
            <v>17.75</v>
          </cell>
          <cell r="DS71">
            <v>17.75</v>
          </cell>
          <cell r="DT71">
            <v>69</v>
          </cell>
          <cell r="DU71">
            <v>0</v>
          </cell>
          <cell r="DV71">
            <v>0</v>
          </cell>
          <cell r="DW71">
            <v>17.5</v>
          </cell>
          <cell r="DX71">
            <v>17.5</v>
          </cell>
          <cell r="DY71">
            <v>68</v>
          </cell>
          <cell r="DZ71">
            <v>0</v>
          </cell>
          <cell r="EA71">
            <v>0</v>
          </cell>
          <cell r="EB71">
            <v>17.25</v>
          </cell>
          <cell r="EC71">
            <v>17.25</v>
          </cell>
          <cell r="ED71">
            <v>67</v>
          </cell>
          <cell r="EE71">
            <v>0</v>
          </cell>
          <cell r="EF71">
            <v>0</v>
          </cell>
          <cell r="EG71">
            <v>17</v>
          </cell>
          <cell r="EH71">
            <v>17</v>
          </cell>
          <cell r="EI71">
            <v>66</v>
          </cell>
          <cell r="EJ71">
            <v>0</v>
          </cell>
          <cell r="EK71">
            <v>0</v>
          </cell>
          <cell r="EL71">
            <v>16.75</v>
          </cell>
          <cell r="EM71">
            <v>16.75</v>
          </cell>
          <cell r="EN71">
            <v>65</v>
          </cell>
          <cell r="EO71">
            <v>0</v>
          </cell>
          <cell r="EP71">
            <v>0</v>
          </cell>
          <cell r="EQ71">
            <v>16.5</v>
          </cell>
          <cell r="ER71">
            <v>16.5</v>
          </cell>
          <cell r="ES71">
            <v>64</v>
          </cell>
          <cell r="ET71">
            <v>0</v>
          </cell>
          <cell r="EU71">
            <v>0</v>
          </cell>
          <cell r="EV71">
            <v>16.25</v>
          </cell>
          <cell r="EW71">
            <v>16.25</v>
          </cell>
          <cell r="EX71">
            <v>63</v>
          </cell>
          <cell r="EY71">
            <v>0</v>
          </cell>
          <cell r="EZ71">
            <v>0</v>
          </cell>
          <cell r="FA71">
            <v>16</v>
          </cell>
          <cell r="FB71">
            <v>16</v>
          </cell>
          <cell r="FC71">
            <v>62</v>
          </cell>
          <cell r="FD71">
            <v>0</v>
          </cell>
          <cell r="FE71">
            <v>0</v>
          </cell>
          <cell r="FF71">
            <v>15.75</v>
          </cell>
          <cell r="FG71">
            <v>15.75</v>
          </cell>
          <cell r="FH71">
            <v>61</v>
          </cell>
          <cell r="FI71">
            <v>0</v>
          </cell>
          <cell r="FJ71">
            <v>0</v>
          </cell>
          <cell r="FK71">
            <v>15.5</v>
          </cell>
          <cell r="FL71">
            <v>15.5</v>
          </cell>
          <cell r="FM71">
            <v>60</v>
          </cell>
          <cell r="FN71">
            <v>0</v>
          </cell>
          <cell r="FO71">
            <v>0</v>
          </cell>
          <cell r="FP71">
            <v>15.25</v>
          </cell>
          <cell r="FQ71">
            <v>15.25</v>
          </cell>
          <cell r="FR71">
            <v>59</v>
          </cell>
          <cell r="FS71">
            <v>0</v>
          </cell>
          <cell r="FT71">
            <v>1</v>
          </cell>
          <cell r="FU71">
            <v>2.0333333333333332</v>
          </cell>
          <cell r="FW71" t="str">
            <v>SOBRESTOCK</v>
          </cell>
          <cell r="FX71" t="str">
            <v>C</v>
          </cell>
          <cell r="FY71" t="str">
            <v>Si</v>
          </cell>
        </row>
        <row r="72">
          <cell r="B72" t="str">
            <v>REP-0071</v>
          </cell>
          <cell r="C72" t="str">
            <v>MIX</v>
          </cell>
          <cell r="D72">
            <v>0</v>
          </cell>
          <cell r="E72">
            <v>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12</v>
          </cell>
          <cell r="AA72">
            <v>12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0.16666666666666666</v>
          </cell>
          <cell r="AG72">
            <v>8.3333333333333329E-2</v>
          </cell>
          <cell r="AH72">
            <v>0.25</v>
          </cell>
          <cell r="AI72">
            <v>0.83333333333333337</v>
          </cell>
          <cell r="AJ72">
            <v>0.83333333333333337</v>
          </cell>
          <cell r="AK72">
            <v>0.83333333333333337</v>
          </cell>
          <cell r="AL72">
            <v>0.39086797998528583</v>
          </cell>
          <cell r="AM72">
            <v>0.5</v>
          </cell>
          <cell r="AN72">
            <v>0.78173595997057166</v>
          </cell>
          <cell r="AO72">
            <v>0</v>
          </cell>
          <cell r="AP72">
            <v>16.666666666666668</v>
          </cell>
          <cell r="AQ72">
            <v>101</v>
          </cell>
          <cell r="AR72">
            <v>0</v>
          </cell>
          <cell r="AS72">
            <v>16.666666666666664</v>
          </cell>
          <cell r="AT72">
            <v>17</v>
          </cell>
          <cell r="AU72">
            <v>102</v>
          </cell>
          <cell r="AV72">
            <v>0</v>
          </cell>
          <cell r="AW72">
            <v>16.833333333333332</v>
          </cell>
          <cell r="AX72">
            <v>17</v>
          </cell>
          <cell r="AY72">
            <v>20.399999999999999</v>
          </cell>
          <cell r="AZ72">
            <v>0</v>
          </cell>
          <cell r="BA72">
            <v>16.833333333333332</v>
          </cell>
          <cell r="BB72">
            <v>17</v>
          </cell>
          <cell r="BC72">
            <v>204</v>
          </cell>
          <cell r="BD72">
            <v>0</v>
          </cell>
          <cell r="BE72">
            <v>16.916666666666668</v>
          </cell>
          <cell r="BF72">
            <v>203.00000000000003</v>
          </cell>
          <cell r="BG72">
            <v>0</v>
          </cell>
          <cell r="BH72">
            <v>16.833333333333336</v>
          </cell>
          <cell r="BI72">
            <v>12</v>
          </cell>
          <cell r="BJ72">
            <v>14.399999999999999</v>
          </cell>
          <cell r="BK72">
            <v>0</v>
          </cell>
          <cell r="BL72">
            <v>16.916666666666668</v>
          </cell>
          <cell r="BM72">
            <v>17</v>
          </cell>
          <cell r="BN72">
            <v>204</v>
          </cell>
          <cell r="BO72">
            <v>0</v>
          </cell>
          <cell r="BP72">
            <v>16.916666666666668</v>
          </cell>
          <cell r="BQ72">
            <v>15</v>
          </cell>
          <cell r="BR72">
            <v>18</v>
          </cell>
          <cell r="BS72">
            <v>0</v>
          </cell>
          <cell r="BT72">
            <v>14.666666666666666</v>
          </cell>
          <cell r="BU72">
            <v>15</v>
          </cell>
          <cell r="BV72">
            <v>45</v>
          </cell>
          <cell r="BW72">
            <v>0</v>
          </cell>
          <cell r="BX72">
            <v>0</v>
          </cell>
          <cell r="BY72">
            <v>14.666666666666666</v>
          </cell>
          <cell r="BZ72">
            <v>15</v>
          </cell>
          <cell r="CA72">
            <v>45</v>
          </cell>
          <cell r="CB72">
            <v>0</v>
          </cell>
          <cell r="CC72">
            <v>0</v>
          </cell>
          <cell r="CD72">
            <v>14.666666666666666</v>
          </cell>
          <cell r="CE72">
            <v>14</v>
          </cell>
          <cell r="CF72">
            <v>28</v>
          </cell>
          <cell r="CG72">
            <v>0</v>
          </cell>
          <cell r="CH72">
            <v>0</v>
          </cell>
          <cell r="CI72">
            <v>14.166666666666666</v>
          </cell>
          <cell r="CJ72">
            <v>14</v>
          </cell>
          <cell r="CK72">
            <v>28</v>
          </cell>
          <cell r="CL72">
            <v>0</v>
          </cell>
          <cell r="CM72">
            <v>0</v>
          </cell>
          <cell r="CN72">
            <v>13.5</v>
          </cell>
          <cell r="CO72">
            <v>12</v>
          </cell>
          <cell r="CP72">
            <v>6</v>
          </cell>
          <cell r="CQ72">
            <v>0</v>
          </cell>
          <cell r="CR72">
            <v>0</v>
          </cell>
          <cell r="CS72">
            <v>10</v>
          </cell>
          <cell r="CT72">
            <v>12</v>
          </cell>
          <cell r="CU72">
            <v>12</v>
          </cell>
          <cell r="CV72">
            <v>0</v>
          </cell>
          <cell r="CW72">
            <v>0</v>
          </cell>
          <cell r="CX72">
            <v>11</v>
          </cell>
          <cell r="CY72">
            <v>10</v>
          </cell>
          <cell r="CZ72">
            <v>6</v>
          </cell>
          <cell r="DA72">
            <v>0</v>
          </cell>
          <cell r="DB72">
            <v>0</v>
          </cell>
          <cell r="DC72">
            <v>8.75</v>
          </cell>
          <cell r="DD72">
            <v>12</v>
          </cell>
          <cell r="DE72">
            <v>7.2</v>
          </cell>
          <cell r="DF72">
            <v>0</v>
          </cell>
          <cell r="DG72">
            <v>0</v>
          </cell>
          <cell r="DH72">
            <v>10.75</v>
          </cell>
          <cell r="DI72">
            <v>12</v>
          </cell>
          <cell r="DJ72">
            <v>11</v>
          </cell>
          <cell r="DK72">
            <v>0</v>
          </cell>
          <cell r="DL72">
            <v>0</v>
          </cell>
          <cell r="DM72">
            <v>9.75</v>
          </cell>
          <cell r="DN72">
            <v>12</v>
          </cell>
          <cell r="DO72">
            <v>14</v>
          </cell>
          <cell r="DP72">
            <v>0</v>
          </cell>
          <cell r="DQ72">
            <v>0</v>
          </cell>
          <cell r="DR72">
            <v>11.166666666666666</v>
          </cell>
          <cell r="DS72">
            <v>11.166666666666666</v>
          </cell>
          <cell r="DT72">
            <v>12.999999999999998</v>
          </cell>
          <cell r="DU72">
            <v>0</v>
          </cell>
          <cell r="DV72">
            <v>0</v>
          </cell>
          <cell r="DW72">
            <v>10.333333333333332</v>
          </cell>
          <cell r="DX72">
            <v>10.333333333333332</v>
          </cell>
          <cell r="DY72">
            <v>11.999999999999998</v>
          </cell>
          <cell r="DZ72">
            <v>0</v>
          </cell>
          <cell r="EA72">
            <v>0</v>
          </cell>
          <cell r="EB72">
            <v>9.4999999999999982</v>
          </cell>
          <cell r="EC72">
            <v>9.4999999999999982</v>
          </cell>
          <cell r="ED72">
            <v>10.999999999999998</v>
          </cell>
          <cell r="EE72">
            <v>0</v>
          </cell>
          <cell r="EF72">
            <v>0</v>
          </cell>
          <cell r="EG72">
            <v>8.6666666666666643</v>
          </cell>
          <cell r="EH72">
            <v>8.6666666666666643</v>
          </cell>
          <cell r="EI72">
            <v>9.9999999999999964</v>
          </cell>
          <cell r="EJ72">
            <v>0</v>
          </cell>
          <cell r="EK72">
            <v>0</v>
          </cell>
          <cell r="EL72">
            <v>7.8333333333333313</v>
          </cell>
          <cell r="EM72">
            <v>7.8333333333333313</v>
          </cell>
          <cell r="EN72">
            <v>8.9999999999999964</v>
          </cell>
          <cell r="EO72">
            <v>0</v>
          </cell>
          <cell r="EP72">
            <v>0</v>
          </cell>
          <cell r="EQ72">
            <v>6.9999999999999982</v>
          </cell>
          <cell r="ER72">
            <v>6.9999999999999982</v>
          </cell>
          <cell r="ES72">
            <v>7.9999999999999973</v>
          </cell>
          <cell r="ET72">
            <v>0</v>
          </cell>
          <cell r="EU72">
            <v>0</v>
          </cell>
          <cell r="EV72">
            <v>6.1666666666666652</v>
          </cell>
          <cell r="EW72">
            <v>6.1666666666666652</v>
          </cell>
          <cell r="EX72">
            <v>6.9999999999999982</v>
          </cell>
          <cell r="EY72">
            <v>0</v>
          </cell>
          <cell r="EZ72">
            <v>0</v>
          </cell>
          <cell r="FA72">
            <v>5.3333333333333321</v>
          </cell>
          <cell r="FB72">
            <v>5.3333333333333321</v>
          </cell>
          <cell r="FC72">
            <v>5.9999999999999982</v>
          </cell>
          <cell r="FD72">
            <v>0</v>
          </cell>
          <cell r="FE72">
            <v>5</v>
          </cell>
          <cell r="FF72">
            <v>9.4999999999999982</v>
          </cell>
          <cell r="FG72">
            <v>9.4999999999999982</v>
          </cell>
          <cell r="FH72">
            <v>10.999999999999998</v>
          </cell>
          <cell r="FI72">
            <v>0</v>
          </cell>
          <cell r="FJ72">
            <v>0</v>
          </cell>
          <cell r="FK72">
            <v>8.6666666666666643</v>
          </cell>
          <cell r="FL72">
            <v>8.6666666666666643</v>
          </cell>
          <cell r="FM72">
            <v>9.9999999999999964</v>
          </cell>
          <cell r="FN72">
            <v>0</v>
          </cell>
          <cell r="FO72">
            <v>0</v>
          </cell>
          <cell r="FP72">
            <v>7.8333333333333313</v>
          </cell>
          <cell r="FQ72">
            <v>7.8333333333333313</v>
          </cell>
          <cell r="FR72">
            <v>8.9999999999999964</v>
          </cell>
          <cell r="FS72">
            <v>0</v>
          </cell>
          <cell r="FT72">
            <v>2</v>
          </cell>
          <cell r="FU72">
            <v>2.0333333333333332</v>
          </cell>
          <cell r="FW72" t="str">
            <v>SOBRESTOCK</v>
          </cell>
          <cell r="FX72" t="str">
            <v>C</v>
          </cell>
          <cell r="FY72" t="str">
            <v>Si</v>
          </cell>
        </row>
        <row r="73">
          <cell r="B73" t="str">
            <v>REP-0072</v>
          </cell>
          <cell r="C73" t="str">
            <v>MIX</v>
          </cell>
          <cell r="D73">
            <v>0</v>
          </cell>
          <cell r="E73">
            <v>12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</v>
          </cell>
          <cell r="O73">
            <v>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18</v>
          </cell>
          <cell r="AA73">
            <v>18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8.3333333333333329E-2</v>
          </cell>
          <cell r="AH73">
            <v>8.3333333333333329E-2</v>
          </cell>
          <cell r="AI73">
            <v>0.16666666666666666</v>
          </cell>
          <cell r="AJ73">
            <v>0.16666666666666666</v>
          </cell>
          <cell r="AK73">
            <v>0.16666666666666666</v>
          </cell>
          <cell r="AL73">
            <v>4.8112522432468822E-2</v>
          </cell>
          <cell r="AM73">
            <v>0.125</v>
          </cell>
          <cell r="AN73">
            <v>0.38490017945975058</v>
          </cell>
          <cell r="AO73">
            <v>0</v>
          </cell>
          <cell r="AP73">
            <v>18.833333333333332</v>
          </cell>
          <cell r="AQ73">
            <v>227.00000000000003</v>
          </cell>
          <cell r="AR73">
            <v>0</v>
          </cell>
          <cell r="AS73">
            <v>19</v>
          </cell>
          <cell r="AT73">
            <v>19</v>
          </cell>
          <cell r="AU73">
            <v>228</v>
          </cell>
          <cell r="AV73">
            <v>0</v>
          </cell>
          <cell r="AW73">
            <v>18.916666666666668</v>
          </cell>
          <cell r="AX73">
            <v>19</v>
          </cell>
          <cell r="AY73">
            <v>114</v>
          </cell>
          <cell r="AZ73">
            <v>0</v>
          </cell>
          <cell r="BA73">
            <v>18.916666666666668</v>
          </cell>
          <cell r="BB73">
            <v>19</v>
          </cell>
          <cell r="BC73">
            <v>228</v>
          </cell>
          <cell r="BD73">
            <v>0</v>
          </cell>
          <cell r="BE73">
            <v>18.916666666666668</v>
          </cell>
          <cell r="BF73">
            <v>227.00000000000003</v>
          </cell>
          <cell r="BG73">
            <v>0</v>
          </cell>
          <cell r="BH73">
            <v>18.833333333333336</v>
          </cell>
          <cell r="BI73">
            <v>18</v>
          </cell>
          <cell r="BJ73">
            <v>108</v>
          </cell>
          <cell r="BK73">
            <v>0</v>
          </cell>
          <cell r="BL73">
            <v>17.833333333333332</v>
          </cell>
          <cell r="BM73">
            <v>18</v>
          </cell>
          <cell r="BN73">
            <v>108</v>
          </cell>
          <cell r="BO73">
            <v>0</v>
          </cell>
          <cell r="BP73">
            <v>17.833333333333332</v>
          </cell>
          <cell r="BQ73">
            <v>18</v>
          </cell>
          <cell r="BR73">
            <v>108</v>
          </cell>
          <cell r="BS73">
            <v>0</v>
          </cell>
          <cell r="BT73">
            <v>17.833333333333332</v>
          </cell>
          <cell r="BU73">
            <v>18</v>
          </cell>
          <cell r="BV73">
            <v>108</v>
          </cell>
          <cell r="BW73">
            <v>0</v>
          </cell>
          <cell r="BX73">
            <v>0</v>
          </cell>
          <cell r="BY73">
            <v>17.833333333333332</v>
          </cell>
          <cell r="BZ73">
            <v>18</v>
          </cell>
          <cell r="CA73">
            <v>108</v>
          </cell>
          <cell r="CB73">
            <v>0</v>
          </cell>
          <cell r="CC73">
            <v>0</v>
          </cell>
          <cell r="CD73">
            <v>17.833333333333332</v>
          </cell>
          <cell r="CE73">
            <v>18</v>
          </cell>
          <cell r="CF73">
            <v>198</v>
          </cell>
          <cell r="CG73">
            <v>0</v>
          </cell>
          <cell r="CH73">
            <v>0</v>
          </cell>
          <cell r="CI73">
            <v>17.742424242424242</v>
          </cell>
          <cell r="CJ73">
            <v>20</v>
          </cell>
          <cell r="CK73">
            <v>240</v>
          </cell>
          <cell r="CL73">
            <v>0</v>
          </cell>
          <cell r="CM73">
            <v>0</v>
          </cell>
          <cell r="CN73">
            <v>19.916666666666668</v>
          </cell>
          <cell r="CO73">
            <v>20</v>
          </cell>
          <cell r="CP73">
            <v>240</v>
          </cell>
          <cell r="CQ73">
            <v>0</v>
          </cell>
          <cell r="CR73">
            <v>0</v>
          </cell>
          <cell r="CS73">
            <v>19.916666666666668</v>
          </cell>
          <cell r="CT73">
            <v>20</v>
          </cell>
          <cell r="CU73">
            <v>240</v>
          </cell>
          <cell r="CV73">
            <v>0</v>
          </cell>
          <cell r="CW73">
            <v>0</v>
          </cell>
          <cell r="CX73">
            <v>19.916666666666668</v>
          </cell>
          <cell r="CY73">
            <v>21</v>
          </cell>
          <cell r="CZ73">
            <v>252</v>
          </cell>
          <cell r="DA73">
            <v>0</v>
          </cell>
          <cell r="DB73">
            <v>0</v>
          </cell>
          <cell r="DC73">
            <v>20.916666666666668</v>
          </cell>
          <cell r="DD73">
            <v>19</v>
          </cell>
          <cell r="DE73">
            <v>216</v>
          </cell>
          <cell r="DF73">
            <v>0</v>
          </cell>
          <cell r="DG73">
            <v>0</v>
          </cell>
          <cell r="DH73">
            <v>18.916666666666668</v>
          </cell>
          <cell r="DI73">
            <v>18</v>
          </cell>
          <cell r="DJ73">
            <v>87</v>
          </cell>
          <cell r="DK73">
            <v>0</v>
          </cell>
          <cell r="DL73">
            <v>0</v>
          </cell>
          <cell r="DM73">
            <v>18.716666666666669</v>
          </cell>
          <cell r="DN73">
            <v>18</v>
          </cell>
          <cell r="DO73">
            <v>104</v>
          </cell>
          <cell r="DP73">
            <v>0</v>
          </cell>
          <cell r="DQ73">
            <v>0</v>
          </cell>
          <cell r="DR73">
            <v>17.833333333333332</v>
          </cell>
          <cell r="DS73">
            <v>17.833333333333332</v>
          </cell>
          <cell r="DT73">
            <v>103</v>
          </cell>
          <cell r="DU73">
            <v>0</v>
          </cell>
          <cell r="DV73">
            <v>0</v>
          </cell>
          <cell r="DW73">
            <v>17.666666666666664</v>
          </cell>
          <cell r="DX73">
            <v>17.666666666666664</v>
          </cell>
          <cell r="DY73">
            <v>101.99999999999999</v>
          </cell>
          <cell r="DZ73">
            <v>0</v>
          </cell>
          <cell r="EA73">
            <v>0</v>
          </cell>
          <cell r="EB73">
            <v>17.499999999999996</v>
          </cell>
          <cell r="EC73">
            <v>17.499999999999996</v>
          </cell>
          <cell r="ED73">
            <v>100.99999999999999</v>
          </cell>
          <cell r="EE73">
            <v>0</v>
          </cell>
          <cell r="EF73">
            <v>0</v>
          </cell>
          <cell r="EG73">
            <v>17.333333333333329</v>
          </cell>
          <cell r="EH73">
            <v>17.333333333333329</v>
          </cell>
          <cell r="EI73">
            <v>99.999999999999972</v>
          </cell>
          <cell r="EJ73">
            <v>0</v>
          </cell>
          <cell r="EK73">
            <v>0</v>
          </cell>
          <cell r="EL73">
            <v>17.166666666666661</v>
          </cell>
          <cell r="EM73">
            <v>17.166666666666661</v>
          </cell>
          <cell r="EN73">
            <v>98.999999999999972</v>
          </cell>
          <cell r="EO73">
            <v>0</v>
          </cell>
          <cell r="EP73">
            <v>0</v>
          </cell>
          <cell r="EQ73">
            <v>16.999999999999993</v>
          </cell>
          <cell r="ER73">
            <v>16.999999999999993</v>
          </cell>
          <cell r="ES73">
            <v>97.999999999999957</v>
          </cell>
          <cell r="ET73">
            <v>0</v>
          </cell>
          <cell r="EU73">
            <v>0</v>
          </cell>
          <cell r="EV73">
            <v>16.833333333333325</v>
          </cell>
          <cell r="EW73">
            <v>16.833333333333325</v>
          </cell>
          <cell r="EX73">
            <v>96.999999999999957</v>
          </cell>
          <cell r="EY73">
            <v>0</v>
          </cell>
          <cell r="EZ73">
            <v>0</v>
          </cell>
          <cell r="FA73">
            <v>16.666666666666657</v>
          </cell>
          <cell r="FB73">
            <v>16.666666666666657</v>
          </cell>
          <cell r="FC73">
            <v>95.999999999999943</v>
          </cell>
          <cell r="FD73">
            <v>0</v>
          </cell>
          <cell r="FE73">
            <v>0</v>
          </cell>
          <cell r="FF73">
            <v>16.499999999999989</v>
          </cell>
          <cell r="FG73">
            <v>16.499999999999989</v>
          </cell>
          <cell r="FH73">
            <v>94.999999999999943</v>
          </cell>
          <cell r="FI73">
            <v>0</v>
          </cell>
          <cell r="FJ73">
            <v>0</v>
          </cell>
          <cell r="FK73">
            <v>16.333333333333321</v>
          </cell>
          <cell r="FL73">
            <v>16.333333333333321</v>
          </cell>
          <cell r="FM73">
            <v>93.999999999999929</v>
          </cell>
          <cell r="FN73">
            <v>0</v>
          </cell>
          <cell r="FO73">
            <v>0</v>
          </cell>
          <cell r="FP73">
            <v>16.166666666666654</v>
          </cell>
          <cell r="FQ73">
            <v>16.166666666666654</v>
          </cell>
          <cell r="FR73">
            <v>92.999999999999929</v>
          </cell>
          <cell r="FS73">
            <v>0</v>
          </cell>
          <cell r="FT73">
            <v>1</v>
          </cell>
          <cell r="FU73">
            <v>2.0333333333333332</v>
          </cell>
          <cell r="FW73" t="str">
            <v>SOBRESTOCK</v>
          </cell>
          <cell r="FX73" t="str">
            <v>C</v>
          </cell>
          <cell r="FY73" t="str">
            <v>Si</v>
          </cell>
        </row>
        <row r="74">
          <cell r="B74" t="str">
            <v>REP-0073</v>
          </cell>
          <cell r="C74" t="str">
            <v>MIX</v>
          </cell>
          <cell r="D74">
            <v>0</v>
          </cell>
          <cell r="E74">
            <v>65</v>
          </cell>
          <cell r="F74">
            <v>0</v>
          </cell>
          <cell r="G74">
            <v>0</v>
          </cell>
          <cell r="H74">
            <v>6</v>
          </cell>
          <cell r="I74">
            <v>6</v>
          </cell>
          <cell r="J74">
            <v>0</v>
          </cell>
          <cell r="K74">
            <v>4</v>
          </cell>
          <cell r="L74">
            <v>2</v>
          </cell>
          <cell r="M74">
            <v>2</v>
          </cell>
          <cell r="N74">
            <v>1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  <cell r="V74">
            <v>1</v>
          </cell>
          <cell r="W74">
            <v>2</v>
          </cell>
          <cell r="X74">
            <v>1</v>
          </cell>
          <cell r="Y74">
            <v>94</v>
          </cell>
          <cell r="AA74">
            <v>94</v>
          </cell>
          <cell r="AB74">
            <v>58</v>
          </cell>
          <cell r="AC74">
            <v>8.8333333333333339</v>
          </cell>
          <cell r="AD74">
            <v>0.29444444444444445</v>
          </cell>
          <cell r="AE74">
            <v>7.833333333333333</v>
          </cell>
          <cell r="AF74">
            <v>9.6666666666666661</v>
          </cell>
          <cell r="AG74">
            <v>6</v>
          </cell>
          <cell r="AH74">
            <v>12.083333333333334</v>
          </cell>
          <cell r="AI74">
            <v>12.5</v>
          </cell>
          <cell r="AJ74">
            <v>12.5</v>
          </cell>
          <cell r="AK74">
            <v>12.5</v>
          </cell>
          <cell r="AL74">
            <v>3.186614800833147</v>
          </cell>
          <cell r="AM74">
            <v>10.770833333333334</v>
          </cell>
          <cell r="AN74">
            <v>0.29585591961313551</v>
          </cell>
          <cell r="AO74">
            <v>0</v>
          </cell>
          <cell r="AP74">
            <v>88</v>
          </cell>
          <cell r="AQ74">
            <v>9.3448275862068968</v>
          </cell>
          <cell r="AR74">
            <v>0</v>
          </cell>
          <cell r="AS74">
            <v>100.66666666666666</v>
          </cell>
          <cell r="AT74">
            <v>106</v>
          </cell>
          <cell r="AU74">
            <v>17.189189189189189</v>
          </cell>
          <cell r="AV74">
            <v>0</v>
          </cell>
          <cell r="AW74">
            <v>99.833333333333329</v>
          </cell>
          <cell r="AX74">
            <v>96</v>
          </cell>
          <cell r="AY74">
            <v>7.68</v>
          </cell>
          <cell r="AZ74">
            <v>0</v>
          </cell>
          <cell r="BA74">
            <v>88.333333333333329</v>
          </cell>
          <cell r="BB74">
            <v>81</v>
          </cell>
          <cell r="BC74">
            <v>6.2307692307692308</v>
          </cell>
          <cell r="BD74">
            <v>0</v>
          </cell>
          <cell r="BE74">
            <v>68</v>
          </cell>
          <cell r="BF74">
            <v>5.2307692307692308</v>
          </cell>
          <cell r="BG74">
            <v>0</v>
          </cell>
          <cell r="BH74">
            <v>55</v>
          </cell>
          <cell r="BI74">
            <v>94</v>
          </cell>
          <cell r="BJ74">
            <v>7.52</v>
          </cell>
          <cell r="BK74">
            <v>0</v>
          </cell>
          <cell r="BL74">
            <v>52</v>
          </cell>
          <cell r="BM74">
            <v>65</v>
          </cell>
          <cell r="BN74">
            <v>5.6521739130434785</v>
          </cell>
          <cell r="BO74">
            <v>0</v>
          </cell>
          <cell r="BP74">
            <v>53.5</v>
          </cell>
          <cell r="BQ74">
            <v>49</v>
          </cell>
          <cell r="BR74">
            <v>3.92</v>
          </cell>
          <cell r="BS74">
            <v>0</v>
          </cell>
          <cell r="BT74">
            <v>35.833333333333336</v>
          </cell>
          <cell r="BU74">
            <v>44</v>
          </cell>
          <cell r="BV74">
            <v>3.6666666666666665</v>
          </cell>
          <cell r="BW74">
            <v>52</v>
          </cell>
          <cell r="BX74">
            <v>0</v>
          </cell>
          <cell r="BY74">
            <v>32</v>
          </cell>
          <cell r="BZ74">
            <v>37</v>
          </cell>
          <cell r="CA74">
            <v>3.1714285714285717</v>
          </cell>
          <cell r="CB74">
            <v>57</v>
          </cell>
          <cell r="CC74">
            <v>0</v>
          </cell>
          <cell r="CD74">
            <v>85.333333333333329</v>
          </cell>
          <cell r="CE74">
            <v>36</v>
          </cell>
          <cell r="CF74">
            <v>3.0857142857142859</v>
          </cell>
          <cell r="CG74">
            <v>58</v>
          </cell>
          <cell r="CH74">
            <v>60</v>
          </cell>
          <cell r="CI74">
            <v>131.66666666666666</v>
          </cell>
          <cell r="CJ74">
            <v>95</v>
          </cell>
          <cell r="CK74">
            <v>6.7058823529411766</v>
          </cell>
          <cell r="CL74">
            <v>19</v>
          </cell>
          <cell r="CM74">
            <v>30</v>
          </cell>
          <cell r="CN74">
            <v>110.83333333333333</v>
          </cell>
          <cell r="CO74">
            <v>96</v>
          </cell>
          <cell r="CP74">
            <v>5.6470588235294121</v>
          </cell>
          <cell r="CQ74">
            <v>3.1666666666666714</v>
          </cell>
          <cell r="CR74">
            <v>0</v>
          </cell>
          <cell r="CS74">
            <v>79</v>
          </cell>
          <cell r="CT74">
            <v>86</v>
          </cell>
          <cell r="CU74">
            <v>6.5316455696202533</v>
          </cell>
          <cell r="CV74">
            <v>0</v>
          </cell>
          <cell r="CW74">
            <v>0</v>
          </cell>
          <cell r="CX74">
            <v>72.833333333333329</v>
          </cell>
          <cell r="CY74">
            <v>61</v>
          </cell>
          <cell r="CZ74">
            <v>3.5882352941176472</v>
          </cell>
          <cell r="DA74">
            <v>0</v>
          </cell>
          <cell r="DB74">
            <v>60</v>
          </cell>
          <cell r="DC74">
            <v>105.33333333333333</v>
          </cell>
          <cell r="DD74">
            <v>121</v>
          </cell>
          <cell r="DE74">
            <v>6.7755102040816331</v>
          </cell>
          <cell r="DF74">
            <v>0</v>
          </cell>
          <cell r="DG74">
            <v>0</v>
          </cell>
          <cell r="DH74">
            <v>108.75</v>
          </cell>
          <cell r="DI74">
            <v>103</v>
          </cell>
          <cell r="DJ74">
            <v>7.0649350649350646</v>
          </cell>
          <cell r="DK74">
            <v>0</v>
          </cell>
          <cell r="DL74">
            <v>0</v>
          </cell>
          <cell r="DM74">
            <v>95.916666666666671</v>
          </cell>
          <cell r="DN74">
            <v>94</v>
          </cell>
          <cell r="DO74">
            <v>6.48</v>
          </cell>
          <cell r="DP74">
            <v>0</v>
          </cell>
          <cell r="DQ74">
            <v>0</v>
          </cell>
          <cell r="DR74">
            <v>81.5</v>
          </cell>
          <cell r="DS74">
            <v>81.5</v>
          </cell>
          <cell r="DT74">
            <v>5.48</v>
          </cell>
          <cell r="DU74">
            <v>0</v>
          </cell>
          <cell r="DV74">
            <v>0</v>
          </cell>
          <cell r="DW74">
            <v>69</v>
          </cell>
          <cell r="DX74">
            <v>69</v>
          </cell>
          <cell r="DY74">
            <v>4.4800000000000004</v>
          </cell>
          <cell r="DZ74">
            <v>0</v>
          </cell>
          <cell r="EA74">
            <v>0</v>
          </cell>
          <cell r="EB74">
            <v>56.5</v>
          </cell>
          <cell r="EC74">
            <v>56.5</v>
          </cell>
          <cell r="ED74">
            <v>3.48</v>
          </cell>
          <cell r="EE74">
            <v>0</v>
          </cell>
          <cell r="EF74">
            <v>0</v>
          </cell>
          <cell r="EG74">
            <v>44</v>
          </cell>
          <cell r="EH74">
            <v>44</v>
          </cell>
          <cell r="EI74">
            <v>2.48</v>
          </cell>
          <cell r="EJ74">
            <v>0</v>
          </cell>
          <cell r="EK74">
            <v>40</v>
          </cell>
          <cell r="EL74">
            <v>71.5</v>
          </cell>
          <cell r="EM74">
            <v>71.5</v>
          </cell>
          <cell r="EN74">
            <v>4.68</v>
          </cell>
          <cell r="EO74">
            <v>0</v>
          </cell>
          <cell r="EP74">
            <v>0</v>
          </cell>
          <cell r="EQ74">
            <v>59</v>
          </cell>
          <cell r="ER74">
            <v>59</v>
          </cell>
          <cell r="ES74">
            <v>3.6799999999999997</v>
          </cell>
          <cell r="ET74">
            <v>0</v>
          </cell>
          <cell r="EU74">
            <v>0</v>
          </cell>
          <cell r="EV74">
            <v>46.5</v>
          </cell>
          <cell r="EW74">
            <v>46.5</v>
          </cell>
          <cell r="EX74">
            <v>2.68</v>
          </cell>
          <cell r="EY74">
            <v>0</v>
          </cell>
          <cell r="EZ74">
            <v>0</v>
          </cell>
          <cell r="FA74">
            <v>34</v>
          </cell>
          <cell r="FB74">
            <v>34</v>
          </cell>
          <cell r="FC74">
            <v>1.68</v>
          </cell>
          <cell r="FD74">
            <v>4</v>
          </cell>
          <cell r="FE74">
            <v>55</v>
          </cell>
          <cell r="FF74">
            <v>76.5</v>
          </cell>
          <cell r="FG74">
            <v>76.5</v>
          </cell>
          <cell r="FH74">
            <v>5.08</v>
          </cell>
          <cell r="FI74">
            <v>0</v>
          </cell>
          <cell r="FJ74">
            <v>0</v>
          </cell>
          <cell r="FK74">
            <v>64</v>
          </cell>
          <cell r="FL74">
            <v>64</v>
          </cell>
          <cell r="FM74">
            <v>4.08</v>
          </cell>
          <cell r="FN74">
            <v>0</v>
          </cell>
          <cell r="FO74">
            <v>0</v>
          </cell>
          <cell r="FP74">
            <v>51.5</v>
          </cell>
          <cell r="FQ74">
            <v>51.5</v>
          </cell>
          <cell r="FR74">
            <v>3.08</v>
          </cell>
          <cell r="FS74">
            <v>0</v>
          </cell>
          <cell r="FT74">
            <v>38</v>
          </cell>
          <cell r="FU74">
            <v>2.0333333333333332</v>
          </cell>
          <cell r="FW74" t="str">
            <v>SOBRESTOCK</v>
          </cell>
          <cell r="FX74" t="str">
            <v>A</v>
          </cell>
          <cell r="FY74" t="str">
            <v>Si</v>
          </cell>
        </row>
        <row r="75">
          <cell r="B75" t="str">
            <v>REP-0074</v>
          </cell>
          <cell r="C75" t="str">
            <v>MIX</v>
          </cell>
          <cell r="D75">
            <v>0</v>
          </cell>
          <cell r="E75">
            <v>40</v>
          </cell>
          <cell r="F75">
            <v>0</v>
          </cell>
          <cell r="G75">
            <v>0</v>
          </cell>
          <cell r="H75">
            <v>6</v>
          </cell>
          <cell r="I75">
            <v>6</v>
          </cell>
          <cell r="J75">
            <v>0</v>
          </cell>
          <cell r="K75">
            <v>2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6</v>
          </cell>
          <cell r="Q75">
            <v>9</v>
          </cell>
          <cell r="R75">
            <v>2</v>
          </cell>
          <cell r="S75">
            <v>0</v>
          </cell>
          <cell r="T75">
            <v>4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75</v>
          </cell>
          <cell r="AA75">
            <v>75</v>
          </cell>
          <cell r="AB75">
            <v>2</v>
          </cell>
          <cell r="AC75">
            <v>0</v>
          </cell>
          <cell r="AD75">
            <v>0</v>
          </cell>
          <cell r="AE75">
            <v>0.16666666666666666</v>
          </cell>
          <cell r="AF75">
            <v>0</v>
          </cell>
          <cell r="AG75">
            <v>0.58333333333333337</v>
          </cell>
          <cell r="AH75">
            <v>0.75</v>
          </cell>
          <cell r="AI75">
            <v>0.83333333333333337</v>
          </cell>
          <cell r="AJ75">
            <v>0.83333333333333337</v>
          </cell>
          <cell r="AK75">
            <v>0.83333333333333337</v>
          </cell>
          <cell r="AL75">
            <v>0.11785113019775709</v>
          </cell>
          <cell r="AM75">
            <v>0.75000000000000011</v>
          </cell>
          <cell r="AN75">
            <v>0.15713484026367608</v>
          </cell>
          <cell r="AO75">
            <v>0</v>
          </cell>
          <cell r="AP75">
            <v>59.166666666666664</v>
          </cell>
          <cell r="AQ75">
            <v>101.85714285714285</v>
          </cell>
          <cell r="AR75">
            <v>0</v>
          </cell>
          <cell r="AS75">
            <v>59.333333333333329</v>
          </cell>
          <cell r="AT75">
            <v>60</v>
          </cell>
          <cell r="AU75">
            <v>102.85714285714285</v>
          </cell>
          <cell r="AV75">
            <v>0</v>
          </cell>
          <cell r="AW75">
            <v>59.416666666666664</v>
          </cell>
          <cell r="AX75">
            <v>60</v>
          </cell>
          <cell r="AY75">
            <v>72</v>
          </cell>
          <cell r="AZ75">
            <v>0</v>
          </cell>
          <cell r="BA75">
            <v>59.416666666666664</v>
          </cell>
          <cell r="BB75">
            <v>59</v>
          </cell>
          <cell r="BC75">
            <v>35.4</v>
          </cell>
          <cell r="BD75">
            <v>0</v>
          </cell>
          <cell r="BE75">
            <v>57.333333333333336</v>
          </cell>
          <cell r="BF75">
            <v>34.4</v>
          </cell>
          <cell r="BG75">
            <v>0</v>
          </cell>
          <cell r="BH75">
            <v>55.666666666666671</v>
          </cell>
          <cell r="BI75">
            <v>75</v>
          </cell>
          <cell r="BJ75">
            <v>90</v>
          </cell>
          <cell r="BK75">
            <v>0</v>
          </cell>
          <cell r="BL75">
            <v>56.416666666666664</v>
          </cell>
          <cell r="BM75">
            <v>75</v>
          </cell>
          <cell r="BN75">
            <v>90</v>
          </cell>
          <cell r="BO75">
            <v>0</v>
          </cell>
          <cell r="BP75">
            <v>74.166666666666671</v>
          </cell>
          <cell r="BQ75">
            <v>75</v>
          </cell>
          <cell r="BR75">
            <v>90</v>
          </cell>
          <cell r="BS75">
            <v>0</v>
          </cell>
          <cell r="BT75">
            <v>74.166666666666671</v>
          </cell>
          <cell r="BU75">
            <v>75</v>
          </cell>
          <cell r="BV75">
            <v>90</v>
          </cell>
          <cell r="BW75">
            <v>0</v>
          </cell>
          <cell r="BX75">
            <v>0</v>
          </cell>
          <cell r="BY75">
            <v>74.166666666666671</v>
          </cell>
          <cell r="BZ75">
            <v>75</v>
          </cell>
          <cell r="CA75">
            <v>112.5</v>
          </cell>
          <cell r="CB75">
            <v>0</v>
          </cell>
          <cell r="CC75">
            <v>0</v>
          </cell>
          <cell r="CD75">
            <v>74.333333333333329</v>
          </cell>
          <cell r="CE75">
            <v>71</v>
          </cell>
          <cell r="CF75">
            <v>53.25</v>
          </cell>
          <cell r="CG75">
            <v>0</v>
          </cell>
          <cell r="CH75">
            <v>0</v>
          </cell>
          <cell r="CI75">
            <v>73</v>
          </cell>
          <cell r="CJ75">
            <v>91</v>
          </cell>
          <cell r="CK75">
            <v>91</v>
          </cell>
          <cell r="CL75">
            <v>0</v>
          </cell>
          <cell r="CM75">
            <v>0</v>
          </cell>
          <cell r="CN75">
            <v>90</v>
          </cell>
          <cell r="CO75">
            <v>91</v>
          </cell>
          <cell r="CP75">
            <v>91</v>
          </cell>
          <cell r="CQ75">
            <v>0</v>
          </cell>
          <cell r="CR75">
            <v>0</v>
          </cell>
          <cell r="CS75">
            <v>90</v>
          </cell>
          <cell r="CT75">
            <v>82</v>
          </cell>
          <cell r="CU75">
            <v>109.33333333333333</v>
          </cell>
          <cell r="CV75">
            <v>0</v>
          </cell>
          <cell r="CW75">
            <v>0</v>
          </cell>
          <cell r="CX75">
            <v>81.25</v>
          </cell>
          <cell r="CY75">
            <v>77</v>
          </cell>
          <cell r="CZ75">
            <v>102.66666666666667</v>
          </cell>
          <cell r="DA75">
            <v>0</v>
          </cell>
          <cell r="DB75">
            <v>0</v>
          </cell>
          <cell r="DC75">
            <v>76.25</v>
          </cell>
          <cell r="DD75">
            <v>84</v>
          </cell>
          <cell r="DE75">
            <v>64.8</v>
          </cell>
          <cell r="DF75">
            <v>0</v>
          </cell>
          <cell r="DG75">
            <v>0</v>
          </cell>
          <cell r="DH75">
            <v>82.75</v>
          </cell>
          <cell r="DI75">
            <v>84</v>
          </cell>
          <cell r="DJ75">
            <v>83</v>
          </cell>
          <cell r="DK75">
            <v>0</v>
          </cell>
          <cell r="DL75">
            <v>0</v>
          </cell>
          <cell r="DM75">
            <v>81.75</v>
          </cell>
          <cell r="DN75">
            <v>75</v>
          </cell>
          <cell r="DO75">
            <v>89.6</v>
          </cell>
          <cell r="DP75">
            <v>0</v>
          </cell>
          <cell r="DQ75">
            <v>0</v>
          </cell>
          <cell r="DR75">
            <v>74.166666666666671</v>
          </cell>
          <cell r="DS75">
            <v>74.166666666666671</v>
          </cell>
          <cell r="DT75">
            <v>88.600000000000009</v>
          </cell>
          <cell r="DU75">
            <v>0</v>
          </cell>
          <cell r="DV75">
            <v>0</v>
          </cell>
          <cell r="DW75">
            <v>73.333333333333343</v>
          </cell>
          <cell r="DX75">
            <v>73.333333333333343</v>
          </cell>
          <cell r="DY75">
            <v>87.600000000000009</v>
          </cell>
          <cell r="DZ75">
            <v>0</v>
          </cell>
          <cell r="EA75">
            <v>0</v>
          </cell>
          <cell r="EB75">
            <v>72.500000000000014</v>
          </cell>
          <cell r="EC75">
            <v>72.500000000000014</v>
          </cell>
          <cell r="ED75">
            <v>86.600000000000009</v>
          </cell>
          <cell r="EE75">
            <v>0</v>
          </cell>
          <cell r="EF75">
            <v>0</v>
          </cell>
          <cell r="EG75">
            <v>71.666666666666686</v>
          </cell>
          <cell r="EH75">
            <v>71.666666666666686</v>
          </cell>
          <cell r="EI75">
            <v>85.600000000000023</v>
          </cell>
          <cell r="EJ75">
            <v>0</v>
          </cell>
          <cell r="EK75">
            <v>0</v>
          </cell>
          <cell r="EL75">
            <v>70.833333333333357</v>
          </cell>
          <cell r="EM75">
            <v>70.833333333333357</v>
          </cell>
          <cell r="EN75">
            <v>84.600000000000023</v>
          </cell>
          <cell r="EO75">
            <v>0</v>
          </cell>
          <cell r="EP75">
            <v>0</v>
          </cell>
          <cell r="EQ75">
            <v>70.000000000000028</v>
          </cell>
          <cell r="ER75">
            <v>70.000000000000028</v>
          </cell>
          <cell r="ES75">
            <v>83.600000000000037</v>
          </cell>
          <cell r="ET75">
            <v>0</v>
          </cell>
          <cell r="EU75">
            <v>0</v>
          </cell>
          <cell r="EV75">
            <v>69.1666666666667</v>
          </cell>
          <cell r="EW75">
            <v>69.1666666666667</v>
          </cell>
          <cell r="EX75">
            <v>82.600000000000037</v>
          </cell>
          <cell r="EY75">
            <v>0</v>
          </cell>
          <cell r="EZ75">
            <v>0</v>
          </cell>
          <cell r="FA75">
            <v>68.333333333333371</v>
          </cell>
          <cell r="FB75">
            <v>68.333333333333371</v>
          </cell>
          <cell r="FC75">
            <v>81.600000000000037</v>
          </cell>
          <cell r="FD75">
            <v>0</v>
          </cell>
          <cell r="FE75">
            <v>0</v>
          </cell>
          <cell r="FF75">
            <v>67.500000000000043</v>
          </cell>
          <cell r="FG75">
            <v>67.500000000000043</v>
          </cell>
          <cell r="FH75">
            <v>80.600000000000051</v>
          </cell>
          <cell r="FI75">
            <v>0</v>
          </cell>
          <cell r="FJ75">
            <v>0</v>
          </cell>
          <cell r="FK75">
            <v>66.666666666666714</v>
          </cell>
          <cell r="FL75">
            <v>66.666666666666714</v>
          </cell>
          <cell r="FM75">
            <v>79.600000000000051</v>
          </cell>
          <cell r="FN75">
            <v>0</v>
          </cell>
          <cell r="FO75">
            <v>0</v>
          </cell>
          <cell r="FP75">
            <v>65.833333333333385</v>
          </cell>
          <cell r="FQ75">
            <v>65.833333333333385</v>
          </cell>
          <cell r="FR75">
            <v>78.600000000000065</v>
          </cell>
          <cell r="FS75">
            <v>0</v>
          </cell>
          <cell r="FT75">
            <v>2</v>
          </cell>
          <cell r="FU75">
            <v>2.0333333333333332</v>
          </cell>
          <cell r="FW75" t="str">
            <v>SOBRESTOCK</v>
          </cell>
          <cell r="FX75" t="str">
            <v>C</v>
          </cell>
          <cell r="FY75" t="str">
            <v>Si</v>
          </cell>
        </row>
        <row r="76">
          <cell r="B76" t="str">
            <v>REP-0075</v>
          </cell>
          <cell r="C76" t="str">
            <v>MIX</v>
          </cell>
          <cell r="D76">
            <v>0</v>
          </cell>
          <cell r="E76">
            <v>10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</v>
          </cell>
          <cell r="L76">
            <v>4</v>
          </cell>
          <cell r="M76">
            <v>1</v>
          </cell>
          <cell r="N76">
            <v>2</v>
          </cell>
          <cell r="O76">
            <v>0</v>
          </cell>
          <cell r="P76">
            <v>1</v>
          </cell>
          <cell r="Q76">
            <v>1</v>
          </cell>
          <cell r="R76">
            <v>2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1</v>
          </cell>
          <cell r="Y76">
            <v>24</v>
          </cell>
          <cell r="AA76">
            <v>24</v>
          </cell>
          <cell r="AB76">
            <v>3</v>
          </cell>
          <cell r="AC76">
            <v>1.6666666666666667</v>
          </cell>
          <cell r="AD76">
            <v>5.5555555555555559E-2</v>
          </cell>
          <cell r="AE76">
            <v>1.0833333333333333</v>
          </cell>
          <cell r="AF76">
            <v>1.8333333333333333</v>
          </cell>
          <cell r="AG76">
            <v>1.8333333333333333</v>
          </cell>
          <cell r="AH76">
            <v>0.75</v>
          </cell>
          <cell r="AI76">
            <v>0.5</v>
          </cell>
          <cell r="AJ76">
            <v>0.5</v>
          </cell>
          <cell r="AK76">
            <v>1.8333333333333333</v>
          </cell>
          <cell r="AL76">
            <v>0.63601406343640621</v>
          </cell>
          <cell r="AM76">
            <v>0.89583333333333326</v>
          </cell>
          <cell r="AN76">
            <v>0.70996918709180235</v>
          </cell>
          <cell r="AO76">
            <v>0</v>
          </cell>
          <cell r="AP76">
            <v>26.166666666666668</v>
          </cell>
          <cell r="AQ76">
            <v>14.272727272727273</v>
          </cell>
          <cell r="AR76">
            <v>0</v>
          </cell>
          <cell r="AS76">
            <v>24.333333333333336</v>
          </cell>
          <cell r="AT76">
            <v>26</v>
          </cell>
          <cell r="AU76">
            <v>14.181818181818182</v>
          </cell>
          <cell r="AV76">
            <v>0</v>
          </cell>
          <cell r="AW76">
            <v>24.166666666666668</v>
          </cell>
          <cell r="AX76">
            <v>25</v>
          </cell>
          <cell r="AY76">
            <v>13.636363636363637</v>
          </cell>
          <cell r="AZ76">
            <v>0</v>
          </cell>
          <cell r="BA76">
            <v>23.166666666666668</v>
          </cell>
          <cell r="BB76">
            <v>25</v>
          </cell>
          <cell r="BC76">
            <v>13.636363636363637</v>
          </cell>
          <cell r="BD76">
            <v>0</v>
          </cell>
          <cell r="BE76">
            <v>23.166666666666668</v>
          </cell>
          <cell r="BF76">
            <v>12.636363636363637</v>
          </cell>
          <cell r="BG76">
            <v>0</v>
          </cell>
          <cell r="BH76">
            <v>21.333333333333336</v>
          </cell>
          <cell r="BI76">
            <v>24</v>
          </cell>
          <cell r="BJ76">
            <v>13.090909090909092</v>
          </cell>
          <cell r="BK76">
            <v>0</v>
          </cell>
          <cell r="BL76">
            <v>20.166666666666668</v>
          </cell>
          <cell r="BM76">
            <v>20</v>
          </cell>
          <cell r="BN76">
            <v>10.90909090909091</v>
          </cell>
          <cell r="BO76">
            <v>0</v>
          </cell>
          <cell r="BP76">
            <v>18.166666666666668</v>
          </cell>
          <cell r="BQ76">
            <v>20</v>
          </cell>
          <cell r="BR76">
            <v>10.90909090909091</v>
          </cell>
          <cell r="BS76">
            <v>0</v>
          </cell>
          <cell r="BT76">
            <v>18.166666666666668</v>
          </cell>
          <cell r="BU76">
            <v>20</v>
          </cell>
          <cell r="BV76">
            <v>10.90909090909091</v>
          </cell>
          <cell r="BW76">
            <v>0</v>
          </cell>
          <cell r="BX76">
            <v>0</v>
          </cell>
          <cell r="BY76">
            <v>18.166666666666668</v>
          </cell>
          <cell r="BZ76">
            <v>19</v>
          </cell>
          <cell r="CA76">
            <v>10.363636363636363</v>
          </cell>
          <cell r="CB76">
            <v>0</v>
          </cell>
          <cell r="CC76">
            <v>0</v>
          </cell>
          <cell r="CD76">
            <v>27.166666666666668</v>
          </cell>
          <cell r="CE76">
            <v>19</v>
          </cell>
          <cell r="CF76">
            <v>10.363636363636363</v>
          </cell>
          <cell r="CG76">
            <v>0</v>
          </cell>
          <cell r="CH76">
            <v>10</v>
          </cell>
          <cell r="CI76">
            <v>25.333333333333336</v>
          </cell>
          <cell r="CJ76">
            <v>29</v>
          </cell>
          <cell r="CK76">
            <v>15.818181818181818</v>
          </cell>
          <cell r="CL76">
            <v>0</v>
          </cell>
          <cell r="CM76">
            <v>0</v>
          </cell>
          <cell r="CN76">
            <v>27.166666666666668</v>
          </cell>
          <cell r="CO76">
            <v>28</v>
          </cell>
          <cell r="CP76">
            <v>15.272727272727273</v>
          </cell>
          <cell r="CQ76">
            <v>0</v>
          </cell>
          <cell r="CR76">
            <v>0</v>
          </cell>
          <cell r="CS76">
            <v>26.166666666666668</v>
          </cell>
          <cell r="CT76">
            <v>28</v>
          </cell>
          <cell r="CU76">
            <v>15.272727272727273</v>
          </cell>
          <cell r="CV76">
            <v>0</v>
          </cell>
          <cell r="CW76">
            <v>0</v>
          </cell>
          <cell r="CX76">
            <v>26.166666666666668</v>
          </cell>
          <cell r="CY76">
            <v>26</v>
          </cell>
          <cell r="CZ76">
            <v>14.181818181818182</v>
          </cell>
          <cell r="DA76">
            <v>0</v>
          </cell>
          <cell r="DB76">
            <v>0</v>
          </cell>
          <cell r="DC76">
            <v>24.166666666666668</v>
          </cell>
          <cell r="DD76">
            <v>27</v>
          </cell>
          <cell r="DE76">
            <v>12.545454545454547</v>
          </cell>
          <cell r="DF76">
            <v>0</v>
          </cell>
          <cell r="DG76">
            <v>0</v>
          </cell>
          <cell r="DH76">
            <v>25.166666666666668</v>
          </cell>
          <cell r="DI76">
            <v>27</v>
          </cell>
          <cell r="DJ76">
            <v>14.545454545454547</v>
          </cell>
          <cell r="DK76">
            <v>0</v>
          </cell>
          <cell r="DL76">
            <v>0</v>
          </cell>
          <cell r="DM76">
            <v>23.333333333333336</v>
          </cell>
          <cell r="DN76">
            <v>24</v>
          </cell>
          <cell r="DO76">
            <v>12.90909090909091</v>
          </cell>
          <cell r="DP76">
            <v>0</v>
          </cell>
          <cell r="DQ76">
            <v>0</v>
          </cell>
          <cell r="DR76">
            <v>22.166666666666668</v>
          </cell>
          <cell r="DS76">
            <v>22.166666666666668</v>
          </cell>
          <cell r="DT76">
            <v>11.90909090909091</v>
          </cell>
          <cell r="DU76">
            <v>0</v>
          </cell>
          <cell r="DV76">
            <v>0</v>
          </cell>
          <cell r="DW76">
            <v>20.333333333333336</v>
          </cell>
          <cell r="DX76">
            <v>20.333333333333336</v>
          </cell>
          <cell r="DY76">
            <v>10.90909090909091</v>
          </cell>
          <cell r="DZ76">
            <v>0</v>
          </cell>
          <cell r="EA76">
            <v>0</v>
          </cell>
          <cell r="EB76">
            <v>18.500000000000004</v>
          </cell>
          <cell r="EC76">
            <v>18.500000000000004</v>
          </cell>
          <cell r="ED76">
            <v>9.9090909090909101</v>
          </cell>
          <cell r="EE76">
            <v>0</v>
          </cell>
          <cell r="EF76">
            <v>0</v>
          </cell>
          <cell r="EG76">
            <v>16.666666666666671</v>
          </cell>
          <cell r="EH76">
            <v>16.666666666666671</v>
          </cell>
          <cell r="EI76">
            <v>8.9090909090909118</v>
          </cell>
          <cell r="EJ76">
            <v>0</v>
          </cell>
          <cell r="EK76">
            <v>0</v>
          </cell>
          <cell r="EL76">
            <v>14.833333333333337</v>
          </cell>
          <cell r="EM76">
            <v>14.833333333333337</v>
          </cell>
          <cell r="EN76">
            <v>7.9090909090909118</v>
          </cell>
          <cell r="EO76">
            <v>0</v>
          </cell>
          <cell r="EP76">
            <v>0</v>
          </cell>
          <cell r="EQ76">
            <v>13.000000000000004</v>
          </cell>
          <cell r="ER76">
            <v>13.000000000000004</v>
          </cell>
          <cell r="ES76">
            <v>6.9090909090909109</v>
          </cell>
          <cell r="ET76">
            <v>0</v>
          </cell>
          <cell r="EU76">
            <v>0</v>
          </cell>
          <cell r="EV76">
            <v>11.16666666666667</v>
          </cell>
          <cell r="EW76">
            <v>11.16666666666667</v>
          </cell>
          <cell r="EX76">
            <v>5.9090909090909109</v>
          </cell>
          <cell r="EY76">
            <v>0</v>
          </cell>
          <cell r="EZ76">
            <v>0</v>
          </cell>
          <cell r="FA76">
            <v>9.3333333333333357</v>
          </cell>
          <cell r="FB76">
            <v>9.3333333333333357</v>
          </cell>
          <cell r="FC76">
            <v>4.9090909090909101</v>
          </cell>
          <cell r="FD76">
            <v>0</v>
          </cell>
          <cell r="FE76">
            <v>0</v>
          </cell>
          <cell r="FF76">
            <v>7.5000000000000027</v>
          </cell>
          <cell r="FG76">
            <v>7.5000000000000027</v>
          </cell>
          <cell r="FH76">
            <v>3.9090909090909109</v>
          </cell>
          <cell r="FI76">
            <v>0</v>
          </cell>
          <cell r="FJ76">
            <v>0</v>
          </cell>
          <cell r="FK76">
            <v>5.6666666666666696</v>
          </cell>
          <cell r="FL76">
            <v>5.6666666666666696</v>
          </cell>
          <cell r="FM76">
            <v>2.9090909090909109</v>
          </cell>
          <cell r="FN76">
            <v>0</v>
          </cell>
          <cell r="FO76">
            <v>2</v>
          </cell>
          <cell r="FP76">
            <v>5.8333333333333366</v>
          </cell>
          <cell r="FQ76">
            <v>5.8333333333333366</v>
          </cell>
          <cell r="FR76">
            <v>3.0000000000000018</v>
          </cell>
          <cell r="FS76">
            <v>0</v>
          </cell>
          <cell r="FT76">
            <v>4</v>
          </cell>
          <cell r="FU76">
            <v>2.0333333333333332</v>
          </cell>
          <cell r="FW76" t="str">
            <v>SOBRESTOCK</v>
          </cell>
          <cell r="FX76" t="str">
            <v>B</v>
          </cell>
          <cell r="FY76" t="str">
            <v>Si</v>
          </cell>
        </row>
        <row r="77">
          <cell r="B77" t="str">
            <v>REP-0076</v>
          </cell>
          <cell r="C77" t="str">
            <v>MIX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2</v>
          </cell>
          <cell r="I77">
            <v>2</v>
          </cell>
          <cell r="J77">
            <v>0</v>
          </cell>
          <cell r="K77">
            <v>3</v>
          </cell>
          <cell r="L77">
            <v>5</v>
          </cell>
          <cell r="M77">
            <v>3</v>
          </cell>
          <cell r="N77">
            <v>0</v>
          </cell>
          <cell r="O77">
            <v>0</v>
          </cell>
          <cell r="P77">
            <v>1</v>
          </cell>
          <cell r="Q77">
            <v>1</v>
          </cell>
          <cell r="R77">
            <v>0</v>
          </cell>
          <cell r="S77">
            <v>0</v>
          </cell>
          <cell r="T77">
            <v>0</v>
          </cell>
          <cell r="U77">
            <v>1</v>
          </cell>
          <cell r="V77">
            <v>0</v>
          </cell>
          <cell r="W77">
            <v>0</v>
          </cell>
          <cell r="X77">
            <v>0</v>
          </cell>
          <cell r="Y77">
            <v>19</v>
          </cell>
          <cell r="AA77">
            <v>19</v>
          </cell>
          <cell r="AB77">
            <v>12</v>
          </cell>
          <cell r="AC77">
            <v>1.1666666666666667</v>
          </cell>
          <cell r="AD77">
            <v>3.888888888888889E-2</v>
          </cell>
          <cell r="AE77">
            <v>1.5</v>
          </cell>
          <cell r="AF77">
            <v>0.66666666666666663</v>
          </cell>
          <cell r="AG77">
            <v>1.0833333333333333</v>
          </cell>
          <cell r="AH77">
            <v>0.58333333333333337</v>
          </cell>
          <cell r="AI77">
            <v>0.33333333333333331</v>
          </cell>
          <cell r="AJ77">
            <v>0.33333333333333331</v>
          </cell>
          <cell r="AK77">
            <v>1.0833333333333333</v>
          </cell>
          <cell r="AL77">
            <v>0.35355339059327395</v>
          </cell>
          <cell r="AM77">
            <v>0.58333333333333326</v>
          </cell>
          <cell r="AN77">
            <v>0.60609152673132682</v>
          </cell>
          <cell r="AO77">
            <v>0</v>
          </cell>
          <cell r="AP77">
            <v>23.916666666666668</v>
          </cell>
          <cell r="AQ77">
            <v>22.07692307692308</v>
          </cell>
          <cell r="AR77">
            <v>0</v>
          </cell>
          <cell r="AS77">
            <v>22</v>
          </cell>
          <cell r="AT77">
            <v>22</v>
          </cell>
          <cell r="AU77">
            <v>14.666666666666666</v>
          </cell>
          <cell r="AV77">
            <v>0</v>
          </cell>
          <cell r="AW77">
            <v>20.5</v>
          </cell>
          <cell r="AX77">
            <v>20</v>
          </cell>
          <cell r="AY77">
            <v>18.461538461538463</v>
          </cell>
          <cell r="AZ77">
            <v>0</v>
          </cell>
          <cell r="BA77">
            <v>18.666666666666668</v>
          </cell>
          <cell r="BB77">
            <v>20</v>
          </cell>
          <cell r="BC77">
            <v>12</v>
          </cell>
          <cell r="BD77">
            <v>0</v>
          </cell>
          <cell r="BE77">
            <v>18.333333333333332</v>
          </cell>
          <cell r="BF77">
            <v>10.999999999999998</v>
          </cell>
          <cell r="BG77">
            <v>0</v>
          </cell>
          <cell r="BH77">
            <v>16.666666666666664</v>
          </cell>
          <cell r="BI77">
            <v>19</v>
          </cell>
          <cell r="BJ77">
            <v>17.53846153846154</v>
          </cell>
          <cell r="BK77">
            <v>0</v>
          </cell>
          <cell r="BL77">
            <v>18.916666666666668</v>
          </cell>
          <cell r="BM77">
            <v>22</v>
          </cell>
          <cell r="BN77">
            <v>20.30769230769231</v>
          </cell>
          <cell r="BO77">
            <v>0</v>
          </cell>
          <cell r="BP77">
            <v>20.916666666666668</v>
          </cell>
          <cell r="BQ77">
            <v>19</v>
          </cell>
          <cell r="BR77">
            <v>17.53846153846154</v>
          </cell>
          <cell r="BS77">
            <v>0</v>
          </cell>
          <cell r="BT77">
            <v>17.916666666666668</v>
          </cell>
          <cell r="BU77">
            <v>19</v>
          </cell>
          <cell r="BV77">
            <v>17.53846153846154</v>
          </cell>
          <cell r="BW77">
            <v>0</v>
          </cell>
          <cell r="BX77">
            <v>0</v>
          </cell>
          <cell r="BY77">
            <v>17.916666666666668</v>
          </cell>
          <cell r="BZ77">
            <v>19</v>
          </cell>
          <cell r="CA77">
            <v>17.53846153846154</v>
          </cell>
          <cell r="CB77">
            <v>0</v>
          </cell>
          <cell r="CC77">
            <v>0</v>
          </cell>
          <cell r="CD77">
            <v>17.916666666666668</v>
          </cell>
          <cell r="CE77">
            <v>18</v>
          </cell>
          <cell r="CF77">
            <v>16.615384615384617</v>
          </cell>
          <cell r="CG77">
            <v>0</v>
          </cell>
          <cell r="CH77">
            <v>0</v>
          </cell>
          <cell r="CI77">
            <v>16.833333333333336</v>
          </cell>
          <cell r="CJ77">
            <v>19</v>
          </cell>
          <cell r="CK77">
            <v>17.53846153846154</v>
          </cell>
          <cell r="CL77">
            <v>0</v>
          </cell>
          <cell r="CM77">
            <v>0</v>
          </cell>
          <cell r="CN77">
            <v>17.916666666666668</v>
          </cell>
          <cell r="CO77">
            <v>19</v>
          </cell>
          <cell r="CP77">
            <v>17.53846153846154</v>
          </cell>
          <cell r="CQ77">
            <v>0</v>
          </cell>
          <cell r="CR77">
            <v>0</v>
          </cell>
          <cell r="CS77">
            <v>17.916666666666668</v>
          </cell>
          <cell r="CT77">
            <v>19</v>
          </cell>
          <cell r="CU77">
            <v>17.53846153846154</v>
          </cell>
          <cell r="CV77">
            <v>0</v>
          </cell>
          <cell r="CW77">
            <v>0</v>
          </cell>
          <cell r="CX77">
            <v>17.916666666666668</v>
          </cell>
          <cell r="CY77">
            <v>20</v>
          </cell>
          <cell r="CZ77">
            <v>18.461538461538463</v>
          </cell>
          <cell r="DA77">
            <v>0</v>
          </cell>
          <cell r="DB77">
            <v>0</v>
          </cell>
          <cell r="DC77">
            <v>18.916666666666668</v>
          </cell>
          <cell r="DD77">
            <v>18</v>
          </cell>
          <cell r="DE77">
            <v>13.846153846153847</v>
          </cell>
          <cell r="DF77">
            <v>0</v>
          </cell>
          <cell r="DG77">
            <v>0</v>
          </cell>
          <cell r="DH77">
            <v>16.916666666666668</v>
          </cell>
          <cell r="DI77">
            <v>18</v>
          </cell>
          <cell r="DJ77">
            <v>15.846153846153847</v>
          </cell>
          <cell r="DK77">
            <v>0</v>
          </cell>
          <cell r="DL77">
            <v>0</v>
          </cell>
          <cell r="DM77">
            <v>15.833333333333334</v>
          </cell>
          <cell r="DN77">
            <v>19</v>
          </cell>
          <cell r="DO77">
            <v>16.76923076923077</v>
          </cell>
          <cell r="DP77">
            <v>0</v>
          </cell>
          <cell r="DQ77">
            <v>0</v>
          </cell>
          <cell r="DR77">
            <v>17.916666666666668</v>
          </cell>
          <cell r="DS77">
            <v>17.916666666666668</v>
          </cell>
          <cell r="DT77">
            <v>15.769230769230772</v>
          </cell>
          <cell r="DU77">
            <v>0</v>
          </cell>
          <cell r="DV77">
            <v>0</v>
          </cell>
          <cell r="DW77">
            <v>16.833333333333336</v>
          </cell>
          <cell r="DX77">
            <v>16.833333333333336</v>
          </cell>
          <cell r="DY77">
            <v>14.769230769230772</v>
          </cell>
          <cell r="DZ77">
            <v>0</v>
          </cell>
          <cell r="EA77">
            <v>0</v>
          </cell>
          <cell r="EB77">
            <v>15.750000000000002</v>
          </cell>
          <cell r="EC77">
            <v>15.750000000000002</v>
          </cell>
          <cell r="ED77">
            <v>13.769230769230772</v>
          </cell>
          <cell r="EE77">
            <v>0</v>
          </cell>
          <cell r="EF77">
            <v>0</v>
          </cell>
          <cell r="EG77">
            <v>14.666666666666668</v>
          </cell>
          <cell r="EH77">
            <v>14.666666666666668</v>
          </cell>
          <cell r="EI77">
            <v>12.769230769230772</v>
          </cell>
          <cell r="EJ77">
            <v>0</v>
          </cell>
          <cell r="EK77">
            <v>0</v>
          </cell>
          <cell r="EL77">
            <v>13.583333333333334</v>
          </cell>
          <cell r="EM77">
            <v>13.583333333333334</v>
          </cell>
          <cell r="EN77">
            <v>11.76923076923077</v>
          </cell>
          <cell r="EO77">
            <v>0</v>
          </cell>
          <cell r="EP77">
            <v>0</v>
          </cell>
          <cell r="EQ77">
            <v>12.5</v>
          </cell>
          <cell r="ER77">
            <v>12.5</v>
          </cell>
          <cell r="ES77">
            <v>10.76923076923077</v>
          </cell>
          <cell r="ET77">
            <v>0</v>
          </cell>
          <cell r="EU77">
            <v>0</v>
          </cell>
          <cell r="EV77">
            <v>11.416666666666666</v>
          </cell>
          <cell r="EW77">
            <v>11.416666666666666</v>
          </cell>
          <cell r="EX77">
            <v>9.7692307692307701</v>
          </cell>
          <cell r="EY77">
            <v>0</v>
          </cell>
          <cell r="EZ77">
            <v>0</v>
          </cell>
          <cell r="FA77">
            <v>10.333333333333332</v>
          </cell>
          <cell r="FB77">
            <v>10.333333333333332</v>
          </cell>
          <cell r="FC77">
            <v>8.7692307692307683</v>
          </cell>
          <cell r="FD77">
            <v>0</v>
          </cell>
          <cell r="FE77">
            <v>0</v>
          </cell>
          <cell r="FF77">
            <v>9.2499999999999982</v>
          </cell>
          <cell r="FG77">
            <v>9.2499999999999982</v>
          </cell>
          <cell r="FH77">
            <v>7.7692307692307683</v>
          </cell>
          <cell r="FI77">
            <v>0</v>
          </cell>
          <cell r="FJ77">
            <v>0</v>
          </cell>
          <cell r="FK77">
            <v>8.1666666666666643</v>
          </cell>
          <cell r="FL77">
            <v>8.1666666666666643</v>
          </cell>
          <cell r="FM77">
            <v>6.7692307692307674</v>
          </cell>
          <cell r="FN77">
            <v>0</v>
          </cell>
          <cell r="FO77">
            <v>0</v>
          </cell>
          <cell r="FP77">
            <v>7.0833333333333313</v>
          </cell>
          <cell r="FQ77">
            <v>7.0833333333333313</v>
          </cell>
          <cell r="FR77">
            <v>5.7692307692307674</v>
          </cell>
          <cell r="FS77">
            <v>0</v>
          </cell>
          <cell r="FT77">
            <v>3</v>
          </cell>
          <cell r="FU77">
            <v>2.0333333333333332</v>
          </cell>
          <cell r="FW77" t="str">
            <v>SOBRESTOCK</v>
          </cell>
          <cell r="FX77" t="str">
            <v>B</v>
          </cell>
          <cell r="FY77" t="str">
            <v>Si</v>
          </cell>
        </row>
        <row r="78">
          <cell r="B78" t="str">
            <v>REP-0077</v>
          </cell>
          <cell r="C78" t="str">
            <v>MIX</v>
          </cell>
          <cell r="D78">
            <v>0</v>
          </cell>
          <cell r="E78">
            <v>21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6</v>
          </cell>
          <cell r="L78">
            <v>0</v>
          </cell>
          <cell r="M78">
            <v>2</v>
          </cell>
          <cell r="N78">
            <v>1</v>
          </cell>
          <cell r="O78">
            <v>1</v>
          </cell>
          <cell r="P78">
            <v>1</v>
          </cell>
          <cell r="Q78">
            <v>0</v>
          </cell>
          <cell r="R78">
            <v>1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38</v>
          </cell>
          <cell r="AA78">
            <v>38</v>
          </cell>
          <cell r="AB78">
            <v>16</v>
          </cell>
          <cell r="AC78">
            <v>1.5</v>
          </cell>
          <cell r="AD78">
            <v>0.05</v>
          </cell>
          <cell r="AE78">
            <v>2.0833333333333335</v>
          </cell>
          <cell r="AF78">
            <v>1.6666666666666667</v>
          </cell>
          <cell r="AG78">
            <v>1.8333333333333333</v>
          </cell>
          <cell r="AH78">
            <v>3.9166666666666665</v>
          </cell>
          <cell r="AI78">
            <v>5</v>
          </cell>
          <cell r="AJ78">
            <v>5</v>
          </cell>
          <cell r="AK78">
            <v>5</v>
          </cell>
          <cell r="AL78">
            <v>1.4928455924719615</v>
          </cell>
          <cell r="AM78">
            <v>3.9375</v>
          </cell>
          <cell r="AN78">
            <v>0.37913538856430767</v>
          </cell>
          <cell r="AO78">
            <v>0</v>
          </cell>
          <cell r="AP78">
            <v>22.222222222222221</v>
          </cell>
          <cell r="AQ78">
            <v>11.5</v>
          </cell>
          <cell r="AR78">
            <v>0</v>
          </cell>
          <cell r="AS78">
            <v>18</v>
          </cell>
          <cell r="AT78">
            <v>16</v>
          </cell>
          <cell r="AU78">
            <v>4.5714285714285712</v>
          </cell>
          <cell r="AV78">
            <v>0</v>
          </cell>
          <cell r="AW78">
            <v>12.5</v>
          </cell>
          <cell r="AX78">
            <v>13</v>
          </cell>
          <cell r="AY78">
            <v>2.6</v>
          </cell>
          <cell r="AZ78">
            <v>0</v>
          </cell>
          <cell r="BA78">
            <v>20</v>
          </cell>
          <cell r="BB78">
            <v>13</v>
          </cell>
          <cell r="BC78">
            <v>3.9</v>
          </cell>
          <cell r="BD78">
            <v>0</v>
          </cell>
          <cell r="BE78">
            <v>9.6666666666666661</v>
          </cell>
          <cell r="BF78">
            <v>2.9</v>
          </cell>
          <cell r="BG78">
            <v>10</v>
          </cell>
          <cell r="BH78">
            <v>16.333333333333332</v>
          </cell>
          <cell r="BI78">
            <v>38</v>
          </cell>
          <cell r="BJ78">
            <v>7.6</v>
          </cell>
          <cell r="BK78">
            <v>0</v>
          </cell>
          <cell r="BL78">
            <v>43.333333333333336</v>
          </cell>
          <cell r="BM78">
            <v>46</v>
          </cell>
          <cell r="BN78">
            <v>17.888888888888889</v>
          </cell>
          <cell r="BO78">
            <v>0</v>
          </cell>
          <cell r="BP78">
            <v>43.428571428571431</v>
          </cell>
          <cell r="BQ78">
            <v>42</v>
          </cell>
          <cell r="BR78">
            <v>8.4</v>
          </cell>
          <cell r="BS78">
            <v>0</v>
          </cell>
          <cell r="BT78">
            <v>39.25</v>
          </cell>
          <cell r="BU78">
            <v>39</v>
          </cell>
          <cell r="BV78">
            <v>14.040000000000001</v>
          </cell>
          <cell r="BW78">
            <v>17</v>
          </cell>
          <cell r="BX78">
            <v>0</v>
          </cell>
          <cell r="BY78">
            <v>36.222222222222221</v>
          </cell>
          <cell r="BZ78">
            <v>30</v>
          </cell>
          <cell r="CA78">
            <v>7.5</v>
          </cell>
          <cell r="CB78">
            <v>26</v>
          </cell>
          <cell r="CC78">
            <v>0</v>
          </cell>
          <cell r="CD78">
            <v>26</v>
          </cell>
          <cell r="CE78">
            <v>26</v>
          </cell>
          <cell r="CF78">
            <v>6.2399999999999993</v>
          </cell>
          <cell r="CG78">
            <v>30</v>
          </cell>
          <cell r="CH78">
            <v>0</v>
          </cell>
          <cell r="CI78">
            <v>51.833333333333336</v>
          </cell>
          <cell r="CJ78">
            <v>18</v>
          </cell>
          <cell r="CK78">
            <v>3.6</v>
          </cell>
          <cell r="CL78">
            <v>38</v>
          </cell>
          <cell r="CM78">
            <v>30</v>
          </cell>
          <cell r="CN78">
            <v>43</v>
          </cell>
          <cell r="CO78">
            <v>43</v>
          </cell>
          <cell r="CP78">
            <v>8.6</v>
          </cell>
          <cell r="CQ78">
            <v>13</v>
          </cell>
          <cell r="CR78">
            <v>0</v>
          </cell>
          <cell r="CS78">
            <v>38</v>
          </cell>
          <cell r="CT78">
            <v>37</v>
          </cell>
          <cell r="CU78">
            <v>6.3428571428571434</v>
          </cell>
          <cell r="CV78">
            <v>0</v>
          </cell>
          <cell r="CW78">
            <v>0</v>
          </cell>
          <cell r="CX78">
            <v>31.166666666666668</v>
          </cell>
          <cell r="CY78">
            <v>28</v>
          </cell>
          <cell r="CZ78">
            <v>4.4210526315789478</v>
          </cell>
          <cell r="DA78">
            <v>0</v>
          </cell>
          <cell r="DB78">
            <v>34</v>
          </cell>
          <cell r="DC78">
            <v>55.5</v>
          </cell>
          <cell r="DD78">
            <v>53</v>
          </cell>
          <cell r="DE78">
            <v>4.5454545454545459</v>
          </cell>
          <cell r="DF78">
            <v>0</v>
          </cell>
          <cell r="DG78">
            <v>0</v>
          </cell>
          <cell r="DH78">
            <v>47.5</v>
          </cell>
          <cell r="DI78">
            <v>48</v>
          </cell>
          <cell r="DJ78">
            <v>5.75</v>
          </cell>
          <cell r="DK78">
            <v>0</v>
          </cell>
          <cell r="DL78">
            <v>0</v>
          </cell>
          <cell r="DM78">
            <v>42.166666666666664</v>
          </cell>
          <cell r="DN78">
            <v>38</v>
          </cell>
          <cell r="DO78">
            <v>4</v>
          </cell>
          <cell r="DP78">
            <v>0</v>
          </cell>
          <cell r="DQ78">
            <v>0</v>
          </cell>
          <cell r="DR78">
            <v>33</v>
          </cell>
          <cell r="DS78">
            <v>33</v>
          </cell>
          <cell r="DT78">
            <v>3</v>
          </cell>
          <cell r="DU78">
            <v>0</v>
          </cell>
          <cell r="DV78">
            <v>4</v>
          </cell>
          <cell r="DW78">
            <v>32</v>
          </cell>
          <cell r="DX78">
            <v>32</v>
          </cell>
          <cell r="DY78">
            <v>2.8</v>
          </cell>
          <cell r="DZ78">
            <v>0</v>
          </cell>
          <cell r="EA78">
            <v>0</v>
          </cell>
          <cell r="EB78">
            <v>27</v>
          </cell>
          <cell r="EC78">
            <v>27</v>
          </cell>
          <cell r="ED78">
            <v>1.8</v>
          </cell>
          <cell r="EE78">
            <v>1</v>
          </cell>
          <cell r="EF78">
            <v>0</v>
          </cell>
          <cell r="EG78">
            <v>22</v>
          </cell>
          <cell r="EH78">
            <v>22</v>
          </cell>
          <cell r="EI78">
            <v>0.8</v>
          </cell>
          <cell r="EJ78">
            <v>6</v>
          </cell>
          <cell r="EK78">
            <v>20</v>
          </cell>
          <cell r="EL78">
            <v>37</v>
          </cell>
          <cell r="EM78">
            <v>37</v>
          </cell>
          <cell r="EN78">
            <v>3.8</v>
          </cell>
          <cell r="EO78">
            <v>0</v>
          </cell>
          <cell r="EP78">
            <v>0</v>
          </cell>
          <cell r="EQ78">
            <v>32</v>
          </cell>
          <cell r="ER78">
            <v>32</v>
          </cell>
          <cell r="ES78">
            <v>2.8</v>
          </cell>
          <cell r="ET78">
            <v>0</v>
          </cell>
          <cell r="EU78">
            <v>0</v>
          </cell>
          <cell r="EV78">
            <v>27</v>
          </cell>
          <cell r="EW78">
            <v>27</v>
          </cell>
          <cell r="EX78">
            <v>1.8</v>
          </cell>
          <cell r="EY78">
            <v>1</v>
          </cell>
          <cell r="EZ78">
            <v>0</v>
          </cell>
          <cell r="FA78">
            <v>22</v>
          </cell>
          <cell r="FB78">
            <v>22</v>
          </cell>
          <cell r="FC78">
            <v>0.8</v>
          </cell>
          <cell r="FD78">
            <v>6</v>
          </cell>
          <cell r="FE78">
            <v>25</v>
          </cell>
          <cell r="FF78">
            <v>42</v>
          </cell>
          <cell r="FG78">
            <v>42</v>
          </cell>
          <cell r="FH78">
            <v>4.8</v>
          </cell>
          <cell r="FI78">
            <v>0</v>
          </cell>
          <cell r="FJ78">
            <v>0</v>
          </cell>
          <cell r="FK78">
            <v>37</v>
          </cell>
          <cell r="FL78">
            <v>37</v>
          </cell>
          <cell r="FM78">
            <v>3.8</v>
          </cell>
          <cell r="FN78">
            <v>0</v>
          </cell>
          <cell r="FO78">
            <v>0</v>
          </cell>
          <cell r="FP78">
            <v>32</v>
          </cell>
          <cell r="FQ78">
            <v>32</v>
          </cell>
          <cell r="FR78">
            <v>2.8</v>
          </cell>
          <cell r="FS78">
            <v>0</v>
          </cell>
          <cell r="FT78">
            <v>28</v>
          </cell>
          <cell r="FU78">
            <v>2.0333333333333332</v>
          </cell>
          <cell r="FW78" t="str">
            <v>STOCK OK</v>
          </cell>
          <cell r="FX78" t="str">
            <v>B</v>
          </cell>
          <cell r="FY78" t="str">
            <v>Si</v>
          </cell>
        </row>
        <row r="79">
          <cell r="B79" t="str">
            <v>REP-0078</v>
          </cell>
          <cell r="C79" t="str">
            <v>MIX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A79">
            <v>0</v>
          </cell>
          <cell r="AB79">
            <v>295</v>
          </cell>
          <cell r="AC79">
            <v>49.083333333333336</v>
          </cell>
          <cell r="AD79">
            <v>1.6361111111111113</v>
          </cell>
          <cell r="AE79">
            <v>48.708333333333336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M79">
            <v>0</v>
          </cell>
          <cell r="AO79">
            <v>0</v>
          </cell>
          <cell r="AP79">
            <v>0</v>
          </cell>
          <cell r="AQ79" t="str">
            <v/>
          </cell>
          <cell r="AR79">
            <v>0</v>
          </cell>
          <cell r="AS79">
            <v>0</v>
          </cell>
          <cell r="AT79">
            <v>0</v>
          </cell>
          <cell r="AU79" t="str">
            <v/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 t="str">
            <v/>
          </cell>
          <cell r="BD79">
            <v>0</v>
          </cell>
          <cell r="BE79">
            <v>0</v>
          </cell>
          <cell r="BF79" t="str">
            <v/>
          </cell>
          <cell r="BG79">
            <v>0</v>
          </cell>
          <cell r="BH79">
            <v>0</v>
          </cell>
          <cell r="BI79">
            <v>0</v>
          </cell>
          <cell r="BJ79" t="str">
            <v/>
          </cell>
          <cell r="BK79">
            <v>0</v>
          </cell>
          <cell r="BL79">
            <v>0</v>
          </cell>
          <cell r="BM79">
            <v>0</v>
          </cell>
          <cell r="BN79" t="str">
            <v/>
          </cell>
          <cell r="BO79">
            <v>0</v>
          </cell>
          <cell r="BP79">
            <v>0</v>
          </cell>
          <cell r="BQ79">
            <v>0</v>
          </cell>
          <cell r="BR79" t="str">
            <v/>
          </cell>
          <cell r="BS79">
            <v>0</v>
          </cell>
          <cell r="BT79">
            <v>0</v>
          </cell>
          <cell r="BU79">
            <v>0</v>
          </cell>
          <cell r="BV79" t="str">
            <v/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 t="str">
            <v/>
          </cell>
          <cell r="CB79">
            <v>0</v>
          </cell>
          <cell r="CD79">
            <v>0</v>
          </cell>
          <cell r="CE79">
            <v>0</v>
          </cell>
          <cell r="CF79" t="str">
            <v/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 t="str">
            <v/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 t="str">
            <v/>
          </cell>
          <cell r="CQ79">
            <v>0</v>
          </cell>
          <cell r="CS79">
            <v>0</v>
          </cell>
          <cell r="CT79">
            <v>0</v>
          </cell>
          <cell r="CU79" t="str">
            <v/>
          </cell>
          <cell r="CV79">
            <v>0</v>
          </cell>
          <cell r="CX79">
            <v>0</v>
          </cell>
          <cell r="CY79">
            <v>0</v>
          </cell>
          <cell r="CZ79" t="str">
            <v/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 t="str">
            <v/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 t="str">
            <v/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 t="str">
            <v/>
          </cell>
          <cell r="DP79">
            <v>0</v>
          </cell>
          <cell r="DR79">
            <v>0</v>
          </cell>
          <cell r="DS79">
            <v>0</v>
          </cell>
          <cell r="DT79" t="str">
            <v/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 t="str">
            <v/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 t="str">
            <v/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 t="str">
            <v/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 t="str">
            <v/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 t="str">
            <v/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 t="str">
            <v/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 t="str">
            <v/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 t="str">
            <v/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 t="str">
            <v/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 t="str">
            <v/>
          </cell>
          <cell r="FS79">
            <v>0</v>
          </cell>
          <cell r="FT79">
            <v>0</v>
          </cell>
          <cell r="FU79">
            <v>66.666666666666671</v>
          </cell>
          <cell r="FW79" t="str">
            <v>SIN ROTACIÓN</v>
          </cell>
          <cell r="FX79" t="str">
            <v/>
          </cell>
          <cell r="FY79" t="str">
            <v>No</v>
          </cell>
        </row>
        <row r="80">
          <cell r="B80" t="str">
            <v>REP-0079</v>
          </cell>
          <cell r="C80" t="str">
            <v>MIX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AA80">
            <v>0</v>
          </cell>
          <cell r="AB80">
            <v>2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M80">
            <v>0</v>
          </cell>
          <cell r="AO80">
            <v>0</v>
          </cell>
          <cell r="AP80">
            <v>0</v>
          </cell>
          <cell r="AQ80" t="str">
            <v/>
          </cell>
          <cell r="AR80">
            <v>0</v>
          </cell>
          <cell r="AS80">
            <v>0</v>
          </cell>
          <cell r="AT80">
            <v>0</v>
          </cell>
          <cell r="AU80" t="str">
            <v/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 t="str">
            <v/>
          </cell>
          <cell r="BD80">
            <v>0</v>
          </cell>
          <cell r="BE80">
            <v>0</v>
          </cell>
          <cell r="BF80" t="str">
            <v/>
          </cell>
          <cell r="BG80">
            <v>0</v>
          </cell>
          <cell r="BH80">
            <v>0</v>
          </cell>
          <cell r="BI80">
            <v>0</v>
          </cell>
          <cell r="BJ80" t="str">
            <v/>
          </cell>
          <cell r="BK80">
            <v>0</v>
          </cell>
          <cell r="BL80">
            <v>0</v>
          </cell>
          <cell r="BM80">
            <v>0</v>
          </cell>
          <cell r="BN80" t="str">
            <v/>
          </cell>
          <cell r="BO80">
            <v>0</v>
          </cell>
          <cell r="BP80">
            <v>0</v>
          </cell>
          <cell r="BQ80">
            <v>0</v>
          </cell>
          <cell r="BR80" t="str">
            <v/>
          </cell>
          <cell r="BS80">
            <v>0</v>
          </cell>
          <cell r="BT80">
            <v>0</v>
          </cell>
          <cell r="BU80">
            <v>0</v>
          </cell>
          <cell r="BV80" t="str">
            <v/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 t="str">
            <v/>
          </cell>
          <cell r="CB80">
            <v>0</v>
          </cell>
          <cell r="CD80">
            <v>0</v>
          </cell>
          <cell r="CE80">
            <v>0</v>
          </cell>
          <cell r="CF80" t="str">
            <v/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 t="str">
            <v/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 t="str">
            <v/>
          </cell>
          <cell r="CQ80">
            <v>0</v>
          </cell>
          <cell r="CS80">
            <v>0</v>
          </cell>
          <cell r="CT80">
            <v>0</v>
          </cell>
          <cell r="CU80" t="str">
            <v/>
          </cell>
          <cell r="CV80">
            <v>0</v>
          </cell>
          <cell r="CX80">
            <v>0</v>
          </cell>
          <cell r="CY80">
            <v>0</v>
          </cell>
          <cell r="CZ80" t="str">
            <v/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 t="str">
            <v/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 t="str">
            <v/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 t="str">
            <v/>
          </cell>
          <cell r="DP80">
            <v>0</v>
          </cell>
          <cell r="DR80">
            <v>0</v>
          </cell>
          <cell r="DS80">
            <v>0</v>
          </cell>
          <cell r="DT80" t="str">
            <v/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 t="str">
            <v/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 t="str">
            <v/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 t="str">
            <v/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 t="str">
            <v/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 t="str">
            <v/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 t="str">
            <v/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 t="str">
            <v/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 t="str">
            <v/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 t="str">
            <v/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 t="str">
            <v/>
          </cell>
          <cell r="FS80">
            <v>0</v>
          </cell>
          <cell r="FT80">
            <v>0</v>
          </cell>
          <cell r="FU80">
            <v>66.666666666666671</v>
          </cell>
          <cell r="FW80" t="str">
            <v>SIN ROTACIÓN</v>
          </cell>
          <cell r="FX80" t="str">
            <v/>
          </cell>
          <cell r="FY80" t="str">
            <v>No</v>
          </cell>
        </row>
        <row r="81">
          <cell r="B81" t="str">
            <v>REP-0080</v>
          </cell>
          <cell r="C81" t="str">
            <v>MIX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M81">
            <v>0</v>
          </cell>
          <cell r="AO81">
            <v>0</v>
          </cell>
          <cell r="AP81">
            <v>0</v>
          </cell>
          <cell r="AQ81" t="str">
            <v/>
          </cell>
          <cell r="AR81">
            <v>0</v>
          </cell>
          <cell r="AS81">
            <v>0</v>
          </cell>
          <cell r="AT81">
            <v>0</v>
          </cell>
          <cell r="AU81" t="str">
            <v/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 t="str">
            <v/>
          </cell>
          <cell r="BD81">
            <v>0</v>
          </cell>
          <cell r="BE81">
            <v>0</v>
          </cell>
          <cell r="BF81" t="str">
            <v/>
          </cell>
          <cell r="BG81">
            <v>0</v>
          </cell>
          <cell r="BH81">
            <v>0</v>
          </cell>
          <cell r="BI81">
            <v>0</v>
          </cell>
          <cell r="BJ81" t="str">
            <v/>
          </cell>
          <cell r="BK81">
            <v>0</v>
          </cell>
          <cell r="BL81">
            <v>0</v>
          </cell>
          <cell r="BM81">
            <v>0</v>
          </cell>
          <cell r="BN81" t="str">
            <v/>
          </cell>
          <cell r="BO81">
            <v>0</v>
          </cell>
          <cell r="BP81">
            <v>0</v>
          </cell>
          <cell r="BQ81">
            <v>0</v>
          </cell>
          <cell r="BR81" t="str">
            <v/>
          </cell>
          <cell r="BS81">
            <v>0</v>
          </cell>
          <cell r="BT81">
            <v>0</v>
          </cell>
          <cell r="BU81">
            <v>0</v>
          </cell>
          <cell r="BV81" t="str">
            <v/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 t="str">
            <v/>
          </cell>
          <cell r="CB81">
            <v>0</v>
          </cell>
          <cell r="CD81">
            <v>0</v>
          </cell>
          <cell r="CE81">
            <v>0</v>
          </cell>
          <cell r="CF81" t="str">
            <v/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 t="str">
            <v/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 t="str">
            <v/>
          </cell>
          <cell r="CQ81">
            <v>0</v>
          </cell>
          <cell r="CS81">
            <v>0</v>
          </cell>
          <cell r="CT81">
            <v>0</v>
          </cell>
          <cell r="CU81" t="str">
            <v/>
          </cell>
          <cell r="CV81">
            <v>0</v>
          </cell>
          <cell r="CX81">
            <v>0</v>
          </cell>
          <cell r="CY81">
            <v>0</v>
          </cell>
          <cell r="CZ81" t="str">
            <v/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 t="str">
            <v/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 t="str">
            <v/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 t="str">
            <v/>
          </cell>
          <cell r="DP81">
            <v>0</v>
          </cell>
          <cell r="DR81">
            <v>0</v>
          </cell>
          <cell r="DS81">
            <v>0</v>
          </cell>
          <cell r="DT81" t="str">
            <v/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 t="str">
            <v/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 t="str">
            <v/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 t="str">
            <v/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 t="str">
            <v/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 t="str">
            <v/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 t="str">
            <v/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 t="str">
            <v/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 t="str">
            <v/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 t="str">
            <v/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 t="str">
            <v/>
          </cell>
          <cell r="FS81">
            <v>0</v>
          </cell>
          <cell r="FT81">
            <v>0</v>
          </cell>
          <cell r="FU81">
            <v>66.666666666666671</v>
          </cell>
          <cell r="FW81" t="str">
            <v>SIN ROTACIÓN</v>
          </cell>
          <cell r="FX81" t="str">
            <v/>
          </cell>
          <cell r="FY81" t="str">
            <v>No</v>
          </cell>
        </row>
        <row r="82">
          <cell r="B82" t="str">
            <v>REP-0081</v>
          </cell>
          <cell r="C82" t="str">
            <v>MIX</v>
          </cell>
          <cell r="D82">
            <v>0</v>
          </cell>
          <cell r="E82">
            <v>12</v>
          </cell>
          <cell r="F82">
            <v>0</v>
          </cell>
          <cell r="G82">
            <v>0</v>
          </cell>
          <cell r="H82">
            <v>1</v>
          </cell>
          <cell r="I82">
            <v>1</v>
          </cell>
          <cell r="J82">
            <v>0</v>
          </cell>
          <cell r="K82">
            <v>4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1</v>
          </cell>
          <cell r="Q82">
            <v>0</v>
          </cell>
          <cell r="R82">
            <v>1</v>
          </cell>
          <cell r="S82">
            <v>0</v>
          </cell>
          <cell r="T82">
            <v>0</v>
          </cell>
          <cell r="U82">
            <v>1</v>
          </cell>
          <cell r="V82">
            <v>1</v>
          </cell>
          <cell r="W82">
            <v>0</v>
          </cell>
          <cell r="X82">
            <v>0</v>
          </cell>
          <cell r="Y82">
            <v>23</v>
          </cell>
          <cell r="AA82">
            <v>23</v>
          </cell>
          <cell r="AB82">
            <v>3</v>
          </cell>
          <cell r="AC82">
            <v>0.5</v>
          </cell>
          <cell r="AD82">
            <v>1.6666666666666666E-2</v>
          </cell>
          <cell r="AE82">
            <v>0.5</v>
          </cell>
          <cell r="AF82">
            <v>0.16666666666666666</v>
          </cell>
          <cell r="AG82">
            <v>0.16666666666666666</v>
          </cell>
          <cell r="AH82">
            <v>1.25</v>
          </cell>
          <cell r="AI82">
            <v>0.5</v>
          </cell>
          <cell r="AJ82">
            <v>0.5</v>
          </cell>
          <cell r="AK82">
            <v>1.25</v>
          </cell>
          <cell r="AL82">
            <v>0.45833333333333315</v>
          </cell>
          <cell r="AM82">
            <v>0.60416666666666674</v>
          </cell>
          <cell r="AN82">
            <v>0.75862068965517204</v>
          </cell>
          <cell r="AO82">
            <v>0</v>
          </cell>
          <cell r="AP82">
            <v>21.166666666666668</v>
          </cell>
          <cell r="AQ82">
            <v>131</v>
          </cell>
          <cell r="AR82">
            <v>0</v>
          </cell>
          <cell r="AS82">
            <v>20</v>
          </cell>
          <cell r="AT82">
            <v>18</v>
          </cell>
          <cell r="AU82">
            <v>18</v>
          </cell>
          <cell r="AV82">
            <v>0</v>
          </cell>
          <cell r="AW82">
            <v>17</v>
          </cell>
          <cell r="AX82">
            <v>18</v>
          </cell>
          <cell r="AY82">
            <v>14.4</v>
          </cell>
          <cell r="AZ82">
            <v>0</v>
          </cell>
          <cell r="BA82">
            <v>17.333333333333332</v>
          </cell>
          <cell r="BB82">
            <v>16</v>
          </cell>
          <cell r="BC82">
            <v>12</v>
          </cell>
          <cell r="BD82">
            <v>0</v>
          </cell>
          <cell r="BE82">
            <v>14.666666666666666</v>
          </cell>
          <cell r="BF82">
            <v>11</v>
          </cell>
          <cell r="BG82">
            <v>0</v>
          </cell>
          <cell r="BH82">
            <v>13.333333333333332</v>
          </cell>
          <cell r="BI82">
            <v>23</v>
          </cell>
          <cell r="BJ82">
            <v>18.399999999999999</v>
          </cell>
          <cell r="BK82">
            <v>0</v>
          </cell>
          <cell r="BL82">
            <v>14.166666666666666</v>
          </cell>
          <cell r="BM82">
            <v>13</v>
          </cell>
          <cell r="BN82">
            <v>15.6</v>
          </cell>
          <cell r="BO82">
            <v>0</v>
          </cell>
          <cell r="BP82">
            <v>12.166666666666666</v>
          </cell>
          <cell r="BQ82">
            <v>14</v>
          </cell>
          <cell r="BR82">
            <v>11.2</v>
          </cell>
          <cell r="BS82">
            <v>0</v>
          </cell>
          <cell r="BT82">
            <v>13.25</v>
          </cell>
          <cell r="BU82">
            <v>13</v>
          </cell>
          <cell r="BV82">
            <v>15.6</v>
          </cell>
          <cell r="BW82">
            <v>0</v>
          </cell>
          <cell r="BX82">
            <v>0</v>
          </cell>
          <cell r="BY82">
            <v>12.166666666666666</v>
          </cell>
          <cell r="BZ82">
            <v>12</v>
          </cell>
          <cell r="CA82">
            <v>15</v>
          </cell>
          <cell r="CB82">
            <v>0</v>
          </cell>
          <cell r="CC82">
            <v>0</v>
          </cell>
          <cell r="CD82">
            <v>11.2</v>
          </cell>
          <cell r="CE82">
            <v>10</v>
          </cell>
          <cell r="CF82">
            <v>10</v>
          </cell>
          <cell r="CG82">
            <v>0</v>
          </cell>
          <cell r="CH82">
            <v>0</v>
          </cell>
          <cell r="CI82">
            <v>10.199999999999999</v>
          </cell>
          <cell r="CJ82">
            <v>7</v>
          </cell>
          <cell r="CK82">
            <v>4.2</v>
          </cell>
          <cell r="CL82">
            <v>7</v>
          </cell>
          <cell r="CM82">
            <v>0</v>
          </cell>
          <cell r="CN82">
            <v>5.333333333333333</v>
          </cell>
          <cell r="CO82">
            <v>7</v>
          </cell>
          <cell r="CP82">
            <v>4.2</v>
          </cell>
          <cell r="CQ82">
            <v>8.6666666666666679</v>
          </cell>
          <cell r="CR82">
            <v>0</v>
          </cell>
          <cell r="CS82">
            <v>5.333333333333333</v>
          </cell>
          <cell r="CT82">
            <v>7</v>
          </cell>
          <cell r="CU82">
            <v>4.666666666666667</v>
          </cell>
          <cell r="CV82">
            <v>0</v>
          </cell>
          <cell r="CW82">
            <v>8</v>
          </cell>
          <cell r="CX82">
            <v>13.5</v>
          </cell>
          <cell r="CY82">
            <v>7</v>
          </cell>
          <cell r="CZ82">
            <v>5.6</v>
          </cell>
          <cell r="DA82">
            <v>0</v>
          </cell>
          <cell r="DB82">
            <v>8</v>
          </cell>
          <cell r="DC82">
            <v>13.75</v>
          </cell>
          <cell r="DD82">
            <v>24</v>
          </cell>
          <cell r="DE82">
            <v>16.8</v>
          </cell>
          <cell r="DF82">
            <v>0</v>
          </cell>
          <cell r="DG82">
            <v>0</v>
          </cell>
          <cell r="DH82">
            <v>22.75</v>
          </cell>
          <cell r="DI82">
            <v>23</v>
          </cell>
          <cell r="DJ82">
            <v>18</v>
          </cell>
          <cell r="DK82">
            <v>0</v>
          </cell>
          <cell r="DL82">
            <v>0</v>
          </cell>
          <cell r="DM82">
            <v>21.5</v>
          </cell>
          <cell r="DN82">
            <v>23</v>
          </cell>
          <cell r="DO82">
            <v>18</v>
          </cell>
          <cell r="DP82">
            <v>0</v>
          </cell>
          <cell r="DQ82">
            <v>0</v>
          </cell>
          <cell r="DR82">
            <v>21.75</v>
          </cell>
          <cell r="DS82">
            <v>21.75</v>
          </cell>
          <cell r="DT82">
            <v>17</v>
          </cell>
          <cell r="DU82">
            <v>0</v>
          </cell>
          <cell r="DV82">
            <v>0</v>
          </cell>
          <cell r="DW82">
            <v>20.5</v>
          </cell>
          <cell r="DX82">
            <v>20.5</v>
          </cell>
          <cell r="DY82">
            <v>16</v>
          </cell>
          <cell r="DZ82">
            <v>0</v>
          </cell>
          <cell r="EA82">
            <v>0</v>
          </cell>
          <cell r="EB82">
            <v>19.25</v>
          </cell>
          <cell r="EC82">
            <v>19.25</v>
          </cell>
          <cell r="ED82">
            <v>15</v>
          </cell>
          <cell r="EE82">
            <v>0</v>
          </cell>
          <cell r="EF82">
            <v>0</v>
          </cell>
          <cell r="EG82">
            <v>18</v>
          </cell>
          <cell r="EH82">
            <v>18</v>
          </cell>
          <cell r="EI82">
            <v>14</v>
          </cell>
          <cell r="EJ82">
            <v>0</v>
          </cell>
          <cell r="EK82">
            <v>0</v>
          </cell>
          <cell r="EL82">
            <v>16.75</v>
          </cell>
          <cell r="EM82">
            <v>16.75</v>
          </cell>
          <cell r="EN82">
            <v>13</v>
          </cell>
          <cell r="EO82">
            <v>0</v>
          </cell>
          <cell r="EP82">
            <v>0</v>
          </cell>
          <cell r="EQ82">
            <v>15.5</v>
          </cell>
          <cell r="ER82">
            <v>15.5</v>
          </cell>
          <cell r="ES82">
            <v>12</v>
          </cell>
          <cell r="ET82">
            <v>0</v>
          </cell>
          <cell r="EU82">
            <v>0</v>
          </cell>
          <cell r="EV82">
            <v>14.25</v>
          </cell>
          <cell r="EW82">
            <v>14.25</v>
          </cell>
          <cell r="EX82">
            <v>11</v>
          </cell>
          <cell r="EY82">
            <v>0</v>
          </cell>
          <cell r="EZ82">
            <v>0</v>
          </cell>
          <cell r="FA82">
            <v>13</v>
          </cell>
          <cell r="FB82">
            <v>13</v>
          </cell>
          <cell r="FC82">
            <v>10</v>
          </cell>
          <cell r="FD82">
            <v>0</v>
          </cell>
          <cell r="FE82">
            <v>0</v>
          </cell>
          <cell r="FF82">
            <v>11.75</v>
          </cell>
          <cell r="FG82">
            <v>11.75</v>
          </cell>
          <cell r="FH82">
            <v>9</v>
          </cell>
          <cell r="FI82">
            <v>0</v>
          </cell>
          <cell r="FJ82">
            <v>0</v>
          </cell>
          <cell r="FK82">
            <v>10.5</v>
          </cell>
          <cell r="FL82">
            <v>10.5</v>
          </cell>
          <cell r="FM82">
            <v>8</v>
          </cell>
          <cell r="FN82">
            <v>0</v>
          </cell>
          <cell r="FO82">
            <v>0</v>
          </cell>
          <cell r="FP82">
            <v>9.25</v>
          </cell>
          <cell r="FQ82">
            <v>9.25</v>
          </cell>
          <cell r="FR82">
            <v>7</v>
          </cell>
          <cell r="FS82">
            <v>0</v>
          </cell>
          <cell r="FT82">
            <v>3</v>
          </cell>
          <cell r="FU82">
            <v>2.0333333333333332</v>
          </cell>
          <cell r="FW82" t="str">
            <v>SOBRESTOCK</v>
          </cell>
          <cell r="FX82" t="str">
            <v>C</v>
          </cell>
          <cell r="FY82" t="str">
            <v>Si</v>
          </cell>
        </row>
        <row r="83">
          <cell r="B83" t="str">
            <v>REP-0082</v>
          </cell>
          <cell r="C83" t="str">
            <v>MIX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O83">
            <v>0</v>
          </cell>
          <cell r="AP83">
            <v>0</v>
          </cell>
          <cell r="AQ83" t="str">
            <v/>
          </cell>
          <cell r="AR83">
            <v>0</v>
          </cell>
          <cell r="AS83">
            <v>0</v>
          </cell>
          <cell r="AT83">
            <v>0</v>
          </cell>
          <cell r="AU83" t="str">
            <v/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 t="str">
            <v/>
          </cell>
          <cell r="BD83">
            <v>0</v>
          </cell>
          <cell r="BE83">
            <v>0</v>
          </cell>
          <cell r="BF83" t="str">
            <v/>
          </cell>
          <cell r="BG83">
            <v>0</v>
          </cell>
          <cell r="BH83">
            <v>0</v>
          </cell>
          <cell r="BI83">
            <v>0</v>
          </cell>
          <cell r="BJ83" t="str">
            <v/>
          </cell>
          <cell r="BK83">
            <v>0</v>
          </cell>
          <cell r="BL83">
            <v>0</v>
          </cell>
          <cell r="BM83">
            <v>0</v>
          </cell>
          <cell r="BN83" t="str">
            <v/>
          </cell>
          <cell r="BO83">
            <v>0</v>
          </cell>
          <cell r="BP83">
            <v>0</v>
          </cell>
          <cell r="BQ83">
            <v>0</v>
          </cell>
          <cell r="BR83" t="str">
            <v/>
          </cell>
          <cell r="BS83">
            <v>0</v>
          </cell>
          <cell r="BT83">
            <v>0</v>
          </cell>
          <cell r="BU83">
            <v>0</v>
          </cell>
          <cell r="BV83" t="str">
            <v/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 t="str">
            <v/>
          </cell>
          <cell r="CB83">
            <v>0</v>
          </cell>
          <cell r="CD83">
            <v>0</v>
          </cell>
          <cell r="CE83">
            <v>0</v>
          </cell>
          <cell r="CF83" t="str">
            <v/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 t="str">
            <v/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 t="str">
            <v/>
          </cell>
          <cell r="CQ83">
            <v>0</v>
          </cell>
          <cell r="CS83">
            <v>0</v>
          </cell>
          <cell r="CT83">
            <v>0</v>
          </cell>
          <cell r="CU83" t="str">
            <v/>
          </cell>
          <cell r="CV83">
            <v>0</v>
          </cell>
          <cell r="CX83">
            <v>0</v>
          </cell>
          <cell r="CY83">
            <v>0</v>
          </cell>
          <cell r="CZ83" t="str">
            <v/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 t="str">
            <v/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 t="str">
            <v/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 t="str">
            <v/>
          </cell>
          <cell r="DP83">
            <v>0</v>
          </cell>
          <cell r="DR83">
            <v>0</v>
          </cell>
          <cell r="DS83">
            <v>0</v>
          </cell>
          <cell r="DT83" t="str">
            <v/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 t="str">
            <v/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 t="str">
            <v/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 t="str">
            <v/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 t="str">
            <v/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 t="str">
            <v/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 t="str">
            <v/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 t="str">
            <v/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 t="str">
            <v/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 t="str">
            <v/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 t="str">
            <v/>
          </cell>
          <cell r="FS83">
            <v>0</v>
          </cell>
          <cell r="FT83">
            <v>0</v>
          </cell>
          <cell r="FU83">
            <v>66.666666666666671</v>
          </cell>
          <cell r="FW83" t="str">
            <v>SIN ROTACIÓN</v>
          </cell>
          <cell r="FX83" t="str">
            <v/>
          </cell>
          <cell r="FY83" t="str">
            <v>No</v>
          </cell>
        </row>
        <row r="84">
          <cell r="B84" t="str">
            <v>REP-0083</v>
          </cell>
          <cell r="C84" t="str">
            <v>MIX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O84">
            <v>0</v>
          </cell>
          <cell r="AP84">
            <v>0</v>
          </cell>
          <cell r="AQ84" t="str">
            <v/>
          </cell>
          <cell r="AR84">
            <v>0</v>
          </cell>
          <cell r="AS84">
            <v>0</v>
          </cell>
          <cell r="AT84">
            <v>0</v>
          </cell>
          <cell r="AU84" t="str">
            <v/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 t="str">
            <v/>
          </cell>
          <cell r="BD84">
            <v>0</v>
          </cell>
          <cell r="BE84">
            <v>0</v>
          </cell>
          <cell r="BF84" t="str">
            <v/>
          </cell>
          <cell r="BG84">
            <v>0</v>
          </cell>
          <cell r="BH84">
            <v>0</v>
          </cell>
          <cell r="BI84">
            <v>0</v>
          </cell>
          <cell r="BJ84" t="str">
            <v/>
          </cell>
          <cell r="BK84">
            <v>0</v>
          </cell>
          <cell r="BL84">
            <v>0</v>
          </cell>
          <cell r="BM84">
            <v>0</v>
          </cell>
          <cell r="BN84" t="str">
            <v/>
          </cell>
          <cell r="BO84">
            <v>0</v>
          </cell>
          <cell r="BP84">
            <v>0</v>
          </cell>
          <cell r="BQ84">
            <v>0</v>
          </cell>
          <cell r="BR84" t="str">
            <v/>
          </cell>
          <cell r="BS84">
            <v>0</v>
          </cell>
          <cell r="BT84">
            <v>0</v>
          </cell>
          <cell r="BU84">
            <v>0</v>
          </cell>
          <cell r="BV84" t="str">
            <v/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 t="str">
            <v/>
          </cell>
          <cell r="CB84">
            <v>0</v>
          </cell>
          <cell r="CD84">
            <v>0</v>
          </cell>
          <cell r="CE84">
            <v>0</v>
          </cell>
          <cell r="CF84" t="str">
            <v/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 t="str">
            <v/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 t="str">
            <v/>
          </cell>
          <cell r="CQ84">
            <v>0</v>
          </cell>
          <cell r="CS84">
            <v>0</v>
          </cell>
          <cell r="CT84">
            <v>0</v>
          </cell>
          <cell r="CU84" t="str">
            <v/>
          </cell>
          <cell r="CV84">
            <v>0</v>
          </cell>
          <cell r="CX84">
            <v>0</v>
          </cell>
          <cell r="CY84">
            <v>0</v>
          </cell>
          <cell r="CZ84" t="str">
            <v/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 t="str">
            <v/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 t="str">
            <v/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 t="str">
            <v/>
          </cell>
          <cell r="DP84">
            <v>0</v>
          </cell>
          <cell r="DR84">
            <v>0</v>
          </cell>
          <cell r="DS84">
            <v>0</v>
          </cell>
          <cell r="DT84" t="str">
            <v/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 t="str">
            <v/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 t="str">
            <v/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 t="str">
            <v/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 t="str">
            <v/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 t="str">
            <v/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 t="str">
            <v/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 t="str">
            <v/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 t="str">
            <v/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 t="str">
            <v/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 t="str">
            <v/>
          </cell>
          <cell r="FS84">
            <v>0</v>
          </cell>
          <cell r="FT84">
            <v>0</v>
          </cell>
          <cell r="FU84">
            <v>66.666666666666671</v>
          </cell>
          <cell r="FW84" t="str">
            <v>SIN ROTACIÓN</v>
          </cell>
          <cell r="FX84" t="str">
            <v/>
          </cell>
          <cell r="FY84" t="str">
            <v>No</v>
          </cell>
        </row>
        <row r="85">
          <cell r="B85" t="str">
            <v>REP-0084</v>
          </cell>
          <cell r="C85" t="str">
            <v>MIX</v>
          </cell>
          <cell r="D85">
            <v>0</v>
          </cell>
          <cell r="E85">
            <v>40</v>
          </cell>
          <cell r="F85">
            <v>0</v>
          </cell>
          <cell r="G85">
            <v>0</v>
          </cell>
          <cell r="H85">
            <v>2</v>
          </cell>
          <cell r="I85">
            <v>2</v>
          </cell>
          <cell r="J85">
            <v>0</v>
          </cell>
          <cell r="K85">
            <v>5</v>
          </cell>
          <cell r="L85">
            <v>3</v>
          </cell>
          <cell r="M85">
            <v>3</v>
          </cell>
          <cell r="N85">
            <v>2</v>
          </cell>
          <cell r="O85">
            <v>4</v>
          </cell>
          <cell r="P85">
            <v>2</v>
          </cell>
          <cell r="Q85">
            <v>2</v>
          </cell>
          <cell r="R85">
            <v>3</v>
          </cell>
          <cell r="S85">
            <v>2</v>
          </cell>
          <cell r="T85">
            <v>1</v>
          </cell>
          <cell r="U85">
            <v>5</v>
          </cell>
          <cell r="V85">
            <v>3</v>
          </cell>
          <cell r="W85">
            <v>3</v>
          </cell>
          <cell r="X85">
            <v>2</v>
          </cell>
          <cell r="Y85">
            <v>84</v>
          </cell>
          <cell r="AA85">
            <v>84</v>
          </cell>
          <cell r="AB85">
            <v>20</v>
          </cell>
          <cell r="AC85">
            <v>2.6666666666666665</v>
          </cell>
          <cell r="AD85">
            <v>8.8888888888888878E-2</v>
          </cell>
          <cell r="AE85">
            <v>2.8333333333333335</v>
          </cell>
          <cell r="AF85">
            <v>2.3333333333333335</v>
          </cell>
          <cell r="AG85">
            <v>2.25</v>
          </cell>
          <cell r="AH85">
            <v>3</v>
          </cell>
          <cell r="AI85">
            <v>0.83333333333333337</v>
          </cell>
          <cell r="AJ85">
            <v>0.83333333333333337</v>
          </cell>
          <cell r="AK85">
            <v>1.7291666666666665</v>
          </cell>
          <cell r="AL85">
            <v>1.0787831793961884</v>
          </cell>
          <cell r="AM85">
            <v>1.7291666666666665</v>
          </cell>
          <cell r="AN85">
            <v>0.62387460977128972</v>
          </cell>
          <cell r="AO85">
            <v>0</v>
          </cell>
          <cell r="AP85">
            <v>36.5</v>
          </cell>
          <cell r="AQ85">
            <v>9.7142857142857135</v>
          </cell>
          <cell r="AR85">
            <v>0</v>
          </cell>
          <cell r="AS85">
            <v>19</v>
          </cell>
          <cell r="AT85">
            <v>31</v>
          </cell>
          <cell r="AU85">
            <v>10.333333333333334</v>
          </cell>
          <cell r="AV85">
            <v>0</v>
          </cell>
          <cell r="AW85">
            <v>28</v>
          </cell>
          <cell r="AX85">
            <v>27</v>
          </cell>
          <cell r="AY85">
            <v>15.614457831325302</v>
          </cell>
          <cell r="AZ85">
            <v>0</v>
          </cell>
          <cell r="BA85">
            <v>44</v>
          </cell>
          <cell r="BB85">
            <v>22</v>
          </cell>
          <cell r="BC85">
            <v>5.0769230769230775</v>
          </cell>
          <cell r="BD85">
            <v>0</v>
          </cell>
          <cell r="BE85">
            <v>17.666666666666668</v>
          </cell>
          <cell r="BF85">
            <v>4.0769230769230775</v>
          </cell>
          <cell r="BG85">
            <v>20</v>
          </cell>
          <cell r="BH85">
            <v>33.333333333333336</v>
          </cell>
          <cell r="BI85">
            <v>84</v>
          </cell>
          <cell r="BJ85">
            <v>48.578313253012055</v>
          </cell>
          <cell r="BK85">
            <v>0</v>
          </cell>
          <cell r="BL85">
            <v>30.333333333333332</v>
          </cell>
          <cell r="BM85">
            <v>30</v>
          </cell>
          <cell r="BN85">
            <v>7.7777777777777777</v>
          </cell>
          <cell r="BO85">
            <v>0</v>
          </cell>
          <cell r="BP85">
            <v>26.142857142857142</v>
          </cell>
          <cell r="BQ85">
            <v>26</v>
          </cell>
          <cell r="BR85">
            <v>15.036144578313253</v>
          </cell>
          <cell r="BS85">
            <v>0</v>
          </cell>
          <cell r="BT85">
            <v>22</v>
          </cell>
          <cell r="BU85">
            <v>26</v>
          </cell>
          <cell r="BV85">
            <v>7.4285714285714288</v>
          </cell>
          <cell r="BW85">
            <v>50</v>
          </cell>
          <cell r="BX85">
            <v>0</v>
          </cell>
          <cell r="BY85">
            <v>22.5</v>
          </cell>
          <cell r="BZ85">
            <v>21</v>
          </cell>
          <cell r="CA85">
            <v>6</v>
          </cell>
          <cell r="CB85">
            <v>55</v>
          </cell>
          <cell r="CC85">
            <v>0</v>
          </cell>
          <cell r="CD85">
            <v>37.5</v>
          </cell>
          <cell r="CE85">
            <v>24</v>
          </cell>
          <cell r="CF85">
            <v>7.5428571428571436</v>
          </cell>
          <cell r="CG85">
            <v>52</v>
          </cell>
          <cell r="CH85">
            <v>20</v>
          </cell>
          <cell r="CI85">
            <v>86.318181818181813</v>
          </cell>
          <cell r="CJ85">
            <v>44</v>
          </cell>
          <cell r="CK85">
            <v>14.666666666666666</v>
          </cell>
          <cell r="CL85">
            <v>32</v>
          </cell>
          <cell r="CM85">
            <v>50</v>
          </cell>
          <cell r="CN85">
            <v>91</v>
          </cell>
          <cell r="CO85">
            <v>93</v>
          </cell>
          <cell r="CP85">
            <v>31</v>
          </cell>
          <cell r="CQ85">
            <v>0</v>
          </cell>
          <cell r="CR85">
            <v>0</v>
          </cell>
          <cell r="CS85">
            <v>90</v>
          </cell>
          <cell r="CT85">
            <v>93</v>
          </cell>
          <cell r="CU85">
            <v>31</v>
          </cell>
          <cell r="CV85">
            <v>0</v>
          </cell>
          <cell r="CW85">
            <v>0</v>
          </cell>
          <cell r="CX85">
            <v>90</v>
          </cell>
          <cell r="CY85">
            <v>89</v>
          </cell>
          <cell r="CZ85">
            <v>29.666666666666668</v>
          </cell>
          <cell r="DA85">
            <v>0</v>
          </cell>
          <cell r="DB85">
            <v>0</v>
          </cell>
          <cell r="DC85">
            <v>86</v>
          </cell>
          <cell r="DD85">
            <v>88</v>
          </cell>
          <cell r="DE85">
            <v>16.666666666666668</v>
          </cell>
          <cell r="DF85">
            <v>0</v>
          </cell>
          <cell r="DG85">
            <v>0</v>
          </cell>
          <cell r="DH85">
            <v>85</v>
          </cell>
          <cell r="DI85">
            <v>87</v>
          </cell>
          <cell r="DJ85">
            <v>30.474576271186443</v>
          </cell>
          <cell r="DK85">
            <v>0</v>
          </cell>
          <cell r="DL85">
            <v>0</v>
          </cell>
          <cell r="DM85">
            <v>83.279166666666669</v>
          </cell>
          <cell r="DN85">
            <v>84</v>
          </cell>
          <cell r="DO85">
            <v>28.602409638554221</v>
          </cell>
          <cell r="DP85">
            <v>0</v>
          </cell>
          <cell r="DQ85">
            <v>0</v>
          </cell>
          <cell r="DR85">
            <v>82.270833333333329</v>
          </cell>
          <cell r="DS85">
            <v>82.270833333333329</v>
          </cell>
          <cell r="DT85">
            <v>27.602409638554217</v>
          </cell>
          <cell r="DU85">
            <v>0</v>
          </cell>
          <cell r="DV85">
            <v>0</v>
          </cell>
          <cell r="DW85">
            <v>80.541666666666657</v>
          </cell>
          <cell r="DX85">
            <v>80.541666666666657</v>
          </cell>
          <cell r="DY85">
            <v>26.602409638554214</v>
          </cell>
          <cell r="DZ85">
            <v>0</v>
          </cell>
          <cell r="EA85">
            <v>0</v>
          </cell>
          <cell r="EB85">
            <v>78.812499999999986</v>
          </cell>
          <cell r="EC85">
            <v>78.812499999999986</v>
          </cell>
          <cell r="ED85">
            <v>25.60240963855421</v>
          </cell>
          <cell r="EE85">
            <v>0</v>
          </cell>
          <cell r="EF85">
            <v>0</v>
          </cell>
          <cell r="EG85">
            <v>77.083333333333314</v>
          </cell>
          <cell r="EH85">
            <v>77.083333333333314</v>
          </cell>
          <cell r="EI85">
            <v>24.602409638554207</v>
          </cell>
          <cell r="EJ85">
            <v>0</v>
          </cell>
          <cell r="EK85">
            <v>0</v>
          </cell>
          <cell r="EL85">
            <v>75.354166666666643</v>
          </cell>
          <cell r="EM85">
            <v>75.354166666666643</v>
          </cell>
          <cell r="EN85">
            <v>23.602409638554207</v>
          </cell>
          <cell r="EO85">
            <v>0</v>
          </cell>
          <cell r="EP85">
            <v>0</v>
          </cell>
          <cell r="EQ85">
            <v>73.624999999999972</v>
          </cell>
          <cell r="ER85">
            <v>73.624999999999972</v>
          </cell>
          <cell r="ES85">
            <v>22.602409638554203</v>
          </cell>
          <cell r="ET85">
            <v>0</v>
          </cell>
          <cell r="EU85">
            <v>0</v>
          </cell>
          <cell r="EV85">
            <v>71.8958333333333</v>
          </cell>
          <cell r="EW85">
            <v>71.8958333333333</v>
          </cell>
          <cell r="EX85">
            <v>21.602409638554199</v>
          </cell>
          <cell r="EY85">
            <v>0</v>
          </cell>
          <cell r="EZ85">
            <v>0</v>
          </cell>
          <cell r="FA85">
            <v>70.166666666666629</v>
          </cell>
          <cell r="FB85">
            <v>70.166666666666629</v>
          </cell>
          <cell r="FC85">
            <v>20.602409638554196</v>
          </cell>
          <cell r="FD85">
            <v>0</v>
          </cell>
          <cell r="FE85">
            <v>0</v>
          </cell>
          <cell r="FF85">
            <v>68.437499999999957</v>
          </cell>
          <cell r="FG85">
            <v>68.437499999999957</v>
          </cell>
          <cell r="FH85">
            <v>19.602409638554192</v>
          </cell>
          <cell r="FI85">
            <v>0</v>
          </cell>
          <cell r="FJ85">
            <v>0</v>
          </cell>
          <cell r="FK85">
            <v>66.708333333333286</v>
          </cell>
          <cell r="FL85">
            <v>66.708333333333286</v>
          </cell>
          <cell r="FM85">
            <v>18.602409638554192</v>
          </cell>
          <cell r="FN85">
            <v>0</v>
          </cell>
          <cell r="FO85">
            <v>0</v>
          </cell>
          <cell r="FP85">
            <v>64.979166666666615</v>
          </cell>
          <cell r="FQ85">
            <v>64.979166666666615</v>
          </cell>
          <cell r="FR85">
            <v>17.602409638554189</v>
          </cell>
          <cell r="FS85">
            <v>0</v>
          </cell>
          <cell r="FT85">
            <v>38</v>
          </cell>
          <cell r="FU85">
            <v>2.0333333333333332</v>
          </cell>
          <cell r="FV85" t="str">
            <v>SI</v>
          </cell>
          <cell r="FW85" t="str">
            <v>SOBRESTOCK</v>
          </cell>
          <cell r="FX85" t="str">
            <v>B</v>
          </cell>
          <cell r="FY85" t="str">
            <v>Si</v>
          </cell>
        </row>
        <row r="86">
          <cell r="B86" t="str">
            <v>REP-0085</v>
          </cell>
          <cell r="C86" t="str">
            <v>MIX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7</v>
          </cell>
          <cell r="I86">
            <v>7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14</v>
          </cell>
          <cell r="AA86">
            <v>14</v>
          </cell>
          <cell r="AB86">
            <v>4</v>
          </cell>
          <cell r="AC86">
            <v>0.66666666666666663</v>
          </cell>
          <cell r="AD86">
            <v>2.222222222222222E-2</v>
          </cell>
          <cell r="AE86">
            <v>0.41666666666666669</v>
          </cell>
          <cell r="AF86">
            <v>0.5</v>
          </cell>
          <cell r="AG86">
            <v>0.41666666666666669</v>
          </cell>
          <cell r="AH86">
            <v>0.75</v>
          </cell>
          <cell r="AI86">
            <v>0</v>
          </cell>
          <cell r="AJ86">
            <v>0</v>
          </cell>
          <cell r="AK86">
            <v>0.75</v>
          </cell>
          <cell r="AL86">
            <v>0.32808366141715878</v>
          </cell>
          <cell r="AM86">
            <v>0.29166666666666669</v>
          </cell>
          <cell r="AN86">
            <v>1.1248582677159729</v>
          </cell>
          <cell r="AO86">
            <v>0</v>
          </cell>
          <cell r="AP86">
            <v>17.444444444444443</v>
          </cell>
          <cell r="AQ86">
            <v>26</v>
          </cell>
          <cell r="AR86">
            <v>0</v>
          </cell>
          <cell r="AS86">
            <v>17</v>
          </cell>
          <cell r="AT86">
            <v>17</v>
          </cell>
          <cell r="AU86">
            <v>34</v>
          </cell>
          <cell r="AV86">
            <v>0</v>
          </cell>
          <cell r="AW86">
            <v>16.5</v>
          </cell>
          <cell r="AX86">
            <v>16</v>
          </cell>
          <cell r="AY86">
            <v>21.333333333333332</v>
          </cell>
          <cell r="AZ86">
            <v>0</v>
          </cell>
          <cell r="BA86">
            <v>15.333333333333334</v>
          </cell>
          <cell r="BB86">
            <v>14</v>
          </cell>
          <cell r="BC86">
            <v>8.4</v>
          </cell>
          <cell r="BD86">
            <v>0</v>
          </cell>
          <cell r="BE86">
            <v>12.333333333333334</v>
          </cell>
          <cell r="BF86">
            <v>7.4</v>
          </cell>
          <cell r="BG86">
            <v>0</v>
          </cell>
          <cell r="BH86">
            <v>10.666666666666668</v>
          </cell>
          <cell r="BI86">
            <v>14</v>
          </cell>
          <cell r="BJ86">
            <v>18.666666666666668</v>
          </cell>
          <cell r="BK86">
            <v>0</v>
          </cell>
          <cell r="BL86">
            <v>13.166666666666666</v>
          </cell>
          <cell r="BM86">
            <v>14</v>
          </cell>
          <cell r="BN86">
            <v>19.599999999999998</v>
          </cell>
          <cell r="BO86">
            <v>0</v>
          </cell>
          <cell r="BP86">
            <v>13.285714285714286</v>
          </cell>
          <cell r="BQ86">
            <v>14</v>
          </cell>
          <cell r="BR86">
            <v>18.666666666666668</v>
          </cell>
          <cell r="BS86">
            <v>0</v>
          </cell>
          <cell r="BT86">
            <v>13.333333333333334</v>
          </cell>
          <cell r="BU86">
            <v>14</v>
          </cell>
          <cell r="BV86">
            <v>25.2</v>
          </cell>
          <cell r="BW86">
            <v>0</v>
          </cell>
          <cell r="BX86">
            <v>0</v>
          </cell>
          <cell r="BY86">
            <v>13.444444444444445</v>
          </cell>
          <cell r="BZ86">
            <v>14</v>
          </cell>
          <cell r="CA86">
            <v>28</v>
          </cell>
          <cell r="CB86">
            <v>0</v>
          </cell>
          <cell r="CC86">
            <v>0</v>
          </cell>
          <cell r="CD86">
            <v>13.5</v>
          </cell>
          <cell r="CE86">
            <v>19</v>
          </cell>
          <cell r="CF86">
            <v>34.833333333333336</v>
          </cell>
          <cell r="CG86">
            <v>0</v>
          </cell>
          <cell r="CH86">
            <v>0</v>
          </cell>
          <cell r="CI86">
            <v>12.954545454545455</v>
          </cell>
          <cell r="CJ86">
            <v>15</v>
          </cell>
          <cell r="CK86">
            <v>20</v>
          </cell>
          <cell r="CL86">
            <v>0</v>
          </cell>
          <cell r="CM86">
            <v>0</v>
          </cell>
          <cell r="CN86">
            <v>14.25</v>
          </cell>
          <cell r="CO86">
            <v>11</v>
          </cell>
          <cell r="CP86">
            <v>14.666666666666666</v>
          </cell>
          <cell r="CQ86">
            <v>0</v>
          </cell>
          <cell r="CR86">
            <v>0</v>
          </cell>
          <cell r="CS86">
            <v>10.25</v>
          </cell>
          <cell r="CT86">
            <v>11</v>
          </cell>
          <cell r="CU86">
            <v>14.666666666666666</v>
          </cell>
          <cell r="CV86">
            <v>0</v>
          </cell>
          <cell r="CW86">
            <v>0</v>
          </cell>
          <cell r="CX86">
            <v>10.25</v>
          </cell>
          <cell r="CY86">
            <v>9</v>
          </cell>
          <cell r="CZ86">
            <v>9</v>
          </cell>
          <cell r="DA86">
            <v>0</v>
          </cell>
          <cell r="DB86">
            <v>0</v>
          </cell>
          <cell r="DC86">
            <v>8.25</v>
          </cell>
          <cell r="DD86">
            <v>8</v>
          </cell>
          <cell r="DE86">
            <v>8</v>
          </cell>
          <cell r="DF86">
            <v>0</v>
          </cell>
          <cell r="DG86">
            <v>0</v>
          </cell>
          <cell r="DH86">
            <v>7.25</v>
          </cell>
          <cell r="DI86">
            <v>8</v>
          </cell>
          <cell r="DJ86">
            <v>10</v>
          </cell>
          <cell r="DK86">
            <v>0</v>
          </cell>
          <cell r="DL86">
            <v>0</v>
          </cell>
          <cell r="DM86">
            <v>6.5</v>
          </cell>
          <cell r="DN86">
            <v>14</v>
          </cell>
          <cell r="DO86">
            <v>18</v>
          </cell>
          <cell r="DP86">
            <v>0</v>
          </cell>
          <cell r="DQ86">
            <v>0</v>
          </cell>
          <cell r="DR86">
            <v>13.25</v>
          </cell>
          <cell r="DS86">
            <v>13.25</v>
          </cell>
          <cell r="DT86">
            <v>17</v>
          </cell>
          <cell r="DU86">
            <v>0</v>
          </cell>
          <cell r="DV86">
            <v>0</v>
          </cell>
          <cell r="DW86">
            <v>12.5</v>
          </cell>
          <cell r="DX86">
            <v>12.5</v>
          </cell>
          <cell r="DY86">
            <v>16</v>
          </cell>
          <cell r="DZ86">
            <v>0</v>
          </cell>
          <cell r="EA86">
            <v>0</v>
          </cell>
          <cell r="EB86">
            <v>11.75</v>
          </cell>
          <cell r="EC86">
            <v>11.75</v>
          </cell>
          <cell r="ED86">
            <v>15</v>
          </cell>
          <cell r="EE86">
            <v>0</v>
          </cell>
          <cell r="EF86">
            <v>0</v>
          </cell>
          <cell r="EG86">
            <v>11</v>
          </cell>
          <cell r="EH86">
            <v>11</v>
          </cell>
          <cell r="EI86">
            <v>14</v>
          </cell>
          <cell r="EJ86">
            <v>0</v>
          </cell>
          <cell r="EK86">
            <v>0</v>
          </cell>
          <cell r="EL86">
            <v>10.25</v>
          </cell>
          <cell r="EM86">
            <v>10.25</v>
          </cell>
          <cell r="EN86">
            <v>13</v>
          </cell>
          <cell r="EO86">
            <v>0</v>
          </cell>
          <cell r="EP86">
            <v>0</v>
          </cell>
          <cell r="EQ86">
            <v>9.5</v>
          </cell>
          <cell r="ER86">
            <v>9.5</v>
          </cell>
          <cell r="ES86">
            <v>12</v>
          </cell>
          <cell r="ET86">
            <v>0</v>
          </cell>
          <cell r="EU86">
            <v>0</v>
          </cell>
          <cell r="EV86">
            <v>8.75</v>
          </cell>
          <cell r="EW86">
            <v>8.75</v>
          </cell>
          <cell r="EX86">
            <v>11</v>
          </cell>
          <cell r="EY86">
            <v>0</v>
          </cell>
          <cell r="EZ86">
            <v>0</v>
          </cell>
          <cell r="FA86">
            <v>8</v>
          </cell>
          <cell r="FB86">
            <v>8</v>
          </cell>
          <cell r="FC86">
            <v>10</v>
          </cell>
          <cell r="FD86">
            <v>0</v>
          </cell>
          <cell r="FE86">
            <v>5</v>
          </cell>
          <cell r="FF86">
            <v>12.25</v>
          </cell>
          <cell r="FG86">
            <v>12.25</v>
          </cell>
          <cell r="FH86">
            <v>15.666666666666666</v>
          </cell>
          <cell r="FI86">
            <v>0</v>
          </cell>
          <cell r="FJ86">
            <v>0</v>
          </cell>
          <cell r="FK86">
            <v>11.5</v>
          </cell>
          <cell r="FL86">
            <v>11.5</v>
          </cell>
          <cell r="FM86">
            <v>14.666666666666666</v>
          </cell>
          <cell r="FN86">
            <v>0</v>
          </cell>
          <cell r="FO86">
            <v>0</v>
          </cell>
          <cell r="FP86">
            <v>10.75</v>
          </cell>
          <cell r="FQ86">
            <v>10.75</v>
          </cell>
          <cell r="FR86">
            <v>13.666666666666666</v>
          </cell>
          <cell r="FS86">
            <v>0</v>
          </cell>
          <cell r="FT86">
            <v>2</v>
          </cell>
          <cell r="FU86">
            <v>2.0333333333333332</v>
          </cell>
          <cell r="FV86" t="str">
            <v>SI</v>
          </cell>
          <cell r="FW86" t="str">
            <v>SIN ROTACIÓN</v>
          </cell>
          <cell r="FX86" t="str">
            <v>C</v>
          </cell>
          <cell r="FY86" t="str">
            <v>Si</v>
          </cell>
        </row>
        <row r="87">
          <cell r="B87" t="str">
            <v>REP-0086</v>
          </cell>
          <cell r="C87" t="str">
            <v>MIX</v>
          </cell>
          <cell r="D87">
            <v>0</v>
          </cell>
          <cell r="E87">
            <v>25</v>
          </cell>
          <cell r="F87">
            <v>0</v>
          </cell>
          <cell r="G87">
            <v>0</v>
          </cell>
          <cell r="H87">
            <v>4</v>
          </cell>
          <cell r="I87">
            <v>4</v>
          </cell>
          <cell r="J87">
            <v>0</v>
          </cell>
          <cell r="K87">
            <v>3</v>
          </cell>
          <cell r="L87">
            <v>4</v>
          </cell>
          <cell r="M87">
            <v>0</v>
          </cell>
          <cell r="N87">
            <v>2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</v>
          </cell>
          <cell r="T87">
            <v>0</v>
          </cell>
          <cell r="U87">
            <v>4</v>
          </cell>
          <cell r="V87">
            <v>4</v>
          </cell>
          <cell r="W87">
            <v>1</v>
          </cell>
          <cell r="X87">
            <v>0</v>
          </cell>
          <cell r="Y87">
            <v>52</v>
          </cell>
          <cell r="AA87">
            <v>52</v>
          </cell>
          <cell r="AB87">
            <v>4</v>
          </cell>
          <cell r="AC87">
            <v>1.3333333333333333</v>
          </cell>
          <cell r="AD87">
            <v>4.4444444444444439E-2</v>
          </cell>
          <cell r="AE87">
            <v>1</v>
          </cell>
          <cell r="AF87">
            <v>1.1666666666666667</v>
          </cell>
          <cell r="AG87">
            <v>0.33333333333333331</v>
          </cell>
          <cell r="AH87">
            <v>3.5833333333333335</v>
          </cell>
          <cell r="AI87">
            <v>4</v>
          </cell>
          <cell r="AJ87">
            <v>4</v>
          </cell>
          <cell r="AK87">
            <v>4</v>
          </cell>
          <cell r="AL87">
            <v>1.7747913283705368</v>
          </cell>
          <cell r="AM87">
            <v>2.979166666666667</v>
          </cell>
          <cell r="AN87">
            <v>0.59573415218032</v>
          </cell>
          <cell r="AO87">
            <v>0</v>
          </cell>
          <cell r="AP87">
            <v>64.833333333333329</v>
          </cell>
          <cell r="AQ87">
            <v>56.428571428571423</v>
          </cell>
          <cell r="AR87">
            <v>0</v>
          </cell>
          <cell r="AS87">
            <v>64.666666666666657</v>
          </cell>
          <cell r="AT87">
            <v>65</v>
          </cell>
          <cell r="AU87">
            <v>65</v>
          </cell>
          <cell r="AV87">
            <v>0</v>
          </cell>
          <cell r="AW87">
            <v>64</v>
          </cell>
          <cell r="AX87">
            <v>68</v>
          </cell>
          <cell r="AY87">
            <v>17</v>
          </cell>
          <cell r="AZ87">
            <v>0</v>
          </cell>
          <cell r="BA87">
            <v>67.333333333333329</v>
          </cell>
          <cell r="BB87">
            <v>63</v>
          </cell>
          <cell r="BC87">
            <v>47.25</v>
          </cell>
          <cell r="BD87">
            <v>0</v>
          </cell>
          <cell r="BE87">
            <v>61.666666666666664</v>
          </cell>
          <cell r="BF87">
            <v>46.25</v>
          </cell>
          <cell r="BG87">
            <v>0</v>
          </cell>
          <cell r="BH87">
            <v>60.333333333333329</v>
          </cell>
          <cell r="BI87">
            <v>52</v>
          </cell>
          <cell r="BJ87">
            <v>13</v>
          </cell>
          <cell r="BK87">
            <v>0</v>
          </cell>
          <cell r="BL87">
            <v>53</v>
          </cell>
          <cell r="BM87">
            <v>54</v>
          </cell>
          <cell r="BN87">
            <v>27</v>
          </cell>
          <cell r="BO87">
            <v>0</v>
          </cell>
          <cell r="BP87">
            <v>52</v>
          </cell>
          <cell r="BQ87">
            <v>51</v>
          </cell>
          <cell r="BR87">
            <v>12.75</v>
          </cell>
          <cell r="BS87">
            <v>0</v>
          </cell>
          <cell r="BT87">
            <v>48.666666666666664</v>
          </cell>
          <cell r="BU87">
            <v>51</v>
          </cell>
          <cell r="BV87">
            <v>23.53846153846154</v>
          </cell>
          <cell r="BW87">
            <v>0</v>
          </cell>
          <cell r="BX87">
            <v>0</v>
          </cell>
          <cell r="BY87">
            <v>48.833333333333336</v>
          </cell>
          <cell r="BZ87">
            <v>49</v>
          </cell>
          <cell r="CA87">
            <v>21</v>
          </cell>
          <cell r="CB87">
            <v>0</v>
          </cell>
          <cell r="CC87">
            <v>0</v>
          </cell>
          <cell r="CD87">
            <v>46.666666666666664</v>
          </cell>
          <cell r="CE87">
            <v>33</v>
          </cell>
          <cell r="CF87">
            <v>6.8275862068965525</v>
          </cell>
          <cell r="CG87">
            <v>5</v>
          </cell>
          <cell r="CH87">
            <v>0</v>
          </cell>
          <cell r="CI87">
            <v>46.833333333333329</v>
          </cell>
          <cell r="CJ87">
            <v>24</v>
          </cell>
          <cell r="CK87">
            <v>4.6451612903225801</v>
          </cell>
          <cell r="CL87">
            <v>18</v>
          </cell>
          <cell r="CM87">
            <v>0</v>
          </cell>
          <cell r="CN87">
            <v>18.833333333333332</v>
          </cell>
          <cell r="CO87">
            <v>29</v>
          </cell>
          <cell r="CP87">
            <v>5.6129032258064511</v>
          </cell>
          <cell r="CQ87">
            <v>23.166666666666668</v>
          </cell>
          <cell r="CR87">
            <v>0</v>
          </cell>
          <cell r="CS87">
            <v>23.833333333333332</v>
          </cell>
          <cell r="CT87">
            <v>25</v>
          </cell>
          <cell r="CU87">
            <v>4.4117647058823524</v>
          </cell>
          <cell r="CV87">
            <v>0</v>
          </cell>
          <cell r="CW87">
            <v>20</v>
          </cell>
          <cell r="CX87">
            <v>39.333333333333336</v>
          </cell>
          <cell r="CY87">
            <v>22</v>
          </cell>
          <cell r="CZ87">
            <v>3.7714285714285718</v>
          </cell>
          <cell r="DA87">
            <v>0</v>
          </cell>
          <cell r="DB87">
            <v>20</v>
          </cell>
          <cell r="DC87">
            <v>36</v>
          </cell>
          <cell r="DD87">
            <v>61</v>
          </cell>
          <cell r="DE87">
            <v>8.6666666666666661</v>
          </cell>
          <cell r="DF87">
            <v>0</v>
          </cell>
          <cell r="DG87">
            <v>0</v>
          </cell>
          <cell r="DH87">
            <v>55</v>
          </cell>
          <cell r="DI87">
            <v>55</v>
          </cell>
          <cell r="DJ87">
            <v>12.615384615384617</v>
          </cell>
          <cell r="DK87">
            <v>0</v>
          </cell>
          <cell r="DL87">
            <v>0</v>
          </cell>
          <cell r="DM87">
            <v>50.666666666666664</v>
          </cell>
          <cell r="DN87">
            <v>52</v>
          </cell>
          <cell r="DO87">
            <v>12.75</v>
          </cell>
          <cell r="DP87">
            <v>0</v>
          </cell>
          <cell r="DQ87">
            <v>0</v>
          </cell>
          <cell r="DR87">
            <v>48</v>
          </cell>
          <cell r="DS87">
            <v>48</v>
          </cell>
          <cell r="DT87">
            <v>11.75</v>
          </cell>
          <cell r="DU87">
            <v>0</v>
          </cell>
          <cell r="DV87">
            <v>0</v>
          </cell>
          <cell r="DW87">
            <v>44</v>
          </cell>
          <cell r="DX87">
            <v>44</v>
          </cell>
          <cell r="DY87">
            <v>10.75</v>
          </cell>
          <cell r="DZ87">
            <v>0</v>
          </cell>
          <cell r="EA87">
            <v>0</v>
          </cell>
          <cell r="EB87">
            <v>40</v>
          </cell>
          <cell r="EC87">
            <v>40</v>
          </cell>
          <cell r="ED87">
            <v>9.75</v>
          </cell>
          <cell r="EE87">
            <v>0</v>
          </cell>
          <cell r="EF87">
            <v>0</v>
          </cell>
          <cell r="EG87">
            <v>36</v>
          </cell>
          <cell r="EH87">
            <v>36</v>
          </cell>
          <cell r="EI87">
            <v>8.75</v>
          </cell>
          <cell r="EJ87">
            <v>0</v>
          </cell>
          <cell r="EK87">
            <v>0</v>
          </cell>
          <cell r="EL87">
            <v>32</v>
          </cell>
          <cell r="EM87">
            <v>32</v>
          </cell>
          <cell r="EN87">
            <v>7.75</v>
          </cell>
          <cell r="EO87">
            <v>0</v>
          </cell>
          <cell r="EP87">
            <v>0</v>
          </cell>
          <cell r="EQ87">
            <v>28</v>
          </cell>
          <cell r="ER87">
            <v>28</v>
          </cell>
          <cell r="ES87">
            <v>6.75</v>
          </cell>
          <cell r="ET87">
            <v>0</v>
          </cell>
          <cell r="EU87">
            <v>0</v>
          </cell>
          <cell r="EV87">
            <v>24</v>
          </cell>
          <cell r="EW87">
            <v>24</v>
          </cell>
          <cell r="EX87">
            <v>5.75</v>
          </cell>
          <cell r="EY87">
            <v>0</v>
          </cell>
          <cell r="EZ87">
            <v>0</v>
          </cell>
          <cell r="FA87">
            <v>20</v>
          </cell>
          <cell r="FB87">
            <v>20</v>
          </cell>
          <cell r="FC87">
            <v>4.75</v>
          </cell>
          <cell r="FD87">
            <v>0</v>
          </cell>
          <cell r="FE87">
            <v>0</v>
          </cell>
          <cell r="FF87">
            <v>16</v>
          </cell>
          <cell r="FG87">
            <v>16</v>
          </cell>
          <cell r="FH87">
            <v>3.75</v>
          </cell>
          <cell r="FI87">
            <v>0</v>
          </cell>
          <cell r="FJ87">
            <v>0</v>
          </cell>
          <cell r="FK87">
            <v>12</v>
          </cell>
          <cell r="FL87">
            <v>12</v>
          </cell>
          <cell r="FM87">
            <v>2.75</v>
          </cell>
          <cell r="FN87">
            <v>0</v>
          </cell>
          <cell r="FO87">
            <v>3</v>
          </cell>
          <cell r="FP87">
            <v>11</v>
          </cell>
          <cell r="FQ87">
            <v>11</v>
          </cell>
          <cell r="FR87">
            <v>2.5</v>
          </cell>
          <cell r="FS87">
            <v>0</v>
          </cell>
          <cell r="FT87">
            <v>9</v>
          </cell>
          <cell r="FU87">
            <v>2.0333333333333332</v>
          </cell>
          <cell r="FV87" t="str">
            <v>SI</v>
          </cell>
          <cell r="FW87" t="str">
            <v>SOBRESTOCK</v>
          </cell>
          <cell r="FX87" t="str">
            <v>B</v>
          </cell>
          <cell r="FY87" t="str">
            <v>Si</v>
          </cell>
        </row>
        <row r="88">
          <cell r="B88" t="str">
            <v>REP-0087</v>
          </cell>
          <cell r="C88" t="str">
            <v>MIX</v>
          </cell>
          <cell r="D88">
            <v>0</v>
          </cell>
          <cell r="E88">
            <v>1022</v>
          </cell>
          <cell r="F88">
            <v>0</v>
          </cell>
          <cell r="G88">
            <v>0</v>
          </cell>
          <cell r="H88">
            <v>46</v>
          </cell>
          <cell r="I88">
            <v>46</v>
          </cell>
          <cell r="J88">
            <v>0</v>
          </cell>
          <cell r="K88">
            <v>27</v>
          </cell>
          <cell r="L88">
            <v>1</v>
          </cell>
          <cell r="M88">
            <v>1</v>
          </cell>
          <cell r="N88">
            <v>11</v>
          </cell>
          <cell r="O88">
            <v>4</v>
          </cell>
          <cell r="P88">
            <v>7</v>
          </cell>
          <cell r="Q88">
            <v>10</v>
          </cell>
          <cell r="R88">
            <v>9</v>
          </cell>
          <cell r="S88">
            <v>7</v>
          </cell>
          <cell r="T88">
            <v>8</v>
          </cell>
          <cell r="U88">
            <v>8</v>
          </cell>
          <cell r="V88">
            <v>5</v>
          </cell>
          <cell r="W88">
            <v>4</v>
          </cell>
          <cell r="X88">
            <v>13</v>
          </cell>
          <cell r="Y88">
            <v>1229</v>
          </cell>
          <cell r="AA88">
            <v>1229</v>
          </cell>
          <cell r="AB88">
            <v>1055</v>
          </cell>
          <cell r="AC88">
            <v>189.16666666666666</v>
          </cell>
          <cell r="AD88">
            <v>6.3055555555555554</v>
          </cell>
          <cell r="AE88">
            <v>179.08333333333334</v>
          </cell>
          <cell r="AF88">
            <v>198.5</v>
          </cell>
          <cell r="AG88">
            <v>159.33333333333334</v>
          </cell>
          <cell r="AH88">
            <v>173.33333333333334</v>
          </cell>
          <cell r="AI88">
            <v>166.83333333333334</v>
          </cell>
          <cell r="AJ88">
            <v>166.83333333333334</v>
          </cell>
          <cell r="AK88">
            <v>173.33333333333334</v>
          </cell>
          <cell r="AL88">
            <v>15.109507676367951</v>
          </cell>
          <cell r="AM88">
            <v>166.58333333333334</v>
          </cell>
          <cell r="AN88">
            <v>9.0702397256836112E-2</v>
          </cell>
          <cell r="AO88">
            <v>0</v>
          </cell>
          <cell r="AP88">
            <v>1304.8333333333333</v>
          </cell>
          <cell r="AQ88">
            <v>6.4811083123425695</v>
          </cell>
          <cell r="AR88">
            <v>0</v>
          </cell>
          <cell r="AS88">
            <v>1788</v>
          </cell>
          <cell r="AT88">
            <v>1877</v>
          </cell>
          <cell r="AU88">
            <v>11.780334728033472</v>
          </cell>
          <cell r="AV88">
            <v>0</v>
          </cell>
          <cell r="AW88">
            <v>1717.6666666666667</v>
          </cell>
          <cell r="AX88">
            <v>1622</v>
          </cell>
          <cell r="AY88">
            <v>9.3576923076923073</v>
          </cell>
          <cell r="AZ88">
            <v>0</v>
          </cell>
          <cell r="BA88">
            <v>1962.6666666666667</v>
          </cell>
          <cell r="BB88">
            <v>1471</v>
          </cell>
          <cell r="BC88">
            <v>6.3133047210300433</v>
          </cell>
          <cell r="BD88">
            <v>0</v>
          </cell>
          <cell r="BE88">
            <v>1238</v>
          </cell>
          <cell r="BF88">
            <v>5.3133047210300433</v>
          </cell>
          <cell r="BG88">
            <v>0</v>
          </cell>
          <cell r="BH88">
            <v>1005</v>
          </cell>
          <cell r="BI88">
            <v>1229</v>
          </cell>
          <cell r="BJ88">
            <v>7.0903846153846146</v>
          </cell>
          <cell r="BK88">
            <v>0</v>
          </cell>
          <cell r="BL88">
            <v>1409.3333333333333</v>
          </cell>
          <cell r="BM88">
            <v>1397</v>
          </cell>
          <cell r="BN88">
            <v>7.5581605049594227</v>
          </cell>
          <cell r="BO88">
            <v>0</v>
          </cell>
          <cell r="BP88">
            <v>1212.1666666666667</v>
          </cell>
          <cell r="BQ88">
            <v>1197</v>
          </cell>
          <cell r="BR88">
            <v>6.9057692307692307</v>
          </cell>
          <cell r="BS88">
            <v>0</v>
          </cell>
          <cell r="BT88">
            <v>1004.6666666666666</v>
          </cell>
          <cell r="BU88">
            <v>1061</v>
          </cell>
          <cell r="BV88">
            <v>5.8889916743755784</v>
          </cell>
          <cell r="BW88">
            <v>381</v>
          </cell>
          <cell r="BX88">
            <v>0</v>
          </cell>
          <cell r="BY88">
            <v>880.83333333333337</v>
          </cell>
          <cell r="BZ88">
            <v>910</v>
          </cell>
          <cell r="CA88">
            <v>5.2119129438717069</v>
          </cell>
          <cell r="CB88">
            <v>486</v>
          </cell>
          <cell r="CC88">
            <v>0</v>
          </cell>
          <cell r="CD88">
            <v>1435.4</v>
          </cell>
          <cell r="CE88">
            <v>717</v>
          </cell>
          <cell r="CF88">
            <v>4.0550128534704371</v>
          </cell>
          <cell r="CG88">
            <v>697</v>
          </cell>
          <cell r="CH88">
            <v>700</v>
          </cell>
          <cell r="CI88">
            <v>1955.5818181818183</v>
          </cell>
          <cell r="CJ88">
            <v>1278</v>
          </cell>
          <cell r="CK88">
            <v>7.3730769230769226</v>
          </cell>
          <cell r="CL88">
            <v>108</v>
          </cell>
          <cell r="CM88">
            <v>250</v>
          </cell>
          <cell r="CN88">
            <v>1354.6666666666667</v>
          </cell>
          <cell r="CO88">
            <v>1309</v>
          </cell>
          <cell r="CP88">
            <v>7.1530054644808745</v>
          </cell>
          <cell r="CQ88">
            <v>31.333333333333258</v>
          </cell>
          <cell r="CR88">
            <v>0</v>
          </cell>
          <cell r="CS88">
            <v>1126</v>
          </cell>
          <cell r="CT88">
            <v>1188</v>
          </cell>
          <cell r="CU88">
            <v>6.8472622478386169</v>
          </cell>
          <cell r="CV88">
            <v>0</v>
          </cell>
          <cell r="CW88">
            <v>0</v>
          </cell>
          <cell r="CX88">
            <v>1014.5</v>
          </cell>
          <cell r="CY88">
            <v>998</v>
          </cell>
          <cell r="CZ88">
            <v>5.5650557620817844</v>
          </cell>
          <cell r="DA88">
            <v>0</v>
          </cell>
          <cell r="DB88">
            <v>750</v>
          </cell>
          <cell r="DC88">
            <v>1568</v>
          </cell>
          <cell r="DD88">
            <v>1558</v>
          </cell>
          <cell r="DE88">
            <v>6.6244841815680884</v>
          </cell>
          <cell r="DF88">
            <v>0</v>
          </cell>
          <cell r="DG88">
            <v>0</v>
          </cell>
          <cell r="DH88">
            <v>1376.25</v>
          </cell>
          <cell r="DI88">
            <v>1416</v>
          </cell>
          <cell r="DJ88">
            <v>8.1104718066743366</v>
          </cell>
          <cell r="DK88">
            <v>0</v>
          </cell>
          <cell r="DL88">
            <v>0</v>
          </cell>
          <cell r="DM88">
            <v>1202.45</v>
          </cell>
          <cell r="DN88">
            <v>1229</v>
          </cell>
          <cell r="DO88">
            <v>7.0538461538461537</v>
          </cell>
          <cell r="DP88">
            <v>0</v>
          </cell>
          <cell r="DQ88">
            <v>0</v>
          </cell>
          <cell r="DR88">
            <v>1055.6666666666667</v>
          </cell>
          <cell r="DS88">
            <v>1055.6666666666667</v>
          </cell>
          <cell r="DT88">
            <v>6.0538461538461537</v>
          </cell>
          <cell r="DU88">
            <v>0</v>
          </cell>
          <cell r="DV88">
            <v>0</v>
          </cell>
          <cell r="DW88">
            <v>882.33333333333337</v>
          </cell>
          <cell r="DX88">
            <v>882.33333333333337</v>
          </cell>
          <cell r="DY88">
            <v>5.0538461538461537</v>
          </cell>
          <cell r="DZ88">
            <v>0</v>
          </cell>
          <cell r="EA88">
            <v>0</v>
          </cell>
          <cell r="EB88">
            <v>709</v>
          </cell>
          <cell r="EC88">
            <v>709</v>
          </cell>
          <cell r="ED88">
            <v>4.0538461538461537</v>
          </cell>
          <cell r="EE88">
            <v>0</v>
          </cell>
          <cell r="EF88">
            <v>0</v>
          </cell>
          <cell r="EG88">
            <v>535.66666666666663</v>
          </cell>
          <cell r="EH88">
            <v>535.66666666666663</v>
          </cell>
          <cell r="EI88">
            <v>3.0538461538461537</v>
          </cell>
          <cell r="EJ88">
            <v>0</v>
          </cell>
          <cell r="EK88">
            <v>400</v>
          </cell>
          <cell r="EL88">
            <v>762.33333333333326</v>
          </cell>
          <cell r="EM88">
            <v>762.33333333333326</v>
          </cell>
          <cell r="EN88">
            <v>4.3615384615384611</v>
          </cell>
          <cell r="EO88">
            <v>0</v>
          </cell>
          <cell r="EP88">
            <v>0</v>
          </cell>
          <cell r="EQ88">
            <v>588.99999999999989</v>
          </cell>
          <cell r="ER88">
            <v>588.99999999999989</v>
          </cell>
          <cell r="ES88">
            <v>3.3615384615384607</v>
          </cell>
          <cell r="ET88">
            <v>0</v>
          </cell>
          <cell r="EU88">
            <v>0</v>
          </cell>
          <cell r="EV88">
            <v>415.66666666666652</v>
          </cell>
          <cell r="EW88">
            <v>415.66666666666652</v>
          </cell>
          <cell r="EX88">
            <v>2.3615384615384607</v>
          </cell>
          <cell r="EY88">
            <v>0</v>
          </cell>
          <cell r="EZ88">
            <v>0</v>
          </cell>
          <cell r="FA88">
            <v>242.33333333333317</v>
          </cell>
          <cell r="FB88">
            <v>242.33333333333317</v>
          </cell>
          <cell r="FC88">
            <v>1.3615384615384607</v>
          </cell>
          <cell r="FD88">
            <v>110.66666666666683</v>
          </cell>
          <cell r="FE88">
            <v>720</v>
          </cell>
          <cell r="FF88">
            <v>788.99999999999977</v>
          </cell>
          <cell r="FG88">
            <v>788.99999999999977</v>
          </cell>
          <cell r="FH88">
            <v>4.5153846153846136</v>
          </cell>
          <cell r="FI88">
            <v>0</v>
          </cell>
          <cell r="FJ88">
            <v>0</v>
          </cell>
          <cell r="FK88">
            <v>615.6666666666664</v>
          </cell>
          <cell r="FL88">
            <v>615.6666666666664</v>
          </cell>
          <cell r="FM88">
            <v>3.5153846153846136</v>
          </cell>
          <cell r="FN88">
            <v>0</v>
          </cell>
          <cell r="FO88">
            <v>0</v>
          </cell>
          <cell r="FP88">
            <v>442.33333333333303</v>
          </cell>
          <cell r="FQ88">
            <v>442.33333333333303</v>
          </cell>
          <cell r="FR88">
            <v>2.5153846153846136</v>
          </cell>
          <cell r="FS88">
            <v>0</v>
          </cell>
          <cell r="FT88">
            <v>353</v>
          </cell>
          <cell r="FU88">
            <v>2.0333333333333332</v>
          </cell>
          <cell r="FW88" t="str">
            <v>SOBRESTOCK</v>
          </cell>
          <cell r="FX88" t="str">
            <v>A</v>
          </cell>
          <cell r="FY88" t="str">
            <v>Si</v>
          </cell>
        </row>
        <row r="89">
          <cell r="B89" t="str">
            <v>REP-0088</v>
          </cell>
          <cell r="C89" t="str">
            <v>MIX</v>
          </cell>
          <cell r="D89">
            <v>0</v>
          </cell>
          <cell r="E89">
            <v>676</v>
          </cell>
          <cell r="F89">
            <v>0</v>
          </cell>
          <cell r="G89">
            <v>0</v>
          </cell>
          <cell r="H89">
            <v>30</v>
          </cell>
          <cell r="I89">
            <v>30</v>
          </cell>
          <cell r="J89">
            <v>0</v>
          </cell>
          <cell r="K89">
            <v>19</v>
          </cell>
          <cell r="L89">
            <v>11</v>
          </cell>
          <cell r="M89">
            <v>18</v>
          </cell>
          <cell r="N89">
            <v>12</v>
          </cell>
          <cell r="O89">
            <v>10</v>
          </cell>
          <cell r="P89">
            <v>0</v>
          </cell>
          <cell r="Q89">
            <v>9</v>
          </cell>
          <cell r="R89">
            <v>7</v>
          </cell>
          <cell r="S89">
            <v>10</v>
          </cell>
          <cell r="T89">
            <v>12</v>
          </cell>
          <cell r="U89">
            <v>10</v>
          </cell>
          <cell r="V89">
            <v>12</v>
          </cell>
          <cell r="W89">
            <v>12</v>
          </cell>
          <cell r="X89">
            <v>18</v>
          </cell>
          <cell r="Y89">
            <v>896</v>
          </cell>
          <cell r="AA89">
            <v>896</v>
          </cell>
          <cell r="AB89">
            <v>482</v>
          </cell>
          <cell r="AC89">
            <v>71.666666666666671</v>
          </cell>
          <cell r="AD89">
            <v>2.3888888888888888</v>
          </cell>
          <cell r="AE89">
            <v>73.416666666666671</v>
          </cell>
          <cell r="AF89">
            <v>79.25</v>
          </cell>
          <cell r="AG89">
            <v>92.083333333333329</v>
          </cell>
          <cell r="AH89">
            <v>81.416666666666671</v>
          </cell>
          <cell r="AI89">
            <v>35.333333333333336</v>
          </cell>
          <cell r="AJ89">
            <v>35.333333333333336</v>
          </cell>
          <cell r="AK89">
            <v>61.041666666666671</v>
          </cell>
          <cell r="AL89">
            <v>30.003124837256546</v>
          </cell>
          <cell r="AM89">
            <v>61.041666666666671</v>
          </cell>
          <cell r="AN89">
            <v>0.49151876866495364</v>
          </cell>
          <cell r="AO89">
            <v>0</v>
          </cell>
          <cell r="AP89">
            <v>536.91666666666663</v>
          </cell>
          <cell r="AQ89">
            <v>5.763440860215054</v>
          </cell>
          <cell r="AR89">
            <v>0</v>
          </cell>
          <cell r="AS89">
            <v>735</v>
          </cell>
          <cell r="AT89">
            <v>736</v>
          </cell>
          <cell r="AU89">
            <v>7.5876288659793811</v>
          </cell>
          <cell r="AV89">
            <v>0</v>
          </cell>
          <cell r="AW89">
            <v>639</v>
          </cell>
          <cell r="AX89">
            <v>662</v>
          </cell>
          <cell r="AY89">
            <v>10.845051194539248</v>
          </cell>
          <cell r="AZ89">
            <v>0</v>
          </cell>
          <cell r="BA89">
            <v>567.83333333333337</v>
          </cell>
          <cell r="BB89">
            <v>547</v>
          </cell>
          <cell r="BC89">
            <v>4.2845953002610964</v>
          </cell>
          <cell r="BD89">
            <v>0</v>
          </cell>
          <cell r="BE89">
            <v>419.33333333333331</v>
          </cell>
          <cell r="BF89">
            <v>3.2845953002610964</v>
          </cell>
          <cell r="BG89">
            <v>0</v>
          </cell>
          <cell r="BH89">
            <v>291.66666666666663</v>
          </cell>
          <cell r="BI89">
            <v>896</v>
          </cell>
          <cell r="BJ89">
            <v>14.678498293515357</v>
          </cell>
          <cell r="BK89">
            <v>0</v>
          </cell>
          <cell r="BL89">
            <v>790.33333333333337</v>
          </cell>
          <cell r="BM89">
            <v>842</v>
          </cell>
          <cell r="BN89">
            <v>8.5173410404624281</v>
          </cell>
          <cell r="BO89">
            <v>0</v>
          </cell>
          <cell r="BP89">
            <v>743.14285714285711</v>
          </cell>
          <cell r="BQ89">
            <v>767</v>
          </cell>
          <cell r="BR89">
            <v>12.565187713310578</v>
          </cell>
          <cell r="BS89">
            <v>0</v>
          </cell>
          <cell r="BT89">
            <v>672</v>
          </cell>
          <cell r="BU89">
            <v>713</v>
          </cell>
          <cell r="BV89">
            <v>7.7429864253393665</v>
          </cell>
          <cell r="BW89">
            <v>23</v>
          </cell>
          <cell r="BX89">
            <v>0</v>
          </cell>
          <cell r="BY89">
            <v>620.91666666666663</v>
          </cell>
          <cell r="BZ89">
            <v>675</v>
          </cell>
          <cell r="CA89">
            <v>7.3303167420814486</v>
          </cell>
          <cell r="CB89">
            <v>61</v>
          </cell>
          <cell r="CC89">
            <v>0</v>
          </cell>
          <cell r="CD89">
            <v>1082.9166666666667</v>
          </cell>
          <cell r="CE89">
            <v>601</v>
          </cell>
          <cell r="CF89">
            <v>6.5266968325791854</v>
          </cell>
          <cell r="CG89">
            <v>135</v>
          </cell>
          <cell r="CH89">
            <v>500</v>
          </cell>
          <cell r="CI89">
            <v>1125.8333333333335</v>
          </cell>
          <cell r="CJ89">
            <v>1120</v>
          </cell>
          <cell r="CK89">
            <v>12.162895927601811</v>
          </cell>
          <cell r="CL89">
            <v>0</v>
          </cell>
          <cell r="CM89">
            <v>0</v>
          </cell>
          <cell r="CN89">
            <v>1027.9166666666667</v>
          </cell>
          <cell r="CO89">
            <v>1006</v>
          </cell>
          <cell r="CP89">
            <v>10.924886877828055</v>
          </cell>
          <cell r="CQ89">
            <v>0</v>
          </cell>
          <cell r="CR89">
            <v>0</v>
          </cell>
          <cell r="CS89">
            <v>913.91666666666663</v>
          </cell>
          <cell r="CT89">
            <v>949</v>
          </cell>
          <cell r="CU89">
            <v>10.305882352941177</v>
          </cell>
          <cell r="CV89">
            <v>0</v>
          </cell>
          <cell r="CW89">
            <v>0</v>
          </cell>
          <cell r="CX89">
            <v>856.91666666666663</v>
          </cell>
          <cell r="CY89">
            <v>911</v>
          </cell>
          <cell r="CZ89">
            <v>9.8932126696832583</v>
          </cell>
          <cell r="DA89">
            <v>0</v>
          </cell>
          <cell r="DB89">
            <v>80</v>
          </cell>
          <cell r="DC89">
            <v>924.4375</v>
          </cell>
          <cell r="DD89">
            <v>920</v>
          </cell>
          <cell r="DE89">
            <v>11.12734201333757</v>
          </cell>
          <cell r="DF89">
            <v>0</v>
          </cell>
          <cell r="DG89">
            <v>0</v>
          </cell>
          <cell r="DH89">
            <v>854.39583333333337</v>
          </cell>
          <cell r="DI89">
            <v>885</v>
          </cell>
          <cell r="DJ89">
            <v>12.929104966583672</v>
          </cell>
          <cell r="DK89">
            <v>0</v>
          </cell>
          <cell r="DL89">
            <v>0</v>
          </cell>
          <cell r="DM89">
            <v>790.80416666666667</v>
          </cell>
          <cell r="DN89">
            <v>896</v>
          </cell>
          <cell r="DO89">
            <v>13.565870307167234</v>
          </cell>
          <cell r="DP89">
            <v>0</v>
          </cell>
          <cell r="DQ89">
            <v>0</v>
          </cell>
          <cell r="DR89">
            <v>834.95833333333337</v>
          </cell>
          <cell r="DS89">
            <v>834.95833333333337</v>
          </cell>
          <cell r="DT89">
            <v>12.565870307167236</v>
          </cell>
          <cell r="DU89">
            <v>0</v>
          </cell>
          <cell r="DV89">
            <v>0</v>
          </cell>
          <cell r="DW89">
            <v>773.91666666666674</v>
          </cell>
          <cell r="DX89">
            <v>773.91666666666674</v>
          </cell>
          <cell r="DY89">
            <v>11.565870307167236</v>
          </cell>
          <cell r="DZ89">
            <v>0</v>
          </cell>
          <cell r="EA89">
            <v>0</v>
          </cell>
          <cell r="EB89">
            <v>712.87500000000011</v>
          </cell>
          <cell r="EC89">
            <v>712.87500000000011</v>
          </cell>
          <cell r="ED89">
            <v>10.565870307167236</v>
          </cell>
          <cell r="EE89">
            <v>0</v>
          </cell>
          <cell r="EF89">
            <v>0</v>
          </cell>
          <cell r="EG89">
            <v>651.83333333333348</v>
          </cell>
          <cell r="EH89">
            <v>651.83333333333348</v>
          </cell>
          <cell r="EI89">
            <v>9.5658703071672377</v>
          </cell>
          <cell r="EJ89">
            <v>0</v>
          </cell>
          <cell r="EK89">
            <v>0</v>
          </cell>
          <cell r="EL89">
            <v>590.79166666666686</v>
          </cell>
          <cell r="EM89">
            <v>590.79166666666686</v>
          </cell>
          <cell r="EN89">
            <v>8.5658703071672377</v>
          </cell>
          <cell r="EO89">
            <v>0</v>
          </cell>
          <cell r="EP89">
            <v>0</v>
          </cell>
          <cell r="EQ89">
            <v>529.75000000000023</v>
          </cell>
          <cell r="ER89">
            <v>529.75000000000023</v>
          </cell>
          <cell r="ES89">
            <v>7.5658703071672386</v>
          </cell>
          <cell r="ET89">
            <v>0</v>
          </cell>
          <cell r="EU89">
            <v>0</v>
          </cell>
          <cell r="EV89">
            <v>468.70833333333354</v>
          </cell>
          <cell r="EW89">
            <v>468.70833333333354</v>
          </cell>
          <cell r="EX89">
            <v>6.5658703071672386</v>
          </cell>
          <cell r="EY89">
            <v>0</v>
          </cell>
          <cell r="EZ89">
            <v>0</v>
          </cell>
          <cell r="FA89">
            <v>407.66666666666686</v>
          </cell>
          <cell r="FB89">
            <v>407.66666666666686</v>
          </cell>
          <cell r="FC89">
            <v>5.5658703071672377</v>
          </cell>
          <cell r="FD89">
            <v>0</v>
          </cell>
          <cell r="FE89">
            <v>0</v>
          </cell>
          <cell r="FF89">
            <v>346.62500000000017</v>
          </cell>
          <cell r="FG89">
            <v>346.62500000000017</v>
          </cell>
          <cell r="FH89">
            <v>4.5658703071672377</v>
          </cell>
          <cell r="FI89">
            <v>0</v>
          </cell>
          <cell r="FJ89">
            <v>0</v>
          </cell>
          <cell r="FK89">
            <v>285.58333333333348</v>
          </cell>
          <cell r="FL89">
            <v>285.58333333333348</v>
          </cell>
          <cell r="FM89">
            <v>3.5658703071672377</v>
          </cell>
          <cell r="FN89">
            <v>0</v>
          </cell>
          <cell r="FO89">
            <v>0</v>
          </cell>
          <cell r="FP89">
            <v>224.5416666666668</v>
          </cell>
          <cell r="FQ89">
            <v>224.5416666666668</v>
          </cell>
          <cell r="FR89">
            <v>2.5658703071672377</v>
          </cell>
          <cell r="FS89">
            <v>0</v>
          </cell>
          <cell r="FT89">
            <v>190</v>
          </cell>
          <cell r="FU89">
            <v>2.0333333333333332</v>
          </cell>
          <cell r="FW89" t="str">
            <v>SOBRESTOCK</v>
          </cell>
          <cell r="FX89" t="str">
            <v>A</v>
          </cell>
          <cell r="FY89" t="str">
            <v>Si</v>
          </cell>
        </row>
        <row r="90">
          <cell r="B90" t="str">
            <v>REP-0089</v>
          </cell>
          <cell r="C90" t="str">
            <v>MIX</v>
          </cell>
          <cell r="D90">
            <v>0</v>
          </cell>
          <cell r="E90">
            <v>32</v>
          </cell>
          <cell r="F90">
            <v>0</v>
          </cell>
          <cell r="G90">
            <v>0</v>
          </cell>
          <cell r="H90">
            <v>3</v>
          </cell>
          <cell r="I90">
            <v>3</v>
          </cell>
          <cell r="J90">
            <v>0</v>
          </cell>
          <cell r="K90">
            <v>3</v>
          </cell>
          <cell r="L90">
            <v>2</v>
          </cell>
          <cell r="M90">
            <v>2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2</v>
          </cell>
          <cell r="S90">
            <v>1</v>
          </cell>
          <cell r="T90">
            <v>0</v>
          </cell>
          <cell r="U90">
            <v>1</v>
          </cell>
          <cell r="V90">
            <v>1</v>
          </cell>
          <cell r="W90">
            <v>1</v>
          </cell>
          <cell r="X90">
            <v>2</v>
          </cell>
          <cell r="Y90">
            <v>57</v>
          </cell>
          <cell r="AA90">
            <v>57</v>
          </cell>
          <cell r="AB90">
            <v>8</v>
          </cell>
          <cell r="AC90">
            <v>1.8333333333333333</v>
          </cell>
          <cell r="AD90">
            <v>6.1111111111111109E-2</v>
          </cell>
          <cell r="AE90">
            <v>1.5833333333333333</v>
          </cell>
          <cell r="AF90">
            <v>1.5833333333333333</v>
          </cell>
          <cell r="AG90">
            <v>1.5</v>
          </cell>
          <cell r="AH90">
            <v>2.1666666666666665</v>
          </cell>
          <cell r="AI90">
            <v>1.8333333333333333</v>
          </cell>
          <cell r="AJ90">
            <v>1.8333333333333333</v>
          </cell>
          <cell r="AK90">
            <v>2.1666666666666665</v>
          </cell>
          <cell r="AL90">
            <v>0.26087459737497715</v>
          </cell>
          <cell r="AM90">
            <v>1.8333333333333333</v>
          </cell>
          <cell r="AN90">
            <v>0.14229523493180571</v>
          </cell>
          <cell r="AO90">
            <v>0</v>
          </cell>
          <cell r="AP90">
            <v>18.666666666666668</v>
          </cell>
          <cell r="AQ90">
            <v>7.4</v>
          </cell>
          <cell r="AR90">
            <v>0</v>
          </cell>
          <cell r="AS90">
            <v>16.666666666666664</v>
          </cell>
          <cell r="AT90">
            <v>17</v>
          </cell>
          <cell r="AU90">
            <v>7.8461538461538467</v>
          </cell>
          <cell r="AV90">
            <v>0</v>
          </cell>
          <cell r="AW90">
            <v>14.833333333333334</v>
          </cell>
          <cell r="AX90">
            <v>17</v>
          </cell>
          <cell r="AY90">
            <v>7.8461538461538467</v>
          </cell>
          <cell r="AZ90">
            <v>0</v>
          </cell>
          <cell r="BA90">
            <v>20.166666666666668</v>
          </cell>
          <cell r="BB90">
            <v>15</v>
          </cell>
          <cell r="BC90">
            <v>7.5</v>
          </cell>
          <cell r="BD90">
            <v>0</v>
          </cell>
          <cell r="BE90">
            <v>13</v>
          </cell>
          <cell r="BF90">
            <v>6.5</v>
          </cell>
          <cell r="BG90">
            <v>5</v>
          </cell>
          <cell r="BH90">
            <v>16</v>
          </cell>
          <cell r="BI90">
            <v>57</v>
          </cell>
          <cell r="BJ90">
            <v>26.30769230769231</v>
          </cell>
          <cell r="BK90">
            <v>0</v>
          </cell>
          <cell r="BL90">
            <v>33.5</v>
          </cell>
          <cell r="BM90">
            <v>35</v>
          </cell>
          <cell r="BN90">
            <v>15.3125</v>
          </cell>
          <cell r="BO90">
            <v>0</v>
          </cell>
          <cell r="BP90">
            <v>32.714285714285715</v>
          </cell>
          <cell r="BQ90">
            <v>32</v>
          </cell>
          <cell r="BR90">
            <v>14.76923076923077</v>
          </cell>
          <cell r="BS90">
            <v>0</v>
          </cell>
          <cell r="BT90">
            <v>30</v>
          </cell>
          <cell r="BU90">
            <v>32</v>
          </cell>
          <cell r="BV90">
            <v>13.714285714285714</v>
          </cell>
          <cell r="BW90">
            <v>6</v>
          </cell>
          <cell r="BX90">
            <v>0</v>
          </cell>
          <cell r="BY90">
            <v>29.666666666666668</v>
          </cell>
          <cell r="BZ90">
            <v>30</v>
          </cell>
          <cell r="CA90">
            <v>12.857142857142856</v>
          </cell>
          <cell r="CB90">
            <v>8</v>
          </cell>
          <cell r="CC90">
            <v>0</v>
          </cell>
          <cell r="CD90">
            <v>27.666666666666668</v>
          </cell>
          <cell r="CE90">
            <v>25</v>
          </cell>
          <cell r="CF90">
            <v>10</v>
          </cell>
          <cell r="CG90">
            <v>13</v>
          </cell>
          <cell r="CH90">
            <v>0</v>
          </cell>
          <cell r="CI90">
            <v>38.166666666666671</v>
          </cell>
          <cell r="CJ90">
            <v>25</v>
          </cell>
          <cell r="CK90">
            <v>11.53846153846154</v>
          </cell>
          <cell r="CL90">
            <v>13</v>
          </cell>
          <cell r="CM90">
            <v>0</v>
          </cell>
          <cell r="CN90">
            <v>22.833333333333332</v>
          </cell>
          <cell r="CO90">
            <v>22</v>
          </cell>
          <cell r="CP90">
            <v>10.153846153846155</v>
          </cell>
          <cell r="CQ90">
            <v>15.166666666666668</v>
          </cell>
          <cell r="CR90">
            <v>0</v>
          </cell>
          <cell r="CS90">
            <v>19.833333333333332</v>
          </cell>
          <cell r="CT90">
            <v>21</v>
          </cell>
          <cell r="CU90">
            <v>9.6923076923076934</v>
          </cell>
          <cell r="CV90">
            <v>0</v>
          </cell>
          <cell r="CW90">
            <v>20</v>
          </cell>
          <cell r="CX90">
            <v>38.833333333333336</v>
          </cell>
          <cell r="CY90">
            <v>36</v>
          </cell>
          <cell r="CZ90">
            <v>15.428571428571427</v>
          </cell>
          <cell r="DA90">
            <v>0</v>
          </cell>
          <cell r="DB90">
            <v>25</v>
          </cell>
          <cell r="DC90">
            <v>58.166666666666664</v>
          </cell>
          <cell r="DD90">
            <v>56</v>
          </cell>
          <cell r="DE90">
            <v>13.058823529411764</v>
          </cell>
          <cell r="DF90">
            <v>0</v>
          </cell>
          <cell r="DG90">
            <v>0</v>
          </cell>
          <cell r="DH90">
            <v>53.166666666666664</v>
          </cell>
          <cell r="DI90">
            <v>55</v>
          </cell>
          <cell r="DJ90">
            <v>18.363636363636363</v>
          </cell>
          <cell r="DK90">
            <v>0</v>
          </cell>
          <cell r="DL90">
            <v>0</v>
          </cell>
          <cell r="DM90">
            <v>50.966666666666661</v>
          </cell>
          <cell r="DN90">
            <v>57</v>
          </cell>
          <cell r="DO90">
            <v>19.53846153846154</v>
          </cell>
          <cell r="DP90">
            <v>0</v>
          </cell>
          <cell r="DQ90">
            <v>0</v>
          </cell>
          <cell r="DR90">
            <v>54.833333333333336</v>
          </cell>
          <cell r="DS90">
            <v>54.833333333333336</v>
          </cell>
          <cell r="DT90">
            <v>18.53846153846154</v>
          </cell>
          <cell r="DU90">
            <v>0</v>
          </cell>
          <cell r="DV90">
            <v>0</v>
          </cell>
          <cell r="DW90">
            <v>52.666666666666671</v>
          </cell>
          <cell r="DX90">
            <v>52.666666666666671</v>
          </cell>
          <cell r="DY90">
            <v>17.53846153846154</v>
          </cell>
          <cell r="DZ90">
            <v>0</v>
          </cell>
          <cell r="EA90">
            <v>0</v>
          </cell>
          <cell r="EB90">
            <v>50.500000000000007</v>
          </cell>
          <cell r="EC90">
            <v>50.500000000000007</v>
          </cell>
          <cell r="ED90">
            <v>16.53846153846154</v>
          </cell>
          <cell r="EE90">
            <v>0</v>
          </cell>
          <cell r="EF90">
            <v>0</v>
          </cell>
          <cell r="EG90">
            <v>48.333333333333343</v>
          </cell>
          <cell r="EH90">
            <v>48.333333333333343</v>
          </cell>
          <cell r="EI90">
            <v>15.538461538461544</v>
          </cell>
          <cell r="EJ90">
            <v>0</v>
          </cell>
          <cell r="EK90">
            <v>0</v>
          </cell>
          <cell r="EL90">
            <v>46.166666666666679</v>
          </cell>
          <cell r="EM90">
            <v>46.166666666666679</v>
          </cell>
          <cell r="EN90">
            <v>14.538461538461545</v>
          </cell>
          <cell r="EO90">
            <v>0</v>
          </cell>
          <cell r="EP90">
            <v>0</v>
          </cell>
          <cell r="EQ90">
            <v>44.000000000000014</v>
          </cell>
          <cell r="ER90">
            <v>44.000000000000014</v>
          </cell>
          <cell r="ES90">
            <v>13.538461538461545</v>
          </cell>
          <cell r="ET90">
            <v>0</v>
          </cell>
          <cell r="EU90">
            <v>0</v>
          </cell>
          <cell r="EV90">
            <v>41.83333333333335</v>
          </cell>
          <cell r="EW90">
            <v>41.83333333333335</v>
          </cell>
          <cell r="EX90">
            <v>12.538461538461547</v>
          </cell>
          <cell r="EY90">
            <v>0</v>
          </cell>
          <cell r="EZ90">
            <v>0</v>
          </cell>
          <cell r="FA90">
            <v>39.666666666666686</v>
          </cell>
          <cell r="FB90">
            <v>39.666666666666686</v>
          </cell>
          <cell r="FC90">
            <v>11.538461538461547</v>
          </cell>
          <cell r="FD90">
            <v>0</v>
          </cell>
          <cell r="FE90">
            <v>0</v>
          </cell>
          <cell r="FF90">
            <v>37.500000000000021</v>
          </cell>
          <cell r="FG90">
            <v>37.500000000000021</v>
          </cell>
          <cell r="FH90">
            <v>10.538461538461549</v>
          </cell>
          <cell r="FI90">
            <v>0</v>
          </cell>
          <cell r="FJ90">
            <v>0</v>
          </cell>
          <cell r="FK90">
            <v>35.333333333333357</v>
          </cell>
          <cell r="FL90">
            <v>35.333333333333357</v>
          </cell>
          <cell r="FM90">
            <v>9.5384615384615508</v>
          </cell>
          <cell r="FN90">
            <v>0</v>
          </cell>
          <cell r="FO90">
            <v>0</v>
          </cell>
          <cell r="FP90">
            <v>33.166666666666693</v>
          </cell>
          <cell r="FQ90">
            <v>33.166666666666693</v>
          </cell>
          <cell r="FR90">
            <v>8.5384615384615508</v>
          </cell>
          <cell r="FS90">
            <v>0</v>
          </cell>
          <cell r="FT90">
            <v>19</v>
          </cell>
          <cell r="FU90">
            <v>2.0333333333333332</v>
          </cell>
          <cell r="FV90" t="str">
            <v>SI</v>
          </cell>
          <cell r="FW90" t="str">
            <v>SOBRESTOCK</v>
          </cell>
          <cell r="FX90" t="str">
            <v>B</v>
          </cell>
          <cell r="FY90" t="str">
            <v>Si</v>
          </cell>
        </row>
        <row r="91">
          <cell r="B91" t="str">
            <v>REP-0090</v>
          </cell>
          <cell r="C91" t="str">
            <v>MIX</v>
          </cell>
          <cell r="D91">
            <v>0</v>
          </cell>
          <cell r="E91">
            <v>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7</v>
          </cell>
          <cell r="L91">
            <v>0</v>
          </cell>
          <cell r="M91">
            <v>0</v>
          </cell>
          <cell r="N91">
            <v>2</v>
          </cell>
          <cell r="O91">
            <v>3</v>
          </cell>
          <cell r="P91">
            <v>3</v>
          </cell>
          <cell r="Q91">
            <v>6</v>
          </cell>
          <cell r="R91">
            <v>2</v>
          </cell>
          <cell r="S91">
            <v>3</v>
          </cell>
          <cell r="T91">
            <v>0</v>
          </cell>
          <cell r="U91">
            <v>2</v>
          </cell>
          <cell r="V91">
            <v>2</v>
          </cell>
          <cell r="W91">
            <v>2</v>
          </cell>
          <cell r="X91">
            <v>2</v>
          </cell>
          <cell r="Y91">
            <v>102</v>
          </cell>
          <cell r="AA91">
            <v>102</v>
          </cell>
          <cell r="AB91">
            <v>7</v>
          </cell>
          <cell r="AC91">
            <v>1.5</v>
          </cell>
          <cell r="AD91">
            <v>0.05</v>
          </cell>
          <cell r="AE91">
            <v>1.3333333333333333</v>
          </cell>
          <cell r="AF91">
            <v>2.4166666666666665</v>
          </cell>
          <cell r="AG91">
            <v>3.6666666666666665</v>
          </cell>
          <cell r="AH91">
            <v>5.916666666666667</v>
          </cell>
          <cell r="AI91">
            <v>1.6666666666666667</v>
          </cell>
          <cell r="AJ91">
            <v>1.6666666666666667</v>
          </cell>
          <cell r="AK91">
            <v>3.2291666666666665</v>
          </cell>
          <cell r="AL91">
            <v>2.0245884355427242</v>
          </cell>
          <cell r="AM91">
            <v>3.2291666666666665</v>
          </cell>
          <cell r="AN91">
            <v>0.62696932197452104</v>
          </cell>
          <cell r="AO91">
            <v>0</v>
          </cell>
          <cell r="AP91">
            <v>62.166666666666664</v>
          </cell>
          <cell r="AQ91">
            <v>15</v>
          </cell>
          <cell r="AR91">
            <v>0</v>
          </cell>
          <cell r="AS91">
            <v>87</v>
          </cell>
          <cell r="AT91">
            <v>88</v>
          </cell>
          <cell r="AU91">
            <v>24</v>
          </cell>
          <cell r="AV91">
            <v>0</v>
          </cell>
          <cell r="AW91">
            <v>84.333333333333329</v>
          </cell>
          <cell r="AX91">
            <v>87</v>
          </cell>
          <cell r="AY91">
            <v>26.941935483870967</v>
          </cell>
          <cell r="AZ91">
            <v>0</v>
          </cell>
          <cell r="BA91">
            <v>83.333333333333329</v>
          </cell>
          <cell r="BB91">
            <v>82</v>
          </cell>
          <cell r="BC91">
            <v>22.363636363636363</v>
          </cell>
          <cell r="BD91">
            <v>0</v>
          </cell>
          <cell r="BE91">
            <v>78.333333333333329</v>
          </cell>
          <cell r="BF91">
            <v>21.363636363636363</v>
          </cell>
          <cell r="BG91">
            <v>0</v>
          </cell>
          <cell r="BH91">
            <v>74.666666666666657</v>
          </cell>
          <cell r="BI91">
            <v>102</v>
          </cell>
          <cell r="BJ91">
            <v>31.587096774193551</v>
          </cell>
          <cell r="BK91">
            <v>0</v>
          </cell>
          <cell r="BL91">
            <v>22</v>
          </cell>
          <cell r="BM91">
            <v>31</v>
          </cell>
          <cell r="BN91">
            <v>3.2068965517241383</v>
          </cell>
          <cell r="BO91">
            <v>0</v>
          </cell>
          <cell r="BP91">
            <v>21.333333333333336</v>
          </cell>
          <cell r="BQ91">
            <v>30</v>
          </cell>
          <cell r="BR91">
            <v>9.2903225806451619</v>
          </cell>
          <cell r="BS91">
            <v>0</v>
          </cell>
          <cell r="BT91">
            <v>20.333333333333336</v>
          </cell>
          <cell r="BU91">
            <v>29</v>
          </cell>
          <cell r="BV91">
            <v>2.949152542372881</v>
          </cell>
          <cell r="BW91">
            <v>49</v>
          </cell>
          <cell r="BX91">
            <v>0</v>
          </cell>
          <cell r="BY91">
            <v>19.166666666666664</v>
          </cell>
          <cell r="BZ91">
            <v>27</v>
          </cell>
          <cell r="CA91">
            <v>2.9454545454545458</v>
          </cell>
          <cell r="CB91">
            <v>47</v>
          </cell>
          <cell r="CC91">
            <v>0</v>
          </cell>
          <cell r="CD91">
            <v>117.83333333333333</v>
          </cell>
          <cell r="CE91">
            <v>21</v>
          </cell>
          <cell r="CF91">
            <v>3.2535211267605635</v>
          </cell>
          <cell r="CG91">
            <v>31</v>
          </cell>
          <cell r="CH91">
            <v>100</v>
          </cell>
          <cell r="CI91">
            <v>142.37878787878785</v>
          </cell>
          <cell r="CJ91">
            <v>125</v>
          </cell>
          <cell r="CK91">
            <v>21.12676056338028</v>
          </cell>
          <cell r="CL91">
            <v>0</v>
          </cell>
          <cell r="CM91">
            <v>0</v>
          </cell>
          <cell r="CN91">
            <v>119.08333333333333</v>
          </cell>
          <cell r="CO91">
            <v>123</v>
          </cell>
          <cell r="CP91">
            <v>20.788732394366196</v>
          </cell>
          <cell r="CQ91">
            <v>0</v>
          </cell>
          <cell r="CR91">
            <v>0</v>
          </cell>
          <cell r="CS91">
            <v>117.08333333333333</v>
          </cell>
          <cell r="CT91">
            <v>123</v>
          </cell>
          <cell r="CU91">
            <v>20.788732394366196</v>
          </cell>
          <cell r="CV91">
            <v>0</v>
          </cell>
          <cell r="CW91">
            <v>0</v>
          </cell>
          <cell r="CX91">
            <v>117.08333333333333</v>
          </cell>
          <cell r="CY91">
            <v>118</v>
          </cell>
          <cell r="CZ91">
            <v>19.943661971830984</v>
          </cell>
          <cell r="DA91">
            <v>0</v>
          </cell>
          <cell r="DB91">
            <v>0</v>
          </cell>
          <cell r="DC91">
            <v>112.08333333333333</v>
          </cell>
          <cell r="DD91">
            <v>111</v>
          </cell>
          <cell r="DE91">
            <v>11.32394366197183</v>
          </cell>
          <cell r="DF91">
            <v>0</v>
          </cell>
          <cell r="DG91">
            <v>0</v>
          </cell>
          <cell r="DH91">
            <v>105.08333333333333</v>
          </cell>
          <cell r="DI91">
            <v>109</v>
          </cell>
          <cell r="DJ91">
            <v>21.622641509433961</v>
          </cell>
          <cell r="DK91">
            <v>0</v>
          </cell>
          <cell r="DL91">
            <v>0</v>
          </cell>
          <cell r="DM91">
            <v>101.77083333333333</v>
          </cell>
          <cell r="DN91">
            <v>102</v>
          </cell>
          <cell r="DO91">
            <v>19.961290322580645</v>
          </cell>
          <cell r="DP91">
            <v>0</v>
          </cell>
          <cell r="DQ91">
            <v>0</v>
          </cell>
          <cell r="DR91">
            <v>98.770833333333329</v>
          </cell>
          <cell r="DS91">
            <v>98.770833333333329</v>
          </cell>
          <cell r="DT91">
            <v>18.961290322580645</v>
          </cell>
          <cell r="DU91">
            <v>0</v>
          </cell>
          <cell r="DV91">
            <v>0</v>
          </cell>
          <cell r="DW91">
            <v>95.541666666666657</v>
          </cell>
          <cell r="DX91">
            <v>95.541666666666657</v>
          </cell>
          <cell r="DY91">
            <v>17.961290322580645</v>
          </cell>
          <cell r="DZ91">
            <v>0</v>
          </cell>
          <cell r="EA91">
            <v>0</v>
          </cell>
          <cell r="EB91">
            <v>92.312499999999986</v>
          </cell>
          <cell r="EC91">
            <v>92.312499999999986</v>
          </cell>
          <cell r="ED91">
            <v>16.961290322580641</v>
          </cell>
          <cell r="EE91">
            <v>0</v>
          </cell>
          <cell r="EF91">
            <v>0</v>
          </cell>
          <cell r="EG91">
            <v>89.083333333333314</v>
          </cell>
          <cell r="EH91">
            <v>89.083333333333314</v>
          </cell>
          <cell r="EI91">
            <v>15.96129032258064</v>
          </cell>
          <cell r="EJ91">
            <v>0</v>
          </cell>
          <cell r="EK91">
            <v>0</v>
          </cell>
          <cell r="EL91">
            <v>85.854166666666643</v>
          </cell>
          <cell r="EM91">
            <v>85.854166666666643</v>
          </cell>
          <cell r="EN91">
            <v>14.961290322580638</v>
          </cell>
          <cell r="EO91">
            <v>0</v>
          </cell>
          <cell r="EP91">
            <v>0</v>
          </cell>
          <cell r="EQ91">
            <v>82.624999999999972</v>
          </cell>
          <cell r="ER91">
            <v>82.624999999999972</v>
          </cell>
          <cell r="ES91">
            <v>13.961290322580638</v>
          </cell>
          <cell r="ET91">
            <v>0</v>
          </cell>
          <cell r="EU91">
            <v>0</v>
          </cell>
          <cell r="EV91">
            <v>79.3958333333333</v>
          </cell>
          <cell r="EW91">
            <v>79.3958333333333</v>
          </cell>
          <cell r="EX91">
            <v>12.961290322580636</v>
          </cell>
          <cell r="EY91">
            <v>0</v>
          </cell>
          <cell r="EZ91">
            <v>0</v>
          </cell>
          <cell r="FA91">
            <v>76.166666666666629</v>
          </cell>
          <cell r="FB91">
            <v>76.166666666666629</v>
          </cell>
          <cell r="FC91">
            <v>11.961290322580634</v>
          </cell>
          <cell r="FD91">
            <v>0</v>
          </cell>
          <cell r="FE91">
            <v>0</v>
          </cell>
          <cell r="FF91">
            <v>72.937499999999957</v>
          </cell>
          <cell r="FG91">
            <v>72.937499999999957</v>
          </cell>
          <cell r="FH91">
            <v>10.961290322580632</v>
          </cell>
          <cell r="FI91">
            <v>0</v>
          </cell>
          <cell r="FJ91">
            <v>0</v>
          </cell>
          <cell r="FK91">
            <v>69.708333333333286</v>
          </cell>
          <cell r="FL91">
            <v>69.708333333333286</v>
          </cell>
          <cell r="FM91">
            <v>9.9612903225806306</v>
          </cell>
          <cell r="FN91">
            <v>0</v>
          </cell>
          <cell r="FO91">
            <v>0</v>
          </cell>
          <cell r="FP91">
            <v>66.479166666666615</v>
          </cell>
          <cell r="FQ91">
            <v>66.479166666666615</v>
          </cell>
          <cell r="FR91">
            <v>8.9612903225806306</v>
          </cell>
          <cell r="FS91">
            <v>0</v>
          </cell>
          <cell r="FT91">
            <v>44</v>
          </cell>
          <cell r="FU91">
            <v>2.0333333333333332</v>
          </cell>
          <cell r="FW91" t="str">
            <v>SOBRESTOCK</v>
          </cell>
          <cell r="FX91" t="str">
            <v>B</v>
          </cell>
          <cell r="FY91" t="str">
            <v>Si</v>
          </cell>
        </row>
        <row r="92">
          <cell r="B92" t="str">
            <v>REP-0091</v>
          </cell>
          <cell r="C92" t="str">
            <v>MIX</v>
          </cell>
          <cell r="D92">
            <v>0</v>
          </cell>
          <cell r="E92">
            <v>23</v>
          </cell>
          <cell r="F92">
            <v>0</v>
          </cell>
          <cell r="G92">
            <v>0</v>
          </cell>
          <cell r="H92">
            <v>2</v>
          </cell>
          <cell r="I92">
            <v>2</v>
          </cell>
          <cell r="J92">
            <v>0</v>
          </cell>
          <cell r="K92">
            <v>6</v>
          </cell>
          <cell r="L92">
            <v>1</v>
          </cell>
          <cell r="M92">
            <v>2</v>
          </cell>
          <cell r="N92">
            <v>1</v>
          </cell>
          <cell r="O92">
            <v>2</v>
          </cell>
          <cell r="P92">
            <v>3</v>
          </cell>
          <cell r="Q92">
            <v>2</v>
          </cell>
          <cell r="R92">
            <v>1</v>
          </cell>
          <cell r="S92">
            <v>2</v>
          </cell>
          <cell r="T92">
            <v>3</v>
          </cell>
          <cell r="U92">
            <v>5</v>
          </cell>
          <cell r="V92">
            <v>4</v>
          </cell>
          <cell r="W92">
            <v>0</v>
          </cell>
          <cell r="X92">
            <v>0</v>
          </cell>
          <cell r="Y92">
            <v>59</v>
          </cell>
          <cell r="AA92">
            <v>59</v>
          </cell>
          <cell r="AB92">
            <v>19</v>
          </cell>
          <cell r="AC92">
            <v>1</v>
          </cell>
          <cell r="AD92">
            <v>3.3333333333333333E-2</v>
          </cell>
          <cell r="AE92">
            <v>0.75</v>
          </cell>
          <cell r="AF92">
            <v>1.4166666666666667</v>
          </cell>
          <cell r="AG92">
            <v>1.75</v>
          </cell>
          <cell r="AH92">
            <v>2.3333333333333335</v>
          </cell>
          <cell r="AI92">
            <v>0.83333333333333337</v>
          </cell>
          <cell r="AJ92">
            <v>0.83333333333333337</v>
          </cell>
          <cell r="AK92">
            <v>1.4375</v>
          </cell>
          <cell r="AL92">
            <v>0.73715858387308941</v>
          </cell>
          <cell r="AM92">
            <v>1.4375</v>
          </cell>
          <cell r="AN92">
            <v>0.51280597138997519</v>
          </cell>
          <cell r="AO92">
            <v>0</v>
          </cell>
          <cell r="AP92">
            <v>28.666666666666668</v>
          </cell>
          <cell r="AQ92">
            <v>15.90909090909091</v>
          </cell>
          <cell r="AR92">
            <v>0</v>
          </cell>
          <cell r="AS92">
            <v>26</v>
          </cell>
          <cell r="AT92">
            <v>26</v>
          </cell>
          <cell r="AU92">
            <v>10.4</v>
          </cell>
          <cell r="AV92">
            <v>0</v>
          </cell>
          <cell r="AW92">
            <v>23.5</v>
          </cell>
          <cell r="AX92">
            <v>27</v>
          </cell>
          <cell r="AY92">
            <v>18.782608695652176</v>
          </cell>
          <cell r="AZ92">
            <v>0</v>
          </cell>
          <cell r="BA92">
            <v>45.166666666666664</v>
          </cell>
          <cell r="BB92">
            <v>24</v>
          </cell>
          <cell r="BC92">
            <v>5.76</v>
          </cell>
          <cell r="BD92">
            <v>0</v>
          </cell>
          <cell r="BE92">
            <v>19.833333333333332</v>
          </cell>
          <cell r="BF92">
            <v>4.76</v>
          </cell>
          <cell r="BG92">
            <v>20</v>
          </cell>
          <cell r="BH92">
            <v>35.666666666666664</v>
          </cell>
          <cell r="BI92">
            <v>59</v>
          </cell>
          <cell r="BJ92">
            <v>41.043478260869563</v>
          </cell>
          <cell r="BK92">
            <v>0</v>
          </cell>
          <cell r="BL92">
            <v>34.333333333333336</v>
          </cell>
          <cell r="BM92">
            <v>37</v>
          </cell>
          <cell r="BN92">
            <v>13.058823529411764</v>
          </cell>
          <cell r="BO92">
            <v>0</v>
          </cell>
          <cell r="BP92">
            <v>34.166666666666664</v>
          </cell>
          <cell r="BQ92">
            <v>34</v>
          </cell>
          <cell r="BR92">
            <v>23.652173913043477</v>
          </cell>
          <cell r="BS92">
            <v>0</v>
          </cell>
          <cell r="BT92">
            <v>31.625</v>
          </cell>
          <cell r="BU92">
            <v>34</v>
          </cell>
          <cell r="BV92">
            <v>14.571428571428571</v>
          </cell>
          <cell r="BW92">
            <v>0</v>
          </cell>
          <cell r="BX92">
            <v>0</v>
          </cell>
          <cell r="BY92">
            <v>31.666666666666668</v>
          </cell>
          <cell r="BZ92">
            <v>33</v>
          </cell>
          <cell r="CA92">
            <v>14.999999999999998</v>
          </cell>
          <cell r="CB92">
            <v>0</v>
          </cell>
          <cell r="CC92">
            <v>0</v>
          </cell>
          <cell r="CD92">
            <v>30.8</v>
          </cell>
          <cell r="CE92">
            <v>33</v>
          </cell>
          <cell r="CF92">
            <v>15.230769230769232</v>
          </cell>
          <cell r="CG92">
            <v>0</v>
          </cell>
          <cell r="CH92">
            <v>0</v>
          </cell>
          <cell r="CI92">
            <v>28.633333333333333</v>
          </cell>
          <cell r="CJ92">
            <v>29</v>
          </cell>
          <cell r="CK92">
            <v>12.428571428571427</v>
          </cell>
          <cell r="CL92">
            <v>0</v>
          </cell>
          <cell r="CM92">
            <v>0</v>
          </cell>
          <cell r="CN92">
            <v>26.666666666666668</v>
          </cell>
          <cell r="CO92">
            <v>25</v>
          </cell>
          <cell r="CP92">
            <v>10.714285714285714</v>
          </cell>
          <cell r="CQ92">
            <v>0</v>
          </cell>
          <cell r="CR92">
            <v>0</v>
          </cell>
          <cell r="CS92">
            <v>22.666666666666668</v>
          </cell>
          <cell r="CT92">
            <v>24</v>
          </cell>
          <cell r="CU92">
            <v>10.285714285714285</v>
          </cell>
          <cell r="CV92">
            <v>0</v>
          </cell>
          <cell r="CW92">
            <v>30</v>
          </cell>
          <cell r="CX92">
            <v>51.666666666666664</v>
          </cell>
          <cell r="CY92">
            <v>27</v>
          </cell>
          <cell r="CZ92">
            <v>11.571428571428571</v>
          </cell>
          <cell r="DA92">
            <v>0</v>
          </cell>
          <cell r="DB92">
            <v>30</v>
          </cell>
          <cell r="DC92">
            <v>54.666666666666664</v>
          </cell>
          <cell r="DD92">
            <v>59</v>
          </cell>
          <cell r="DE92">
            <v>23.142857142857142</v>
          </cell>
          <cell r="DF92">
            <v>0</v>
          </cell>
          <cell r="DG92">
            <v>0</v>
          </cell>
          <cell r="DH92">
            <v>56.666666666666664</v>
          </cell>
          <cell r="DI92">
            <v>57</v>
          </cell>
          <cell r="DJ92">
            <v>36.849315068493148</v>
          </cell>
          <cell r="DK92">
            <v>0</v>
          </cell>
          <cell r="DL92">
            <v>0</v>
          </cell>
          <cell r="DM92">
            <v>55.145833333333329</v>
          </cell>
          <cell r="DN92">
            <v>59</v>
          </cell>
          <cell r="DO92">
            <v>40.956521739130437</v>
          </cell>
          <cell r="DP92">
            <v>0</v>
          </cell>
          <cell r="DQ92">
            <v>0</v>
          </cell>
          <cell r="DR92">
            <v>57.5625</v>
          </cell>
          <cell r="DS92">
            <v>57.5625</v>
          </cell>
          <cell r="DT92">
            <v>39.956521739130437</v>
          </cell>
          <cell r="DU92">
            <v>0</v>
          </cell>
          <cell r="DV92">
            <v>0</v>
          </cell>
          <cell r="DW92">
            <v>56.125</v>
          </cell>
          <cell r="DX92">
            <v>56.125</v>
          </cell>
          <cell r="DY92">
            <v>38.956521739130437</v>
          </cell>
          <cell r="DZ92">
            <v>0</v>
          </cell>
          <cell r="EA92">
            <v>0</v>
          </cell>
          <cell r="EB92">
            <v>54.6875</v>
          </cell>
          <cell r="EC92">
            <v>54.6875</v>
          </cell>
          <cell r="ED92">
            <v>37.956521739130437</v>
          </cell>
          <cell r="EE92">
            <v>0</v>
          </cell>
          <cell r="EF92">
            <v>0</v>
          </cell>
          <cell r="EG92">
            <v>53.25</v>
          </cell>
          <cell r="EH92">
            <v>53.25</v>
          </cell>
          <cell r="EI92">
            <v>36.956521739130437</v>
          </cell>
          <cell r="EJ92">
            <v>0</v>
          </cell>
          <cell r="EK92">
            <v>0</v>
          </cell>
          <cell r="EL92">
            <v>51.8125</v>
          </cell>
          <cell r="EM92">
            <v>51.8125</v>
          </cell>
          <cell r="EN92">
            <v>35.956521739130437</v>
          </cell>
          <cell r="EO92">
            <v>0</v>
          </cell>
          <cell r="EP92">
            <v>0</v>
          </cell>
          <cell r="EQ92">
            <v>50.375</v>
          </cell>
          <cell r="ER92">
            <v>50.375</v>
          </cell>
          <cell r="ES92">
            <v>34.956521739130437</v>
          </cell>
          <cell r="ET92">
            <v>0</v>
          </cell>
          <cell r="EU92">
            <v>0</v>
          </cell>
          <cell r="EV92">
            <v>48.9375</v>
          </cell>
          <cell r="EW92">
            <v>48.9375</v>
          </cell>
          <cell r="EX92">
            <v>33.956521739130437</v>
          </cell>
          <cell r="EY92">
            <v>0</v>
          </cell>
          <cell r="EZ92">
            <v>0</v>
          </cell>
          <cell r="FA92">
            <v>47.5</v>
          </cell>
          <cell r="FB92">
            <v>47.5</v>
          </cell>
          <cell r="FC92">
            <v>32.956521739130437</v>
          </cell>
          <cell r="FD92">
            <v>0</v>
          </cell>
          <cell r="FE92">
            <v>0</v>
          </cell>
          <cell r="FF92">
            <v>46.0625</v>
          </cell>
          <cell r="FG92">
            <v>46.0625</v>
          </cell>
          <cell r="FH92">
            <v>31.956521739130434</v>
          </cell>
          <cell r="FI92">
            <v>0</v>
          </cell>
          <cell r="FJ92">
            <v>0</v>
          </cell>
          <cell r="FK92">
            <v>44.625</v>
          </cell>
          <cell r="FL92">
            <v>44.625</v>
          </cell>
          <cell r="FM92">
            <v>30.956521739130434</v>
          </cell>
          <cell r="FN92">
            <v>0</v>
          </cell>
          <cell r="FO92">
            <v>0</v>
          </cell>
          <cell r="FP92">
            <v>43.1875</v>
          </cell>
          <cell r="FQ92">
            <v>43.1875</v>
          </cell>
          <cell r="FR92">
            <v>29.956521739130434</v>
          </cell>
          <cell r="FS92">
            <v>0</v>
          </cell>
          <cell r="FT92">
            <v>3</v>
          </cell>
          <cell r="FU92">
            <v>2.0333333333333332</v>
          </cell>
          <cell r="FW92" t="str">
            <v>SOBRESTOCK</v>
          </cell>
          <cell r="FX92" t="str">
            <v>B</v>
          </cell>
          <cell r="FY92" t="str">
            <v>Si</v>
          </cell>
        </row>
        <row r="93">
          <cell r="B93" t="str">
            <v>REP-0092</v>
          </cell>
          <cell r="C93" t="str">
            <v>MIX</v>
          </cell>
          <cell r="D93">
            <v>0</v>
          </cell>
          <cell r="E93">
            <v>27</v>
          </cell>
          <cell r="F93">
            <v>0</v>
          </cell>
          <cell r="G93">
            <v>0</v>
          </cell>
          <cell r="H93">
            <v>3</v>
          </cell>
          <cell r="I93">
            <v>3</v>
          </cell>
          <cell r="J93">
            <v>0</v>
          </cell>
          <cell r="K93">
            <v>4</v>
          </cell>
          <cell r="L93">
            <v>2</v>
          </cell>
          <cell r="M93">
            <v>2</v>
          </cell>
          <cell r="N93">
            <v>0</v>
          </cell>
          <cell r="O93">
            <v>1</v>
          </cell>
          <cell r="P93">
            <v>0</v>
          </cell>
          <cell r="Q93">
            <v>0</v>
          </cell>
          <cell r="R93">
            <v>3</v>
          </cell>
          <cell r="S93">
            <v>1</v>
          </cell>
          <cell r="T93">
            <v>0</v>
          </cell>
          <cell r="U93">
            <v>2</v>
          </cell>
          <cell r="V93">
            <v>1</v>
          </cell>
          <cell r="W93">
            <v>1</v>
          </cell>
          <cell r="X93">
            <v>0</v>
          </cell>
          <cell r="Y93">
            <v>50</v>
          </cell>
          <cell r="AA93">
            <v>50</v>
          </cell>
          <cell r="AB93">
            <v>3</v>
          </cell>
          <cell r="AC93">
            <v>0.5</v>
          </cell>
          <cell r="AD93">
            <v>1.6666666666666666E-2</v>
          </cell>
          <cell r="AE93">
            <v>0.5</v>
          </cell>
          <cell r="AF93">
            <v>0.75</v>
          </cell>
          <cell r="AG93">
            <v>1.5</v>
          </cell>
          <cell r="AH93">
            <v>1.6666666666666667</v>
          </cell>
          <cell r="AI93">
            <v>1.1666666666666667</v>
          </cell>
          <cell r="AJ93">
            <v>1.1666666666666667</v>
          </cell>
          <cell r="AK93">
            <v>1.6666666666666667</v>
          </cell>
          <cell r="AL93">
            <v>0.35355339059327345</v>
          </cell>
          <cell r="AM93">
            <v>1.3750000000000002</v>
          </cell>
          <cell r="AN93">
            <v>0.25712973861328975</v>
          </cell>
          <cell r="AO93">
            <v>0</v>
          </cell>
          <cell r="AP93">
            <v>13.166666666666666</v>
          </cell>
          <cell r="AQ93">
            <v>9</v>
          </cell>
          <cell r="AR93">
            <v>0</v>
          </cell>
          <cell r="AS93">
            <v>11.666666666666668</v>
          </cell>
          <cell r="AT93">
            <v>14</v>
          </cell>
          <cell r="AU93">
            <v>8.4</v>
          </cell>
          <cell r="AV93">
            <v>0</v>
          </cell>
          <cell r="AW93">
            <v>12.333333333333334</v>
          </cell>
          <cell r="AX93">
            <v>10</v>
          </cell>
          <cell r="AY93">
            <v>6</v>
          </cell>
          <cell r="AZ93">
            <v>0</v>
          </cell>
          <cell r="BA93">
            <v>28.5</v>
          </cell>
          <cell r="BB93">
            <v>10</v>
          </cell>
          <cell r="BC93">
            <v>5</v>
          </cell>
          <cell r="BD93">
            <v>0</v>
          </cell>
          <cell r="BE93">
            <v>8</v>
          </cell>
          <cell r="BF93">
            <v>4</v>
          </cell>
          <cell r="BG93">
            <v>20</v>
          </cell>
          <cell r="BH93">
            <v>26</v>
          </cell>
          <cell r="BI93">
            <v>50</v>
          </cell>
          <cell r="BJ93">
            <v>30</v>
          </cell>
          <cell r="BK93">
            <v>0</v>
          </cell>
          <cell r="BL93">
            <v>26.5</v>
          </cell>
          <cell r="BM93">
            <v>27</v>
          </cell>
          <cell r="BN93">
            <v>14.727272727272728</v>
          </cell>
          <cell r="BO93">
            <v>0</v>
          </cell>
          <cell r="BP93">
            <v>25.166666666666668</v>
          </cell>
          <cell r="BQ93">
            <v>25</v>
          </cell>
          <cell r="BR93">
            <v>15</v>
          </cell>
          <cell r="BS93">
            <v>0</v>
          </cell>
          <cell r="BT93">
            <v>23.333333333333332</v>
          </cell>
          <cell r="BU93">
            <v>24</v>
          </cell>
          <cell r="BV93">
            <v>13.090909090909092</v>
          </cell>
          <cell r="BW93">
            <v>0</v>
          </cell>
          <cell r="BX93">
            <v>0</v>
          </cell>
          <cell r="BY93">
            <v>22.166666666666668</v>
          </cell>
          <cell r="BZ93">
            <v>22</v>
          </cell>
          <cell r="CA93">
            <v>14.666666666666666</v>
          </cell>
          <cell r="CB93">
            <v>0</v>
          </cell>
          <cell r="CC93">
            <v>0</v>
          </cell>
          <cell r="CD93">
            <v>20.5</v>
          </cell>
          <cell r="CE93">
            <v>20</v>
          </cell>
          <cell r="CF93">
            <v>9.2307692307692317</v>
          </cell>
          <cell r="CG93">
            <v>0</v>
          </cell>
          <cell r="CH93">
            <v>0</v>
          </cell>
          <cell r="CI93">
            <v>18.333333333333332</v>
          </cell>
          <cell r="CJ93">
            <v>20</v>
          </cell>
          <cell r="CK93">
            <v>10.90909090909091</v>
          </cell>
          <cell r="CL93">
            <v>0</v>
          </cell>
          <cell r="CM93">
            <v>0</v>
          </cell>
          <cell r="CN93">
            <v>18.166666666666668</v>
          </cell>
          <cell r="CO93">
            <v>20</v>
          </cell>
          <cell r="CP93">
            <v>10</v>
          </cell>
          <cell r="CQ93">
            <v>0</v>
          </cell>
          <cell r="CR93">
            <v>0</v>
          </cell>
          <cell r="CS93">
            <v>18</v>
          </cell>
          <cell r="CT93">
            <v>18</v>
          </cell>
          <cell r="CU93">
            <v>9.8181818181818183</v>
          </cell>
          <cell r="CV93">
            <v>0</v>
          </cell>
          <cell r="CW93">
            <v>30</v>
          </cell>
          <cell r="CX93">
            <v>46.166666666666664</v>
          </cell>
          <cell r="CY93">
            <v>14</v>
          </cell>
          <cell r="CZ93">
            <v>8.4</v>
          </cell>
          <cell r="DA93">
            <v>0</v>
          </cell>
          <cell r="DB93">
            <v>30</v>
          </cell>
          <cell r="DC93">
            <v>42.333333333333336</v>
          </cell>
          <cell r="DD93">
            <v>51</v>
          </cell>
          <cell r="DE93">
            <v>28.2</v>
          </cell>
          <cell r="DF93">
            <v>0</v>
          </cell>
          <cell r="DG93">
            <v>0</v>
          </cell>
          <cell r="DH93">
            <v>49.333333333333336</v>
          </cell>
          <cell r="DI93">
            <v>50</v>
          </cell>
          <cell r="DJ93">
            <v>29.599999999999998</v>
          </cell>
          <cell r="DK93">
            <v>0</v>
          </cell>
          <cell r="DL93">
            <v>0</v>
          </cell>
          <cell r="DM93">
            <v>47.666666666666671</v>
          </cell>
          <cell r="DN93">
            <v>50</v>
          </cell>
          <cell r="DO93">
            <v>29.599999999999998</v>
          </cell>
          <cell r="DP93">
            <v>0</v>
          </cell>
          <cell r="DQ93">
            <v>0</v>
          </cell>
          <cell r="DR93">
            <v>48.333333333333336</v>
          </cell>
          <cell r="DS93">
            <v>48.333333333333336</v>
          </cell>
          <cell r="DT93">
            <v>28.6</v>
          </cell>
          <cell r="DU93">
            <v>0</v>
          </cell>
          <cell r="DV93">
            <v>0</v>
          </cell>
          <cell r="DW93">
            <v>46.666666666666671</v>
          </cell>
          <cell r="DX93">
            <v>46.666666666666671</v>
          </cell>
          <cell r="DY93">
            <v>27.6</v>
          </cell>
          <cell r="DZ93">
            <v>0</v>
          </cell>
          <cell r="EA93">
            <v>0</v>
          </cell>
          <cell r="EB93">
            <v>45.000000000000007</v>
          </cell>
          <cell r="EC93">
            <v>45.000000000000007</v>
          </cell>
          <cell r="ED93">
            <v>26.6</v>
          </cell>
          <cell r="EE93">
            <v>0</v>
          </cell>
          <cell r="EF93">
            <v>0</v>
          </cell>
          <cell r="EG93">
            <v>43.333333333333343</v>
          </cell>
          <cell r="EH93">
            <v>43.333333333333343</v>
          </cell>
          <cell r="EI93">
            <v>25.600000000000005</v>
          </cell>
          <cell r="EJ93">
            <v>0</v>
          </cell>
          <cell r="EK93">
            <v>0</v>
          </cell>
          <cell r="EL93">
            <v>41.666666666666679</v>
          </cell>
          <cell r="EM93">
            <v>41.666666666666679</v>
          </cell>
          <cell r="EN93">
            <v>24.600000000000005</v>
          </cell>
          <cell r="EO93">
            <v>0</v>
          </cell>
          <cell r="EP93">
            <v>0</v>
          </cell>
          <cell r="EQ93">
            <v>40.000000000000014</v>
          </cell>
          <cell r="ER93">
            <v>40.000000000000014</v>
          </cell>
          <cell r="ES93">
            <v>23.600000000000009</v>
          </cell>
          <cell r="ET93">
            <v>0</v>
          </cell>
          <cell r="EU93">
            <v>0</v>
          </cell>
          <cell r="EV93">
            <v>38.33333333333335</v>
          </cell>
          <cell r="EW93">
            <v>38.33333333333335</v>
          </cell>
          <cell r="EX93">
            <v>22.600000000000009</v>
          </cell>
          <cell r="EY93">
            <v>0</v>
          </cell>
          <cell r="EZ93">
            <v>0</v>
          </cell>
          <cell r="FA93">
            <v>36.666666666666686</v>
          </cell>
          <cell r="FB93">
            <v>36.666666666666686</v>
          </cell>
          <cell r="FC93">
            <v>21.600000000000012</v>
          </cell>
          <cell r="FD93">
            <v>0</v>
          </cell>
          <cell r="FE93">
            <v>0</v>
          </cell>
          <cell r="FF93">
            <v>35.000000000000021</v>
          </cell>
          <cell r="FG93">
            <v>35.000000000000021</v>
          </cell>
          <cell r="FH93">
            <v>20.600000000000012</v>
          </cell>
          <cell r="FI93">
            <v>0</v>
          </cell>
          <cell r="FJ93">
            <v>0</v>
          </cell>
          <cell r="FK93">
            <v>33.333333333333357</v>
          </cell>
          <cell r="FL93">
            <v>33.333333333333357</v>
          </cell>
          <cell r="FM93">
            <v>19.600000000000012</v>
          </cell>
          <cell r="FN93">
            <v>0</v>
          </cell>
          <cell r="FO93">
            <v>0</v>
          </cell>
          <cell r="FP93">
            <v>31.666666666666689</v>
          </cell>
          <cell r="FQ93">
            <v>31.666666666666689</v>
          </cell>
          <cell r="FR93">
            <v>18.600000000000012</v>
          </cell>
          <cell r="FS93">
            <v>0</v>
          </cell>
          <cell r="FT93">
            <v>4</v>
          </cell>
          <cell r="FU93">
            <v>2.0333333333333332</v>
          </cell>
          <cell r="FW93" t="str">
            <v>SOBRESTOCK</v>
          </cell>
          <cell r="FX93" t="str">
            <v>B</v>
          </cell>
          <cell r="FY93" t="str">
            <v>Si</v>
          </cell>
        </row>
        <row r="94">
          <cell r="B94" t="str">
            <v>REP-0093</v>
          </cell>
          <cell r="C94" t="str">
            <v>MIX</v>
          </cell>
          <cell r="D94">
            <v>0</v>
          </cell>
          <cell r="E94">
            <v>671</v>
          </cell>
          <cell r="F94">
            <v>0</v>
          </cell>
          <cell r="G94">
            <v>0</v>
          </cell>
          <cell r="H94">
            <v>102</v>
          </cell>
          <cell r="I94">
            <v>102</v>
          </cell>
          <cell r="J94">
            <v>0</v>
          </cell>
          <cell r="K94">
            <v>30</v>
          </cell>
          <cell r="L94">
            <v>1</v>
          </cell>
          <cell r="M94">
            <v>0</v>
          </cell>
          <cell r="N94">
            <v>15</v>
          </cell>
          <cell r="O94">
            <v>8</v>
          </cell>
          <cell r="P94">
            <v>11</v>
          </cell>
          <cell r="Q94">
            <v>4</v>
          </cell>
          <cell r="R94">
            <v>11</v>
          </cell>
          <cell r="S94">
            <v>5</v>
          </cell>
          <cell r="T94">
            <v>8</v>
          </cell>
          <cell r="U94">
            <v>5</v>
          </cell>
          <cell r="V94">
            <v>11</v>
          </cell>
          <cell r="W94">
            <v>2</v>
          </cell>
          <cell r="X94">
            <v>12</v>
          </cell>
          <cell r="Y94">
            <v>998</v>
          </cell>
          <cell r="AA94">
            <v>998</v>
          </cell>
          <cell r="AB94">
            <v>870</v>
          </cell>
          <cell r="AC94">
            <v>128.5</v>
          </cell>
          <cell r="AD94">
            <v>4.2833333333333332</v>
          </cell>
          <cell r="AE94">
            <v>133.33333333333334</v>
          </cell>
          <cell r="AF94">
            <v>137.66666666666666</v>
          </cell>
          <cell r="AG94">
            <v>123.66666666666667</v>
          </cell>
          <cell r="AH94">
            <v>137.91666666666666</v>
          </cell>
          <cell r="AI94">
            <v>122.83333333333333</v>
          </cell>
          <cell r="AJ94">
            <v>122.83333333333333</v>
          </cell>
          <cell r="AK94">
            <v>137.91666666666666</v>
          </cell>
          <cell r="AL94">
            <v>8.048550594154614</v>
          </cell>
          <cell r="AM94">
            <v>126.81249999999999</v>
          </cell>
          <cell r="AN94">
            <v>6.3468117055925991E-2</v>
          </cell>
          <cell r="AO94">
            <v>0</v>
          </cell>
          <cell r="AP94">
            <v>626.66666666666663</v>
          </cell>
          <cell r="AQ94">
            <v>4.6004842615012116</v>
          </cell>
          <cell r="AR94">
            <v>0</v>
          </cell>
          <cell r="AS94">
            <v>1145.6666666666667</v>
          </cell>
          <cell r="AT94">
            <v>1164</v>
          </cell>
          <cell r="AU94">
            <v>9.4123989218328834</v>
          </cell>
          <cell r="AV94">
            <v>0</v>
          </cell>
          <cell r="AW94">
            <v>1040.3333333333333</v>
          </cell>
          <cell r="AX94">
            <v>960</v>
          </cell>
          <cell r="AY94">
            <v>6.9607250755287016</v>
          </cell>
          <cell r="AZ94">
            <v>0</v>
          </cell>
          <cell r="BA94">
            <v>1436.3333333333333</v>
          </cell>
          <cell r="BB94">
            <v>829</v>
          </cell>
          <cell r="BC94">
            <v>4.4810810810810811</v>
          </cell>
          <cell r="BD94">
            <v>0</v>
          </cell>
          <cell r="BE94">
            <v>644</v>
          </cell>
          <cell r="BF94">
            <v>3.4810810810810811</v>
          </cell>
          <cell r="BG94">
            <v>0</v>
          </cell>
          <cell r="BH94">
            <v>459</v>
          </cell>
          <cell r="BI94">
            <v>998</v>
          </cell>
          <cell r="BJ94">
            <v>7.2362537764350456</v>
          </cell>
          <cell r="BK94">
            <v>0</v>
          </cell>
          <cell r="BL94">
            <v>974.16666666666663</v>
          </cell>
          <cell r="BM94">
            <v>986</v>
          </cell>
          <cell r="BN94">
            <v>6.7611428571428567</v>
          </cell>
          <cell r="BO94">
            <v>0</v>
          </cell>
          <cell r="BP94">
            <v>840.16666666666663</v>
          </cell>
          <cell r="BQ94">
            <v>812</v>
          </cell>
          <cell r="BR94">
            <v>5.8876132930513601</v>
          </cell>
          <cell r="BS94">
            <v>0</v>
          </cell>
          <cell r="BT94">
            <v>657.5</v>
          </cell>
          <cell r="BU94">
            <v>748</v>
          </cell>
          <cell r="BV94">
            <v>5.1824480369515005</v>
          </cell>
          <cell r="BW94">
            <v>406</v>
          </cell>
          <cell r="BX94">
            <v>0</v>
          </cell>
          <cell r="BY94">
            <v>603.66666666666663</v>
          </cell>
          <cell r="BZ94">
            <v>596</v>
          </cell>
          <cell r="CA94">
            <v>4.2826347305389225</v>
          </cell>
          <cell r="CB94">
            <v>518</v>
          </cell>
          <cell r="CC94">
            <v>0</v>
          </cell>
          <cell r="CD94">
            <v>1256.8333333333333</v>
          </cell>
          <cell r="CE94">
            <v>450</v>
          </cell>
          <cell r="CF94">
            <v>3.208036292935839</v>
          </cell>
          <cell r="CG94">
            <v>672</v>
          </cell>
          <cell r="CH94">
            <v>800</v>
          </cell>
          <cell r="CI94">
            <v>1788.560606060606</v>
          </cell>
          <cell r="CJ94">
            <v>1259</v>
          </cell>
          <cell r="CK94">
            <v>9.1287009063444113</v>
          </cell>
          <cell r="CL94">
            <v>0</v>
          </cell>
          <cell r="CM94">
            <v>100</v>
          </cell>
          <cell r="CN94">
            <v>1221.0833333333333</v>
          </cell>
          <cell r="CO94">
            <v>1195</v>
          </cell>
          <cell r="CP94">
            <v>8.6646525679758319</v>
          </cell>
          <cell r="CQ94">
            <v>0</v>
          </cell>
          <cell r="CR94">
            <v>0</v>
          </cell>
          <cell r="CS94">
            <v>1057.0833333333333</v>
          </cell>
          <cell r="CT94">
            <v>1022</v>
          </cell>
          <cell r="CU94">
            <v>7.4102719033232631</v>
          </cell>
          <cell r="CV94">
            <v>0</v>
          </cell>
          <cell r="CW94">
            <v>0</v>
          </cell>
          <cell r="CX94">
            <v>884.08333333333337</v>
          </cell>
          <cell r="CY94">
            <v>874</v>
          </cell>
          <cell r="CZ94">
            <v>6.3371601208459216</v>
          </cell>
          <cell r="DA94">
            <v>0</v>
          </cell>
          <cell r="DB94">
            <v>450</v>
          </cell>
          <cell r="DC94">
            <v>1186.0833333333333</v>
          </cell>
          <cell r="DD94">
            <v>1204</v>
          </cell>
          <cell r="DE94">
            <v>6.6924471299093664</v>
          </cell>
          <cell r="DF94">
            <v>0</v>
          </cell>
          <cell r="DG94">
            <v>0</v>
          </cell>
          <cell r="DH94">
            <v>1066.0833333333333</v>
          </cell>
          <cell r="DI94">
            <v>1088</v>
          </cell>
          <cell r="DJ94">
            <v>7.8513595166163146</v>
          </cell>
          <cell r="DK94">
            <v>0</v>
          </cell>
          <cell r="DL94">
            <v>0</v>
          </cell>
          <cell r="DM94">
            <v>928.16666666666663</v>
          </cell>
          <cell r="DN94">
            <v>998</v>
          </cell>
          <cell r="DO94">
            <v>7.198791540785499</v>
          </cell>
          <cell r="DP94">
            <v>0</v>
          </cell>
          <cell r="DQ94">
            <v>0</v>
          </cell>
          <cell r="DR94">
            <v>860.08333333333337</v>
          </cell>
          <cell r="DS94">
            <v>860.08333333333337</v>
          </cell>
          <cell r="DT94">
            <v>6.198791540785499</v>
          </cell>
          <cell r="DU94">
            <v>0</v>
          </cell>
          <cell r="DV94">
            <v>0</v>
          </cell>
          <cell r="DW94">
            <v>722.16666666666674</v>
          </cell>
          <cell r="DX94">
            <v>722.16666666666674</v>
          </cell>
          <cell r="DY94">
            <v>5.1987915407854999</v>
          </cell>
          <cell r="DZ94">
            <v>0</v>
          </cell>
          <cell r="EA94">
            <v>0</v>
          </cell>
          <cell r="EB94">
            <v>584.25000000000011</v>
          </cell>
          <cell r="EC94">
            <v>584.25000000000011</v>
          </cell>
          <cell r="ED94">
            <v>4.1987915407854999</v>
          </cell>
          <cell r="EE94">
            <v>0</v>
          </cell>
          <cell r="EF94">
            <v>0</v>
          </cell>
          <cell r="EG94">
            <v>446.33333333333348</v>
          </cell>
          <cell r="EH94">
            <v>446.33333333333348</v>
          </cell>
          <cell r="EI94">
            <v>3.1987915407854999</v>
          </cell>
          <cell r="EJ94">
            <v>0</v>
          </cell>
          <cell r="EK94">
            <v>300</v>
          </cell>
          <cell r="EL94">
            <v>608.41666666666686</v>
          </cell>
          <cell r="EM94">
            <v>608.41666666666686</v>
          </cell>
          <cell r="EN94">
            <v>4.3740181268882186</v>
          </cell>
          <cell r="EO94">
            <v>0</v>
          </cell>
          <cell r="EP94">
            <v>0</v>
          </cell>
          <cell r="EQ94">
            <v>470.50000000000023</v>
          </cell>
          <cell r="ER94">
            <v>470.50000000000023</v>
          </cell>
          <cell r="ES94">
            <v>3.3740181268882194</v>
          </cell>
          <cell r="ET94">
            <v>0</v>
          </cell>
          <cell r="EU94">
            <v>0</v>
          </cell>
          <cell r="EV94">
            <v>332.5833333333336</v>
          </cell>
          <cell r="EW94">
            <v>332.5833333333336</v>
          </cell>
          <cell r="EX94">
            <v>2.3740181268882194</v>
          </cell>
          <cell r="EY94">
            <v>0</v>
          </cell>
          <cell r="EZ94">
            <v>0</v>
          </cell>
          <cell r="FA94">
            <v>194.66666666666694</v>
          </cell>
          <cell r="FB94">
            <v>194.66666666666694</v>
          </cell>
          <cell r="FC94">
            <v>1.3740181268882194</v>
          </cell>
          <cell r="FD94">
            <v>86.333333333333059</v>
          </cell>
          <cell r="FE94">
            <v>560</v>
          </cell>
          <cell r="FF94">
            <v>616.75000000000034</v>
          </cell>
          <cell r="FG94">
            <v>616.75000000000034</v>
          </cell>
          <cell r="FH94">
            <v>4.4344410876132958</v>
          </cell>
          <cell r="FI94">
            <v>0</v>
          </cell>
          <cell r="FJ94">
            <v>0</v>
          </cell>
          <cell r="FK94">
            <v>478.83333333333371</v>
          </cell>
          <cell r="FL94">
            <v>478.83333333333371</v>
          </cell>
          <cell r="FM94">
            <v>3.4344410876132958</v>
          </cell>
          <cell r="FN94">
            <v>0</v>
          </cell>
          <cell r="FO94">
            <v>0</v>
          </cell>
          <cell r="FP94">
            <v>340.91666666666708</v>
          </cell>
          <cell r="FQ94">
            <v>340.91666666666708</v>
          </cell>
          <cell r="FR94">
            <v>2.4344410876132963</v>
          </cell>
          <cell r="FS94">
            <v>0</v>
          </cell>
          <cell r="FT94">
            <v>281</v>
          </cell>
          <cell r="FU94">
            <v>2.0333333333333332</v>
          </cell>
          <cell r="FW94" t="str">
            <v>SOBRESTOCK</v>
          </cell>
          <cell r="FX94" t="str">
            <v>A</v>
          </cell>
          <cell r="FY94" t="str">
            <v>Si</v>
          </cell>
        </row>
        <row r="95">
          <cell r="B95" t="str">
            <v>REP-0094</v>
          </cell>
          <cell r="C95" t="str">
            <v>MIX</v>
          </cell>
          <cell r="D95">
            <v>0</v>
          </cell>
          <cell r="E95">
            <v>25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26</v>
          </cell>
          <cell r="AA95">
            <v>26</v>
          </cell>
          <cell r="AB95">
            <v>3</v>
          </cell>
          <cell r="AC95">
            <v>0.5</v>
          </cell>
          <cell r="AD95">
            <v>1.6666666666666666E-2</v>
          </cell>
          <cell r="AE95">
            <v>0.5</v>
          </cell>
          <cell r="AF95">
            <v>0.58333333333333337</v>
          </cell>
          <cell r="AG95">
            <v>0.41666666666666669</v>
          </cell>
          <cell r="AH95">
            <v>0.58333333333333337</v>
          </cell>
          <cell r="AI95">
            <v>0</v>
          </cell>
          <cell r="AJ95">
            <v>0</v>
          </cell>
          <cell r="AK95">
            <v>0.58333333333333337</v>
          </cell>
          <cell r="AL95">
            <v>0.29658550700086977</v>
          </cell>
          <cell r="AM95">
            <v>0.25</v>
          </cell>
          <cell r="AN95">
            <v>1.1863420280034791</v>
          </cell>
          <cell r="AO95">
            <v>0</v>
          </cell>
          <cell r="AP95">
            <v>8.5833333333333339</v>
          </cell>
          <cell r="AQ95">
            <v>12.500000000000002</v>
          </cell>
          <cell r="AR95">
            <v>0</v>
          </cell>
          <cell r="AS95">
            <v>7.666666666666667</v>
          </cell>
          <cell r="AT95">
            <v>9</v>
          </cell>
          <cell r="AU95">
            <v>13.5</v>
          </cell>
          <cell r="AV95">
            <v>0</v>
          </cell>
          <cell r="AW95">
            <v>8.3333333333333339</v>
          </cell>
          <cell r="AX95">
            <v>9</v>
          </cell>
          <cell r="AY95">
            <v>15.428571428571427</v>
          </cell>
          <cell r="AZ95">
            <v>0</v>
          </cell>
          <cell r="BA95">
            <v>8.3333333333333339</v>
          </cell>
          <cell r="BB95">
            <v>8</v>
          </cell>
          <cell r="BC95">
            <v>9.6</v>
          </cell>
          <cell r="BD95">
            <v>0</v>
          </cell>
          <cell r="BE95">
            <v>7.166666666666667</v>
          </cell>
          <cell r="BF95">
            <v>8.6</v>
          </cell>
          <cell r="BG95">
            <v>0</v>
          </cell>
          <cell r="BH95">
            <v>6.3333333333333339</v>
          </cell>
          <cell r="BI95">
            <v>26</v>
          </cell>
          <cell r="BJ95">
            <v>44.571428571428569</v>
          </cell>
          <cell r="BK95">
            <v>0</v>
          </cell>
          <cell r="BL95">
            <v>7.583333333333333</v>
          </cell>
          <cell r="BM95">
            <v>7</v>
          </cell>
          <cell r="BN95">
            <v>16.8</v>
          </cell>
          <cell r="BO95">
            <v>0</v>
          </cell>
          <cell r="BP95">
            <v>6.583333333333333</v>
          </cell>
          <cell r="BQ95">
            <v>7</v>
          </cell>
          <cell r="BR95">
            <v>12</v>
          </cell>
          <cell r="BS95">
            <v>0</v>
          </cell>
          <cell r="BT95">
            <v>6.583333333333333</v>
          </cell>
          <cell r="BU95">
            <v>7</v>
          </cell>
          <cell r="BV95">
            <v>16.8</v>
          </cell>
          <cell r="BW95">
            <v>0</v>
          </cell>
          <cell r="BX95">
            <v>0</v>
          </cell>
          <cell r="BY95">
            <v>6.583333333333333</v>
          </cell>
          <cell r="BZ95">
            <v>6</v>
          </cell>
          <cell r="CA95">
            <v>12</v>
          </cell>
          <cell r="CB95">
            <v>0</v>
          </cell>
          <cell r="CC95">
            <v>0</v>
          </cell>
          <cell r="CD95">
            <v>5.5</v>
          </cell>
          <cell r="CE95">
            <v>4</v>
          </cell>
          <cell r="CF95">
            <v>6</v>
          </cell>
          <cell r="CG95">
            <v>2</v>
          </cell>
          <cell r="CH95">
            <v>0</v>
          </cell>
          <cell r="CI95">
            <v>6.833333333333333</v>
          </cell>
          <cell r="CJ95">
            <v>2</v>
          </cell>
          <cell r="CK95">
            <v>2</v>
          </cell>
          <cell r="CL95">
            <v>6</v>
          </cell>
          <cell r="CM95">
            <v>0</v>
          </cell>
          <cell r="CN95">
            <v>1</v>
          </cell>
          <cell r="CO95">
            <v>2</v>
          </cell>
          <cell r="CP95">
            <v>2</v>
          </cell>
          <cell r="CQ95">
            <v>7</v>
          </cell>
          <cell r="CR95">
            <v>0</v>
          </cell>
          <cell r="CS95">
            <v>1</v>
          </cell>
          <cell r="CT95">
            <v>2</v>
          </cell>
          <cell r="CU95">
            <v>2.4</v>
          </cell>
          <cell r="CV95">
            <v>0</v>
          </cell>
          <cell r="CW95">
            <v>20</v>
          </cell>
          <cell r="CX95">
            <v>21.166666666666668</v>
          </cell>
          <cell r="CY95">
            <v>1</v>
          </cell>
          <cell r="CZ95">
            <v>1.7142857142857142</v>
          </cell>
          <cell r="DA95">
            <v>0</v>
          </cell>
          <cell r="DB95">
            <v>20</v>
          </cell>
          <cell r="DC95">
            <v>20.416666666666668</v>
          </cell>
          <cell r="DD95">
            <v>26</v>
          </cell>
          <cell r="DE95">
            <v>41.142857142857139</v>
          </cell>
          <cell r="DF95">
            <v>0</v>
          </cell>
          <cell r="DG95">
            <v>0</v>
          </cell>
          <cell r="DH95">
            <v>25.416666666666668</v>
          </cell>
          <cell r="DI95">
            <v>26</v>
          </cell>
          <cell r="DJ95">
            <v>43.142857142857139</v>
          </cell>
          <cell r="DK95">
            <v>0</v>
          </cell>
          <cell r="DL95">
            <v>0</v>
          </cell>
          <cell r="DM95">
            <v>24.833333333333336</v>
          </cell>
          <cell r="DN95">
            <v>26</v>
          </cell>
          <cell r="DO95">
            <v>43.142857142857139</v>
          </cell>
          <cell r="DP95">
            <v>0</v>
          </cell>
          <cell r="DQ95">
            <v>0</v>
          </cell>
          <cell r="DR95">
            <v>25.416666666666668</v>
          </cell>
          <cell r="DS95">
            <v>25.416666666666668</v>
          </cell>
          <cell r="DT95">
            <v>42.142857142857139</v>
          </cell>
          <cell r="DU95">
            <v>0</v>
          </cell>
          <cell r="DV95">
            <v>0</v>
          </cell>
          <cell r="DW95">
            <v>24.833333333333336</v>
          </cell>
          <cell r="DX95">
            <v>24.833333333333336</v>
          </cell>
          <cell r="DY95">
            <v>41.142857142857146</v>
          </cell>
          <cell r="DZ95">
            <v>0</v>
          </cell>
          <cell r="EA95">
            <v>0</v>
          </cell>
          <cell r="EB95">
            <v>24.250000000000004</v>
          </cell>
          <cell r="EC95">
            <v>24.250000000000004</v>
          </cell>
          <cell r="ED95">
            <v>40.142857142857146</v>
          </cell>
          <cell r="EE95">
            <v>0</v>
          </cell>
          <cell r="EF95">
            <v>0</v>
          </cell>
          <cell r="EG95">
            <v>23.666666666666671</v>
          </cell>
          <cell r="EH95">
            <v>23.666666666666671</v>
          </cell>
          <cell r="EI95">
            <v>39.142857142857146</v>
          </cell>
          <cell r="EJ95">
            <v>0</v>
          </cell>
          <cell r="EK95">
            <v>0</v>
          </cell>
          <cell r="EL95">
            <v>23.083333333333339</v>
          </cell>
          <cell r="EM95">
            <v>23.083333333333339</v>
          </cell>
          <cell r="EN95">
            <v>38.142857142857153</v>
          </cell>
          <cell r="EO95">
            <v>0</v>
          </cell>
          <cell r="EP95">
            <v>0</v>
          </cell>
          <cell r="EQ95">
            <v>22.500000000000007</v>
          </cell>
          <cell r="ER95">
            <v>22.500000000000007</v>
          </cell>
          <cell r="ES95">
            <v>37.142857142857153</v>
          </cell>
          <cell r="ET95">
            <v>0</v>
          </cell>
          <cell r="EU95">
            <v>0</v>
          </cell>
          <cell r="EV95">
            <v>21.916666666666675</v>
          </cell>
          <cell r="EW95">
            <v>21.916666666666675</v>
          </cell>
          <cell r="EX95">
            <v>36.142857142857153</v>
          </cell>
          <cell r="EY95">
            <v>0</v>
          </cell>
          <cell r="EZ95">
            <v>0</v>
          </cell>
          <cell r="FA95">
            <v>21.333333333333343</v>
          </cell>
          <cell r="FB95">
            <v>21.333333333333343</v>
          </cell>
          <cell r="FC95">
            <v>35.14285714285716</v>
          </cell>
          <cell r="FD95">
            <v>0</v>
          </cell>
          <cell r="FE95">
            <v>0</v>
          </cell>
          <cell r="FF95">
            <v>20.750000000000011</v>
          </cell>
          <cell r="FG95">
            <v>20.750000000000011</v>
          </cell>
          <cell r="FH95">
            <v>34.14285714285716</v>
          </cell>
          <cell r="FI95">
            <v>0</v>
          </cell>
          <cell r="FJ95">
            <v>0</v>
          </cell>
          <cell r="FK95">
            <v>20.166666666666679</v>
          </cell>
          <cell r="FL95">
            <v>20.166666666666679</v>
          </cell>
          <cell r="FM95">
            <v>33.14285714285716</v>
          </cell>
          <cell r="FN95">
            <v>0</v>
          </cell>
          <cell r="FO95">
            <v>0</v>
          </cell>
          <cell r="FP95">
            <v>19.583333333333346</v>
          </cell>
          <cell r="FQ95">
            <v>19.583333333333346</v>
          </cell>
          <cell r="FR95">
            <v>32.142857142857167</v>
          </cell>
          <cell r="FS95">
            <v>0</v>
          </cell>
          <cell r="FT95">
            <v>2</v>
          </cell>
          <cell r="FU95">
            <v>2.0333333333333332</v>
          </cell>
          <cell r="FW95" t="str">
            <v>SIN ROTACIÓN</v>
          </cell>
          <cell r="FX95" t="str">
            <v>C</v>
          </cell>
          <cell r="FY95" t="str">
            <v>Si</v>
          </cell>
        </row>
        <row r="96">
          <cell r="B96" t="str">
            <v>REP-0095</v>
          </cell>
          <cell r="C96" t="str">
            <v>MIX</v>
          </cell>
          <cell r="D96">
            <v>0</v>
          </cell>
          <cell r="E96">
            <v>81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2</v>
          </cell>
          <cell r="L96">
            <v>0</v>
          </cell>
          <cell r="M96">
            <v>0</v>
          </cell>
          <cell r="N96">
            <v>3</v>
          </cell>
          <cell r="O96">
            <v>2</v>
          </cell>
          <cell r="P96">
            <v>0</v>
          </cell>
          <cell r="Q96">
            <v>3</v>
          </cell>
          <cell r="R96">
            <v>5</v>
          </cell>
          <cell r="S96">
            <v>0</v>
          </cell>
          <cell r="T96">
            <v>1</v>
          </cell>
          <cell r="U96">
            <v>1</v>
          </cell>
          <cell r="V96">
            <v>0</v>
          </cell>
          <cell r="W96">
            <v>0</v>
          </cell>
          <cell r="X96">
            <v>1</v>
          </cell>
          <cell r="Y96">
            <v>99</v>
          </cell>
          <cell r="AA96">
            <v>99</v>
          </cell>
          <cell r="AB96">
            <v>47</v>
          </cell>
          <cell r="AC96">
            <v>7</v>
          </cell>
          <cell r="AD96">
            <v>0.23333333333333334</v>
          </cell>
          <cell r="AE96">
            <v>6.75</v>
          </cell>
          <cell r="AF96">
            <v>6.083333333333333</v>
          </cell>
          <cell r="AG96">
            <v>4.083333333333333</v>
          </cell>
          <cell r="AH96">
            <v>7</v>
          </cell>
          <cell r="AI96">
            <v>2</v>
          </cell>
          <cell r="AJ96">
            <v>2</v>
          </cell>
          <cell r="AK96">
            <v>3.770833333333333</v>
          </cell>
          <cell r="AL96">
            <v>2.3662118107501149</v>
          </cell>
          <cell r="AM96">
            <v>3.770833333333333</v>
          </cell>
          <cell r="AN96">
            <v>0.62750368461881501</v>
          </cell>
          <cell r="AO96">
            <v>0</v>
          </cell>
          <cell r="AP96">
            <v>46.333333333333336</v>
          </cell>
          <cell r="AQ96">
            <v>7.8767123287671232</v>
          </cell>
          <cell r="AR96">
            <v>0</v>
          </cell>
          <cell r="AS96">
            <v>61.833333333333321</v>
          </cell>
          <cell r="AT96">
            <v>71</v>
          </cell>
          <cell r="AU96">
            <v>17.387755102040817</v>
          </cell>
          <cell r="AV96">
            <v>0</v>
          </cell>
          <cell r="AW96">
            <v>66.916666666666671</v>
          </cell>
          <cell r="AX96">
            <v>62</v>
          </cell>
          <cell r="AY96">
            <v>16.441988950276244</v>
          </cell>
          <cell r="AZ96">
            <v>0</v>
          </cell>
          <cell r="BA96">
            <v>57.916666666666664</v>
          </cell>
          <cell r="BB96">
            <v>54</v>
          </cell>
          <cell r="BC96">
            <v>10.125</v>
          </cell>
          <cell r="BD96">
            <v>0</v>
          </cell>
          <cell r="BE96">
            <v>48.666666666666664</v>
          </cell>
          <cell r="BF96">
            <v>9.125</v>
          </cell>
          <cell r="BG96">
            <v>0</v>
          </cell>
          <cell r="BH96">
            <v>43.333333333333329</v>
          </cell>
          <cell r="BI96">
            <v>99</v>
          </cell>
          <cell r="BJ96">
            <v>26.254143646408842</v>
          </cell>
          <cell r="BK96">
            <v>0</v>
          </cell>
          <cell r="BL96">
            <v>33.666666666666664</v>
          </cell>
          <cell r="BM96">
            <v>24</v>
          </cell>
          <cell r="BN96">
            <v>3.1304347826086953</v>
          </cell>
          <cell r="BO96">
            <v>0</v>
          </cell>
          <cell r="BP96">
            <v>36.333333333333336</v>
          </cell>
          <cell r="BQ96">
            <v>36</v>
          </cell>
          <cell r="BR96">
            <v>9.5469613259668513</v>
          </cell>
          <cell r="BS96">
            <v>0</v>
          </cell>
          <cell r="BT96">
            <v>27.5</v>
          </cell>
          <cell r="BU96">
            <v>33</v>
          </cell>
          <cell r="BV96">
            <v>4.3043478260869561</v>
          </cell>
          <cell r="BW96">
            <v>29</v>
          </cell>
          <cell r="BX96">
            <v>0</v>
          </cell>
          <cell r="BY96">
            <v>25.333333333333332</v>
          </cell>
          <cell r="BZ96">
            <v>21</v>
          </cell>
          <cell r="CA96">
            <v>2.625</v>
          </cell>
          <cell r="CB96">
            <v>43</v>
          </cell>
          <cell r="CC96">
            <v>0</v>
          </cell>
          <cell r="CD96">
            <v>63</v>
          </cell>
          <cell r="CE96">
            <v>12</v>
          </cell>
          <cell r="CF96">
            <v>1.3333333333333333</v>
          </cell>
          <cell r="CG96">
            <v>60</v>
          </cell>
          <cell r="CH96">
            <v>50</v>
          </cell>
          <cell r="CI96">
            <v>114</v>
          </cell>
          <cell r="CJ96">
            <v>56</v>
          </cell>
          <cell r="CK96">
            <v>6.72</v>
          </cell>
          <cell r="CL96">
            <v>10</v>
          </cell>
          <cell r="CM96">
            <v>0</v>
          </cell>
          <cell r="CN96">
            <v>47.666666666666664</v>
          </cell>
          <cell r="CO96">
            <v>53</v>
          </cell>
          <cell r="CP96">
            <v>6.3599999999999994</v>
          </cell>
          <cell r="CQ96">
            <v>18.333333333333336</v>
          </cell>
          <cell r="CR96">
            <v>0</v>
          </cell>
          <cell r="CS96">
            <v>44.666666666666664</v>
          </cell>
          <cell r="CT96">
            <v>49</v>
          </cell>
          <cell r="CU96">
            <v>7</v>
          </cell>
          <cell r="CV96">
            <v>0</v>
          </cell>
          <cell r="CW96">
            <v>0</v>
          </cell>
          <cell r="CX96">
            <v>42</v>
          </cell>
          <cell r="CY96">
            <v>46</v>
          </cell>
          <cell r="CZ96">
            <v>6.5714285714285712</v>
          </cell>
          <cell r="DA96">
            <v>0</v>
          </cell>
          <cell r="DB96">
            <v>60</v>
          </cell>
          <cell r="DC96">
            <v>99</v>
          </cell>
          <cell r="DD96">
            <v>109</v>
          </cell>
          <cell r="DE96">
            <v>13.428571428571429</v>
          </cell>
          <cell r="DF96">
            <v>0</v>
          </cell>
          <cell r="DG96">
            <v>0</v>
          </cell>
          <cell r="DH96">
            <v>102</v>
          </cell>
          <cell r="DI96">
            <v>105</v>
          </cell>
          <cell r="DJ96">
            <v>26.380952380952383</v>
          </cell>
          <cell r="DK96">
            <v>0</v>
          </cell>
          <cell r="DL96">
            <v>0</v>
          </cell>
          <cell r="DM96">
            <v>98.0625</v>
          </cell>
          <cell r="DN96">
            <v>99</v>
          </cell>
          <cell r="DO96">
            <v>26.132596685082873</v>
          </cell>
          <cell r="DP96">
            <v>0</v>
          </cell>
          <cell r="DQ96">
            <v>0</v>
          </cell>
          <cell r="DR96">
            <v>95.229166666666671</v>
          </cell>
          <cell r="DS96">
            <v>95.229166666666671</v>
          </cell>
          <cell r="DT96">
            <v>25.132596685082877</v>
          </cell>
          <cell r="DU96">
            <v>0</v>
          </cell>
          <cell r="DV96">
            <v>0</v>
          </cell>
          <cell r="DW96">
            <v>91.458333333333343</v>
          </cell>
          <cell r="DX96">
            <v>91.458333333333343</v>
          </cell>
          <cell r="DY96">
            <v>24.132596685082877</v>
          </cell>
          <cell r="DZ96">
            <v>0</v>
          </cell>
          <cell r="EA96">
            <v>0</v>
          </cell>
          <cell r="EB96">
            <v>87.687500000000014</v>
          </cell>
          <cell r="EC96">
            <v>87.687500000000014</v>
          </cell>
          <cell r="ED96">
            <v>23.132596685082877</v>
          </cell>
          <cell r="EE96">
            <v>0</v>
          </cell>
          <cell r="EF96">
            <v>0</v>
          </cell>
          <cell r="EG96">
            <v>83.916666666666686</v>
          </cell>
          <cell r="EH96">
            <v>83.916666666666686</v>
          </cell>
          <cell r="EI96">
            <v>22.132596685082881</v>
          </cell>
          <cell r="EJ96">
            <v>0</v>
          </cell>
          <cell r="EK96">
            <v>0</v>
          </cell>
          <cell r="EL96">
            <v>80.145833333333357</v>
          </cell>
          <cell r="EM96">
            <v>80.145833333333357</v>
          </cell>
          <cell r="EN96">
            <v>21.132596685082881</v>
          </cell>
          <cell r="EO96">
            <v>0</v>
          </cell>
          <cell r="EP96">
            <v>0</v>
          </cell>
          <cell r="EQ96">
            <v>76.375000000000028</v>
          </cell>
          <cell r="ER96">
            <v>76.375000000000028</v>
          </cell>
          <cell r="ES96">
            <v>20.132596685082881</v>
          </cell>
          <cell r="ET96">
            <v>0</v>
          </cell>
          <cell r="EU96">
            <v>0</v>
          </cell>
          <cell r="EV96">
            <v>72.6041666666667</v>
          </cell>
          <cell r="EW96">
            <v>72.6041666666667</v>
          </cell>
          <cell r="EX96">
            <v>19.132596685082884</v>
          </cell>
          <cell r="EY96">
            <v>0</v>
          </cell>
          <cell r="EZ96">
            <v>0</v>
          </cell>
          <cell r="FA96">
            <v>68.833333333333371</v>
          </cell>
          <cell r="FB96">
            <v>68.833333333333371</v>
          </cell>
          <cell r="FC96">
            <v>18.132596685082884</v>
          </cell>
          <cell r="FD96">
            <v>0</v>
          </cell>
          <cell r="FE96">
            <v>0</v>
          </cell>
          <cell r="FF96">
            <v>65.062500000000043</v>
          </cell>
          <cell r="FG96">
            <v>65.062500000000043</v>
          </cell>
          <cell r="FH96">
            <v>17.132596685082888</v>
          </cell>
          <cell r="FI96">
            <v>0</v>
          </cell>
          <cell r="FJ96">
            <v>0</v>
          </cell>
          <cell r="FK96">
            <v>61.291666666666707</v>
          </cell>
          <cell r="FL96">
            <v>61.291666666666707</v>
          </cell>
          <cell r="FM96">
            <v>16.132596685082884</v>
          </cell>
          <cell r="FN96">
            <v>0</v>
          </cell>
          <cell r="FO96">
            <v>0</v>
          </cell>
          <cell r="FP96">
            <v>57.520833333333371</v>
          </cell>
          <cell r="FQ96">
            <v>57.520833333333371</v>
          </cell>
          <cell r="FR96">
            <v>15.132596685082884</v>
          </cell>
          <cell r="FS96">
            <v>0</v>
          </cell>
          <cell r="FT96">
            <v>8</v>
          </cell>
          <cell r="FU96">
            <v>2.0333333333333332</v>
          </cell>
          <cell r="FW96" t="str">
            <v>SOBRESTOCK</v>
          </cell>
          <cell r="FX96" t="str">
            <v>A</v>
          </cell>
          <cell r="FY96" t="str">
            <v>Si</v>
          </cell>
        </row>
        <row r="97">
          <cell r="B97" t="str">
            <v>REP-0096</v>
          </cell>
          <cell r="C97" t="str">
            <v>MIX</v>
          </cell>
          <cell r="D97">
            <v>0</v>
          </cell>
          <cell r="E97">
            <v>15</v>
          </cell>
          <cell r="F97">
            <v>0</v>
          </cell>
          <cell r="G97">
            <v>0</v>
          </cell>
          <cell r="H97">
            <v>10</v>
          </cell>
          <cell r="I97">
            <v>10</v>
          </cell>
          <cell r="J97">
            <v>0</v>
          </cell>
          <cell r="K97">
            <v>8</v>
          </cell>
          <cell r="L97">
            <v>0</v>
          </cell>
          <cell r="M97">
            <v>0</v>
          </cell>
          <cell r="N97">
            <v>4</v>
          </cell>
          <cell r="O97">
            <v>3</v>
          </cell>
          <cell r="P97">
            <v>1</v>
          </cell>
          <cell r="Q97">
            <v>5</v>
          </cell>
          <cell r="R97">
            <v>1</v>
          </cell>
          <cell r="S97">
            <v>3</v>
          </cell>
          <cell r="T97">
            <v>2</v>
          </cell>
          <cell r="U97">
            <v>0</v>
          </cell>
          <cell r="V97">
            <v>2</v>
          </cell>
          <cell r="W97">
            <v>2</v>
          </cell>
          <cell r="X97">
            <v>8</v>
          </cell>
          <cell r="Y97">
            <v>74</v>
          </cell>
          <cell r="AA97">
            <v>74</v>
          </cell>
          <cell r="AB97">
            <v>0</v>
          </cell>
          <cell r="AC97">
            <v>6</v>
          </cell>
          <cell r="AD97">
            <v>0.2</v>
          </cell>
          <cell r="AE97">
            <v>5.833333333333333</v>
          </cell>
          <cell r="AF97">
            <v>5.916666666666667</v>
          </cell>
          <cell r="AG97">
            <v>4.25</v>
          </cell>
          <cell r="AH97">
            <v>3.5</v>
          </cell>
          <cell r="AI97">
            <v>2.8333333333333335</v>
          </cell>
          <cell r="AJ97">
            <v>2.8333333333333335</v>
          </cell>
          <cell r="AK97">
            <v>4.25</v>
          </cell>
          <cell r="AL97">
            <v>1.2864140511946818</v>
          </cell>
          <cell r="AM97">
            <v>3.354166666666667</v>
          </cell>
          <cell r="AN97">
            <v>0.38352717054251378</v>
          </cell>
          <cell r="AO97">
            <v>0</v>
          </cell>
          <cell r="AP97">
            <v>26.75</v>
          </cell>
          <cell r="AQ97">
            <v>4.2394366197183091</v>
          </cell>
          <cell r="AR97">
            <v>0</v>
          </cell>
          <cell r="AS97">
            <v>19.166666666666664</v>
          </cell>
          <cell r="AT97">
            <v>29</v>
          </cell>
          <cell r="AU97">
            <v>6.8235294117647056</v>
          </cell>
          <cell r="AV97">
            <v>0</v>
          </cell>
          <cell r="AW97">
            <v>24.75</v>
          </cell>
          <cell r="AX97">
            <v>25</v>
          </cell>
          <cell r="AY97">
            <v>5.882352941176471</v>
          </cell>
          <cell r="AZ97">
            <v>0</v>
          </cell>
          <cell r="BA97">
            <v>50.75</v>
          </cell>
          <cell r="BB97">
            <v>20</v>
          </cell>
          <cell r="BC97">
            <v>4.7058823529411766</v>
          </cell>
          <cell r="BD97">
            <v>0</v>
          </cell>
          <cell r="BE97">
            <v>15.75</v>
          </cell>
          <cell r="BF97">
            <v>3.7058823529411766</v>
          </cell>
          <cell r="BG97">
            <v>30</v>
          </cell>
          <cell r="BH97">
            <v>41.5</v>
          </cell>
          <cell r="BI97">
            <v>74</v>
          </cell>
          <cell r="BJ97">
            <v>17.411764705882351</v>
          </cell>
          <cell r="BK97">
            <v>0</v>
          </cell>
          <cell r="BL97">
            <v>111.75</v>
          </cell>
          <cell r="BM97">
            <v>112</v>
          </cell>
          <cell r="BN97">
            <v>26.352941176470587</v>
          </cell>
          <cell r="BO97">
            <v>0</v>
          </cell>
          <cell r="BP97">
            <v>107.75</v>
          </cell>
          <cell r="BQ97">
            <v>110</v>
          </cell>
          <cell r="BR97">
            <v>25.882352941176471</v>
          </cell>
          <cell r="BS97">
            <v>0</v>
          </cell>
          <cell r="BT97">
            <v>105.75</v>
          </cell>
          <cell r="BU97">
            <v>106</v>
          </cell>
          <cell r="BV97">
            <v>24.941176470588236</v>
          </cell>
          <cell r="BW97">
            <v>0</v>
          </cell>
          <cell r="BX97">
            <v>0</v>
          </cell>
          <cell r="BY97">
            <v>101.75</v>
          </cell>
          <cell r="BZ97">
            <v>103</v>
          </cell>
          <cell r="CA97">
            <v>24.235294117647058</v>
          </cell>
          <cell r="CB97">
            <v>0</v>
          </cell>
          <cell r="CC97">
            <v>0</v>
          </cell>
          <cell r="CD97">
            <v>98.75</v>
          </cell>
          <cell r="CE97">
            <v>97</v>
          </cell>
          <cell r="CF97">
            <v>22.823529411764707</v>
          </cell>
          <cell r="CG97">
            <v>0</v>
          </cell>
          <cell r="CH97">
            <v>0</v>
          </cell>
          <cell r="CI97">
            <v>94.5</v>
          </cell>
          <cell r="CJ97">
            <v>94</v>
          </cell>
          <cell r="CK97">
            <v>21.692307692307693</v>
          </cell>
          <cell r="CL97">
            <v>0</v>
          </cell>
          <cell r="CM97">
            <v>0</v>
          </cell>
          <cell r="CN97">
            <v>89.666666666666671</v>
          </cell>
          <cell r="CO97">
            <v>83</v>
          </cell>
          <cell r="CP97">
            <v>10.375</v>
          </cell>
          <cell r="CQ97">
            <v>0</v>
          </cell>
          <cell r="CR97">
            <v>0</v>
          </cell>
          <cell r="CS97">
            <v>75</v>
          </cell>
          <cell r="CT97">
            <v>81</v>
          </cell>
          <cell r="CU97">
            <v>13.5</v>
          </cell>
          <cell r="CV97">
            <v>0</v>
          </cell>
          <cell r="CW97">
            <v>0</v>
          </cell>
          <cell r="CX97">
            <v>75</v>
          </cell>
          <cell r="CY97">
            <v>79</v>
          </cell>
          <cell r="CZ97">
            <v>16.928571428571427</v>
          </cell>
          <cell r="DA97">
            <v>0</v>
          </cell>
          <cell r="DB97">
            <v>0</v>
          </cell>
          <cell r="DC97">
            <v>74.75</v>
          </cell>
          <cell r="DD97">
            <v>71</v>
          </cell>
          <cell r="DE97">
            <v>14.588235294117647</v>
          </cell>
          <cell r="DF97">
            <v>0</v>
          </cell>
          <cell r="DG97">
            <v>0</v>
          </cell>
          <cell r="DH97">
            <v>66.75</v>
          </cell>
          <cell r="DI97">
            <v>70</v>
          </cell>
          <cell r="DJ97">
            <v>16.352941176470587</v>
          </cell>
          <cell r="DK97">
            <v>0</v>
          </cell>
          <cell r="DL97">
            <v>0</v>
          </cell>
          <cell r="DM97">
            <v>62.5</v>
          </cell>
          <cell r="DN97">
            <v>74</v>
          </cell>
          <cell r="DO97">
            <v>17.294117647058826</v>
          </cell>
          <cell r="DP97">
            <v>0</v>
          </cell>
          <cell r="DQ97">
            <v>0</v>
          </cell>
          <cell r="DR97">
            <v>69.75</v>
          </cell>
          <cell r="DS97">
            <v>69.75</v>
          </cell>
          <cell r="DT97">
            <v>16.294117647058826</v>
          </cell>
          <cell r="DU97">
            <v>0</v>
          </cell>
          <cell r="DV97">
            <v>0</v>
          </cell>
          <cell r="DW97">
            <v>65.5</v>
          </cell>
          <cell r="DX97">
            <v>65.5</v>
          </cell>
          <cell r="DY97">
            <v>15.294117647058824</v>
          </cell>
          <cell r="DZ97">
            <v>0</v>
          </cell>
          <cell r="EA97">
            <v>0</v>
          </cell>
          <cell r="EB97">
            <v>61.25</v>
          </cell>
          <cell r="EC97">
            <v>61.25</v>
          </cell>
          <cell r="ED97">
            <v>14.294117647058824</v>
          </cell>
          <cell r="EE97">
            <v>0</v>
          </cell>
          <cell r="EF97">
            <v>0</v>
          </cell>
          <cell r="EG97">
            <v>57</v>
          </cell>
          <cell r="EH97">
            <v>57</v>
          </cell>
          <cell r="EI97">
            <v>13.294117647058824</v>
          </cell>
          <cell r="EJ97">
            <v>0</v>
          </cell>
          <cell r="EK97">
            <v>0</v>
          </cell>
          <cell r="EL97">
            <v>52.75</v>
          </cell>
          <cell r="EM97">
            <v>52.75</v>
          </cell>
          <cell r="EN97">
            <v>12.294117647058824</v>
          </cell>
          <cell r="EO97">
            <v>0</v>
          </cell>
          <cell r="EP97">
            <v>0</v>
          </cell>
          <cell r="EQ97">
            <v>48.5</v>
          </cell>
          <cell r="ER97">
            <v>48.5</v>
          </cell>
          <cell r="ES97">
            <v>11.294117647058824</v>
          </cell>
          <cell r="ET97">
            <v>0</v>
          </cell>
          <cell r="EU97">
            <v>0</v>
          </cell>
          <cell r="EV97">
            <v>44.25</v>
          </cell>
          <cell r="EW97">
            <v>44.25</v>
          </cell>
          <cell r="EX97">
            <v>10.294117647058824</v>
          </cell>
          <cell r="EY97">
            <v>0</v>
          </cell>
          <cell r="EZ97">
            <v>0</v>
          </cell>
          <cell r="FA97">
            <v>40</v>
          </cell>
          <cell r="FB97">
            <v>40</v>
          </cell>
          <cell r="FC97">
            <v>9.2941176470588225</v>
          </cell>
          <cell r="FD97">
            <v>0</v>
          </cell>
          <cell r="FE97">
            <v>0</v>
          </cell>
          <cell r="FF97">
            <v>35.75</v>
          </cell>
          <cell r="FG97">
            <v>35.75</v>
          </cell>
          <cell r="FH97">
            <v>8.2941176470588225</v>
          </cell>
          <cell r="FI97">
            <v>0</v>
          </cell>
          <cell r="FJ97">
            <v>0</v>
          </cell>
          <cell r="FK97">
            <v>31.5</v>
          </cell>
          <cell r="FL97">
            <v>31.5</v>
          </cell>
          <cell r="FM97">
            <v>7.2941176470588234</v>
          </cell>
          <cell r="FN97">
            <v>0</v>
          </cell>
          <cell r="FO97">
            <v>0</v>
          </cell>
          <cell r="FP97">
            <v>27.25</v>
          </cell>
          <cell r="FQ97">
            <v>27.25</v>
          </cell>
          <cell r="FR97">
            <v>6.2941176470588234</v>
          </cell>
          <cell r="FS97">
            <v>0</v>
          </cell>
          <cell r="FT97">
            <v>9</v>
          </cell>
          <cell r="FU97">
            <v>2.0333333333333332</v>
          </cell>
          <cell r="FV97" t="str">
            <v>SI</v>
          </cell>
          <cell r="FW97" t="str">
            <v>SOBRESTOCK</v>
          </cell>
          <cell r="FX97" t="str">
            <v>A</v>
          </cell>
          <cell r="FY97" t="str">
            <v>Si</v>
          </cell>
        </row>
        <row r="98">
          <cell r="B98" t="str">
            <v>REP-0097</v>
          </cell>
          <cell r="C98" t="str">
            <v>MIX</v>
          </cell>
          <cell r="D98">
            <v>0</v>
          </cell>
          <cell r="E98">
            <v>150</v>
          </cell>
          <cell r="F98">
            <v>0</v>
          </cell>
          <cell r="G98">
            <v>0</v>
          </cell>
          <cell r="H98">
            <v>16</v>
          </cell>
          <cell r="I98">
            <v>16</v>
          </cell>
          <cell r="J98">
            <v>0</v>
          </cell>
          <cell r="K98">
            <v>29</v>
          </cell>
          <cell r="L98">
            <v>5</v>
          </cell>
          <cell r="M98">
            <v>5</v>
          </cell>
          <cell r="N98">
            <v>8</v>
          </cell>
          <cell r="O98">
            <v>11</v>
          </cell>
          <cell r="P98">
            <v>7</v>
          </cell>
          <cell r="Q98">
            <v>8</v>
          </cell>
          <cell r="R98">
            <v>6</v>
          </cell>
          <cell r="S98">
            <v>8</v>
          </cell>
          <cell r="T98">
            <v>8</v>
          </cell>
          <cell r="U98">
            <v>8</v>
          </cell>
          <cell r="V98">
            <v>7</v>
          </cell>
          <cell r="W98">
            <v>8</v>
          </cell>
          <cell r="X98">
            <v>8</v>
          </cell>
          <cell r="Y98">
            <v>308</v>
          </cell>
          <cell r="AA98">
            <v>308</v>
          </cell>
          <cell r="AB98">
            <v>209</v>
          </cell>
          <cell r="AC98">
            <v>29.333333333333332</v>
          </cell>
          <cell r="AD98">
            <v>0.97777777777777775</v>
          </cell>
          <cell r="AE98">
            <v>31</v>
          </cell>
          <cell r="AF98">
            <v>42.333333333333336</v>
          </cell>
          <cell r="AG98">
            <v>26.916666666666668</v>
          </cell>
          <cell r="AH98">
            <v>17.166666666666668</v>
          </cell>
          <cell r="AI98">
            <v>9.8333333333333339</v>
          </cell>
          <cell r="AJ98">
            <v>9.8333333333333339</v>
          </cell>
          <cell r="AK98">
            <v>15.937500000000002</v>
          </cell>
          <cell r="AL98">
            <v>8.0947442368032352</v>
          </cell>
          <cell r="AM98">
            <v>15.937500000000002</v>
          </cell>
          <cell r="AN98">
            <v>0.50790552074059514</v>
          </cell>
          <cell r="AO98">
            <v>0</v>
          </cell>
          <cell r="AP98">
            <v>598.08333333333337</v>
          </cell>
          <cell r="AQ98">
            <v>13.763779527559054</v>
          </cell>
          <cell r="AR98">
            <v>0</v>
          </cell>
          <cell r="AS98">
            <v>540.33333333333326</v>
          </cell>
          <cell r="AT98">
            <v>594</v>
          </cell>
          <cell r="AU98">
            <v>22.068111455108358</v>
          </cell>
          <cell r="AV98">
            <v>0</v>
          </cell>
          <cell r="AW98">
            <v>567.08333333333337</v>
          </cell>
          <cell r="AX98">
            <v>551</v>
          </cell>
          <cell r="AY98">
            <v>34.572549019607841</v>
          </cell>
          <cell r="AZ98">
            <v>0</v>
          </cell>
          <cell r="BA98">
            <v>524.08333333333337</v>
          </cell>
          <cell r="BB98">
            <v>539</v>
          </cell>
          <cell r="BC98">
            <v>20.024767801857585</v>
          </cell>
          <cell r="BD98">
            <v>0</v>
          </cell>
          <cell r="BE98">
            <v>512.08333333333337</v>
          </cell>
          <cell r="BF98">
            <v>19.024767801857585</v>
          </cell>
          <cell r="BG98">
            <v>0</v>
          </cell>
          <cell r="BH98">
            <v>485.16666666666669</v>
          </cell>
          <cell r="BI98">
            <v>308</v>
          </cell>
          <cell r="BJ98">
            <v>19.32549019607843</v>
          </cell>
          <cell r="BK98">
            <v>0</v>
          </cell>
          <cell r="BL98">
            <v>469.08333333333331</v>
          </cell>
          <cell r="BM98">
            <v>486</v>
          </cell>
          <cell r="BN98">
            <v>18.055727554179565</v>
          </cell>
          <cell r="BO98">
            <v>0</v>
          </cell>
          <cell r="BP98">
            <v>459.08333333333331</v>
          </cell>
          <cell r="BQ98">
            <v>472</v>
          </cell>
          <cell r="BR98">
            <v>29.615686274509802</v>
          </cell>
          <cell r="BS98">
            <v>0</v>
          </cell>
          <cell r="BT98">
            <v>445.08333333333331</v>
          </cell>
          <cell r="BU98">
            <v>458</v>
          </cell>
          <cell r="BV98">
            <v>17.015479876160988</v>
          </cell>
          <cell r="BW98">
            <v>0</v>
          </cell>
          <cell r="BX98">
            <v>0</v>
          </cell>
          <cell r="BY98">
            <v>431.08333333333331</v>
          </cell>
          <cell r="BZ98">
            <v>439</v>
          </cell>
          <cell r="CA98">
            <v>16.309597523219814</v>
          </cell>
          <cell r="CB98">
            <v>0</v>
          </cell>
          <cell r="CC98">
            <v>0</v>
          </cell>
          <cell r="CD98">
            <v>412.08333333333331</v>
          </cell>
          <cell r="CE98">
            <v>426</v>
          </cell>
          <cell r="CF98">
            <v>15.826625386996904</v>
          </cell>
          <cell r="CG98">
            <v>0</v>
          </cell>
          <cell r="CH98">
            <v>0</v>
          </cell>
          <cell r="CI98">
            <v>385.16666666666663</v>
          </cell>
          <cell r="CJ98">
            <v>431</v>
          </cell>
          <cell r="CK98">
            <v>16.012383900928793</v>
          </cell>
          <cell r="CL98">
            <v>0</v>
          </cell>
          <cell r="CM98">
            <v>0</v>
          </cell>
          <cell r="CN98">
            <v>404.08333333333331</v>
          </cell>
          <cell r="CO98">
            <v>410</v>
          </cell>
          <cell r="CP98">
            <v>15.232198142414861</v>
          </cell>
          <cell r="CQ98">
            <v>0</v>
          </cell>
          <cell r="CR98">
            <v>0</v>
          </cell>
          <cell r="CS98">
            <v>383.08333333333331</v>
          </cell>
          <cell r="CT98">
            <v>378</v>
          </cell>
          <cell r="CU98">
            <v>14.043343653250773</v>
          </cell>
          <cell r="CV98">
            <v>0</v>
          </cell>
          <cell r="CW98">
            <v>0</v>
          </cell>
          <cell r="CX98">
            <v>351.08333333333331</v>
          </cell>
          <cell r="CY98">
            <v>366</v>
          </cell>
          <cell r="CZ98">
            <v>13.59752321981424</v>
          </cell>
          <cell r="DA98">
            <v>0</v>
          </cell>
          <cell r="DB98">
            <v>0</v>
          </cell>
          <cell r="DC98">
            <v>349.41666666666669</v>
          </cell>
          <cell r="DD98">
            <v>330</v>
          </cell>
          <cell r="DE98">
            <v>11.010309278350515</v>
          </cell>
          <cell r="DF98">
            <v>0</v>
          </cell>
          <cell r="DG98">
            <v>0</v>
          </cell>
          <cell r="DH98">
            <v>313.83333333333331</v>
          </cell>
          <cell r="DI98">
            <v>320</v>
          </cell>
          <cell r="DJ98">
            <v>12.541176470588235</v>
          </cell>
          <cell r="DK98">
            <v>0</v>
          </cell>
          <cell r="DL98">
            <v>0</v>
          </cell>
          <cell r="DM98">
            <v>297.89583333333331</v>
          </cell>
          <cell r="DN98">
            <v>308</v>
          </cell>
          <cell r="DO98">
            <v>11.788235294117646</v>
          </cell>
          <cell r="DP98">
            <v>0</v>
          </cell>
          <cell r="DQ98">
            <v>0</v>
          </cell>
          <cell r="DR98">
            <v>292.0625</v>
          </cell>
          <cell r="DS98">
            <v>292.0625</v>
          </cell>
          <cell r="DT98">
            <v>10.788235294117646</v>
          </cell>
          <cell r="DU98">
            <v>0</v>
          </cell>
          <cell r="DV98">
            <v>0</v>
          </cell>
          <cell r="DW98">
            <v>276.125</v>
          </cell>
          <cell r="DX98">
            <v>276.125</v>
          </cell>
          <cell r="DY98">
            <v>9.788235294117646</v>
          </cell>
          <cell r="DZ98">
            <v>0</v>
          </cell>
          <cell r="EA98">
            <v>0</v>
          </cell>
          <cell r="EB98">
            <v>260.1875</v>
          </cell>
          <cell r="EC98">
            <v>260.1875</v>
          </cell>
          <cell r="ED98">
            <v>8.788235294117646</v>
          </cell>
          <cell r="EE98">
            <v>0</v>
          </cell>
          <cell r="EF98">
            <v>0</v>
          </cell>
          <cell r="EG98">
            <v>244.25</v>
          </cell>
          <cell r="EH98">
            <v>244.25</v>
          </cell>
          <cell r="EI98">
            <v>7.788235294117646</v>
          </cell>
          <cell r="EJ98">
            <v>0</v>
          </cell>
          <cell r="EK98">
            <v>0</v>
          </cell>
          <cell r="EL98">
            <v>228.3125</v>
          </cell>
          <cell r="EM98">
            <v>228.3125</v>
          </cell>
          <cell r="EN98">
            <v>6.7882352941176469</v>
          </cell>
          <cell r="EO98">
            <v>0</v>
          </cell>
          <cell r="EP98">
            <v>0</v>
          </cell>
          <cell r="EQ98">
            <v>212.375</v>
          </cell>
          <cell r="ER98">
            <v>212.375</v>
          </cell>
          <cell r="ES98">
            <v>5.788235294117646</v>
          </cell>
          <cell r="ET98">
            <v>0</v>
          </cell>
          <cell r="EU98">
            <v>0</v>
          </cell>
          <cell r="EV98">
            <v>196.4375</v>
          </cell>
          <cell r="EW98">
            <v>196.4375</v>
          </cell>
          <cell r="EX98">
            <v>4.7882352941176469</v>
          </cell>
          <cell r="EY98">
            <v>0</v>
          </cell>
          <cell r="EZ98">
            <v>0</v>
          </cell>
          <cell r="FA98">
            <v>180.5</v>
          </cell>
          <cell r="FB98">
            <v>180.5</v>
          </cell>
          <cell r="FC98">
            <v>3.7882352941176469</v>
          </cell>
          <cell r="FD98">
            <v>0</v>
          </cell>
          <cell r="FE98">
            <v>0</v>
          </cell>
          <cell r="FF98">
            <v>164.5625</v>
          </cell>
          <cell r="FG98">
            <v>164.5625</v>
          </cell>
          <cell r="FH98">
            <v>2.7882352941176469</v>
          </cell>
          <cell r="FI98">
            <v>0</v>
          </cell>
          <cell r="FJ98">
            <v>0</v>
          </cell>
          <cell r="FK98">
            <v>148.625</v>
          </cell>
          <cell r="FL98">
            <v>148.625</v>
          </cell>
          <cell r="FM98">
            <v>1.7882352941176471</v>
          </cell>
          <cell r="FN98">
            <v>3.375</v>
          </cell>
          <cell r="FO98">
            <v>40</v>
          </cell>
          <cell r="FP98">
            <v>172.6875</v>
          </cell>
          <cell r="FQ98">
            <v>172.6875</v>
          </cell>
          <cell r="FR98">
            <v>3.2980392156862743</v>
          </cell>
          <cell r="FS98">
            <v>0</v>
          </cell>
          <cell r="FT98">
            <v>152</v>
          </cell>
          <cell r="FU98">
            <v>2.0333333333333332</v>
          </cell>
          <cell r="FW98" t="str">
            <v>SOBRESTOCK</v>
          </cell>
          <cell r="FX98" t="str">
            <v>A</v>
          </cell>
          <cell r="FY98" t="str">
            <v>Si</v>
          </cell>
        </row>
        <row r="99">
          <cell r="B99" t="str">
            <v>REP-0098</v>
          </cell>
          <cell r="C99" t="str">
            <v>MIX</v>
          </cell>
          <cell r="D99">
            <v>0</v>
          </cell>
          <cell r="E99">
            <v>160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3</v>
          </cell>
          <cell r="T99">
            <v>0</v>
          </cell>
          <cell r="U99">
            <v>3</v>
          </cell>
          <cell r="V99">
            <v>1</v>
          </cell>
          <cell r="W99">
            <v>0</v>
          </cell>
          <cell r="X99">
            <v>0</v>
          </cell>
          <cell r="Y99">
            <v>168</v>
          </cell>
          <cell r="AA99">
            <v>168</v>
          </cell>
          <cell r="AB99">
            <v>2</v>
          </cell>
          <cell r="AC99">
            <v>0</v>
          </cell>
          <cell r="AD99">
            <v>0</v>
          </cell>
          <cell r="AE99">
            <v>0.16666666666666666</v>
          </cell>
          <cell r="AF99">
            <v>0.16666666666666666</v>
          </cell>
          <cell r="AG99">
            <v>8.3333333333333329E-2</v>
          </cell>
          <cell r="AH99">
            <v>0.25</v>
          </cell>
          <cell r="AI99">
            <v>1</v>
          </cell>
          <cell r="AJ99">
            <v>1</v>
          </cell>
          <cell r="AK99">
            <v>1</v>
          </cell>
          <cell r="AL99">
            <v>0.48591265790377525</v>
          </cell>
          <cell r="AM99">
            <v>0.58333333333333326</v>
          </cell>
          <cell r="AN99">
            <v>0.83299312783504342</v>
          </cell>
          <cell r="AO99">
            <v>0</v>
          </cell>
          <cell r="AP99">
            <v>-0.33333333333333331</v>
          </cell>
          <cell r="AQ99">
            <v>-1</v>
          </cell>
          <cell r="AR99">
            <v>0</v>
          </cell>
          <cell r="AS99">
            <v>-0.33333333333333331</v>
          </cell>
          <cell r="AT99">
            <v>0</v>
          </cell>
          <cell r="AU99">
            <v>0</v>
          </cell>
          <cell r="AV99">
            <v>0</v>
          </cell>
          <cell r="AW99">
            <v>-0.16666666666666666</v>
          </cell>
          <cell r="AX99">
            <v>0</v>
          </cell>
          <cell r="AY99">
            <v>0</v>
          </cell>
          <cell r="AZ99">
            <v>0</v>
          </cell>
          <cell r="BA99">
            <v>-8.3333333333333329E-2</v>
          </cell>
          <cell r="BB99">
            <v>0</v>
          </cell>
          <cell r="BC99">
            <v>0</v>
          </cell>
          <cell r="BD99">
            <v>0</v>
          </cell>
          <cell r="BE99">
            <v>-2.5</v>
          </cell>
          <cell r="BF99">
            <v>-1</v>
          </cell>
          <cell r="BG99">
            <v>0</v>
          </cell>
          <cell r="BH99">
            <v>-5</v>
          </cell>
          <cell r="BI99">
            <v>168</v>
          </cell>
          <cell r="BJ99">
            <v>168</v>
          </cell>
          <cell r="BK99">
            <v>0</v>
          </cell>
          <cell r="BL99">
            <v>-0.33333333333333331</v>
          </cell>
          <cell r="BM99">
            <v>0</v>
          </cell>
          <cell r="BN99">
            <v>0</v>
          </cell>
          <cell r="BO99">
            <v>0</v>
          </cell>
          <cell r="BP99">
            <v>-0.33333333333333331</v>
          </cell>
          <cell r="BQ99">
            <v>1</v>
          </cell>
          <cell r="BR99">
            <v>1</v>
          </cell>
          <cell r="BS99">
            <v>0</v>
          </cell>
          <cell r="BT99">
            <v>0.66666666666666674</v>
          </cell>
          <cell r="BU99">
            <v>0</v>
          </cell>
          <cell r="BV99">
            <v>0</v>
          </cell>
          <cell r="BW99">
            <v>2</v>
          </cell>
          <cell r="BX99">
            <v>0</v>
          </cell>
          <cell r="BY99">
            <v>99.666666666666671</v>
          </cell>
          <cell r="BZ99">
            <v>0</v>
          </cell>
          <cell r="CA99">
            <v>0</v>
          </cell>
          <cell r="CB99">
            <v>2</v>
          </cell>
          <cell r="CC99">
            <v>0</v>
          </cell>
          <cell r="CD99">
            <v>-0.33333333333333331</v>
          </cell>
          <cell r="CE99">
            <v>100</v>
          </cell>
          <cell r="CF99">
            <v>300</v>
          </cell>
          <cell r="CG99">
            <v>0</v>
          </cell>
          <cell r="CH99">
            <v>0</v>
          </cell>
          <cell r="CI99">
            <v>-0.66666666666666663</v>
          </cell>
          <cell r="CJ99">
            <v>100</v>
          </cell>
          <cell r="CK99">
            <v>400</v>
          </cell>
          <cell r="CL99">
            <v>0</v>
          </cell>
          <cell r="CM99">
            <v>50</v>
          </cell>
          <cell r="CN99">
            <v>149.75</v>
          </cell>
          <cell r="CO99">
            <v>149</v>
          </cell>
          <cell r="CP99">
            <v>149</v>
          </cell>
          <cell r="CQ99">
            <v>0</v>
          </cell>
          <cell r="CR99">
            <v>0</v>
          </cell>
          <cell r="CS99">
            <v>148</v>
          </cell>
          <cell r="CT99">
            <v>147</v>
          </cell>
          <cell r="CU99">
            <v>98</v>
          </cell>
          <cell r="CV99">
            <v>0</v>
          </cell>
          <cell r="CW99">
            <v>0</v>
          </cell>
          <cell r="CX99">
            <v>145.5</v>
          </cell>
          <cell r="CY99">
            <v>151</v>
          </cell>
          <cell r="CZ99">
            <v>151</v>
          </cell>
          <cell r="DA99">
            <v>0</v>
          </cell>
          <cell r="DB99">
            <v>0</v>
          </cell>
          <cell r="DC99">
            <v>150</v>
          </cell>
          <cell r="DD99">
            <v>145</v>
          </cell>
          <cell r="DE99">
            <v>142</v>
          </cell>
          <cell r="DF99">
            <v>0</v>
          </cell>
          <cell r="DG99">
            <v>0</v>
          </cell>
          <cell r="DH99">
            <v>144</v>
          </cell>
          <cell r="DI99">
            <v>143</v>
          </cell>
          <cell r="DJ99">
            <v>118.66666666666667</v>
          </cell>
          <cell r="DK99">
            <v>0</v>
          </cell>
          <cell r="DL99">
            <v>0</v>
          </cell>
          <cell r="DM99">
            <v>142.80000000000001</v>
          </cell>
          <cell r="DN99">
            <v>168</v>
          </cell>
          <cell r="DO99">
            <v>167</v>
          </cell>
          <cell r="DP99">
            <v>0</v>
          </cell>
          <cell r="DQ99">
            <v>0</v>
          </cell>
          <cell r="DR99">
            <v>167</v>
          </cell>
          <cell r="DS99">
            <v>167</v>
          </cell>
          <cell r="DT99">
            <v>166</v>
          </cell>
          <cell r="DU99">
            <v>0</v>
          </cell>
          <cell r="DV99">
            <v>0</v>
          </cell>
          <cell r="DW99">
            <v>166</v>
          </cell>
          <cell r="DX99">
            <v>166</v>
          </cell>
          <cell r="DY99">
            <v>165</v>
          </cell>
          <cell r="DZ99">
            <v>0</v>
          </cell>
          <cell r="EA99">
            <v>0</v>
          </cell>
          <cell r="EB99">
            <v>165</v>
          </cell>
          <cell r="EC99">
            <v>165</v>
          </cell>
          <cell r="ED99">
            <v>164</v>
          </cell>
          <cell r="EE99">
            <v>0</v>
          </cell>
          <cell r="EF99">
            <v>0</v>
          </cell>
          <cell r="EG99">
            <v>164</v>
          </cell>
          <cell r="EH99">
            <v>164</v>
          </cell>
          <cell r="EI99">
            <v>163</v>
          </cell>
          <cell r="EJ99">
            <v>0</v>
          </cell>
          <cell r="EK99">
            <v>0</v>
          </cell>
          <cell r="EL99">
            <v>163</v>
          </cell>
          <cell r="EM99">
            <v>163</v>
          </cell>
          <cell r="EN99">
            <v>162</v>
          </cell>
          <cell r="EO99">
            <v>0</v>
          </cell>
          <cell r="EP99">
            <v>0</v>
          </cell>
          <cell r="EQ99">
            <v>162</v>
          </cell>
          <cell r="ER99">
            <v>162</v>
          </cell>
          <cell r="ES99">
            <v>161</v>
          </cell>
          <cell r="ET99">
            <v>0</v>
          </cell>
          <cell r="EU99">
            <v>0</v>
          </cell>
          <cell r="EV99">
            <v>161</v>
          </cell>
          <cell r="EW99">
            <v>161</v>
          </cell>
          <cell r="EX99">
            <v>160</v>
          </cell>
          <cell r="EY99">
            <v>0</v>
          </cell>
          <cell r="EZ99">
            <v>0</v>
          </cell>
          <cell r="FA99">
            <v>160</v>
          </cell>
          <cell r="FB99">
            <v>160</v>
          </cell>
          <cell r="FC99">
            <v>159</v>
          </cell>
          <cell r="FD99">
            <v>0</v>
          </cell>
          <cell r="FE99">
            <v>0</v>
          </cell>
          <cell r="FF99">
            <v>159</v>
          </cell>
          <cell r="FG99">
            <v>159</v>
          </cell>
          <cell r="FH99">
            <v>158</v>
          </cell>
          <cell r="FI99">
            <v>0</v>
          </cell>
          <cell r="FJ99">
            <v>0</v>
          </cell>
          <cell r="FK99">
            <v>158</v>
          </cell>
          <cell r="FL99">
            <v>158</v>
          </cell>
          <cell r="FM99">
            <v>157</v>
          </cell>
          <cell r="FN99">
            <v>0</v>
          </cell>
          <cell r="FO99">
            <v>0</v>
          </cell>
          <cell r="FP99">
            <v>157</v>
          </cell>
          <cell r="FQ99">
            <v>157</v>
          </cell>
          <cell r="FR99">
            <v>156</v>
          </cell>
          <cell r="FS99">
            <v>0</v>
          </cell>
          <cell r="FT99">
            <v>3</v>
          </cell>
          <cell r="FU99">
            <v>2.0333333333333332</v>
          </cell>
          <cell r="FV99" t="str">
            <v>REVISAR</v>
          </cell>
          <cell r="FW99" t="str">
            <v>SOBRESTOCK</v>
          </cell>
          <cell r="FX99" t="str">
            <v>C</v>
          </cell>
          <cell r="FY99" t="str">
            <v>Si</v>
          </cell>
        </row>
        <row r="100">
          <cell r="B100" t="str">
            <v>REP-0099</v>
          </cell>
          <cell r="C100" t="str">
            <v>MIX</v>
          </cell>
          <cell r="D100">
            <v>0</v>
          </cell>
          <cell r="E100">
            <v>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</v>
          </cell>
          <cell r="L100">
            <v>4</v>
          </cell>
          <cell r="M100">
            <v>2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</v>
          </cell>
          <cell r="S100">
            <v>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13</v>
          </cell>
          <cell r="AA100">
            <v>13</v>
          </cell>
          <cell r="AB100">
            <v>1</v>
          </cell>
          <cell r="AC100">
            <v>0</v>
          </cell>
          <cell r="AD100">
            <v>0</v>
          </cell>
          <cell r="AE100">
            <v>8.3333333333333329E-2</v>
          </cell>
          <cell r="AF100">
            <v>0.33333333333333331</v>
          </cell>
          <cell r="AG100">
            <v>0.33333333333333331</v>
          </cell>
          <cell r="AH100">
            <v>0.83333333333333337</v>
          </cell>
          <cell r="AI100">
            <v>0.33333333333333331</v>
          </cell>
          <cell r="AJ100">
            <v>0.33333333333333331</v>
          </cell>
          <cell r="AK100">
            <v>0.83333333333333337</v>
          </cell>
          <cell r="AL100">
            <v>0.25000000000000011</v>
          </cell>
          <cell r="AM100">
            <v>0.45833333333333331</v>
          </cell>
          <cell r="AN100">
            <v>0.54545454545454575</v>
          </cell>
          <cell r="AO100">
            <v>0</v>
          </cell>
          <cell r="AP100">
            <v>8.6666666666666661</v>
          </cell>
          <cell r="AQ100">
            <v>29</v>
          </cell>
          <cell r="AR100">
            <v>0</v>
          </cell>
          <cell r="AS100">
            <v>9.3333333333333321</v>
          </cell>
          <cell r="AT100">
            <v>10</v>
          </cell>
          <cell r="AU100">
            <v>30</v>
          </cell>
          <cell r="AV100">
            <v>0</v>
          </cell>
          <cell r="AW100">
            <v>9.6666666666666661</v>
          </cell>
          <cell r="AX100">
            <v>10</v>
          </cell>
          <cell r="AY100">
            <v>12</v>
          </cell>
          <cell r="AZ100">
            <v>0</v>
          </cell>
          <cell r="BA100">
            <v>14.666666666666666</v>
          </cell>
          <cell r="BB100">
            <v>8</v>
          </cell>
          <cell r="BC100">
            <v>12</v>
          </cell>
          <cell r="BD100">
            <v>0</v>
          </cell>
          <cell r="BE100">
            <v>7.333333333333333</v>
          </cell>
          <cell r="BF100">
            <v>11</v>
          </cell>
          <cell r="BG100">
            <v>5</v>
          </cell>
          <cell r="BH100">
            <v>11.666666666666666</v>
          </cell>
          <cell r="BI100">
            <v>13</v>
          </cell>
          <cell r="BJ100">
            <v>15.6</v>
          </cell>
          <cell r="BK100">
            <v>0</v>
          </cell>
          <cell r="BL100">
            <v>21.5</v>
          </cell>
          <cell r="BM100">
            <v>20</v>
          </cell>
          <cell r="BN100">
            <v>24</v>
          </cell>
          <cell r="BO100">
            <v>0</v>
          </cell>
          <cell r="BP100">
            <v>19.166666666666668</v>
          </cell>
          <cell r="BQ100">
            <v>20</v>
          </cell>
          <cell r="BR100">
            <v>24</v>
          </cell>
          <cell r="BS100">
            <v>0</v>
          </cell>
          <cell r="BT100">
            <v>19.166666666666668</v>
          </cell>
          <cell r="BU100">
            <v>18</v>
          </cell>
          <cell r="BV100">
            <v>13.5</v>
          </cell>
          <cell r="BW100">
            <v>0</v>
          </cell>
          <cell r="BX100">
            <v>0</v>
          </cell>
          <cell r="BY100">
            <v>16.666666666666668</v>
          </cell>
          <cell r="BZ100">
            <v>17</v>
          </cell>
          <cell r="CA100">
            <v>14.571428571428571</v>
          </cell>
          <cell r="CB100">
            <v>0</v>
          </cell>
          <cell r="CC100">
            <v>0</v>
          </cell>
          <cell r="CD100">
            <v>15.833333333333334</v>
          </cell>
          <cell r="CE100">
            <v>16</v>
          </cell>
          <cell r="CF100">
            <v>12</v>
          </cell>
          <cell r="CG100">
            <v>0</v>
          </cell>
          <cell r="CH100">
            <v>0</v>
          </cell>
          <cell r="CI100">
            <v>14.5</v>
          </cell>
          <cell r="CJ100">
            <v>17</v>
          </cell>
          <cell r="CK100">
            <v>14.571428571428571</v>
          </cell>
          <cell r="CL100">
            <v>0</v>
          </cell>
          <cell r="CM100">
            <v>0</v>
          </cell>
          <cell r="CN100">
            <v>15.833333333333334</v>
          </cell>
          <cell r="CO100">
            <v>17</v>
          </cell>
          <cell r="CP100">
            <v>14.571428571428571</v>
          </cell>
          <cell r="CQ100">
            <v>0</v>
          </cell>
          <cell r="CR100">
            <v>0</v>
          </cell>
          <cell r="CS100">
            <v>15.833333333333334</v>
          </cell>
          <cell r="CT100">
            <v>17</v>
          </cell>
          <cell r="CU100">
            <v>20.399999999999999</v>
          </cell>
          <cell r="CV100">
            <v>0</v>
          </cell>
          <cell r="CW100">
            <v>0</v>
          </cell>
          <cell r="CX100">
            <v>16.166666666666668</v>
          </cell>
          <cell r="CY100">
            <v>15</v>
          </cell>
          <cell r="CZ100">
            <v>18</v>
          </cell>
          <cell r="DA100">
            <v>0</v>
          </cell>
          <cell r="DB100">
            <v>0</v>
          </cell>
          <cell r="DC100">
            <v>14.166666666666666</v>
          </cell>
          <cell r="DD100">
            <v>15</v>
          </cell>
          <cell r="DE100">
            <v>15.6</v>
          </cell>
          <cell r="DF100">
            <v>0</v>
          </cell>
          <cell r="DG100">
            <v>0</v>
          </cell>
          <cell r="DH100">
            <v>14.166666666666666</v>
          </cell>
          <cell r="DI100">
            <v>14</v>
          </cell>
          <cell r="DJ100">
            <v>16.399999999999999</v>
          </cell>
          <cell r="DK100">
            <v>0</v>
          </cell>
          <cell r="DL100">
            <v>0</v>
          </cell>
          <cell r="DM100">
            <v>13.333333333333332</v>
          </cell>
          <cell r="DN100">
            <v>13</v>
          </cell>
          <cell r="DO100">
            <v>15.2</v>
          </cell>
          <cell r="DP100">
            <v>0</v>
          </cell>
          <cell r="DQ100">
            <v>0</v>
          </cell>
          <cell r="DR100">
            <v>12.166666666666666</v>
          </cell>
          <cell r="DS100">
            <v>12.166666666666666</v>
          </cell>
          <cell r="DT100">
            <v>14.2</v>
          </cell>
          <cell r="DU100">
            <v>0</v>
          </cell>
          <cell r="DV100">
            <v>0</v>
          </cell>
          <cell r="DW100">
            <v>11.333333333333332</v>
          </cell>
          <cell r="DX100">
            <v>11.333333333333332</v>
          </cell>
          <cell r="DY100">
            <v>13.199999999999998</v>
          </cell>
          <cell r="DZ100">
            <v>0</v>
          </cell>
          <cell r="EA100">
            <v>0</v>
          </cell>
          <cell r="EB100">
            <v>10.499999999999998</v>
          </cell>
          <cell r="EC100">
            <v>10.499999999999998</v>
          </cell>
          <cell r="ED100">
            <v>12.199999999999998</v>
          </cell>
          <cell r="EE100">
            <v>0</v>
          </cell>
          <cell r="EF100">
            <v>0</v>
          </cell>
          <cell r="EG100">
            <v>9.6666666666666643</v>
          </cell>
          <cell r="EH100">
            <v>9.6666666666666643</v>
          </cell>
          <cell r="EI100">
            <v>11.199999999999998</v>
          </cell>
          <cell r="EJ100">
            <v>0</v>
          </cell>
          <cell r="EK100">
            <v>0</v>
          </cell>
          <cell r="EL100">
            <v>8.8333333333333304</v>
          </cell>
          <cell r="EM100">
            <v>8.8333333333333304</v>
          </cell>
          <cell r="EN100">
            <v>10.199999999999996</v>
          </cell>
          <cell r="EO100">
            <v>0</v>
          </cell>
          <cell r="EP100">
            <v>0</v>
          </cell>
          <cell r="EQ100">
            <v>7.9999999999999973</v>
          </cell>
          <cell r="ER100">
            <v>7.9999999999999973</v>
          </cell>
          <cell r="ES100">
            <v>9.1999999999999957</v>
          </cell>
          <cell r="ET100">
            <v>0</v>
          </cell>
          <cell r="EU100">
            <v>0</v>
          </cell>
          <cell r="EV100">
            <v>7.1666666666666643</v>
          </cell>
          <cell r="EW100">
            <v>7.1666666666666643</v>
          </cell>
          <cell r="EX100">
            <v>8.1999999999999957</v>
          </cell>
          <cell r="EY100">
            <v>0</v>
          </cell>
          <cell r="EZ100">
            <v>0</v>
          </cell>
          <cell r="FA100">
            <v>6.3333333333333313</v>
          </cell>
          <cell r="FB100">
            <v>6.3333333333333313</v>
          </cell>
          <cell r="FC100">
            <v>7.1999999999999975</v>
          </cell>
          <cell r="FD100">
            <v>0</v>
          </cell>
          <cell r="FE100">
            <v>0</v>
          </cell>
          <cell r="FF100">
            <v>5.4999999999999982</v>
          </cell>
          <cell r="FG100">
            <v>5.4999999999999982</v>
          </cell>
          <cell r="FH100">
            <v>6.1999999999999975</v>
          </cell>
          <cell r="FI100">
            <v>0</v>
          </cell>
          <cell r="FJ100">
            <v>0</v>
          </cell>
          <cell r="FK100">
            <v>4.6666666666666652</v>
          </cell>
          <cell r="FL100">
            <v>4.6666666666666652</v>
          </cell>
          <cell r="FM100">
            <v>5.1999999999999975</v>
          </cell>
          <cell r="FN100">
            <v>0</v>
          </cell>
          <cell r="FO100">
            <v>0</v>
          </cell>
          <cell r="FP100">
            <v>3.8333333333333317</v>
          </cell>
          <cell r="FQ100">
            <v>3.8333333333333317</v>
          </cell>
          <cell r="FR100">
            <v>4.1999999999999975</v>
          </cell>
          <cell r="FS100">
            <v>0</v>
          </cell>
          <cell r="FT100">
            <v>2</v>
          </cell>
          <cell r="FU100">
            <v>2.0333333333333332</v>
          </cell>
          <cell r="FW100" t="str">
            <v>SOBRESTOCK</v>
          </cell>
          <cell r="FX100" t="str">
            <v>C</v>
          </cell>
          <cell r="FY100" t="str">
            <v>Si</v>
          </cell>
        </row>
        <row r="101">
          <cell r="B101" t="str">
            <v>REP-0100</v>
          </cell>
          <cell r="C101" t="str">
            <v>MIX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O101">
            <v>0</v>
          </cell>
          <cell r="AP101">
            <v>0</v>
          </cell>
          <cell r="AQ101" t="str">
            <v/>
          </cell>
          <cell r="AR101">
            <v>0</v>
          </cell>
          <cell r="AS101">
            <v>0</v>
          </cell>
          <cell r="AT101">
            <v>0</v>
          </cell>
          <cell r="AU101" t="str">
            <v/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 t="str">
            <v/>
          </cell>
          <cell r="BD101">
            <v>0</v>
          </cell>
          <cell r="BE101">
            <v>0</v>
          </cell>
          <cell r="BF101" t="str">
            <v/>
          </cell>
          <cell r="BG101">
            <v>0</v>
          </cell>
          <cell r="BH101">
            <v>0</v>
          </cell>
          <cell r="BI101">
            <v>0</v>
          </cell>
          <cell r="BJ101" t="str">
            <v/>
          </cell>
          <cell r="BK101">
            <v>0</v>
          </cell>
          <cell r="BL101">
            <v>0</v>
          </cell>
          <cell r="BM101">
            <v>0</v>
          </cell>
          <cell r="BN101" t="str">
            <v/>
          </cell>
          <cell r="BO101">
            <v>0</v>
          </cell>
          <cell r="BP101">
            <v>0</v>
          </cell>
          <cell r="BQ101">
            <v>0</v>
          </cell>
          <cell r="BR101" t="str">
            <v/>
          </cell>
          <cell r="BS101">
            <v>0</v>
          </cell>
          <cell r="BT101">
            <v>0</v>
          </cell>
          <cell r="BU101">
            <v>0</v>
          </cell>
          <cell r="BV101" t="str">
            <v/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 t="str">
            <v/>
          </cell>
          <cell r="CB101">
            <v>0</v>
          </cell>
          <cell r="CD101">
            <v>0</v>
          </cell>
          <cell r="CE101">
            <v>0</v>
          </cell>
          <cell r="CF101" t="str">
            <v/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 t="str">
            <v/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 t="str">
            <v/>
          </cell>
          <cell r="CQ101">
            <v>0</v>
          </cell>
          <cell r="CS101">
            <v>0</v>
          </cell>
          <cell r="CT101">
            <v>0</v>
          </cell>
          <cell r="CU101" t="str">
            <v/>
          </cell>
          <cell r="CV101">
            <v>0</v>
          </cell>
          <cell r="CX101">
            <v>0</v>
          </cell>
          <cell r="CY101">
            <v>0</v>
          </cell>
          <cell r="CZ101" t="str">
            <v/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 t="str">
            <v/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 t="str">
            <v/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 t="str">
            <v/>
          </cell>
          <cell r="DP101">
            <v>0</v>
          </cell>
          <cell r="DR101">
            <v>0</v>
          </cell>
          <cell r="DS101">
            <v>0</v>
          </cell>
          <cell r="DT101" t="str">
            <v/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 t="str">
            <v/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 t="str">
            <v/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 t="str">
            <v/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 t="str">
            <v/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 t="str">
            <v/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 t="str">
            <v/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 t="str">
            <v/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 t="str">
            <v/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 t="str">
            <v/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 t="str">
            <v/>
          </cell>
          <cell r="FS101">
            <v>0</v>
          </cell>
          <cell r="FT101">
            <v>0</v>
          </cell>
          <cell r="FU101">
            <v>66.666666666666671</v>
          </cell>
          <cell r="FW101" t="str">
            <v>SIN ROTACIÓN</v>
          </cell>
          <cell r="FX101" t="str">
            <v/>
          </cell>
          <cell r="FY101" t="str">
            <v>No</v>
          </cell>
        </row>
        <row r="102">
          <cell r="B102" t="str">
            <v>REP-0101</v>
          </cell>
          <cell r="C102" t="str">
            <v>MIX</v>
          </cell>
          <cell r="D102">
            <v>0</v>
          </cell>
          <cell r="E102">
            <v>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</v>
          </cell>
          <cell r="Q102">
            <v>0</v>
          </cell>
          <cell r="R102">
            <v>0</v>
          </cell>
          <cell r="S102">
            <v>1</v>
          </cell>
          <cell r="T102">
            <v>0</v>
          </cell>
          <cell r="U102">
            <v>1</v>
          </cell>
          <cell r="V102">
            <v>0</v>
          </cell>
          <cell r="W102">
            <v>0</v>
          </cell>
          <cell r="X102">
            <v>0</v>
          </cell>
          <cell r="Y102">
            <v>8</v>
          </cell>
          <cell r="AA102">
            <v>8</v>
          </cell>
          <cell r="AB102">
            <v>3</v>
          </cell>
          <cell r="AC102">
            <v>0.5</v>
          </cell>
          <cell r="AD102">
            <v>1.6666666666666666E-2</v>
          </cell>
          <cell r="AE102">
            <v>0.5</v>
          </cell>
          <cell r="AF102">
            <v>0</v>
          </cell>
          <cell r="AG102">
            <v>8.3333333333333329E-2</v>
          </cell>
          <cell r="AH102">
            <v>0.33333333333333331</v>
          </cell>
          <cell r="AI102">
            <v>0.66666666666666663</v>
          </cell>
          <cell r="AJ102">
            <v>0.66666666666666663</v>
          </cell>
          <cell r="AK102">
            <v>0.66666666666666663</v>
          </cell>
          <cell r="AL102">
            <v>0.28361913689808521</v>
          </cell>
          <cell r="AM102">
            <v>0.4375</v>
          </cell>
          <cell r="AN102">
            <v>0.64827231290990905</v>
          </cell>
          <cell r="AO102">
            <v>0</v>
          </cell>
          <cell r="AP102">
            <v>14.555555555555555</v>
          </cell>
          <cell r="AQ102">
            <v>179</v>
          </cell>
          <cell r="AR102">
            <v>0</v>
          </cell>
          <cell r="AS102">
            <v>13</v>
          </cell>
          <cell r="AT102">
            <v>13</v>
          </cell>
          <cell r="AU102">
            <v>13</v>
          </cell>
          <cell r="AV102">
            <v>0</v>
          </cell>
          <cell r="AW102">
            <v>12</v>
          </cell>
          <cell r="AX102">
            <v>13</v>
          </cell>
          <cell r="AY102">
            <v>19.5</v>
          </cell>
          <cell r="AZ102">
            <v>0</v>
          </cell>
          <cell r="BA102">
            <v>12.333333333333334</v>
          </cell>
          <cell r="BB102">
            <v>13</v>
          </cell>
          <cell r="BC102">
            <v>19.5</v>
          </cell>
          <cell r="BD102">
            <v>0</v>
          </cell>
          <cell r="BE102">
            <v>12.333333333333334</v>
          </cell>
          <cell r="BF102">
            <v>18.500000000000004</v>
          </cell>
          <cell r="BG102">
            <v>0</v>
          </cell>
          <cell r="BH102">
            <v>11.666666666666668</v>
          </cell>
          <cell r="BI102">
            <v>8</v>
          </cell>
          <cell r="BJ102">
            <v>12</v>
          </cell>
          <cell r="BK102">
            <v>0</v>
          </cell>
          <cell r="BL102">
            <v>10.333333333333334</v>
          </cell>
          <cell r="BM102">
            <v>12</v>
          </cell>
          <cell r="BN102">
            <v>21</v>
          </cell>
          <cell r="BO102">
            <v>0</v>
          </cell>
          <cell r="BP102">
            <v>11.428571428571429</v>
          </cell>
          <cell r="BQ102">
            <v>11</v>
          </cell>
          <cell r="BR102">
            <v>16.5</v>
          </cell>
          <cell r="BS102">
            <v>0</v>
          </cell>
          <cell r="BT102">
            <v>10.5</v>
          </cell>
          <cell r="BU102">
            <v>11</v>
          </cell>
          <cell r="BV102">
            <v>24.75</v>
          </cell>
          <cell r="BW102">
            <v>0</v>
          </cell>
          <cell r="BX102">
            <v>0</v>
          </cell>
          <cell r="BY102">
            <v>10.555555555555555</v>
          </cell>
          <cell r="BZ102">
            <v>11</v>
          </cell>
          <cell r="CA102">
            <v>27.5</v>
          </cell>
          <cell r="CB102">
            <v>0</v>
          </cell>
          <cell r="CC102">
            <v>0</v>
          </cell>
          <cell r="CD102">
            <v>10.6</v>
          </cell>
          <cell r="CE102">
            <v>11</v>
          </cell>
          <cell r="CF102">
            <v>30.25</v>
          </cell>
          <cell r="CG102">
            <v>0</v>
          </cell>
          <cell r="CH102">
            <v>0</v>
          </cell>
          <cell r="CI102">
            <v>10.236363636363636</v>
          </cell>
          <cell r="CJ102">
            <v>11</v>
          </cell>
          <cell r="CK102">
            <v>33</v>
          </cell>
          <cell r="CL102">
            <v>0</v>
          </cell>
          <cell r="CM102">
            <v>0</v>
          </cell>
          <cell r="CN102">
            <v>10.666666666666666</v>
          </cell>
          <cell r="CO102">
            <v>11</v>
          </cell>
          <cell r="CP102">
            <v>33</v>
          </cell>
          <cell r="CQ102">
            <v>0</v>
          </cell>
          <cell r="CR102">
            <v>0</v>
          </cell>
          <cell r="CS102">
            <v>10.666666666666666</v>
          </cell>
          <cell r="CT102">
            <v>10</v>
          </cell>
          <cell r="CU102">
            <v>20</v>
          </cell>
          <cell r="CV102">
            <v>0</v>
          </cell>
          <cell r="CW102">
            <v>0</v>
          </cell>
          <cell r="CX102">
            <v>9.5</v>
          </cell>
          <cell r="CY102">
            <v>9</v>
          </cell>
          <cell r="CZ102">
            <v>9</v>
          </cell>
          <cell r="DA102">
            <v>0</v>
          </cell>
          <cell r="DB102">
            <v>0</v>
          </cell>
          <cell r="DC102">
            <v>8</v>
          </cell>
          <cell r="DD102">
            <v>8</v>
          </cell>
          <cell r="DE102">
            <v>6</v>
          </cell>
          <cell r="DF102">
            <v>0</v>
          </cell>
          <cell r="DG102">
            <v>0</v>
          </cell>
          <cell r="DH102">
            <v>7</v>
          </cell>
          <cell r="DI102">
            <v>8</v>
          </cell>
          <cell r="DJ102">
            <v>9.5</v>
          </cell>
          <cell r="DK102">
            <v>0</v>
          </cell>
          <cell r="DL102">
            <v>0</v>
          </cell>
          <cell r="DM102">
            <v>6.2</v>
          </cell>
          <cell r="DN102">
            <v>8</v>
          </cell>
          <cell r="DO102">
            <v>11</v>
          </cell>
          <cell r="DP102">
            <v>0</v>
          </cell>
          <cell r="DQ102">
            <v>0</v>
          </cell>
          <cell r="DR102">
            <v>7.333333333333333</v>
          </cell>
          <cell r="DS102">
            <v>7.333333333333333</v>
          </cell>
          <cell r="DT102">
            <v>10</v>
          </cell>
          <cell r="DU102">
            <v>0</v>
          </cell>
          <cell r="DV102">
            <v>0</v>
          </cell>
          <cell r="DW102">
            <v>6.6666666666666661</v>
          </cell>
          <cell r="DX102">
            <v>6.6666666666666661</v>
          </cell>
          <cell r="DY102">
            <v>9</v>
          </cell>
          <cell r="DZ102">
            <v>0</v>
          </cell>
          <cell r="EA102">
            <v>0</v>
          </cell>
          <cell r="EB102">
            <v>5.9999999999999991</v>
          </cell>
          <cell r="EC102">
            <v>5.9999999999999991</v>
          </cell>
          <cell r="ED102">
            <v>7.9999999999999991</v>
          </cell>
          <cell r="EE102">
            <v>0</v>
          </cell>
          <cell r="EF102">
            <v>0</v>
          </cell>
          <cell r="EG102">
            <v>5.3333333333333321</v>
          </cell>
          <cell r="EH102">
            <v>5.3333333333333321</v>
          </cell>
          <cell r="EI102">
            <v>6.9999999999999982</v>
          </cell>
          <cell r="EJ102">
            <v>0</v>
          </cell>
          <cell r="EK102">
            <v>0</v>
          </cell>
          <cell r="EL102">
            <v>4.6666666666666652</v>
          </cell>
          <cell r="EM102">
            <v>4.6666666666666652</v>
          </cell>
          <cell r="EN102">
            <v>5.9999999999999982</v>
          </cell>
          <cell r="EO102">
            <v>0</v>
          </cell>
          <cell r="EP102">
            <v>0</v>
          </cell>
          <cell r="EQ102">
            <v>3.9999999999999987</v>
          </cell>
          <cell r="ER102">
            <v>3.9999999999999987</v>
          </cell>
          <cell r="ES102">
            <v>4.9999999999999982</v>
          </cell>
          <cell r="ET102">
            <v>0</v>
          </cell>
          <cell r="EU102">
            <v>0</v>
          </cell>
          <cell r="EV102">
            <v>3.3333333333333321</v>
          </cell>
          <cell r="EW102">
            <v>3.3333333333333321</v>
          </cell>
          <cell r="EX102">
            <v>3.9999999999999982</v>
          </cell>
          <cell r="EY102">
            <v>0</v>
          </cell>
          <cell r="EZ102">
            <v>0</v>
          </cell>
          <cell r="FA102">
            <v>2.6666666666666656</v>
          </cell>
          <cell r="FB102">
            <v>2.6666666666666656</v>
          </cell>
          <cell r="FC102">
            <v>2.9999999999999982</v>
          </cell>
          <cell r="FD102">
            <v>0</v>
          </cell>
          <cell r="FE102">
            <v>8</v>
          </cell>
          <cell r="FF102">
            <v>10</v>
          </cell>
          <cell r="FG102">
            <v>10</v>
          </cell>
          <cell r="FH102">
            <v>14</v>
          </cell>
          <cell r="FI102">
            <v>0</v>
          </cell>
          <cell r="FJ102">
            <v>0</v>
          </cell>
          <cell r="FK102">
            <v>9.3333333333333339</v>
          </cell>
          <cell r="FL102">
            <v>9.3333333333333339</v>
          </cell>
          <cell r="FM102">
            <v>13.000000000000002</v>
          </cell>
          <cell r="FN102">
            <v>0</v>
          </cell>
          <cell r="FO102">
            <v>0</v>
          </cell>
          <cell r="FP102">
            <v>8.6666666666666679</v>
          </cell>
          <cell r="FQ102">
            <v>8.6666666666666679</v>
          </cell>
          <cell r="FR102">
            <v>12.000000000000002</v>
          </cell>
          <cell r="FS102">
            <v>0</v>
          </cell>
          <cell r="FT102">
            <v>2</v>
          </cell>
          <cell r="FU102">
            <v>2.0333333333333332</v>
          </cell>
          <cell r="FW102" t="str">
            <v>SOBRESTOCK</v>
          </cell>
          <cell r="FX102" t="str">
            <v>C</v>
          </cell>
          <cell r="FY102" t="str">
            <v>Si</v>
          </cell>
        </row>
        <row r="103">
          <cell r="B103" t="str">
            <v>REP-0102</v>
          </cell>
          <cell r="C103" t="str">
            <v>MIX</v>
          </cell>
          <cell r="D103">
            <v>0</v>
          </cell>
          <cell r="E103">
            <v>35</v>
          </cell>
          <cell r="F103">
            <v>0</v>
          </cell>
          <cell r="G103">
            <v>0</v>
          </cell>
          <cell r="H103">
            <v>1</v>
          </cell>
          <cell r="I103">
            <v>1</v>
          </cell>
          <cell r="J103">
            <v>0</v>
          </cell>
          <cell r="K103">
            <v>2</v>
          </cell>
          <cell r="L103">
            <v>0</v>
          </cell>
          <cell r="M103">
            <v>0</v>
          </cell>
          <cell r="N103">
            <v>1</v>
          </cell>
          <cell r="O103">
            <v>2</v>
          </cell>
          <cell r="P103">
            <v>2</v>
          </cell>
          <cell r="Q103">
            <v>1</v>
          </cell>
          <cell r="R103">
            <v>2</v>
          </cell>
          <cell r="S103">
            <v>1</v>
          </cell>
          <cell r="T103">
            <v>0</v>
          </cell>
          <cell r="U103">
            <v>1</v>
          </cell>
          <cell r="V103">
            <v>2</v>
          </cell>
          <cell r="W103">
            <v>1</v>
          </cell>
          <cell r="X103">
            <v>1</v>
          </cell>
          <cell r="Y103">
            <v>53</v>
          </cell>
          <cell r="AA103">
            <v>53</v>
          </cell>
          <cell r="AB103">
            <v>3</v>
          </cell>
          <cell r="AC103">
            <v>1.3333333333333333</v>
          </cell>
          <cell r="AD103">
            <v>4.4444444444444439E-2</v>
          </cell>
          <cell r="AE103">
            <v>0.91666666666666663</v>
          </cell>
          <cell r="AF103">
            <v>1</v>
          </cell>
          <cell r="AG103">
            <v>0.75</v>
          </cell>
          <cell r="AH103">
            <v>2.0833333333333335</v>
          </cell>
          <cell r="AI103">
            <v>1.6666666666666667</v>
          </cell>
          <cell r="AJ103">
            <v>1.6666666666666667</v>
          </cell>
          <cell r="AK103">
            <v>2.0833333333333335</v>
          </cell>
          <cell r="AL103">
            <v>0.56314263701981437</v>
          </cell>
          <cell r="AM103">
            <v>1.5416666666666667</v>
          </cell>
          <cell r="AN103">
            <v>0.36528171049933905</v>
          </cell>
          <cell r="AO103">
            <v>0</v>
          </cell>
          <cell r="AP103">
            <v>34.5</v>
          </cell>
          <cell r="AQ103">
            <v>36</v>
          </cell>
          <cell r="AR103">
            <v>0</v>
          </cell>
          <cell r="AS103">
            <v>34</v>
          </cell>
          <cell r="AT103">
            <v>33</v>
          </cell>
          <cell r="AU103">
            <v>22</v>
          </cell>
          <cell r="AV103">
            <v>0</v>
          </cell>
          <cell r="AW103">
            <v>31.5</v>
          </cell>
          <cell r="AX103">
            <v>32</v>
          </cell>
          <cell r="AY103">
            <v>15.36</v>
          </cell>
          <cell r="AZ103">
            <v>0</v>
          </cell>
          <cell r="BA103">
            <v>30.666666666666668</v>
          </cell>
          <cell r="BB103">
            <v>27</v>
          </cell>
          <cell r="BC103">
            <v>9</v>
          </cell>
          <cell r="BD103">
            <v>0</v>
          </cell>
          <cell r="BE103">
            <v>24</v>
          </cell>
          <cell r="BF103">
            <v>8</v>
          </cell>
          <cell r="BG103">
            <v>0</v>
          </cell>
          <cell r="BH103">
            <v>21</v>
          </cell>
          <cell r="BI103">
            <v>53</v>
          </cell>
          <cell r="BJ103">
            <v>25.439999999999998</v>
          </cell>
          <cell r="BK103">
            <v>0</v>
          </cell>
          <cell r="BL103">
            <v>16.5</v>
          </cell>
          <cell r="BM103">
            <v>19</v>
          </cell>
          <cell r="BN103">
            <v>7.125</v>
          </cell>
          <cell r="BO103">
            <v>0</v>
          </cell>
          <cell r="BP103">
            <v>16.333333333333332</v>
          </cell>
          <cell r="BQ103">
            <v>18</v>
          </cell>
          <cell r="BR103">
            <v>8.6399999999999988</v>
          </cell>
          <cell r="BS103">
            <v>0</v>
          </cell>
          <cell r="BT103">
            <v>15.5</v>
          </cell>
          <cell r="BU103">
            <v>17</v>
          </cell>
          <cell r="BV103">
            <v>6.8</v>
          </cell>
          <cell r="BW103">
            <v>21</v>
          </cell>
          <cell r="BX103">
            <v>0</v>
          </cell>
          <cell r="BY103">
            <v>14.5</v>
          </cell>
          <cell r="BZ103">
            <v>17</v>
          </cell>
          <cell r="CA103">
            <v>7.7272727272727266</v>
          </cell>
          <cell r="CB103">
            <v>21</v>
          </cell>
          <cell r="CC103">
            <v>0</v>
          </cell>
          <cell r="CD103">
            <v>29.8</v>
          </cell>
          <cell r="CE103">
            <v>16</v>
          </cell>
          <cell r="CF103">
            <v>7.3333333333333339</v>
          </cell>
          <cell r="CG103">
            <v>22</v>
          </cell>
          <cell r="CH103">
            <v>15</v>
          </cell>
          <cell r="CI103">
            <v>49.618181818181817</v>
          </cell>
          <cell r="CJ103">
            <v>32</v>
          </cell>
          <cell r="CK103">
            <v>15.36</v>
          </cell>
          <cell r="CL103">
            <v>6</v>
          </cell>
          <cell r="CM103">
            <v>0</v>
          </cell>
          <cell r="CN103">
            <v>29.916666666666668</v>
          </cell>
          <cell r="CO103">
            <v>25</v>
          </cell>
          <cell r="CP103">
            <v>12</v>
          </cell>
          <cell r="CQ103">
            <v>8.0833333333333321</v>
          </cell>
          <cell r="CR103">
            <v>0</v>
          </cell>
          <cell r="CS103">
            <v>22.916666666666668</v>
          </cell>
          <cell r="CT103">
            <v>22</v>
          </cell>
          <cell r="CU103">
            <v>7.333333333333333</v>
          </cell>
          <cell r="CV103">
            <v>0</v>
          </cell>
          <cell r="CW103">
            <v>16</v>
          </cell>
          <cell r="CX103">
            <v>35</v>
          </cell>
          <cell r="CY103">
            <v>34</v>
          </cell>
          <cell r="CZ103">
            <v>12.75</v>
          </cell>
          <cell r="DA103">
            <v>0</v>
          </cell>
          <cell r="DB103">
            <v>20</v>
          </cell>
          <cell r="DC103">
            <v>51.75</v>
          </cell>
          <cell r="DD103">
            <v>52</v>
          </cell>
          <cell r="DE103">
            <v>14.666666666666666</v>
          </cell>
          <cell r="DF103">
            <v>0</v>
          </cell>
          <cell r="DG103">
            <v>0</v>
          </cell>
          <cell r="DH103">
            <v>49.75</v>
          </cell>
          <cell r="DI103">
            <v>52</v>
          </cell>
          <cell r="DJ103">
            <v>17.839999999999996</v>
          </cell>
          <cell r="DK103">
            <v>0</v>
          </cell>
          <cell r="DL103">
            <v>0</v>
          </cell>
          <cell r="DM103">
            <v>47.666666666666664</v>
          </cell>
          <cell r="DN103">
            <v>53</v>
          </cell>
          <cell r="DO103">
            <v>18.32</v>
          </cell>
          <cell r="DP103">
            <v>0</v>
          </cell>
          <cell r="DQ103">
            <v>0</v>
          </cell>
          <cell r="DR103">
            <v>50.916666666666664</v>
          </cell>
          <cell r="DS103">
            <v>50.916666666666664</v>
          </cell>
          <cell r="DT103">
            <v>17.32</v>
          </cell>
          <cell r="DU103">
            <v>0</v>
          </cell>
          <cell r="DV103">
            <v>0</v>
          </cell>
          <cell r="DW103">
            <v>48.833333333333329</v>
          </cell>
          <cell r="DX103">
            <v>48.833333333333329</v>
          </cell>
          <cell r="DY103">
            <v>16.319999999999997</v>
          </cell>
          <cell r="DZ103">
            <v>0</v>
          </cell>
          <cell r="EA103">
            <v>0</v>
          </cell>
          <cell r="EB103">
            <v>46.749999999999993</v>
          </cell>
          <cell r="EC103">
            <v>46.749999999999993</v>
          </cell>
          <cell r="ED103">
            <v>15.319999999999995</v>
          </cell>
          <cell r="EE103">
            <v>0</v>
          </cell>
          <cell r="EF103">
            <v>0</v>
          </cell>
          <cell r="EG103">
            <v>44.666666666666657</v>
          </cell>
          <cell r="EH103">
            <v>44.666666666666657</v>
          </cell>
          <cell r="EI103">
            <v>14.319999999999995</v>
          </cell>
          <cell r="EJ103">
            <v>0</v>
          </cell>
          <cell r="EK103">
            <v>0</v>
          </cell>
          <cell r="EL103">
            <v>42.583333333333321</v>
          </cell>
          <cell r="EM103">
            <v>42.583333333333321</v>
          </cell>
          <cell r="EN103">
            <v>13.319999999999993</v>
          </cell>
          <cell r="EO103">
            <v>0</v>
          </cell>
          <cell r="EP103">
            <v>0</v>
          </cell>
          <cell r="EQ103">
            <v>40.499999999999986</v>
          </cell>
          <cell r="ER103">
            <v>40.499999999999986</v>
          </cell>
          <cell r="ES103">
            <v>12.319999999999993</v>
          </cell>
          <cell r="ET103">
            <v>0</v>
          </cell>
          <cell r="EU103">
            <v>0</v>
          </cell>
          <cell r="EV103">
            <v>38.41666666666665</v>
          </cell>
          <cell r="EW103">
            <v>38.41666666666665</v>
          </cell>
          <cell r="EX103">
            <v>11.319999999999991</v>
          </cell>
          <cell r="EY103">
            <v>0</v>
          </cell>
          <cell r="EZ103">
            <v>0</v>
          </cell>
          <cell r="FA103">
            <v>36.333333333333314</v>
          </cell>
          <cell r="FB103">
            <v>36.333333333333314</v>
          </cell>
          <cell r="FC103">
            <v>10.31999999999999</v>
          </cell>
          <cell r="FD103">
            <v>0</v>
          </cell>
          <cell r="FE103">
            <v>0</v>
          </cell>
          <cell r="FF103">
            <v>34.249999999999979</v>
          </cell>
          <cell r="FG103">
            <v>34.249999999999979</v>
          </cell>
          <cell r="FH103">
            <v>9.3199999999999896</v>
          </cell>
          <cell r="FI103">
            <v>0</v>
          </cell>
          <cell r="FJ103">
            <v>0</v>
          </cell>
          <cell r="FK103">
            <v>32.166666666666643</v>
          </cell>
          <cell r="FL103">
            <v>32.166666666666643</v>
          </cell>
          <cell r="FM103">
            <v>8.3199999999999878</v>
          </cell>
          <cell r="FN103">
            <v>0</v>
          </cell>
          <cell r="FO103">
            <v>0</v>
          </cell>
          <cell r="FP103">
            <v>30.083333333333311</v>
          </cell>
          <cell r="FQ103">
            <v>30.083333333333311</v>
          </cell>
          <cell r="FR103">
            <v>7.3199999999999887</v>
          </cell>
          <cell r="FS103">
            <v>0</v>
          </cell>
          <cell r="FT103">
            <v>19</v>
          </cell>
          <cell r="FU103">
            <v>2.0333333333333332</v>
          </cell>
          <cell r="FW103" t="str">
            <v>SOBRESTOCK</v>
          </cell>
          <cell r="FX103" t="str">
            <v>B</v>
          </cell>
          <cell r="FY103" t="str">
            <v>Si</v>
          </cell>
        </row>
        <row r="104">
          <cell r="B104" t="str">
            <v>REP-0103</v>
          </cell>
          <cell r="C104" t="str">
            <v>NAC</v>
          </cell>
          <cell r="D104">
            <v>0</v>
          </cell>
          <cell r="E104">
            <v>45</v>
          </cell>
          <cell r="F104">
            <v>0</v>
          </cell>
          <cell r="G104">
            <v>0</v>
          </cell>
          <cell r="H104">
            <v>2</v>
          </cell>
          <cell r="I104">
            <v>2</v>
          </cell>
          <cell r="J104">
            <v>0</v>
          </cell>
          <cell r="K104">
            <v>2</v>
          </cell>
          <cell r="L104">
            <v>3</v>
          </cell>
          <cell r="M104">
            <v>3</v>
          </cell>
          <cell r="N104">
            <v>1</v>
          </cell>
          <cell r="O104">
            <v>1</v>
          </cell>
          <cell r="P104">
            <v>0</v>
          </cell>
          <cell r="Q104">
            <v>2</v>
          </cell>
          <cell r="R104">
            <v>4</v>
          </cell>
          <cell r="S104">
            <v>1</v>
          </cell>
          <cell r="T104">
            <v>2</v>
          </cell>
          <cell r="U104">
            <v>2</v>
          </cell>
          <cell r="V104">
            <v>0</v>
          </cell>
          <cell r="W104">
            <v>2</v>
          </cell>
          <cell r="X104">
            <v>0</v>
          </cell>
          <cell r="Y104">
            <v>72</v>
          </cell>
          <cell r="AA104">
            <v>72</v>
          </cell>
          <cell r="AB104">
            <v>78</v>
          </cell>
          <cell r="AC104">
            <v>3.1666666666666665</v>
          </cell>
          <cell r="AD104">
            <v>0.10555555555555556</v>
          </cell>
          <cell r="AE104">
            <v>3</v>
          </cell>
          <cell r="AF104">
            <v>2.8333333333333335</v>
          </cell>
          <cell r="AG104">
            <v>2.1666666666666665</v>
          </cell>
          <cell r="AH104">
            <v>3.9166666666666665</v>
          </cell>
          <cell r="AI104">
            <v>2.8333333333333335</v>
          </cell>
          <cell r="AJ104">
            <v>2.8333333333333335</v>
          </cell>
          <cell r="AK104">
            <v>3.9166666666666665</v>
          </cell>
          <cell r="AL104">
            <v>0.62915286960589623</v>
          </cell>
          <cell r="AM104">
            <v>2.9375</v>
          </cell>
          <cell r="AN104">
            <v>0.21417970029136893</v>
          </cell>
          <cell r="AO104">
            <v>0</v>
          </cell>
          <cell r="AP104">
            <v>148.66666666666666</v>
          </cell>
          <cell r="AQ104">
            <v>52.999999999999993</v>
          </cell>
          <cell r="AR104">
            <v>0</v>
          </cell>
          <cell r="AS104">
            <v>147.33333333333331</v>
          </cell>
          <cell r="AT104">
            <v>150</v>
          </cell>
          <cell r="AU104">
            <v>69.230769230769241</v>
          </cell>
          <cell r="AV104">
            <v>0</v>
          </cell>
          <cell r="AW104">
            <v>147.83333333333334</v>
          </cell>
          <cell r="AX104">
            <v>140</v>
          </cell>
          <cell r="AY104">
            <v>35.744680851063833</v>
          </cell>
          <cell r="AZ104">
            <v>0</v>
          </cell>
          <cell r="BA104">
            <v>136.33333333333334</v>
          </cell>
          <cell r="BB104">
            <v>136</v>
          </cell>
          <cell r="BC104">
            <v>27.2</v>
          </cell>
          <cell r="BD104">
            <v>0</v>
          </cell>
          <cell r="BE104">
            <v>131</v>
          </cell>
          <cell r="BF104">
            <v>26.2</v>
          </cell>
          <cell r="BG104">
            <v>0</v>
          </cell>
          <cell r="BH104">
            <v>126</v>
          </cell>
          <cell r="BI104">
            <v>72</v>
          </cell>
          <cell r="BJ104">
            <v>18.382978723404257</v>
          </cell>
          <cell r="BK104">
            <v>0</v>
          </cell>
          <cell r="BL104">
            <v>124</v>
          </cell>
          <cell r="BM104">
            <v>120</v>
          </cell>
          <cell r="BN104">
            <v>23.2258064516129</v>
          </cell>
          <cell r="BO104">
            <v>0</v>
          </cell>
          <cell r="BP104">
            <v>114.83333333333333</v>
          </cell>
          <cell r="BQ104">
            <v>116</v>
          </cell>
          <cell r="BR104">
            <v>29.617021276595747</v>
          </cell>
          <cell r="BS104">
            <v>0</v>
          </cell>
          <cell r="BT104">
            <v>110.5</v>
          </cell>
          <cell r="BU104">
            <v>114</v>
          </cell>
          <cell r="BV104">
            <v>26.30769230769231</v>
          </cell>
          <cell r="BW104">
            <v>0</v>
          </cell>
          <cell r="BX104">
            <v>0</v>
          </cell>
          <cell r="BY104">
            <v>109.66666666666667</v>
          </cell>
          <cell r="BZ104">
            <v>112</v>
          </cell>
          <cell r="CA104">
            <v>28.717948717948719</v>
          </cell>
          <cell r="CB104">
            <v>0</v>
          </cell>
          <cell r="CC104">
            <v>0</v>
          </cell>
          <cell r="CD104">
            <v>108.1</v>
          </cell>
          <cell r="CE104">
            <v>105</v>
          </cell>
          <cell r="CF104">
            <v>23.333333333333332</v>
          </cell>
          <cell r="CG104">
            <v>0</v>
          </cell>
          <cell r="CH104">
            <v>0</v>
          </cell>
          <cell r="CI104">
            <v>103.6</v>
          </cell>
          <cell r="CJ104">
            <v>107</v>
          </cell>
          <cell r="CK104">
            <v>27.319148936170215</v>
          </cell>
          <cell r="CL104">
            <v>0</v>
          </cell>
          <cell r="CM104">
            <v>0</v>
          </cell>
          <cell r="CN104">
            <v>103.08333333333333</v>
          </cell>
          <cell r="CO104">
            <v>84</v>
          </cell>
          <cell r="CP104">
            <v>21.446808510638299</v>
          </cell>
          <cell r="CQ104">
            <v>0</v>
          </cell>
          <cell r="CR104">
            <v>0</v>
          </cell>
          <cell r="CS104">
            <v>80.083333333333329</v>
          </cell>
          <cell r="CT104">
            <v>80</v>
          </cell>
          <cell r="CU104">
            <v>20.425531914893618</v>
          </cell>
          <cell r="CV104">
            <v>0</v>
          </cell>
          <cell r="CW104">
            <v>0</v>
          </cell>
          <cell r="CX104">
            <v>76.083333333333329</v>
          </cell>
          <cell r="CY104">
            <v>74</v>
          </cell>
          <cell r="CZ104">
            <v>18.893617021276597</v>
          </cell>
          <cell r="DA104">
            <v>0</v>
          </cell>
          <cell r="DB104">
            <v>0</v>
          </cell>
          <cell r="DC104">
            <v>70.083333333333329</v>
          </cell>
          <cell r="DD104">
            <v>72</v>
          </cell>
          <cell r="DE104">
            <v>17.361702127659576</v>
          </cell>
          <cell r="DF104">
            <v>0</v>
          </cell>
          <cell r="DG104">
            <v>0</v>
          </cell>
          <cell r="DH104">
            <v>68.083333333333329</v>
          </cell>
          <cell r="DI104">
            <v>67</v>
          </cell>
          <cell r="DJ104">
            <v>18.085106382978726</v>
          </cell>
          <cell r="DK104">
            <v>0</v>
          </cell>
          <cell r="DL104">
            <v>0</v>
          </cell>
          <cell r="DM104">
            <v>64.166666666666657</v>
          </cell>
          <cell r="DN104">
            <v>72</v>
          </cell>
          <cell r="DO104">
            <v>19.361702127659576</v>
          </cell>
          <cell r="DP104">
            <v>0</v>
          </cell>
          <cell r="DQ104">
            <v>0</v>
          </cell>
          <cell r="DR104">
            <v>68.083333333333329</v>
          </cell>
          <cell r="DS104">
            <v>68.083333333333329</v>
          </cell>
          <cell r="DT104">
            <v>18.361702127659573</v>
          </cell>
          <cell r="DU104">
            <v>0</v>
          </cell>
          <cell r="DV104">
            <v>0</v>
          </cell>
          <cell r="DW104">
            <v>64.166666666666657</v>
          </cell>
          <cell r="DX104">
            <v>64.166666666666657</v>
          </cell>
          <cell r="DY104">
            <v>17.361702127659573</v>
          </cell>
          <cell r="DZ104">
            <v>0</v>
          </cell>
          <cell r="EA104">
            <v>0</v>
          </cell>
          <cell r="EB104">
            <v>60.249999999999993</v>
          </cell>
          <cell r="EC104">
            <v>60.249999999999993</v>
          </cell>
          <cell r="ED104">
            <v>16.361702127659573</v>
          </cell>
          <cell r="EE104">
            <v>0</v>
          </cell>
          <cell r="EF104">
            <v>0</v>
          </cell>
          <cell r="EG104">
            <v>56.333333333333329</v>
          </cell>
          <cell r="EH104">
            <v>56.333333333333329</v>
          </cell>
          <cell r="EI104">
            <v>15.361702127659573</v>
          </cell>
          <cell r="EJ104">
            <v>0</v>
          </cell>
          <cell r="EK104">
            <v>0</v>
          </cell>
          <cell r="EL104">
            <v>52.416666666666664</v>
          </cell>
          <cell r="EM104">
            <v>52.416666666666664</v>
          </cell>
          <cell r="EN104">
            <v>14.361702127659575</v>
          </cell>
          <cell r="EO104">
            <v>0</v>
          </cell>
          <cell r="EP104">
            <v>0</v>
          </cell>
          <cell r="EQ104">
            <v>48.5</v>
          </cell>
          <cell r="ER104">
            <v>48.5</v>
          </cell>
          <cell r="ES104">
            <v>13.361702127659575</v>
          </cell>
          <cell r="ET104">
            <v>0</v>
          </cell>
          <cell r="EU104">
            <v>0</v>
          </cell>
          <cell r="EV104">
            <v>44.583333333333336</v>
          </cell>
          <cell r="EW104">
            <v>44.583333333333336</v>
          </cell>
          <cell r="EX104">
            <v>12.361702127659575</v>
          </cell>
          <cell r="EY104">
            <v>0</v>
          </cell>
          <cell r="EZ104">
            <v>0</v>
          </cell>
          <cell r="FA104">
            <v>40.666666666666671</v>
          </cell>
          <cell r="FB104">
            <v>40.666666666666671</v>
          </cell>
          <cell r="FC104">
            <v>11.361702127659576</v>
          </cell>
          <cell r="FD104">
            <v>0</v>
          </cell>
          <cell r="FE104">
            <v>0</v>
          </cell>
          <cell r="FF104">
            <v>36.750000000000007</v>
          </cell>
          <cell r="FG104">
            <v>36.750000000000007</v>
          </cell>
          <cell r="FH104">
            <v>10.361702127659576</v>
          </cell>
          <cell r="FI104">
            <v>0</v>
          </cell>
          <cell r="FJ104">
            <v>0</v>
          </cell>
          <cell r="FK104">
            <v>32.833333333333343</v>
          </cell>
          <cell r="FL104">
            <v>32.833333333333343</v>
          </cell>
          <cell r="FM104">
            <v>9.3617021276595764</v>
          </cell>
          <cell r="FN104">
            <v>0</v>
          </cell>
          <cell r="FO104">
            <v>0</v>
          </cell>
          <cell r="FP104">
            <v>28.916666666666675</v>
          </cell>
          <cell r="FQ104">
            <v>28.916666666666675</v>
          </cell>
          <cell r="FR104">
            <v>8.3617021276595764</v>
          </cell>
          <cell r="FS104">
            <v>0</v>
          </cell>
          <cell r="FT104">
            <v>4</v>
          </cell>
          <cell r="FU104">
            <v>1</v>
          </cell>
          <cell r="FW104" t="str">
            <v>SOBRESTOCK</v>
          </cell>
          <cell r="FX104" t="str">
            <v>B</v>
          </cell>
          <cell r="FY104" t="str">
            <v>Si</v>
          </cell>
        </row>
        <row r="105">
          <cell r="B105" t="str">
            <v>REP-0104</v>
          </cell>
          <cell r="C105" t="str">
            <v>MIX</v>
          </cell>
          <cell r="D105">
            <v>0</v>
          </cell>
          <cell r="E105">
            <v>26</v>
          </cell>
          <cell r="F105">
            <v>0</v>
          </cell>
          <cell r="G105">
            <v>0</v>
          </cell>
          <cell r="H105">
            <v>3</v>
          </cell>
          <cell r="I105">
            <v>3</v>
          </cell>
          <cell r="J105">
            <v>0</v>
          </cell>
          <cell r="K105">
            <v>3</v>
          </cell>
          <cell r="L105">
            <v>1</v>
          </cell>
          <cell r="M105">
            <v>0</v>
          </cell>
          <cell r="N105">
            <v>1</v>
          </cell>
          <cell r="O105">
            <v>1</v>
          </cell>
          <cell r="P105">
            <v>1</v>
          </cell>
          <cell r="Q105">
            <v>0</v>
          </cell>
          <cell r="R105">
            <v>0</v>
          </cell>
          <cell r="S105">
            <v>1</v>
          </cell>
          <cell r="T105">
            <v>0</v>
          </cell>
          <cell r="U105">
            <v>0</v>
          </cell>
          <cell r="V105">
            <v>1</v>
          </cell>
          <cell r="W105">
            <v>1</v>
          </cell>
          <cell r="X105">
            <v>1</v>
          </cell>
          <cell r="Y105">
            <v>43</v>
          </cell>
          <cell r="AA105">
            <v>43</v>
          </cell>
          <cell r="AB105">
            <v>2</v>
          </cell>
          <cell r="AC105">
            <v>0.33333333333333331</v>
          </cell>
          <cell r="AD105">
            <v>1.111111111111111E-2</v>
          </cell>
          <cell r="AE105">
            <v>0.33333333333333331</v>
          </cell>
          <cell r="AF105">
            <v>0.58333333333333337</v>
          </cell>
          <cell r="AG105">
            <v>0.25</v>
          </cell>
          <cell r="AH105">
            <v>0.75</v>
          </cell>
          <cell r="AI105">
            <v>0.66666666666666663</v>
          </cell>
          <cell r="AJ105">
            <v>0.66666666666666663</v>
          </cell>
          <cell r="AK105">
            <v>0.75</v>
          </cell>
          <cell r="AL105">
            <v>0.22566773346211028</v>
          </cell>
          <cell r="AM105">
            <v>0.58333333333333326</v>
          </cell>
          <cell r="AN105">
            <v>0.38685897164933197</v>
          </cell>
          <cell r="AO105">
            <v>0</v>
          </cell>
          <cell r="AP105">
            <v>12</v>
          </cell>
          <cell r="AQ105">
            <v>21.285714285714285</v>
          </cell>
          <cell r="AR105">
            <v>0</v>
          </cell>
          <cell r="AS105">
            <v>11.833333333333332</v>
          </cell>
          <cell r="AT105">
            <v>12</v>
          </cell>
          <cell r="AU105">
            <v>24</v>
          </cell>
          <cell r="AV105">
            <v>0</v>
          </cell>
          <cell r="AW105">
            <v>11.5</v>
          </cell>
          <cell r="AX105">
            <v>12</v>
          </cell>
          <cell r="AY105">
            <v>16</v>
          </cell>
          <cell r="AZ105">
            <v>0</v>
          </cell>
          <cell r="BA105">
            <v>11.666666666666666</v>
          </cell>
          <cell r="BB105">
            <v>11</v>
          </cell>
          <cell r="BC105">
            <v>16.5</v>
          </cell>
          <cell r="BD105">
            <v>0</v>
          </cell>
          <cell r="BE105">
            <v>10.333333333333334</v>
          </cell>
          <cell r="BF105">
            <v>15.500000000000002</v>
          </cell>
          <cell r="BG105">
            <v>0</v>
          </cell>
          <cell r="BH105">
            <v>9.6666666666666679</v>
          </cell>
          <cell r="BI105">
            <v>43</v>
          </cell>
          <cell r="BJ105">
            <v>57.333333333333336</v>
          </cell>
          <cell r="BK105">
            <v>0</v>
          </cell>
          <cell r="BL105">
            <v>8.3333333333333339</v>
          </cell>
          <cell r="BM105">
            <v>8</v>
          </cell>
          <cell r="BN105">
            <v>9.6</v>
          </cell>
          <cell r="BO105">
            <v>0</v>
          </cell>
          <cell r="BP105">
            <v>7.166666666666667</v>
          </cell>
          <cell r="BQ105">
            <v>7</v>
          </cell>
          <cell r="BR105">
            <v>9.3333333333333339</v>
          </cell>
          <cell r="BS105">
            <v>0</v>
          </cell>
          <cell r="BT105">
            <v>6.166666666666667</v>
          </cell>
          <cell r="BU105">
            <v>6</v>
          </cell>
          <cell r="BV105">
            <v>6</v>
          </cell>
          <cell r="BW105">
            <v>32</v>
          </cell>
          <cell r="BX105">
            <v>0</v>
          </cell>
          <cell r="BY105">
            <v>5</v>
          </cell>
          <cell r="BZ105">
            <v>6</v>
          </cell>
          <cell r="CA105">
            <v>7.1999999999999993</v>
          </cell>
          <cell r="CB105">
            <v>32</v>
          </cell>
          <cell r="CC105">
            <v>0</v>
          </cell>
          <cell r="CD105">
            <v>5.166666666666667</v>
          </cell>
          <cell r="CE105">
            <v>5</v>
          </cell>
          <cell r="CF105">
            <v>5</v>
          </cell>
          <cell r="CG105">
            <v>33</v>
          </cell>
          <cell r="CH105">
            <v>0</v>
          </cell>
          <cell r="CI105">
            <v>37.166666666666664</v>
          </cell>
          <cell r="CJ105">
            <v>5</v>
          </cell>
          <cell r="CK105">
            <v>6</v>
          </cell>
          <cell r="CL105">
            <v>33</v>
          </cell>
          <cell r="CM105">
            <v>40</v>
          </cell>
          <cell r="CN105">
            <v>44.166666666666664</v>
          </cell>
          <cell r="CO105">
            <v>46</v>
          </cell>
          <cell r="CP105">
            <v>55.199999999999996</v>
          </cell>
          <cell r="CQ105">
            <v>0</v>
          </cell>
          <cell r="CR105">
            <v>0</v>
          </cell>
          <cell r="CS105">
            <v>45.166666666666664</v>
          </cell>
          <cell r="CT105">
            <v>45</v>
          </cell>
          <cell r="CU105">
            <v>60</v>
          </cell>
          <cell r="CV105">
            <v>0</v>
          </cell>
          <cell r="CW105">
            <v>0</v>
          </cell>
          <cell r="CX105">
            <v>44.25</v>
          </cell>
          <cell r="CY105">
            <v>44</v>
          </cell>
          <cell r="CZ105">
            <v>58.666666666666664</v>
          </cell>
          <cell r="DA105">
            <v>0</v>
          </cell>
          <cell r="DB105">
            <v>0</v>
          </cell>
          <cell r="DC105">
            <v>43.25</v>
          </cell>
          <cell r="DD105">
            <v>43</v>
          </cell>
          <cell r="DE105">
            <v>32</v>
          </cell>
          <cell r="DF105">
            <v>0</v>
          </cell>
          <cell r="DG105">
            <v>0</v>
          </cell>
          <cell r="DH105">
            <v>42.25</v>
          </cell>
          <cell r="DI105">
            <v>42</v>
          </cell>
          <cell r="DJ105">
            <v>32.666666666666671</v>
          </cell>
          <cell r="DK105">
            <v>0</v>
          </cell>
          <cell r="DL105">
            <v>0</v>
          </cell>
          <cell r="DM105">
            <v>41.5</v>
          </cell>
          <cell r="DN105">
            <v>43</v>
          </cell>
          <cell r="DO105">
            <v>34</v>
          </cell>
          <cell r="DP105">
            <v>0</v>
          </cell>
          <cell r="DQ105">
            <v>0</v>
          </cell>
          <cell r="DR105">
            <v>42.25</v>
          </cell>
          <cell r="DS105">
            <v>42.25</v>
          </cell>
          <cell r="DT105">
            <v>33</v>
          </cell>
          <cell r="DU105">
            <v>0</v>
          </cell>
          <cell r="DV105">
            <v>0</v>
          </cell>
          <cell r="DW105">
            <v>41.5</v>
          </cell>
          <cell r="DX105">
            <v>41.5</v>
          </cell>
          <cell r="DY105">
            <v>32</v>
          </cell>
          <cell r="DZ105">
            <v>0</v>
          </cell>
          <cell r="EA105">
            <v>0</v>
          </cell>
          <cell r="EB105">
            <v>40.75</v>
          </cell>
          <cell r="EC105">
            <v>40.75</v>
          </cell>
          <cell r="ED105">
            <v>31</v>
          </cell>
          <cell r="EE105">
            <v>0</v>
          </cell>
          <cell r="EF105">
            <v>0</v>
          </cell>
          <cell r="EG105">
            <v>40</v>
          </cell>
          <cell r="EH105">
            <v>40</v>
          </cell>
          <cell r="EI105">
            <v>30</v>
          </cell>
          <cell r="EJ105">
            <v>0</v>
          </cell>
          <cell r="EK105">
            <v>0</v>
          </cell>
          <cell r="EL105">
            <v>39.25</v>
          </cell>
          <cell r="EM105">
            <v>39.25</v>
          </cell>
          <cell r="EN105">
            <v>29</v>
          </cell>
          <cell r="EO105">
            <v>0</v>
          </cell>
          <cell r="EP105">
            <v>0</v>
          </cell>
          <cell r="EQ105">
            <v>38.5</v>
          </cell>
          <cell r="ER105">
            <v>38.5</v>
          </cell>
          <cell r="ES105">
            <v>28</v>
          </cell>
          <cell r="ET105">
            <v>0</v>
          </cell>
          <cell r="EU105">
            <v>0</v>
          </cell>
          <cell r="EV105">
            <v>37.75</v>
          </cell>
          <cell r="EW105">
            <v>37.75</v>
          </cell>
          <cell r="EX105">
            <v>27</v>
          </cell>
          <cell r="EY105">
            <v>0</v>
          </cell>
          <cell r="EZ105">
            <v>0</v>
          </cell>
          <cell r="FA105">
            <v>37</v>
          </cell>
          <cell r="FB105">
            <v>37</v>
          </cell>
          <cell r="FC105">
            <v>26</v>
          </cell>
          <cell r="FD105">
            <v>0</v>
          </cell>
          <cell r="FE105">
            <v>0</v>
          </cell>
          <cell r="FF105">
            <v>36.25</v>
          </cell>
          <cell r="FG105">
            <v>36.25</v>
          </cell>
          <cell r="FH105">
            <v>25</v>
          </cell>
          <cell r="FI105">
            <v>0</v>
          </cell>
          <cell r="FJ105">
            <v>0</v>
          </cell>
          <cell r="FK105">
            <v>35.5</v>
          </cell>
          <cell r="FL105">
            <v>35.5</v>
          </cell>
          <cell r="FM105">
            <v>24</v>
          </cell>
          <cell r="FN105">
            <v>0</v>
          </cell>
          <cell r="FO105">
            <v>0</v>
          </cell>
          <cell r="FP105">
            <v>34.75</v>
          </cell>
          <cell r="FQ105">
            <v>34.75</v>
          </cell>
          <cell r="FR105">
            <v>23</v>
          </cell>
          <cell r="FS105">
            <v>0</v>
          </cell>
          <cell r="FT105">
            <v>19</v>
          </cell>
          <cell r="FU105">
            <v>2.0333333333333332</v>
          </cell>
          <cell r="FW105" t="str">
            <v>SOBRESTOCK</v>
          </cell>
          <cell r="FX105" t="str">
            <v>C</v>
          </cell>
          <cell r="FY105" t="str">
            <v>Si</v>
          </cell>
        </row>
        <row r="106">
          <cell r="B106" t="str">
            <v>REP-0105</v>
          </cell>
          <cell r="C106" t="str">
            <v>MIX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1</v>
          </cell>
          <cell r="AQ106" t="str">
            <v/>
          </cell>
          <cell r="AR106">
            <v>0</v>
          </cell>
          <cell r="AS106">
            <v>1</v>
          </cell>
          <cell r="AT106">
            <v>1</v>
          </cell>
          <cell r="AU106" t="str">
            <v/>
          </cell>
          <cell r="AV106">
            <v>0</v>
          </cell>
          <cell r="AW106">
            <v>1</v>
          </cell>
          <cell r="AX106">
            <v>1</v>
          </cell>
          <cell r="AY106" t="str">
            <v/>
          </cell>
          <cell r="AZ106">
            <v>0</v>
          </cell>
          <cell r="BA106">
            <v>1</v>
          </cell>
          <cell r="BB106">
            <v>1</v>
          </cell>
          <cell r="BC106" t="str">
            <v/>
          </cell>
          <cell r="BD106">
            <v>0</v>
          </cell>
          <cell r="BE106">
            <v>1</v>
          </cell>
          <cell r="BF106" t="str">
            <v/>
          </cell>
          <cell r="BG106">
            <v>0</v>
          </cell>
          <cell r="BH106">
            <v>1</v>
          </cell>
          <cell r="BI106">
            <v>0</v>
          </cell>
          <cell r="BJ106" t="str">
            <v/>
          </cell>
          <cell r="BK106">
            <v>0</v>
          </cell>
          <cell r="BL106">
            <v>1</v>
          </cell>
          <cell r="BM106">
            <v>1</v>
          </cell>
          <cell r="BN106" t="str">
            <v/>
          </cell>
          <cell r="BO106">
            <v>0</v>
          </cell>
          <cell r="BP106">
            <v>1</v>
          </cell>
          <cell r="BQ106">
            <v>1</v>
          </cell>
          <cell r="BR106" t="str">
            <v/>
          </cell>
          <cell r="BS106">
            <v>0</v>
          </cell>
          <cell r="BT106">
            <v>1</v>
          </cell>
          <cell r="BU106">
            <v>1</v>
          </cell>
          <cell r="BV106" t="str">
            <v/>
          </cell>
          <cell r="BW106">
            <v>0</v>
          </cell>
          <cell r="BX106">
            <v>0</v>
          </cell>
          <cell r="BY106">
            <v>1</v>
          </cell>
          <cell r="BZ106">
            <v>1</v>
          </cell>
          <cell r="CA106" t="str">
            <v/>
          </cell>
          <cell r="CB106">
            <v>0</v>
          </cell>
          <cell r="CC106">
            <v>0</v>
          </cell>
          <cell r="CD106">
            <v>1</v>
          </cell>
          <cell r="CE106">
            <v>1</v>
          </cell>
          <cell r="CF106" t="str">
            <v/>
          </cell>
          <cell r="CG106">
            <v>0</v>
          </cell>
          <cell r="CH106">
            <v>0</v>
          </cell>
          <cell r="CI106">
            <v>1</v>
          </cell>
          <cell r="CJ106">
            <v>1</v>
          </cell>
          <cell r="CK106" t="str">
            <v/>
          </cell>
          <cell r="CL106">
            <v>0</v>
          </cell>
          <cell r="CM106">
            <v>0</v>
          </cell>
          <cell r="CN106">
            <v>1</v>
          </cell>
          <cell r="CO106">
            <v>1</v>
          </cell>
          <cell r="CP106" t="str">
            <v/>
          </cell>
          <cell r="CQ106">
            <v>0</v>
          </cell>
          <cell r="CR106">
            <v>0</v>
          </cell>
          <cell r="CS106">
            <v>1</v>
          </cell>
          <cell r="CT106">
            <v>1</v>
          </cell>
          <cell r="CU106" t="str">
            <v/>
          </cell>
          <cell r="CV106">
            <v>0</v>
          </cell>
          <cell r="CW106">
            <v>0</v>
          </cell>
          <cell r="CX106">
            <v>1</v>
          </cell>
          <cell r="CY106">
            <v>1</v>
          </cell>
          <cell r="CZ106" t="str">
            <v/>
          </cell>
          <cell r="DA106">
            <v>0</v>
          </cell>
          <cell r="DB106">
            <v>0</v>
          </cell>
          <cell r="DC106">
            <v>1</v>
          </cell>
          <cell r="DD106">
            <v>1</v>
          </cell>
          <cell r="DE106" t="str">
            <v/>
          </cell>
          <cell r="DF106">
            <v>0</v>
          </cell>
          <cell r="DG106">
            <v>0</v>
          </cell>
          <cell r="DH106">
            <v>1</v>
          </cell>
          <cell r="DI106">
            <v>1</v>
          </cell>
          <cell r="DJ106" t="str">
            <v/>
          </cell>
          <cell r="DK106">
            <v>0</v>
          </cell>
          <cell r="DL106">
            <v>0</v>
          </cell>
          <cell r="DM106">
            <v>1</v>
          </cell>
          <cell r="DN106">
            <v>0</v>
          </cell>
          <cell r="DO106" t="str">
            <v/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 t="str">
            <v/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 t="str">
            <v/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 t="str">
            <v/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 t="str">
            <v/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 t="str">
            <v/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 t="str">
            <v/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 t="str">
            <v/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 t="str">
            <v/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 t="str">
            <v/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 t="str">
            <v/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 t="str">
            <v/>
          </cell>
          <cell r="FS106">
            <v>0</v>
          </cell>
          <cell r="FT106">
            <v>0</v>
          </cell>
          <cell r="FU106">
            <v>2.0333333333333332</v>
          </cell>
          <cell r="FV106" t="str">
            <v>SI</v>
          </cell>
          <cell r="FW106" t="str">
            <v>SIN ROTACIÓN</v>
          </cell>
          <cell r="FX106" t="str">
            <v>STOCK MUERTO</v>
          </cell>
          <cell r="FY106" t="str">
            <v>Si</v>
          </cell>
        </row>
        <row r="107">
          <cell r="B107" t="str">
            <v>REP-0108</v>
          </cell>
          <cell r="C107" t="str">
            <v>NO VIGENTE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O107">
            <v>0</v>
          </cell>
          <cell r="AP107">
            <v>0</v>
          </cell>
          <cell r="AQ107" t="str">
            <v/>
          </cell>
          <cell r="AR107">
            <v>0</v>
          </cell>
          <cell r="AS107">
            <v>0</v>
          </cell>
          <cell r="AT107">
            <v>0</v>
          </cell>
          <cell r="AU107" t="str">
            <v/>
          </cell>
          <cell r="AV107">
            <v>0</v>
          </cell>
          <cell r="AW107">
            <v>0</v>
          </cell>
          <cell r="AX107">
            <v>0</v>
          </cell>
          <cell r="AY107" t="str">
            <v/>
          </cell>
          <cell r="AZ107">
            <v>0</v>
          </cell>
          <cell r="BA107">
            <v>0</v>
          </cell>
          <cell r="BB107">
            <v>0</v>
          </cell>
          <cell r="BC107" t="str">
            <v/>
          </cell>
          <cell r="BD107">
            <v>0</v>
          </cell>
          <cell r="BE107">
            <v>0</v>
          </cell>
          <cell r="BF107" t="str">
            <v/>
          </cell>
          <cell r="BG107">
            <v>0</v>
          </cell>
          <cell r="BH107">
            <v>0</v>
          </cell>
          <cell r="BI107">
            <v>0</v>
          </cell>
          <cell r="BJ107" t="str">
            <v/>
          </cell>
          <cell r="BK107">
            <v>0</v>
          </cell>
          <cell r="BL107">
            <v>0</v>
          </cell>
          <cell r="BM107">
            <v>0</v>
          </cell>
          <cell r="BN107" t="str">
            <v/>
          </cell>
          <cell r="BO107">
            <v>0</v>
          </cell>
          <cell r="BP107">
            <v>0</v>
          </cell>
          <cell r="BQ107">
            <v>0</v>
          </cell>
          <cell r="BR107" t="str">
            <v/>
          </cell>
          <cell r="BS107">
            <v>0</v>
          </cell>
          <cell r="BT107">
            <v>0</v>
          </cell>
          <cell r="BU107">
            <v>0</v>
          </cell>
          <cell r="BV107" t="str">
            <v/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 t="str">
            <v/>
          </cell>
          <cell r="CB107">
            <v>0</v>
          </cell>
          <cell r="CD107">
            <v>0</v>
          </cell>
          <cell r="CE107">
            <v>0</v>
          </cell>
          <cell r="CF107" t="str">
            <v/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 t="str">
            <v/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 t="str">
            <v/>
          </cell>
          <cell r="CQ107">
            <v>0</v>
          </cell>
          <cell r="CS107">
            <v>0</v>
          </cell>
          <cell r="CT107">
            <v>0</v>
          </cell>
          <cell r="CU107" t="str">
            <v/>
          </cell>
          <cell r="CV107">
            <v>0</v>
          </cell>
          <cell r="CX107">
            <v>0</v>
          </cell>
          <cell r="CY107">
            <v>0</v>
          </cell>
          <cell r="CZ107" t="str">
            <v/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 t="str">
            <v/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 t="str">
            <v/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 t="str">
            <v/>
          </cell>
          <cell r="DP107">
            <v>0</v>
          </cell>
          <cell r="DR107">
            <v>0</v>
          </cell>
          <cell r="DS107">
            <v>0</v>
          </cell>
          <cell r="DT107" t="str">
            <v/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 t="str">
            <v/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 t="str">
            <v/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 t="str">
            <v/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 t="str">
            <v/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 t="str">
            <v/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 t="str">
            <v/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 t="str">
            <v/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 t="str">
            <v/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 t="str">
            <v/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 t="str">
            <v/>
          </cell>
          <cell r="FS107">
            <v>0</v>
          </cell>
          <cell r="FT107">
            <v>0</v>
          </cell>
          <cell r="FU107">
            <v>66.666666666666671</v>
          </cell>
          <cell r="FW107" t="str">
            <v>SIN ROTACIÓN</v>
          </cell>
          <cell r="FX107">
            <v>0</v>
          </cell>
          <cell r="FY107" t="str">
            <v>No</v>
          </cell>
        </row>
        <row r="108">
          <cell r="B108" t="str">
            <v>REP-0109</v>
          </cell>
          <cell r="C108" t="str">
            <v>MIX</v>
          </cell>
          <cell r="D108">
            <v>0</v>
          </cell>
          <cell r="E108">
            <v>65</v>
          </cell>
          <cell r="F108">
            <v>0</v>
          </cell>
          <cell r="G108">
            <v>0</v>
          </cell>
          <cell r="H108">
            <v>3</v>
          </cell>
          <cell r="I108">
            <v>3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</v>
          </cell>
          <cell r="Q108">
            <v>0</v>
          </cell>
          <cell r="R108">
            <v>0</v>
          </cell>
          <cell r="S108">
            <v>1</v>
          </cell>
          <cell r="T108">
            <v>2</v>
          </cell>
          <cell r="U108">
            <v>0</v>
          </cell>
          <cell r="V108">
            <v>1</v>
          </cell>
          <cell r="W108">
            <v>1</v>
          </cell>
          <cell r="X108">
            <v>1</v>
          </cell>
          <cell r="Y108">
            <v>79</v>
          </cell>
          <cell r="AA108">
            <v>79</v>
          </cell>
          <cell r="AB108">
            <v>21</v>
          </cell>
          <cell r="AC108">
            <v>2.3333333333333335</v>
          </cell>
          <cell r="AD108">
            <v>7.7777777777777779E-2</v>
          </cell>
          <cell r="AE108">
            <v>2.8333333333333335</v>
          </cell>
          <cell r="AF108">
            <v>2.5833333333333335</v>
          </cell>
          <cell r="AG108">
            <v>1.5833333333333333</v>
          </cell>
          <cell r="AH108">
            <v>1.3333333333333333</v>
          </cell>
          <cell r="AI108">
            <v>1</v>
          </cell>
          <cell r="AJ108">
            <v>1</v>
          </cell>
          <cell r="AK108">
            <v>1.5833333333333333</v>
          </cell>
          <cell r="AL108">
            <v>0.28361913689808588</v>
          </cell>
          <cell r="AM108">
            <v>1.2291666666666665</v>
          </cell>
          <cell r="AN108">
            <v>0.23074099273064616</v>
          </cell>
          <cell r="AO108">
            <v>0</v>
          </cell>
          <cell r="AP108">
            <v>39.416666666666664</v>
          </cell>
          <cell r="AQ108">
            <v>14.870967741935482</v>
          </cell>
          <cell r="AR108">
            <v>0</v>
          </cell>
          <cell r="AS108">
            <v>35.833333333333329</v>
          </cell>
          <cell r="AT108">
            <v>39</v>
          </cell>
          <cell r="AU108">
            <v>24.631578947368421</v>
          </cell>
          <cell r="AV108">
            <v>0</v>
          </cell>
          <cell r="AW108">
            <v>37.416666666666664</v>
          </cell>
          <cell r="AX108">
            <v>36</v>
          </cell>
          <cell r="AY108">
            <v>22.736842105263158</v>
          </cell>
          <cell r="AZ108">
            <v>0</v>
          </cell>
          <cell r="BA108">
            <v>34.416666666666664</v>
          </cell>
          <cell r="BB108">
            <v>36</v>
          </cell>
          <cell r="BC108">
            <v>22.736842105263158</v>
          </cell>
          <cell r="BD108">
            <v>0</v>
          </cell>
          <cell r="BE108">
            <v>34.416666666666664</v>
          </cell>
          <cell r="BF108">
            <v>21.736842105263158</v>
          </cell>
          <cell r="BG108">
            <v>0</v>
          </cell>
          <cell r="BH108">
            <v>32.833333333333329</v>
          </cell>
          <cell r="BI108">
            <v>79</v>
          </cell>
          <cell r="BJ108">
            <v>49.894736842105267</v>
          </cell>
          <cell r="BK108">
            <v>0</v>
          </cell>
          <cell r="BL108">
            <v>29.416666666666668</v>
          </cell>
          <cell r="BM108">
            <v>31</v>
          </cell>
          <cell r="BN108">
            <v>19.578947368421055</v>
          </cell>
          <cell r="BO108">
            <v>0</v>
          </cell>
          <cell r="BP108">
            <v>29.416666666666668</v>
          </cell>
          <cell r="BQ108">
            <v>28</v>
          </cell>
          <cell r="BR108">
            <v>17.684210526315791</v>
          </cell>
          <cell r="BS108">
            <v>0</v>
          </cell>
          <cell r="BT108">
            <v>26.416666666666668</v>
          </cell>
          <cell r="BU108">
            <v>27</v>
          </cell>
          <cell r="BV108">
            <v>17.05263157894737</v>
          </cell>
          <cell r="BW108">
            <v>0</v>
          </cell>
          <cell r="BX108">
            <v>0</v>
          </cell>
          <cell r="BY108">
            <v>25.416666666666668</v>
          </cell>
          <cell r="BZ108">
            <v>25</v>
          </cell>
          <cell r="CA108">
            <v>13.636363636363637</v>
          </cell>
          <cell r="CB108">
            <v>0</v>
          </cell>
          <cell r="CC108">
            <v>0</v>
          </cell>
          <cell r="CD108">
            <v>33.166666666666664</v>
          </cell>
          <cell r="CE108">
            <v>24</v>
          </cell>
          <cell r="CF108">
            <v>15.157894736842106</v>
          </cell>
          <cell r="CG108">
            <v>0</v>
          </cell>
          <cell r="CH108">
            <v>10</v>
          </cell>
          <cell r="CI108">
            <v>31.583333333333332</v>
          </cell>
          <cell r="CJ108">
            <v>37</v>
          </cell>
          <cell r="CK108">
            <v>22.2</v>
          </cell>
          <cell r="CL108">
            <v>0</v>
          </cell>
          <cell r="CM108">
            <v>50</v>
          </cell>
          <cell r="CN108">
            <v>85.333333333333329</v>
          </cell>
          <cell r="CO108">
            <v>85</v>
          </cell>
          <cell r="CP108">
            <v>42.5</v>
          </cell>
          <cell r="CQ108">
            <v>0</v>
          </cell>
          <cell r="CR108">
            <v>0</v>
          </cell>
          <cell r="CS108">
            <v>83</v>
          </cell>
          <cell r="CT108">
            <v>83</v>
          </cell>
          <cell r="CU108">
            <v>52.421052631578952</v>
          </cell>
          <cell r="CV108">
            <v>0</v>
          </cell>
          <cell r="CW108">
            <v>0</v>
          </cell>
          <cell r="CX108">
            <v>81.416666666666671</v>
          </cell>
          <cell r="CY108">
            <v>84</v>
          </cell>
          <cell r="CZ108">
            <v>53.05263157894737</v>
          </cell>
          <cell r="DA108">
            <v>0</v>
          </cell>
          <cell r="DB108">
            <v>0</v>
          </cell>
          <cell r="DC108">
            <v>82.416666666666671</v>
          </cell>
          <cell r="DD108">
            <v>83</v>
          </cell>
          <cell r="DE108">
            <v>49.894736842105267</v>
          </cell>
          <cell r="DF108">
            <v>0</v>
          </cell>
          <cell r="DG108">
            <v>0</v>
          </cell>
          <cell r="DH108">
            <v>81.416666666666671</v>
          </cell>
          <cell r="DI108">
            <v>82</v>
          </cell>
          <cell r="DJ108">
            <v>51.263157894736842</v>
          </cell>
          <cell r="DK108">
            <v>0</v>
          </cell>
          <cell r="DL108">
            <v>0</v>
          </cell>
          <cell r="DM108">
            <v>79.833333333333343</v>
          </cell>
          <cell r="DN108">
            <v>79</v>
          </cell>
          <cell r="DO108">
            <v>49.368421052631582</v>
          </cell>
          <cell r="DP108">
            <v>0</v>
          </cell>
          <cell r="DQ108">
            <v>0</v>
          </cell>
          <cell r="DR108">
            <v>77.416666666666671</v>
          </cell>
          <cell r="DS108">
            <v>77.416666666666671</v>
          </cell>
          <cell r="DT108">
            <v>48.368421052631582</v>
          </cell>
          <cell r="DU108">
            <v>0</v>
          </cell>
          <cell r="DV108">
            <v>0</v>
          </cell>
          <cell r="DW108">
            <v>75.833333333333343</v>
          </cell>
          <cell r="DX108">
            <v>75.833333333333343</v>
          </cell>
          <cell r="DY108">
            <v>47.368421052631589</v>
          </cell>
          <cell r="DZ108">
            <v>0</v>
          </cell>
          <cell r="EA108">
            <v>0</v>
          </cell>
          <cell r="EB108">
            <v>74.250000000000014</v>
          </cell>
          <cell r="EC108">
            <v>74.250000000000014</v>
          </cell>
          <cell r="ED108">
            <v>46.368421052631589</v>
          </cell>
          <cell r="EE108">
            <v>0</v>
          </cell>
          <cell r="EF108">
            <v>0</v>
          </cell>
          <cell r="EG108">
            <v>72.666666666666686</v>
          </cell>
          <cell r="EH108">
            <v>72.666666666666686</v>
          </cell>
          <cell r="EI108">
            <v>45.368421052631589</v>
          </cell>
          <cell r="EJ108">
            <v>0</v>
          </cell>
          <cell r="EK108">
            <v>0</v>
          </cell>
          <cell r="EL108">
            <v>71.083333333333357</v>
          </cell>
          <cell r="EM108">
            <v>71.083333333333357</v>
          </cell>
          <cell r="EN108">
            <v>44.368421052631597</v>
          </cell>
          <cell r="EO108">
            <v>0</v>
          </cell>
          <cell r="EP108">
            <v>0</v>
          </cell>
          <cell r="EQ108">
            <v>69.500000000000028</v>
          </cell>
          <cell r="ER108">
            <v>69.500000000000028</v>
          </cell>
          <cell r="ES108">
            <v>43.368421052631597</v>
          </cell>
          <cell r="ET108">
            <v>0</v>
          </cell>
          <cell r="EU108">
            <v>0</v>
          </cell>
          <cell r="EV108">
            <v>67.9166666666667</v>
          </cell>
          <cell r="EW108">
            <v>67.9166666666667</v>
          </cell>
          <cell r="EX108">
            <v>42.368421052631604</v>
          </cell>
          <cell r="EY108">
            <v>0</v>
          </cell>
          <cell r="EZ108">
            <v>0</v>
          </cell>
          <cell r="FA108">
            <v>66.333333333333371</v>
          </cell>
          <cell r="FB108">
            <v>66.333333333333371</v>
          </cell>
          <cell r="FC108">
            <v>41.368421052631604</v>
          </cell>
          <cell r="FD108">
            <v>0</v>
          </cell>
          <cell r="FE108">
            <v>0</v>
          </cell>
          <cell r="FF108">
            <v>64.750000000000043</v>
          </cell>
          <cell r="FG108">
            <v>64.750000000000043</v>
          </cell>
          <cell r="FH108">
            <v>40.368421052631611</v>
          </cell>
          <cell r="FI108">
            <v>0</v>
          </cell>
          <cell r="FJ108">
            <v>0</v>
          </cell>
          <cell r="FK108">
            <v>63.166666666666707</v>
          </cell>
          <cell r="FL108">
            <v>63.166666666666707</v>
          </cell>
          <cell r="FM108">
            <v>39.368421052631604</v>
          </cell>
          <cell r="FN108">
            <v>0</v>
          </cell>
          <cell r="FO108">
            <v>0</v>
          </cell>
          <cell r="FP108">
            <v>61.583333333333371</v>
          </cell>
          <cell r="FQ108">
            <v>61.583333333333371</v>
          </cell>
          <cell r="FR108">
            <v>38.368421052631604</v>
          </cell>
          <cell r="FS108">
            <v>0</v>
          </cell>
          <cell r="FT108">
            <v>4</v>
          </cell>
          <cell r="FU108">
            <v>2.0333333333333332</v>
          </cell>
          <cell r="FW108" t="str">
            <v>SOBRESTOCK</v>
          </cell>
          <cell r="FX108" t="str">
            <v>B</v>
          </cell>
          <cell r="FY108" t="str">
            <v>Si</v>
          </cell>
        </row>
        <row r="109">
          <cell r="B109" t="str">
            <v>REP-0110</v>
          </cell>
          <cell r="C109" t="str">
            <v>MIX</v>
          </cell>
          <cell r="D109">
            <v>0</v>
          </cell>
          <cell r="E109">
            <v>3</v>
          </cell>
          <cell r="F109">
            <v>0</v>
          </cell>
          <cell r="G109">
            <v>0</v>
          </cell>
          <cell r="H109">
            <v>2</v>
          </cell>
          <cell r="I109">
            <v>2</v>
          </cell>
          <cell r="J109">
            <v>0</v>
          </cell>
          <cell r="K109">
            <v>1</v>
          </cell>
          <cell r="L109">
            <v>2</v>
          </cell>
          <cell r="M109">
            <v>0</v>
          </cell>
          <cell r="N109">
            <v>2</v>
          </cell>
          <cell r="O109">
            <v>1</v>
          </cell>
          <cell r="P109">
            <v>0</v>
          </cell>
          <cell r="Q109">
            <v>2</v>
          </cell>
          <cell r="R109">
            <v>2</v>
          </cell>
          <cell r="S109">
            <v>1</v>
          </cell>
          <cell r="T109">
            <v>3</v>
          </cell>
          <cell r="U109">
            <v>0</v>
          </cell>
          <cell r="V109">
            <v>1</v>
          </cell>
          <cell r="W109">
            <v>0</v>
          </cell>
          <cell r="X109">
            <v>0</v>
          </cell>
          <cell r="Y109">
            <v>22</v>
          </cell>
          <cell r="AA109">
            <v>22</v>
          </cell>
          <cell r="AB109">
            <v>9</v>
          </cell>
          <cell r="AC109">
            <v>2</v>
          </cell>
          <cell r="AD109">
            <v>6.6666666666666666E-2</v>
          </cell>
          <cell r="AE109">
            <v>1.6666666666666667</v>
          </cell>
          <cell r="AF109">
            <v>0.75</v>
          </cell>
          <cell r="AG109">
            <v>1.0833333333333333</v>
          </cell>
          <cell r="AH109">
            <v>1.0833333333333333</v>
          </cell>
          <cell r="AI109">
            <v>0.33333333333333331</v>
          </cell>
          <cell r="AJ109">
            <v>0.33333333333333331</v>
          </cell>
          <cell r="AK109">
            <v>1.0833333333333333</v>
          </cell>
          <cell r="AL109">
            <v>0.43301270189221919</v>
          </cell>
          <cell r="AM109">
            <v>0.70833333333333337</v>
          </cell>
          <cell r="AN109">
            <v>0.61131204973019171</v>
          </cell>
          <cell r="AO109">
            <v>0</v>
          </cell>
          <cell r="AP109">
            <v>36.916666666666664</v>
          </cell>
          <cell r="AQ109">
            <v>21.8</v>
          </cell>
          <cell r="AR109">
            <v>0</v>
          </cell>
          <cell r="AS109">
            <v>36</v>
          </cell>
          <cell r="AT109">
            <v>38</v>
          </cell>
          <cell r="AU109">
            <v>35.07692307692308</v>
          </cell>
          <cell r="AV109">
            <v>0</v>
          </cell>
          <cell r="AW109">
            <v>36.916666666666664</v>
          </cell>
          <cell r="AX109">
            <v>38</v>
          </cell>
          <cell r="AY109">
            <v>35.07692307692308</v>
          </cell>
          <cell r="AZ109">
            <v>0</v>
          </cell>
          <cell r="BA109">
            <v>36.916666666666664</v>
          </cell>
          <cell r="BB109">
            <v>33</v>
          </cell>
          <cell r="BC109">
            <v>19.8</v>
          </cell>
          <cell r="BD109">
            <v>0</v>
          </cell>
          <cell r="BE109">
            <v>31.333333333333332</v>
          </cell>
          <cell r="BF109">
            <v>18.799999999999997</v>
          </cell>
          <cell r="BG109">
            <v>0</v>
          </cell>
          <cell r="BH109">
            <v>29.666666666666664</v>
          </cell>
          <cell r="BI109">
            <v>22</v>
          </cell>
          <cell r="BJ109">
            <v>20.30769230769231</v>
          </cell>
          <cell r="BK109">
            <v>0</v>
          </cell>
          <cell r="BL109">
            <v>30.916666666666668</v>
          </cell>
          <cell r="BM109">
            <v>32</v>
          </cell>
          <cell r="BN109">
            <v>29.53846153846154</v>
          </cell>
          <cell r="BO109">
            <v>0</v>
          </cell>
          <cell r="BP109">
            <v>30.916666666666668</v>
          </cell>
          <cell r="BQ109">
            <v>32</v>
          </cell>
          <cell r="BR109">
            <v>29.53846153846154</v>
          </cell>
          <cell r="BS109">
            <v>0</v>
          </cell>
          <cell r="BT109">
            <v>30.916666666666668</v>
          </cell>
          <cell r="BU109">
            <v>32</v>
          </cell>
          <cell r="BV109">
            <v>29.53846153846154</v>
          </cell>
          <cell r="BW109">
            <v>0</v>
          </cell>
          <cell r="BX109">
            <v>0</v>
          </cell>
          <cell r="BY109">
            <v>30.916666666666668</v>
          </cell>
          <cell r="BZ109">
            <v>30</v>
          </cell>
          <cell r="CA109">
            <v>27.692307692307693</v>
          </cell>
          <cell r="CB109">
            <v>0</v>
          </cell>
          <cell r="CC109">
            <v>0</v>
          </cell>
          <cell r="CD109">
            <v>28.916666666666668</v>
          </cell>
          <cell r="CE109">
            <v>30</v>
          </cell>
          <cell r="CF109">
            <v>27.692307692307693</v>
          </cell>
          <cell r="CG109">
            <v>0</v>
          </cell>
          <cell r="CH109">
            <v>0</v>
          </cell>
          <cell r="CI109">
            <v>27.833333333333336</v>
          </cell>
          <cell r="CJ109">
            <v>25</v>
          </cell>
          <cell r="CK109">
            <v>21.428571428571427</v>
          </cell>
          <cell r="CL109">
            <v>0</v>
          </cell>
          <cell r="CM109">
            <v>0</v>
          </cell>
          <cell r="CN109">
            <v>23.833333333333332</v>
          </cell>
          <cell r="CO109">
            <v>25</v>
          </cell>
          <cell r="CP109">
            <v>21.428571428571427</v>
          </cell>
          <cell r="CQ109">
            <v>0</v>
          </cell>
          <cell r="CR109">
            <v>0</v>
          </cell>
          <cell r="CS109">
            <v>23.833333333333332</v>
          </cell>
          <cell r="CT109">
            <v>25</v>
          </cell>
          <cell r="CU109">
            <v>21.428571428571427</v>
          </cell>
          <cell r="CV109">
            <v>0</v>
          </cell>
          <cell r="CW109">
            <v>0</v>
          </cell>
          <cell r="CX109">
            <v>23.833333333333332</v>
          </cell>
          <cell r="CY109">
            <v>24</v>
          </cell>
          <cell r="CZ109">
            <v>22.153846153846157</v>
          </cell>
          <cell r="DA109">
            <v>0</v>
          </cell>
          <cell r="DB109">
            <v>0</v>
          </cell>
          <cell r="DC109">
            <v>22.916666666666668</v>
          </cell>
          <cell r="DD109">
            <v>23</v>
          </cell>
          <cell r="DE109">
            <v>18.461538461538463</v>
          </cell>
          <cell r="DF109">
            <v>0</v>
          </cell>
          <cell r="DG109">
            <v>0</v>
          </cell>
          <cell r="DH109">
            <v>21.916666666666668</v>
          </cell>
          <cell r="DI109">
            <v>23</v>
          </cell>
          <cell r="DJ109">
            <v>20.461538461538463</v>
          </cell>
          <cell r="DK109">
            <v>0</v>
          </cell>
          <cell r="DL109">
            <v>0</v>
          </cell>
          <cell r="DM109">
            <v>20.833333333333336</v>
          </cell>
          <cell r="DN109">
            <v>22</v>
          </cell>
          <cell r="DO109">
            <v>19.53846153846154</v>
          </cell>
          <cell r="DP109">
            <v>0</v>
          </cell>
          <cell r="DQ109">
            <v>0</v>
          </cell>
          <cell r="DR109">
            <v>20.916666666666668</v>
          </cell>
          <cell r="DS109">
            <v>20.916666666666668</v>
          </cell>
          <cell r="DT109">
            <v>18.53846153846154</v>
          </cell>
          <cell r="DU109">
            <v>0</v>
          </cell>
          <cell r="DV109">
            <v>0</v>
          </cell>
          <cell r="DW109">
            <v>19.833333333333336</v>
          </cell>
          <cell r="DX109">
            <v>19.833333333333336</v>
          </cell>
          <cell r="DY109">
            <v>17.53846153846154</v>
          </cell>
          <cell r="DZ109">
            <v>0</v>
          </cell>
          <cell r="EA109">
            <v>0</v>
          </cell>
          <cell r="EB109">
            <v>18.750000000000004</v>
          </cell>
          <cell r="EC109">
            <v>18.750000000000004</v>
          </cell>
          <cell r="ED109">
            <v>16.53846153846154</v>
          </cell>
          <cell r="EE109">
            <v>0</v>
          </cell>
          <cell r="EF109">
            <v>0</v>
          </cell>
          <cell r="EG109">
            <v>17.666666666666671</v>
          </cell>
          <cell r="EH109">
            <v>17.666666666666671</v>
          </cell>
          <cell r="EI109">
            <v>15.538461538461544</v>
          </cell>
          <cell r="EJ109">
            <v>0</v>
          </cell>
          <cell r="EK109">
            <v>0</v>
          </cell>
          <cell r="EL109">
            <v>16.583333333333339</v>
          </cell>
          <cell r="EM109">
            <v>16.583333333333339</v>
          </cell>
          <cell r="EN109">
            <v>14.538461538461545</v>
          </cell>
          <cell r="EO109">
            <v>0</v>
          </cell>
          <cell r="EP109">
            <v>0</v>
          </cell>
          <cell r="EQ109">
            <v>15.500000000000005</v>
          </cell>
          <cell r="ER109">
            <v>15.500000000000005</v>
          </cell>
          <cell r="ES109">
            <v>13.538461538461544</v>
          </cell>
          <cell r="ET109">
            <v>0</v>
          </cell>
          <cell r="EU109">
            <v>0</v>
          </cell>
          <cell r="EV109">
            <v>14.416666666666671</v>
          </cell>
          <cell r="EW109">
            <v>14.416666666666671</v>
          </cell>
          <cell r="EX109">
            <v>12.538461538461544</v>
          </cell>
          <cell r="EY109">
            <v>0</v>
          </cell>
          <cell r="EZ109">
            <v>0</v>
          </cell>
          <cell r="FA109">
            <v>13.333333333333337</v>
          </cell>
          <cell r="FB109">
            <v>13.333333333333337</v>
          </cell>
          <cell r="FC109">
            <v>11.538461538461544</v>
          </cell>
          <cell r="FD109">
            <v>0</v>
          </cell>
          <cell r="FE109">
            <v>0</v>
          </cell>
          <cell r="FF109">
            <v>12.250000000000004</v>
          </cell>
          <cell r="FG109">
            <v>12.250000000000004</v>
          </cell>
          <cell r="FH109">
            <v>10.538461538461542</v>
          </cell>
          <cell r="FI109">
            <v>0</v>
          </cell>
          <cell r="FJ109">
            <v>0</v>
          </cell>
          <cell r="FK109">
            <v>11.16666666666667</v>
          </cell>
          <cell r="FL109">
            <v>11.16666666666667</v>
          </cell>
          <cell r="FM109">
            <v>9.5384615384615419</v>
          </cell>
          <cell r="FN109">
            <v>0</v>
          </cell>
          <cell r="FO109">
            <v>0</v>
          </cell>
          <cell r="FP109">
            <v>10.083333333333336</v>
          </cell>
          <cell r="FQ109">
            <v>10.083333333333336</v>
          </cell>
          <cell r="FR109">
            <v>8.5384615384615401</v>
          </cell>
          <cell r="FS109">
            <v>0</v>
          </cell>
          <cell r="FT109">
            <v>3</v>
          </cell>
          <cell r="FU109">
            <v>2.0333333333333332</v>
          </cell>
          <cell r="FW109" t="str">
            <v>SOBRESTOCK</v>
          </cell>
          <cell r="FX109" t="str">
            <v>B</v>
          </cell>
          <cell r="FY109" t="str">
            <v>Si</v>
          </cell>
        </row>
        <row r="110">
          <cell r="B110" t="str">
            <v>REP-0111</v>
          </cell>
          <cell r="C110" t="str">
            <v>MIX</v>
          </cell>
          <cell r="D110">
            <v>0</v>
          </cell>
          <cell r="E110">
            <v>43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</v>
          </cell>
          <cell r="W110">
            <v>0</v>
          </cell>
          <cell r="X110">
            <v>2</v>
          </cell>
          <cell r="Y110">
            <v>50</v>
          </cell>
          <cell r="AA110">
            <v>50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8.3333333333333329E-2</v>
          </cell>
          <cell r="AG110">
            <v>0</v>
          </cell>
          <cell r="AH110">
            <v>0.16666666666666666</v>
          </cell>
          <cell r="AI110">
            <v>0.33333333333333331</v>
          </cell>
          <cell r="AJ110">
            <v>0.33333333333333331</v>
          </cell>
          <cell r="AK110">
            <v>0.33333333333333331</v>
          </cell>
          <cell r="AL110">
            <v>0.15957118462605638</v>
          </cell>
          <cell r="AM110">
            <v>0.20833333333333331</v>
          </cell>
          <cell r="AN110">
            <v>0.76594168620507064</v>
          </cell>
          <cell r="AO110">
            <v>0</v>
          </cell>
          <cell r="AP110">
            <v>55</v>
          </cell>
          <cell r="AQ110">
            <v>659</v>
          </cell>
          <cell r="AR110">
            <v>0</v>
          </cell>
          <cell r="AS110">
            <v>54.833333333333329</v>
          </cell>
          <cell r="AT110">
            <v>55</v>
          </cell>
          <cell r="AU110" t="str">
            <v/>
          </cell>
          <cell r="AV110">
            <v>0</v>
          </cell>
          <cell r="AW110">
            <v>55</v>
          </cell>
          <cell r="AX110">
            <v>55</v>
          </cell>
          <cell r="AY110">
            <v>165</v>
          </cell>
          <cell r="AZ110">
            <v>0</v>
          </cell>
          <cell r="BA110">
            <v>55</v>
          </cell>
          <cell r="BB110">
            <v>55</v>
          </cell>
          <cell r="BC110">
            <v>330</v>
          </cell>
          <cell r="BD110">
            <v>0</v>
          </cell>
          <cell r="BE110">
            <v>54.833333333333336</v>
          </cell>
          <cell r="BF110">
            <v>329.00000000000006</v>
          </cell>
          <cell r="BG110">
            <v>0</v>
          </cell>
          <cell r="BH110">
            <v>54.666666666666671</v>
          </cell>
          <cell r="BI110">
            <v>50</v>
          </cell>
          <cell r="BJ110">
            <v>150</v>
          </cell>
          <cell r="BK110">
            <v>0</v>
          </cell>
          <cell r="BL110">
            <v>53</v>
          </cell>
          <cell r="BM110">
            <v>55</v>
          </cell>
          <cell r="BN110" t="str">
            <v/>
          </cell>
          <cell r="BO110">
            <v>0</v>
          </cell>
          <cell r="BP110">
            <v>55</v>
          </cell>
          <cell r="BQ110">
            <v>55</v>
          </cell>
          <cell r="BR110">
            <v>165</v>
          </cell>
          <cell r="BS110">
            <v>0</v>
          </cell>
          <cell r="BT110">
            <v>55</v>
          </cell>
          <cell r="BU110">
            <v>55</v>
          </cell>
          <cell r="BV110" t="str">
            <v/>
          </cell>
          <cell r="BW110">
            <v>0</v>
          </cell>
          <cell r="BX110">
            <v>0</v>
          </cell>
          <cell r="BY110">
            <v>55</v>
          </cell>
          <cell r="BZ110">
            <v>55</v>
          </cell>
          <cell r="CA110" t="str">
            <v/>
          </cell>
          <cell r="CB110">
            <v>0</v>
          </cell>
          <cell r="CC110">
            <v>0</v>
          </cell>
          <cell r="CD110">
            <v>55</v>
          </cell>
          <cell r="CE110">
            <v>54</v>
          </cell>
          <cell r="CF110">
            <v>324</v>
          </cell>
          <cell r="CG110">
            <v>0</v>
          </cell>
          <cell r="CH110">
            <v>0</v>
          </cell>
          <cell r="CI110">
            <v>54.833333333333336</v>
          </cell>
          <cell r="CJ110">
            <v>54</v>
          </cell>
          <cell r="CK110">
            <v>162</v>
          </cell>
          <cell r="CL110">
            <v>0</v>
          </cell>
          <cell r="CM110">
            <v>0</v>
          </cell>
          <cell r="CN110">
            <v>53.666666666666664</v>
          </cell>
          <cell r="CO110">
            <v>54</v>
          </cell>
          <cell r="CP110">
            <v>162</v>
          </cell>
          <cell r="CQ110">
            <v>0</v>
          </cell>
          <cell r="CR110">
            <v>0</v>
          </cell>
          <cell r="CS110">
            <v>53.666666666666664</v>
          </cell>
          <cell r="CT110">
            <v>54</v>
          </cell>
          <cell r="CU110">
            <v>162</v>
          </cell>
          <cell r="CV110">
            <v>0</v>
          </cell>
          <cell r="CW110">
            <v>0</v>
          </cell>
          <cell r="CX110">
            <v>53.666666666666664</v>
          </cell>
          <cell r="CY110">
            <v>54</v>
          </cell>
          <cell r="CZ110">
            <v>324</v>
          </cell>
          <cell r="DA110">
            <v>0</v>
          </cell>
          <cell r="DB110">
            <v>0</v>
          </cell>
          <cell r="DC110">
            <v>53.75</v>
          </cell>
          <cell r="DD110">
            <v>53</v>
          </cell>
          <cell r="DE110">
            <v>208</v>
          </cell>
          <cell r="DF110">
            <v>0</v>
          </cell>
          <cell r="DG110">
            <v>0</v>
          </cell>
          <cell r="DH110">
            <v>52.75</v>
          </cell>
          <cell r="DI110">
            <v>53</v>
          </cell>
          <cell r="DJ110">
            <v>262</v>
          </cell>
          <cell r="DK110">
            <v>0</v>
          </cell>
          <cell r="DL110">
            <v>0</v>
          </cell>
          <cell r="DM110">
            <v>52.55</v>
          </cell>
          <cell r="DN110">
            <v>50</v>
          </cell>
          <cell r="DO110">
            <v>149</v>
          </cell>
          <cell r="DP110">
            <v>0</v>
          </cell>
          <cell r="DQ110">
            <v>0</v>
          </cell>
          <cell r="DR110">
            <v>49.666666666666664</v>
          </cell>
          <cell r="DS110">
            <v>49.666666666666664</v>
          </cell>
          <cell r="DT110">
            <v>148</v>
          </cell>
          <cell r="DU110">
            <v>0</v>
          </cell>
          <cell r="DV110">
            <v>0</v>
          </cell>
          <cell r="DW110">
            <v>49.333333333333329</v>
          </cell>
          <cell r="DX110">
            <v>49.333333333333329</v>
          </cell>
          <cell r="DY110">
            <v>147</v>
          </cell>
          <cell r="DZ110">
            <v>0</v>
          </cell>
          <cell r="EA110">
            <v>0</v>
          </cell>
          <cell r="EB110">
            <v>48.999999999999993</v>
          </cell>
          <cell r="EC110">
            <v>48.999999999999993</v>
          </cell>
          <cell r="ED110">
            <v>146</v>
          </cell>
          <cell r="EE110">
            <v>0</v>
          </cell>
          <cell r="EF110">
            <v>0</v>
          </cell>
          <cell r="EG110">
            <v>48.666666666666657</v>
          </cell>
          <cell r="EH110">
            <v>48.666666666666657</v>
          </cell>
          <cell r="EI110">
            <v>144.99999999999997</v>
          </cell>
          <cell r="EJ110">
            <v>0</v>
          </cell>
          <cell r="EK110">
            <v>0</v>
          </cell>
          <cell r="EL110">
            <v>48.333333333333321</v>
          </cell>
          <cell r="EM110">
            <v>48.333333333333321</v>
          </cell>
          <cell r="EN110">
            <v>143.99999999999997</v>
          </cell>
          <cell r="EO110">
            <v>0</v>
          </cell>
          <cell r="EP110">
            <v>0</v>
          </cell>
          <cell r="EQ110">
            <v>47.999999999999986</v>
          </cell>
          <cell r="ER110">
            <v>47.999999999999986</v>
          </cell>
          <cell r="ES110">
            <v>142.99999999999997</v>
          </cell>
          <cell r="ET110">
            <v>0</v>
          </cell>
          <cell r="EU110">
            <v>0</v>
          </cell>
          <cell r="EV110">
            <v>47.66666666666665</v>
          </cell>
          <cell r="EW110">
            <v>47.66666666666665</v>
          </cell>
          <cell r="EX110">
            <v>141.99999999999997</v>
          </cell>
          <cell r="EY110">
            <v>0</v>
          </cell>
          <cell r="EZ110">
            <v>0</v>
          </cell>
          <cell r="FA110">
            <v>47.333333333333314</v>
          </cell>
          <cell r="FB110">
            <v>47.333333333333314</v>
          </cell>
          <cell r="FC110">
            <v>140.99999999999994</v>
          </cell>
          <cell r="FD110">
            <v>0</v>
          </cell>
          <cell r="FE110">
            <v>0</v>
          </cell>
          <cell r="FF110">
            <v>46.999999999999979</v>
          </cell>
          <cell r="FG110">
            <v>46.999999999999979</v>
          </cell>
          <cell r="FH110">
            <v>139.99999999999994</v>
          </cell>
          <cell r="FI110">
            <v>0</v>
          </cell>
          <cell r="FJ110">
            <v>0</v>
          </cell>
          <cell r="FK110">
            <v>46.666666666666643</v>
          </cell>
          <cell r="FL110">
            <v>46.666666666666643</v>
          </cell>
          <cell r="FM110">
            <v>138.99999999999994</v>
          </cell>
          <cell r="FN110">
            <v>0</v>
          </cell>
          <cell r="FO110">
            <v>0</v>
          </cell>
          <cell r="FP110">
            <v>46.333333333333307</v>
          </cell>
          <cell r="FQ110">
            <v>46.333333333333307</v>
          </cell>
          <cell r="FR110">
            <v>137.99999999999994</v>
          </cell>
          <cell r="FS110">
            <v>0</v>
          </cell>
          <cell r="FT110">
            <v>1</v>
          </cell>
          <cell r="FU110">
            <v>2.0333333333333332</v>
          </cell>
          <cell r="FW110" t="str">
            <v>SOBRESTOCK</v>
          </cell>
          <cell r="FX110" t="str">
            <v>C</v>
          </cell>
          <cell r="FY110" t="str">
            <v>Si</v>
          </cell>
        </row>
        <row r="111">
          <cell r="B111" t="str">
            <v>REP-0112</v>
          </cell>
          <cell r="C111" t="str">
            <v>MIX</v>
          </cell>
          <cell r="D111">
            <v>0</v>
          </cell>
          <cell r="E111">
            <v>41</v>
          </cell>
          <cell r="F111">
            <v>0</v>
          </cell>
          <cell r="G111">
            <v>0</v>
          </cell>
          <cell r="H111">
            <v>10</v>
          </cell>
          <cell r="I111">
            <v>10</v>
          </cell>
          <cell r="J111">
            <v>0</v>
          </cell>
          <cell r="K111">
            <v>25</v>
          </cell>
          <cell r="L111">
            <v>0</v>
          </cell>
          <cell r="M111">
            <v>0</v>
          </cell>
          <cell r="N111">
            <v>3</v>
          </cell>
          <cell r="O111">
            <v>4</v>
          </cell>
          <cell r="P111">
            <v>0</v>
          </cell>
          <cell r="Q111">
            <v>6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2</v>
          </cell>
          <cell r="X111">
            <v>0</v>
          </cell>
          <cell r="Y111">
            <v>103</v>
          </cell>
          <cell r="AA111">
            <v>103</v>
          </cell>
          <cell r="AB111">
            <v>0</v>
          </cell>
          <cell r="AC111">
            <v>12.75</v>
          </cell>
          <cell r="AD111">
            <v>0.42499999999999999</v>
          </cell>
          <cell r="AE111">
            <v>8.25</v>
          </cell>
          <cell r="AF111">
            <v>7.458333333333333</v>
          </cell>
          <cell r="AG111">
            <v>2.25</v>
          </cell>
          <cell r="AH111">
            <v>5.291666666666667</v>
          </cell>
          <cell r="AI111">
            <v>3.5</v>
          </cell>
          <cell r="AJ111">
            <v>3.5</v>
          </cell>
          <cell r="AK111">
            <v>5.291666666666667</v>
          </cell>
          <cell r="AL111">
            <v>1.2515615246562981</v>
          </cell>
          <cell r="AM111">
            <v>3.635416666666667</v>
          </cell>
          <cell r="AN111">
            <v>0.34426907268482698</v>
          </cell>
          <cell r="AO111">
            <v>0</v>
          </cell>
          <cell r="AP111">
            <v>119</v>
          </cell>
          <cell r="AQ111">
            <v>16.094972067039109</v>
          </cell>
          <cell r="AR111">
            <v>0</v>
          </cell>
          <cell r="AS111">
            <v>112.58333333333334</v>
          </cell>
          <cell r="AT111">
            <v>110</v>
          </cell>
          <cell r="AU111">
            <v>48.888888888888886</v>
          </cell>
          <cell r="AV111">
            <v>0</v>
          </cell>
          <cell r="AW111">
            <v>107.75</v>
          </cell>
          <cell r="AX111">
            <v>130</v>
          </cell>
          <cell r="AY111">
            <v>24.566929133858267</v>
          </cell>
          <cell r="AZ111">
            <v>0</v>
          </cell>
          <cell r="BA111">
            <v>127.75</v>
          </cell>
          <cell r="BB111">
            <v>107</v>
          </cell>
          <cell r="BC111">
            <v>47.555555555555557</v>
          </cell>
          <cell r="BD111">
            <v>0</v>
          </cell>
          <cell r="BE111">
            <v>104.75</v>
          </cell>
          <cell r="BF111">
            <v>46.555555555555557</v>
          </cell>
          <cell r="BG111">
            <v>0</v>
          </cell>
          <cell r="BH111">
            <v>102.5</v>
          </cell>
          <cell r="BI111">
            <v>103</v>
          </cell>
          <cell r="BJ111">
            <v>19.464566929133856</v>
          </cell>
          <cell r="BK111">
            <v>0</v>
          </cell>
          <cell r="BL111">
            <v>61.833333333333336</v>
          </cell>
          <cell r="BM111">
            <v>63</v>
          </cell>
          <cell r="BN111">
            <v>8.0425531914893629</v>
          </cell>
          <cell r="BO111">
            <v>0</v>
          </cell>
          <cell r="BP111">
            <v>55.166666666666664</v>
          </cell>
          <cell r="BQ111">
            <v>59</v>
          </cell>
          <cell r="BR111">
            <v>11.149606299212598</v>
          </cell>
          <cell r="BS111">
            <v>0</v>
          </cell>
          <cell r="BT111">
            <v>50.5</v>
          </cell>
          <cell r="BU111">
            <v>59</v>
          </cell>
          <cell r="BV111">
            <v>6.9411764705882355</v>
          </cell>
          <cell r="BW111">
            <v>9</v>
          </cell>
          <cell r="BX111">
            <v>0</v>
          </cell>
          <cell r="BY111">
            <v>50.5</v>
          </cell>
          <cell r="BZ111">
            <v>59</v>
          </cell>
          <cell r="CA111">
            <v>7.375</v>
          </cell>
          <cell r="CB111">
            <v>5</v>
          </cell>
          <cell r="CC111">
            <v>0</v>
          </cell>
          <cell r="CD111">
            <v>71</v>
          </cell>
          <cell r="CE111">
            <v>69</v>
          </cell>
          <cell r="CF111">
            <v>8.117647058823529</v>
          </cell>
          <cell r="CG111">
            <v>0</v>
          </cell>
          <cell r="CH111">
            <v>20</v>
          </cell>
          <cell r="CI111">
            <v>62.5</v>
          </cell>
          <cell r="CJ111">
            <v>85</v>
          </cell>
          <cell r="CK111">
            <v>16.062992125984252</v>
          </cell>
          <cell r="CL111">
            <v>0</v>
          </cell>
          <cell r="CM111">
            <v>30</v>
          </cell>
          <cell r="CN111">
            <v>109.70833333333333</v>
          </cell>
          <cell r="CO111">
            <v>113</v>
          </cell>
          <cell r="CP111">
            <v>21.354330708661415</v>
          </cell>
          <cell r="CQ111">
            <v>0</v>
          </cell>
          <cell r="CR111">
            <v>0</v>
          </cell>
          <cell r="CS111">
            <v>107.70833333333333</v>
          </cell>
          <cell r="CT111">
            <v>110</v>
          </cell>
          <cell r="CU111">
            <v>20.787401574803148</v>
          </cell>
          <cell r="CV111">
            <v>0</v>
          </cell>
          <cell r="CW111">
            <v>0</v>
          </cell>
          <cell r="CX111">
            <v>104.70833333333333</v>
          </cell>
          <cell r="CY111">
            <v>109</v>
          </cell>
          <cell r="CZ111">
            <v>20.598425196850393</v>
          </cell>
          <cell r="DA111">
            <v>0</v>
          </cell>
          <cell r="DB111">
            <v>0</v>
          </cell>
          <cell r="DC111">
            <v>103.70833333333333</v>
          </cell>
          <cell r="DD111">
            <v>100</v>
          </cell>
          <cell r="DE111">
            <v>16.818897637795274</v>
          </cell>
          <cell r="DF111">
            <v>0</v>
          </cell>
          <cell r="DG111">
            <v>0</v>
          </cell>
          <cell r="DH111">
            <v>94.708333333333329</v>
          </cell>
          <cell r="DI111">
            <v>93</v>
          </cell>
          <cell r="DJ111">
            <v>17.496062992125985</v>
          </cell>
          <cell r="DK111">
            <v>0</v>
          </cell>
          <cell r="DL111">
            <v>0</v>
          </cell>
          <cell r="DM111">
            <v>89.416666666666657</v>
          </cell>
          <cell r="DN111">
            <v>103</v>
          </cell>
          <cell r="DO111">
            <v>19.385826771653541</v>
          </cell>
          <cell r="DP111">
            <v>0</v>
          </cell>
          <cell r="DQ111">
            <v>0</v>
          </cell>
          <cell r="DR111">
            <v>97.708333333333329</v>
          </cell>
          <cell r="DS111">
            <v>97.708333333333329</v>
          </cell>
          <cell r="DT111">
            <v>18.385826771653541</v>
          </cell>
          <cell r="DU111">
            <v>0</v>
          </cell>
          <cell r="DV111">
            <v>0</v>
          </cell>
          <cell r="DW111">
            <v>92.416666666666657</v>
          </cell>
          <cell r="DX111">
            <v>92.416666666666657</v>
          </cell>
          <cell r="DY111">
            <v>17.385826771653541</v>
          </cell>
          <cell r="DZ111">
            <v>0</v>
          </cell>
          <cell r="EA111">
            <v>0</v>
          </cell>
          <cell r="EB111">
            <v>87.124999999999986</v>
          </cell>
          <cell r="EC111">
            <v>87.124999999999986</v>
          </cell>
          <cell r="ED111">
            <v>16.385826771653541</v>
          </cell>
          <cell r="EE111">
            <v>0</v>
          </cell>
          <cell r="EF111">
            <v>0</v>
          </cell>
          <cell r="EG111">
            <v>81.833333333333314</v>
          </cell>
          <cell r="EH111">
            <v>81.833333333333314</v>
          </cell>
          <cell r="EI111">
            <v>15.385826771653539</v>
          </cell>
          <cell r="EJ111">
            <v>0</v>
          </cell>
          <cell r="EK111">
            <v>0</v>
          </cell>
          <cell r="EL111">
            <v>76.541666666666643</v>
          </cell>
          <cell r="EM111">
            <v>76.541666666666643</v>
          </cell>
          <cell r="EN111">
            <v>14.385826771653537</v>
          </cell>
          <cell r="EO111">
            <v>0</v>
          </cell>
          <cell r="EP111">
            <v>0</v>
          </cell>
          <cell r="EQ111">
            <v>71.249999999999972</v>
          </cell>
          <cell r="ER111">
            <v>71.249999999999972</v>
          </cell>
          <cell r="ES111">
            <v>13.385826771653537</v>
          </cell>
          <cell r="ET111">
            <v>0</v>
          </cell>
          <cell r="EU111">
            <v>0</v>
          </cell>
          <cell r="EV111">
            <v>65.9583333333333</v>
          </cell>
          <cell r="EW111">
            <v>65.9583333333333</v>
          </cell>
          <cell r="EX111">
            <v>12.385826771653537</v>
          </cell>
          <cell r="EY111">
            <v>0</v>
          </cell>
          <cell r="EZ111">
            <v>0</v>
          </cell>
          <cell r="FA111">
            <v>60.666666666666636</v>
          </cell>
          <cell r="FB111">
            <v>60.666666666666636</v>
          </cell>
          <cell r="FC111">
            <v>11.385826771653537</v>
          </cell>
          <cell r="FD111">
            <v>0</v>
          </cell>
          <cell r="FE111">
            <v>0</v>
          </cell>
          <cell r="FF111">
            <v>55.374999999999972</v>
          </cell>
          <cell r="FG111">
            <v>55.374999999999972</v>
          </cell>
          <cell r="FH111">
            <v>10.385826771653537</v>
          </cell>
          <cell r="FI111">
            <v>0</v>
          </cell>
          <cell r="FJ111">
            <v>0</v>
          </cell>
          <cell r="FK111">
            <v>50.083333333333307</v>
          </cell>
          <cell r="FL111">
            <v>50.083333333333307</v>
          </cell>
          <cell r="FM111">
            <v>9.3858267716535373</v>
          </cell>
          <cell r="FN111">
            <v>0</v>
          </cell>
          <cell r="FO111">
            <v>0</v>
          </cell>
          <cell r="FP111">
            <v>44.791666666666643</v>
          </cell>
          <cell r="FQ111">
            <v>44.791666666666643</v>
          </cell>
          <cell r="FR111">
            <v>8.3858267716535373</v>
          </cell>
          <cell r="FS111">
            <v>0</v>
          </cell>
          <cell r="FT111">
            <v>11</v>
          </cell>
          <cell r="FU111">
            <v>2.0333333333333332</v>
          </cell>
          <cell r="FW111" t="str">
            <v>SOBRESTOCK</v>
          </cell>
          <cell r="FX111" t="str">
            <v>A</v>
          </cell>
          <cell r="FY111" t="str">
            <v>Si</v>
          </cell>
        </row>
        <row r="112">
          <cell r="B112" t="str">
            <v>REP-0113</v>
          </cell>
          <cell r="C112" t="str">
            <v>MIX</v>
          </cell>
          <cell r="D112">
            <v>0</v>
          </cell>
          <cell r="E112">
            <v>125</v>
          </cell>
          <cell r="F112">
            <v>0</v>
          </cell>
          <cell r="G112">
            <v>0</v>
          </cell>
          <cell r="H112">
            <v>7</v>
          </cell>
          <cell r="I112">
            <v>7</v>
          </cell>
          <cell r="J112">
            <v>0</v>
          </cell>
          <cell r="K112">
            <v>9</v>
          </cell>
          <cell r="L112">
            <v>8</v>
          </cell>
          <cell r="M112">
            <v>5</v>
          </cell>
          <cell r="N112">
            <v>5</v>
          </cell>
          <cell r="O112">
            <v>3</v>
          </cell>
          <cell r="P112">
            <v>3</v>
          </cell>
          <cell r="Q112">
            <v>1</v>
          </cell>
          <cell r="R112">
            <v>3</v>
          </cell>
          <cell r="S112">
            <v>3</v>
          </cell>
          <cell r="T112">
            <v>2</v>
          </cell>
          <cell r="U112">
            <v>4</v>
          </cell>
          <cell r="V112">
            <v>2</v>
          </cell>
          <cell r="W112">
            <v>3</v>
          </cell>
          <cell r="X112">
            <v>3</v>
          </cell>
          <cell r="Y112">
            <v>193</v>
          </cell>
          <cell r="AA112">
            <v>193</v>
          </cell>
          <cell r="AB112">
            <v>8</v>
          </cell>
          <cell r="AC112">
            <v>1.6666666666666667</v>
          </cell>
          <cell r="AD112">
            <v>5.5555555555555559E-2</v>
          </cell>
          <cell r="AE112">
            <v>1.5</v>
          </cell>
          <cell r="AF112">
            <v>1.3333333333333333</v>
          </cell>
          <cell r="AG112">
            <v>2.75</v>
          </cell>
          <cell r="AH112">
            <v>14.666666666666666</v>
          </cell>
          <cell r="AI112">
            <v>6.833333333333333</v>
          </cell>
          <cell r="AJ112">
            <v>6.833333333333333</v>
          </cell>
          <cell r="AK112">
            <v>7.7708333333333321</v>
          </cell>
          <cell r="AL112">
            <v>4.983944128305823</v>
          </cell>
          <cell r="AM112">
            <v>7.7708333333333321</v>
          </cell>
          <cell r="AN112">
            <v>0.64136546423238483</v>
          </cell>
          <cell r="AO112">
            <v>0</v>
          </cell>
          <cell r="AP112">
            <v>13</v>
          </cell>
          <cell r="AQ112">
            <v>7.5263157894736841</v>
          </cell>
          <cell r="AR112">
            <v>0</v>
          </cell>
          <cell r="AS112">
            <v>40.333333333333336</v>
          </cell>
          <cell r="AT112">
            <v>51</v>
          </cell>
          <cell r="AU112">
            <v>15.299999999999999</v>
          </cell>
          <cell r="AV112">
            <v>0</v>
          </cell>
          <cell r="AW112">
            <v>47.666666666666664</v>
          </cell>
          <cell r="AX112">
            <v>46</v>
          </cell>
          <cell r="AY112">
            <v>5.9195710455764088</v>
          </cell>
          <cell r="AZ112">
            <v>0</v>
          </cell>
          <cell r="BA112">
            <v>42.666666666666664</v>
          </cell>
          <cell r="BB112">
            <v>27</v>
          </cell>
          <cell r="BC112">
            <v>2.7</v>
          </cell>
          <cell r="BD112">
            <v>50</v>
          </cell>
          <cell r="BE112">
            <v>67</v>
          </cell>
          <cell r="BF112">
            <v>6.7</v>
          </cell>
          <cell r="BG112">
            <v>0</v>
          </cell>
          <cell r="BH112">
            <v>57</v>
          </cell>
          <cell r="BI112">
            <v>193</v>
          </cell>
          <cell r="BJ112">
            <v>24.836461126005364</v>
          </cell>
          <cell r="BK112">
            <v>0</v>
          </cell>
          <cell r="BL112">
            <v>27.166666666666668</v>
          </cell>
          <cell r="BM112">
            <v>37</v>
          </cell>
          <cell r="BN112">
            <v>1.5971223021582732</v>
          </cell>
          <cell r="BO112">
            <v>0</v>
          </cell>
          <cell r="BP112">
            <v>13.833333333333332</v>
          </cell>
          <cell r="BQ112">
            <v>92</v>
          </cell>
          <cell r="BR112">
            <v>11.839142091152818</v>
          </cell>
          <cell r="BS112">
            <v>0</v>
          </cell>
          <cell r="BT112">
            <v>68.166666666666671</v>
          </cell>
          <cell r="BU112">
            <v>86</v>
          </cell>
          <cell r="BV112">
            <v>3.5833333333333335</v>
          </cell>
          <cell r="BW112">
            <v>106</v>
          </cell>
          <cell r="BX112">
            <v>0</v>
          </cell>
          <cell r="BY112">
            <v>62</v>
          </cell>
          <cell r="BZ112">
            <v>81</v>
          </cell>
          <cell r="CA112">
            <v>3.7099236641221376</v>
          </cell>
          <cell r="CB112">
            <v>93</v>
          </cell>
          <cell r="CC112">
            <v>0</v>
          </cell>
          <cell r="CD112">
            <v>119.16666666666667</v>
          </cell>
          <cell r="CE112">
            <v>76</v>
          </cell>
          <cell r="CF112">
            <v>3.8319327731092439</v>
          </cell>
          <cell r="CG112">
            <v>82</v>
          </cell>
          <cell r="CH112">
            <v>60</v>
          </cell>
          <cell r="CI112">
            <v>181.33333333333334</v>
          </cell>
          <cell r="CJ112">
            <v>126</v>
          </cell>
          <cell r="CK112">
            <v>8.5909090909090917</v>
          </cell>
          <cell r="CL112">
            <v>18</v>
          </cell>
          <cell r="CM112">
            <v>120</v>
          </cell>
          <cell r="CN112">
            <v>231.33333333333334</v>
          </cell>
          <cell r="CO112">
            <v>242</v>
          </cell>
          <cell r="CP112">
            <v>16.5</v>
          </cell>
          <cell r="CQ112">
            <v>0</v>
          </cell>
          <cell r="CR112">
            <v>0</v>
          </cell>
          <cell r="CS112">
            <v>227.33333333333334</v>
          </cell>
          <cell r="CT112">
            <v>236</v>
          </cell>
          <cell r="CU112">
            <v>16.09090909090909</v>
          </cell>
          <cell r="CV112">
            <v>0</v>
          </cell>
          <cell r="CW112">
            <v>0</v>
          </cell>
          <cell r="CX112">
            <v>221.33333333333334</v>
          </cell>
          <cell r="CY112">
            <v>234</v>
          </cell>
          <cell r="CZ112">
            <v>15.954545454545455</v>
          </cell>
          <cell r="DA112">
            <v>0</v>
          </cell>
          <cell r="DB112">
            <v>0</v>
          </cell>
          <cell r="DC112">
            <v>226.9375</v>
          </cell>
          <cell r="DD112">
            <v>215</v>
          </cell>
          <cell r="DE112">
            <v>18.601626016260166</v>
          </cell>
          <cell r="DF112">
            <v>0</v>
          </cell>
          <cell r="DG112">
            <v>0</v>
          </cell>
          <cell r="DH112">
            <v>207.3125</v>
          </cell>
          <cell r="DI112">
            <v>208</v>
          </cell>
          <cell r="DJ112">
            <v>19.501340482573728</v>
          </cell>
          <cell r="DK112">
            <v>0</v>
          </cell>
          <cell r="DL112">
            <v>0</v>
          </cell>
          <cell r="DM112">
            <v>199.54166666666666</v>
          </cell>
          <cell r="DN112">
            <v>193</v>
          </cell>
          <cell r="DO112">
            <v>17.571045576407506</v>
          </cell>
          <cell r="DP112">
            <v>0</v>
          </cell>
          <cell r="DQ112">
            <v>0</v>
          </cell>
          <cell r="DR112">
            <v>185.22916666666666</v>
          </cell>
          <cell r="DS112">
            <v>185.22916666666666</v>
          </cell>
          <cell r="DT112">
            <v>16.571045576407506</v>
          </cell>
          <cell r="DU112">
            <v>0</v>
          </cell>
          <cell r="DV112">
            <v>0</v>
          </cell>
          <cell r="DW112">
            <v>177.45833333333331</v>
          </cell>
          <cell r="DX112">
            <v>177.45833333333331</v>
          </cell>
          <cell r="DY112">
            <v>15.571045576407506</v>
          </cell>
          <cell r="DZ112">
            <v>0</v>
          </cell>
          <cell r="EA112">
            <v>0</v>
          </cell>
          <cell r="EB112">
            <v>169.68749999999997</v>
          </cell>
          <cell r="EC112">
            <v>169.68749999999997</v>
          </cell>
          <cell r="ED112">
            <v>14.571045576407505</v>
          </cell>
          <cell r="EE112">
            <v>0</v>
          </cell>
          <cell r="EF112">
            <v>0</v>
          </cell>
          <cell r="EG112">
            <v>161.91666666666663</v>
          </cell>
          <cell r="EH112">
            <v>161.91666666666663</v>
          </cell>
          <cell r="EI112">
            <v>13.571045576407503</v>
          </cell>
          <cell r="EJ112">
            <v>0</v>
          </cell>
          <cell r="EK112">
            <v>0</v>
          </cell>
          <cell r="EL112">
            <v>154.14583333333329</v>
          </cell>
          <cell r="EM112">
            <v>154.14583333333329</v>
          </cell>
          <cell r="EN112">
            <v>12.571045576407503</v>
          </cell>
          <cell r="EO112">
            <v>0</v>
          </cell>
          <cell r="EP112">
            <v>0</v>
          </cell>
          <cell r="EQ112">
            <v>146.37499999999994</v>
          </cell>
          <cell r="ER112">
            <v>146.37499999999994</v>
          </cell>
          <cell r="ES112">
            <v>11.571045576407501</v>
          </cell>
          <cell r="ET112">
            <v>0</v>
          </cell>
          <cell r="EU112">
            <v>0</v>
          </cell>
          <cell r="EV112">
            <v>138.6041666666666</v>
          </cell>
          <cell r="EW112">
            <v>138.6041666666666</v>
          </cell>
          <cell r="EX112">
            <v>10.571045576407499</v>
          </cell>
          <cell r="EY112">
            <v>0</v>
          </cell>
          <cell r="EZ112">
            <v>0</v>
          </cell>
          <cell r="FA112">
            <v>130.83333333333326</v>
          </cell>
          <cell r="FB112">
            <v>130.83333333333326</v>
          </cell>
          <cell r="FC112">
            <v>9.5710455764074993</v>
          </cell>
          <cell r="FD112">
            <v>0</v>
          </cell>
          <cell r="FE112">
            <v>0</v>
          </cell>
          <cell r="FF112">
            <v>123.06249999999993</v>
          </cell>
          <cell r="FG112">
            <v>123.06249999999993</v>
          </cell>
          <cell r="FH112">
            <v>8.5710455764074993</v>
          </cell>
          <cell r="FI112">
            <v>0</v>
          </cell>
          <cell r="FJ112">
            <v>0</v>
          </cell>
          <cell r="FK112">
            <v>115.2916666666666</v>
          </cell>
          <cell r="FL112">
            <v>115.2916666666666</v>
          </cell>
          <cell r="FM112">
            <v>7.5710455764074993</v>
          </cell>
          <cell r="FN112">
            <v>0</v>
          </cell>
          <cell r="FO112">
            <v>0</v>
          </cell>
          <cell r="FP112">
            <v>107.52083333333327</v>
          </cell>
          <cell r="FQ112">
            <v>107.52083333333327</v>
          </cell>
          <cell r="FR112">
            <v>6.5710455764074993</v>
          </cell>
          <cell r="FS112">
            <v>0</v>
          </cell>
          <cell r="FT112">
            <v>72</v>
          </cell>
          <cell r="FU112">
            <v>2.0333333333333332</v>
          </cell>
          <cell r="FW112" t="str">
            <v>SOBRESTOCK</v>
          </cell>
          <cell r="FX112" t="str">
            <v>B</v>
          </cell>
          <cell r="FY112" t="str">
            <v>Si</v>
          </cell>
        </row>
        <row r="113">
          <cell r="B113" t="str">
            <v>REP-0114</v>
          </cell>
          <cell r="C113" t="str">
            <v>MIX</v>
          </cell>
          <cell r="D113">
            <v>0</v>
          </cell>
          <cell r="E113">
            <v>7</v>
          </cell>
          <cell r="F113">
            <v>0</v>
          </cell>
          <cell r="G113">
            <v>0</v>
          </cell>
          <cell r="H113">
            <v>3</v>
          </cell>
          <cell r="I113">
            <v>3</v>
          </cell>
          <cell r="J113">
            <v>0</v>
          </cell>
          <cell r="K113">
            <v>4</v>
          </cell>
          <cell r="L113">
            <v>0</v>
          </cell>
          <cell r="M113">
            <v>0</v>
          </cell>
          <cell r="N113">
            <v>1</v>
          </cell>
          <cell r="O113">
            <v>1</v>
          </cell>
          <cell r="P113">
            <v>2</v>
          </cell>
          <cell r="Q113">
            <v>1</v>
          </cell>
          <cell r="R113">
            <v>2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0</v>
          </cell>
          <cell r="Y113">
            <v>29</v>
          </cell>
          <cell r="AA113">
            <v>29</v>
          </cell>
          <cell r="AB113">
            <v>10</v>
          </cell>
          <cell r="AC113">
            <v>1.1666666666666667</v>
          </cell>
          <cell r="AD113">
            <v>3.888888888888889E-2</v>
          </cell>
          <cell r="AE113">
            <v>1.4166666666666667</v>
          </cell>
          <cell r="AF113">
            <v>2.0833333333333335</v>
          </cell>
          <cell r="AG113">
            <v>2.1666666666666665</v>
          </cell>
          <cell r="AH113">
            <v>1.4166666666666667</v>
          </cell>
          <cell r="AI113">
            <v>1</v>
          </cell>
          <cell r="AJ113">
            <v>1</v>
          </cell>
          <cell r="AK113">
            <v>2.1666666666666665</v>
          </cell>
          <cell r="AL113">
            <v>0.55014728667606594</v>
          </cell>
          <cell r="AM113">
            <v>1.3958333333333333</v>
          </cell>
          <cell r="AN113">
            <v>0.39413536955897266</v>
          </cell>
          <cell r="AO113">
            <v>0</v>
          </cell>
          <cell r="AP113">
            <v>34.833333333333336</v>
          </cell>
          <cell r="AQ113">
            <v>14.857142857142856</v>
          </cell>
          <cell r="AR113">
            <v>0</v>
          </cell>
          <cell r="AS113">
            <v>32.833333333333329</v>
          </cell>
          <cell r="AT113">
            <v>35</v>
          </cell>
          <cell r="AU113">
            <v>16.153846153846153</v>
          </cell>
          <cell r="AV113">
            <v>0</v>
          </cell>
          <cell r="AW113">
            <v>32.833333333333336</v>
          </cell>
          <cell r="AX113">
            <v>35</v>
          </cell>
          <cell r="AY113">
            <v>16.153846153846153</v>
          </cell>
          <cell r="AZ113">
            <v>0</v>
          </cell>
          <cell r="BA113">
            <v>32.833333333333336</v>
          </cell>
          <cell r="BB113">
            <v>29</v>
          </cell>
          <cell r="BC113">
            <v>13.384615384615385</v>
          </cell>
          <cell r="BD113">
            <v>0</v>
          </cell>
          <cell r="BE113">
            <v>26.833333333333332</v>
          </cell>
          <cell r="BF113">
            <v>12.384615384615385</v>
          </cell>
          <cell r="BG113">
            <v>0</v>
          </cell>
          <cell r="BH113">
            <v>24.666666666666664</v>
          </cell>
          <cell r="BI113">
            <v>29</v>
          </cell>
          <cell r="BJ113">
            <v>13.384615384615385</v>
          </cell>
          <cell r="BK113">
            <v>0</v>
          </cell>
          <cell r="BL113">
            <v>24.833333333333332</v>
          </cell>
          <cell r="BM113">
            <v>27</v>
          </cell>
          <cell r="BN113">
            <v>12.461538461538462</v>
          </cell>
          <cell r="BO113">
            <v>0</v>
          </cell>
          <cell r="BP113">
            <v>24.833333333333332</v>
          </cell>
          <cell r="BQ113">
            <v>26</v>
          </cell>
          <cell r="BR113">
            <v>12</v>
          </cell>
          <cell r="BS113">
            <v>0</v>
          </cell>
          <cell r="BT113">
            <v>23.833333333333332</v>
          </cell>
          <cell r="BU113">
            <v>24</v>
          </cell>
          <cell r="BV113">
            <v>11.076923076923078</v>
          </cell>
          <cell r="BW113">
            <v>0</v>
          </cell>
          <cell r="BX113">
            <v>0</v>
          </cell>
          <cell r="BY113">
            <v>21.833333333333332</v>
          </cell>
          <cell r="BZ113">
            <v>21</v>
          </cell>
          <cell r="CA113">
            <v>9.6923076923076934</v>
          </cell>
          <cell r="CB113">
            <v>0</v>
          </cell>
          <cell r="CC113">
            <v>0</v>
          </cell>
          <cell r="CD113">
            <v>18.833333333333332</v>
          </cell>
          <cell r="CE113">
            <v>20</v>
          </cell>
          <cell r="CF113">
            <v>9.2307692307692317</v>
          </cell>
          <cell r="CG113">
            <v>0</v>
          </cell>
          <cell r="CH113">
            <v>0</v>
          </cell>
          <cell r="CI113">
            <v>16.666666666666664</v>
          </cell>
          <cell r="CJ113">
            <v>23</v>
          </cell>
          <cell r="CK113">
            <v>10.615384615384617</v>
          </cell>
          <cell r="CL113">
            <v>0</v>
          </cell>
          <cell r="CM113">
            <v>15</v>
          </cell>
          <cell r="CN113">
            <v>35.833333333333336</v>
          </cell>
          <cell r="CO113">
            <v>38</v>
          </cell>
          <cell r="CP113">
            <v>17.53846153846154</v>
          </cell>
          <cell r="CQ113">
            <v>0</v>
          </cell>
          <cell r="CR113">
            <v>0</v>
          </cell>
          <cell r="CS113">
            <v>35.833333333333336</v>
          </cell>
          <cell r="CT113">
            <v>36</v>
          </cell>
          <cell r="CU113">
            <v>16.615384615384617</v>
          </cell>
          <cell r="CV113">
            <v>0</v>
          </cell>
          <cell r="CW113">
            <v>0</v>
          </cell>
          <cell r="CX113">
            <v>33.833333333333336</v>
          </cell>
          <cell r="CY113">
            <v>36</v>
          </cell>
          <cell r="CZ113">
            <v>16.615384615384617</v>
          </cell>
          <cell r="DA113">
            <v>0</v>
          </cell>
          <cell r="DB113">
            <v>0</v>
          </cell>
          <cell r="DC113">
            <v>33.833333333333336</v>
          </cell>
          <cell r="DD113">
            <v>33</v>
          </cell>
          <cell r="DE113">
            <v>12.923076923076923</v>
          </cell>
          <cell r="DF113">
            <v>0</v>
          </cell>
          <cell r="DG113">
            <v>0</v>
          </cell>
          <cell r="DH113">
            <v>30.833333333333332</v>
          </cell>
          <cell r="DI113">
            <v>30</v>
          </cell>
          <cell r="DJ113">
            <v>13.53846153846154</v>
          </cell>
          <cell r="DK113">
            <v>0</v>
          </cell>
          <cell r="DL113">
            <v>0</v>
          </cell>
          <cell r="DM113">
            <v>28.666666666666664</v>
          </cell>
          <cell r="DN113">
            <v>29</v>
          </cell>
          <cell r="DO113">
            <v>13.076923076923078</v>
          </cell>
          <cell r="DP113">
            <v>0</v>
          </cell>
          <cell r="DQ113">
            <v>0</v>
          </cell>
          <cell r="DR113">
            <v>26.833333333333332</v>
          </cell>
          <cell r="DS113">
            <v>26.833333333333332</v>
          </cell>
          <cell r="DT113">
            <v>12.076923076923077</v>
          </cell>
          <cell r="DU113">
            <v>0</v>
          </cell>
          <cell r="DV113">
            <v>0</v>
          </cell>
          <cell r="DW113">
            <v>24.666666666666664</v>
          </cell>
          <cell r="DX113">
            <v>24.666666666666664</v>
          </cell>
          <cell r="DY113">
            <v>11.076923076923077</v>
          </cell>
          <cell r="DZ113">
            <v>0</v>
          </cell>
          <cell r="EA113">
            <v>0</v>
          </cell>
          <cell r="EB113">
            <v>22.499999999999996</v>
          </cell>
          <cell r="EC113">
            <v>22.499999999999996</v>
          </cell>
          <cell r="ED113">
            <v>10.076923076923077</v>
          </cell>
          <cell r="EE113">
            <v>0</v>
          </cell>
          <cell r="EF113">
            <v>0</v>
          </cell>
          <cell r="EG113">
            <v>20.333333333333329</v>
          </cell>
          <cell r="EH113">
            <v>20.333333333333329</v>
          </cell>
          <cell r="EI113">
            <v>9.0769230769230749</v>
          </cell>
          <cell r="EJ113">
            <v>0</v>
          </cell>
          <cell r="EK113">
            <v>0</v>
          </cell>
          <cell r="EL113">
            <v>18.166666666666661</v>
          </cell>
          <cell r="EM113">
            <v>18.166666666666661</v>
          </cell>
          <cell r="EN113">
            <v>8.0769230769230749</v>
          </cell>
          <cell r="EO113">
            <v>0</v>
          </cell>
          <cell r="EP113">
            <v>0</v>
          </cell>
          <cell r="EQ113">
            <v>15.999999999999995</v>
          </cell>
          <cell r="ER113">
            <v>15.999999999999995</v>
          </cell>
          <cell r="ES113">
            <v>7.0769230769230749</v>
          </cell>
          <cell r="ET113">
            <v>0</v>
          </cell>
          <cell r="EU113">
            <v>0</v>
          </cell>
          <cell r="EV113">
            <v>13.833333333333329</v>
          </cell>
          <cell r="EW113">
            <v>13.833333333333329</v>
          </cell>
          <cell r="EX113">
            <v>6.0769230769230749</v>
          </cell>
          <cell r="EY113">
            <v>0</v>
          </cell>
          <cell r="EZ113">
            <v>0</v>
          </cell>
          <cell r="FA113">
            <v>11.666666666666663</v>
          </cell>
          <cell r="FB113">
            <v>11.666666666666663</v>
          </cell>
          <cell r="FC113">
            <v>5.0769230769230749</v>
          </cell>
          <cell r="FD113">
            <v>0</v>
          </cell>
          <cell r="FE113">
            <v>0</v>
          </cell>
          <cell r="FF113">
            <v>9.4999999999999964</v>
          </cell>
          <cell r="FG113">
            <v>9.4999999999999964</v>
          </cell>
          <cell r="FH113">
            <v>4.0769230769230749</v>
          </cell>
          <cell r="FI113">
            <v>0</v>
          </cell>
          <cell r="FJ113">
            <v>0</v>
          </cell>
          <cell r="FK113">
            <v>7.3333333333333304</v>
          </cell>
          <cell r="FL113">
            <v>7.3333333333333304</v>
          </cell>
          <cell r="FM113">
            <v>3.0769230769230758</v>
          </cell>
          <cell r="FN113">
            <v>0</v>
          </cell>
          <cell r="FO113">
            <v>0</v>
          </cell>
          <cell r="FP113">
            <v>5.1666666666666643</v>
          </cell>
          <cell r="FQ113">
            <v>5.1666666666666643</v>
          </cell>
          <cell r="FR113">
            <v>2.0769230769230758</v>
          </cell>
          <cell r="FS113">
            <v>0</v>
          </cell>
          <cell r="FT113">
            <v>5</v>
          </cell>
          <cell r="FU113">
            <v>2.0333333333333332</v>
          </cell>
          <cell r="FW113" t="str">
            <v>SOBRESTOCK</v>
          </cell>
          <cell r="FX113" t="str">
            <v>B</v>
          </cell>
          <cell r="FY113" t="str">
            <v>Si</v>
          </cell>
        </row>
        <row r="114">
          <cell r="B114" t="str">
            <v>REP-0115</v>
          </cell>
          <cell r="C114" t="str">
            <v>MIX</v>
          </cell>
          <cell r="D114">
            <v>0</v>
          </cell>
          <cell r="E114">
            <v>133</v>
          </cell>
          <cell r="F114">
            <v>0</v>
          </cell>
          <cell r="G114">
            <v>0</v>
          </cell>
          <cell r="H114">
            <v>11</v>
          </cell>
          <cell r="I114">
            <v>11</v>
          </cell>
          <cell r="J114">
            <v>0</v>
          </cell>
          <cell r="K114">
            <v>10</v>
          </cell>
          <cell r="L114">
            <v>11</v>
          </cell>
          <cell r="M114">
            <v>4</v>
          </cell>
          <cell r="N114">
            <v>2</v>
          </cell>
          <cell r="O114">
            <v>1</v>
          </cell>
          <cell r="P114">
            <v>1</v>
          </cell>
          <cell r="Q114">
            <v>0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2</v>
          </cell>
          <cell r="Y114">
            <v>192</v>
          </cell>
          <cell r="AA114">
            <v>192</v>
          </cell>
          <cell r="AB114">
            <v>5</v>
          </cell>
          <cell r="AC114">
            <v>0.66666666666666663</v>
          </cell>
          <cell r="AD114">
            <v>2.222222222222222E-2</v>
          </cell>
          <cell r="AE114">
            <v>0.75</v>
          </cell>
          <cell r="AF114">
            <v>1.75</v>
          </cell>
          <cell r="AG114">
            <v>1.75</v>
          </cell>
          <cell r="AH114">
            <v>4.416666666666667</v>
          </cell>
          <cell r="AI114">
            <v>3.3333333333333335</v>
          </cell>
          <cell r="AJ114">
            <v>3.3333333333333335</v>
          </cell>
          <cell r="AK114">
            <v>4.416666666666667</v>
          </cell>
          <cell r="AL114">
            <v>1.0981887444872667</v>
          </cell>
          <cell r="AM114">
            <v>3.2083333333333335</v>
          </cell>
          <cell r="AN114">
            <v>0.34229259568434284</v>
          </cell>
          <cell r="AO114">
            <v>0</v>
          </cell>
          <cell r="AP114">
            <v>257.16666666666669</v>
          </cell>
          <cell r="AQ114">
            <v>148.71428571428572</v>
          </cell>
          <cell r="AR114">
            <v>0</v>
          </cell>
          <cell r="AS114">
            <v>258.5</v>
          </cell>
          <cell r="AT114">
            <v>255</v>
          </cell>
          <cell r="AU114">
            <v>145.71428571428572</v>
          </cell>
          <cell r="AV114">
            <v>0</v>
          </cell>
          <cell r="AW114">
            <v>253.25</v>
          </cell>
          <cell r="AX114">
            <v>248</v>
          </cell>
          <cell r="AY114">
            <v>56.15094339622641</v>
          </cell>
          <cell r="AZ114">
            <v>0</v>
          </cell>
          <cell r="BA114">
            <v>245</v>
          </cell>
          <cell r="BB114">
            <v>244</v>
          </cell>
          <cell r="BC114">
            <v>52.285714285714285</v>
          </cell>
          <cell r="BD114">
            <v>0</v>
          </cell>
          <cell r="BE114">
            <v>239.33333333333334</v>
          </cell>
          <cell r="BF114">
            <v>51.285714285714285</v>
          </cell>
          <cell r="BG114">
            <v>0</v>
          </cell>
          <cell r="BH114">
            <v>234.66666666666669</v>
          </cell>
          <cell r="BI114">
            <v>192</v>
          </cell>
          <cell r="BJ114">
            <v>43.471698113207545</v>
          </cell>
          <cell r="BK114">
            <v>0</v>
          </cell>
          <cell r="BL114">
            <v>233.83333333333334</v>
          </cell>
          <cell r="BM114">
            <v>233</v>
          </cell>
          <cell r="BN114">
            <v>60.782608695652172</v>
          </cell>
          <cell r="BO114">
            <v>0</v>
          </cell>
          <cell r="BP114">
            <v>229.16666666666666</v>
          </cell>
          <cell r="BQ114">
            <v>221</v>
          </cell>
          <cell r="BR114">
            <v>50.037735849056602</v>
          </cell>
          <cell r="BS114">
            <v>0</v>
          </cell>
          <cell r="BT114">
            <v>215.33333333333334</v>
          </cell>
          <cell r="BU114">
            <v>219</v>
          </cell>
          <cell r="BV114">
            <v>45.310344827586206</v>
          </cell>
          <cell r="BW114">
            <v>0</v>
          </cell>
          <cell r="BX114">
            <v>0</v>
          </cell>
          <cell r="BY114">
            <v>214.16666666666666</v>
          </cell>
          <cell r="BZ114">
            <v>216</v>
          </cell>
          <cell r="CA114">
            <v>46.285714285714285</v>
          </cell>
          <cell r="CB114">
            <v>0</v>
          </cell>
          <cell r="CC114">
            <v>0</v>
          </cell>
          <cell r="CD114">
            <v>211.33333333333334</v>
          </cell>
          <cell r="CE114">
            <v>214</v>
          </cell>
          <cell r="CF114">
            <v>41.419354838709673</v>
          </cell>
          <cell r="CG114">
            <v>0</v>
          </cell>
          <cell r="CH114">
            <v>0</v>
          </cell>
          <cell r="CI114">
            <v>206.16666666666669</v>
          </cell>
          <cell r="CJ114">
            <v>208</v>
          </cell>
          <cell r="CK114">
            <v>36.705882352941174</v>
          </cell>
          <cell r="CL114">
            <v>0</v>
          </cell>
          <cell r="CM114">
            <v>0</v>
          </cell>
          <cell r="CN114">
            <v>202.33333333333334</v>
          </cell>
          <cell r="CO114">
            <v>206</v>
          </cell>
          <cell r="CP114">
            <v>36.352941176470587</v>
          </cell>
          <cell r="CQ114">
            <v>0</v>
          </cell>
          <cell r="CR114">
            <v>0</v>
          </cell>
          <cell r="CS114">
            <v>200.33333333333334</v>
          </cell>
          <cell r="CT114">
            <v>203</v>
          </cell>
          <cell r="CU114">
            <v>45.96226415094339</v>
          </cell>
          <cell r="CV114">
            <v>0</v>
          </cell>
          <cell r="CW114">
            <v>0</v>
          </cell>
          <cell r="CX114">
            <v>198.58333333333334</v>
          </cell>
          <cell r="CY114">
            <v>198</v>
          </cell>
          <cell r="CZ114">
            <v>44.830188679245282</v>
          </cell>
          <cell r="DA114">
            <v>0</v>
          </cell>
          <cell r="DB114">
            <v>0</v>
          </cell>
          <cell r="DC114">
            <v>193.16666666666666</v>
          </cell>
          <cell r="DD114">
            <v>185</v>
          </cell>
          <cell r="DE114">
            <v>34.344827586206897</v>
          </cell>
          <cell r="DF114">
            <v>0</v>
          </cell>
          <cell r="DG114">
            <v>0</v>
          </cell>
          <cell r="DH114">
            <v>180.16666666666666</v>
          </cell>
          <cell r="DI114">
            <v>185</v>
          </cell>
          <cell r="DJ114">
            <v>39.584905660377359</v>
          </cell>
          <cell r="DK114">
            <v>0</v>
          </cell>
          <cell r="DL114">
            <v>0</v>
          </cell>
          <cell r="DM114">
            <v>175.75</v>
          </cell>
          <cell r="DN114">
            <v>192</v>
          </cell>
          <cell r="DO114">
            <v>41.169811320754711</v>
          </cell>
          <cell r="DP114">
            <v>0</v>
          </cell>
          <cell r="DQ114">
            <v>0</v>
          </cell>
          <cell r="DR114">
            <v>187.58333333333334</v>
          </cell>
          <cell r="DS114">
            <v>187.58333333333334</v>
          </cell>
          <cell r="DT114">
            <v>40.169811320754718</v>
          </cell>
          <cell r="DU114">
            <v>0</v>
          </cell>
          <cell r="DV114">
            <v>0</v>
          </cell>
          <cell r="DW114">
            <v>183.16666666666669</v>
          </cell>
          <cell r="DX114">
            <v>183.16666666666669</v>
          </cell>
          <cell r="DY114">
            <v>39.169811320754718</v>
          </cell>
          <cell r="DZ114">
            <v>0</v>
          </cell>
          <cell r="EA114">
            <v>0</v>
          </cell>
          <cell r="EB114">
            <v>178.75000000000003</v>
          </cell>
          <cell r="EC114">
            <v>178.75000000000003</v>
          </cell>
          <cell r="ED114">
            <v>38.169811320754718</v>
          </cell>
          <cell r="EE114">
            <v>0</v>
          </cell>
          <cell r="EF114">
            <v>0</v>
          </cell>
          <cell r="EG114">
            <v>174.33333333333337</v>
          </cell>
          <cell r="EH114">
            <v>174.33333333333337</v>
          </cell>
          <cell r="EI114">
            <v>37.169811320754725</v>
          </cell>
          <cell r="EJ114">
            <v>0</v>
          </cell>
          <cell r="EK114">
            <v>0</v>
          </cell>
          <cell r="EL114">
            <v>169.91666666666671</v>
          </cell>
          <cell r="EM114">
            <v>169.91666666666671</v>
          </cell>
          <cell r="EN114">
            <v>36.169811320754725</v>
          </cell>
          <cell r="EO114">
            <v>0</v>
          </cell>
          <cell r="EP114">
            <v>0</v>
          </cell>
          <cell r="EQ114">
            <v>165.50000000000006</v>
          </cell>
          <cell r="ER114">
            <v>165.50000000000006</v>
          </cell>
          <cell r="ES114">
            <v>35.169811320754725</v>
          </cell>
          <cell r="ET114">
            <v>0</v>
          </cell>
          <cell r="EU114">
            <v>0</v>
          </cell>
          <cell r="EV114">
            <v>161.0833333333334</v>
          </cell>
          <cell r="EW114">
            <v>161.0833333333334</v>
          </cell>
          <cell r="EX114">
            <v>34.169811320754732</v>
          </cell>
          <cell r="EY114">
            <v>0</v>
          </cell>
          <cell r="EZ114">
            <v>0</v>
          </cell>
          <cell r="FA114">
            <v>156.66666666666674</v>
          </cell>
          <cell r="FB114">
            <v>156.66666666666674</v>
          </cell>
          <cell r="FC114">
            <v>33.169811320754732</v>
          </cell>
          <cell r="FD114">
            <v>0</v>
          </cell>
          <cell r="FE114">
            <v>0</v>
          </cell>
          <cell r="FF114">
            <v>152.25000000000009</v>
          </cell>
          <cell r="FG114">
            <v>152.25000000000009</v>
          </cell>
          <cell r="FH114">
            <v>32.169811320754732</v>
          </cell>
          <cell r="FI114">
            <v>0</v>
          </cell>
          <cell r="FJ114">
            <v>0</v>
          </cell>
          <cell r="FK114">
            <v>147.83333333333343</v>
          </cell>
          <cell r="FL114">
            <v>147.83333333333343</v>
          </cell>
          <cell r="FM114">
            <v>31.169811320754736</v>
          </cell>
          <cell r="FN114">
            <v>0</v>
          </cell>
          <cell r="FO114">
            <v>0</v>
          </cell>
          <cell r="FP114">
            <v>143.41666666666677</v>
          </cell>
          <cell r="FQ114">
            <v>143.41666666666677</v>
          </cell>
          <cell r="FR114">
            <v>30.169811320754739</v>
          </cell>
          <cell r="FS114">
            <v>0</v>
          </cell>
          <cell r="FT114">
            <v>19</v>
          </cell>
          <cell r="FU114">
            <v>2.0333333333333332</v>
          </cell>
          <cell r="FW114" t="str">
            <v>SOBRESTOCK</v>
          </cell>
          <cell r="FX114" t="str">
            <v>B</v>
          </cell>
          <cell r="FY114" t="str">
            <v>Si</v>
          </cell>
        </row>
        <row r="115">
          <cell r="B115" t="str">
            <v>REP-0116</v>
          </cell>
          <cell r="C115" t="str">
            <v>MIX</v>
          </cell>
          <cell r="D115">
            <v>0</v>
          </cell>
          <cell r="E115">
            <v>122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9</v>
          </cell>
          <cell r="L115">
            <v>0</v>
          </cell>
          <cell r="M115">
            <v>0</v>
          </cell>
          <cell r="N115">
            <v>1</v>
          </cell>
          <cell r="O115">
            <v>2</v>
          </cell>
          <cell r="P115">
            <v>2</v>
          </cell>
          <cell r="Q115">
            <v>2</v>
          </cell>
          <cell r="R115">
            <v>3</v>
          </cell>
          <cell r="S115">
            <v>2</v>
          </cell>
          <cell r="T115">
            <v>1</v>
          </cell>
          <cell r="U115">
            <v>2</v>
          </cell>
          <cell r="V115">
            <v>2</v>
          </cell>
          <cell r="W115">
            <v>2</v>
          </cell>
          <cell r="X115">
            <v>2</v>
          </cell>
          <cell r="Y115">
            <v>152</v>
          </cell>
          <cell r="AA115">
            <v>152</v>
          </cell>
          <cell r="AB115">
            <v>0</v>
          </cell>
          <cell r="AC115">
            <v>0.83333333333333337</v>
          </cell>
          <cell r="AD115">
            <v>2.777777777777778E-2</v>
          </cell>
          <cell r="AE115">
            <v>0.83333333333333337</v>
          </cell>
          <cell r="AF115">
            <v>1.0833333333333333</v>
          </cell>
          <cell r="AG115">
            <v>0.66666666666666663</v>
          </cell>
          <cell r="AH115">
            <v>1.0833333333333333</v>
          </cell>
          <cell r="AI115">
            <v>2.1666666666666665</v>
          </cell>
          <cell r="AJ115">
            <v>2.1666666666666665</v>
          </cell>
          <cell r="AK115">
            <v>2.1666666666666665</v>
          </cell>
          <cell r="AL115">
            <v>0.76489832294524218</v>
          </cell>
          <cell r="AM115">
            <v>1.5208333333333333</v>
          </cell>
          <cell r="AN115">
            <v>0.5029468424845428</v>
          </cell>
          <cell r="AO115">
            <v>0</v>
          </cell>
          <cell r="AP115">
            <v>13.5</v>
          </cell>
          <cell r="AQ115">
            <v>12.846153846153847</v>
          </cell>
          <cell r="AR115">
            <v>0</v>
          </cell>
          <cell r="AS115">
            <v>12.833333333333332</v>
          </cell>
          <cell r="AT115">
            <v>15</v>
          </cell>
          <cell r="AU115">
            <v>22.5</v>
          </cell>
          <cell r="AV115">
            <v>0</v>
          </cell>
          <cell r="AW115">
            <v>14.333333333333334</v>
          </cell>
          <cell r="AX115">
            <v>13</v>
          </cell>
          <cell r="AY115">
            <v>6</v>
          </cell>
          <cell r="AZ115">
            <v>0</v>
          </cell>
          <cell r="BA115">
            <v>12.333333333333334</v>
          </cell>
          <cell r="BB115">
            <v>13</v>
          </cell>
          <cell r="BC115">
            <v>19.5</v>
          </cell>
          <cell r="BD115">
            <v>0</v>
          </cell>
          <cell r="BE115">
            <v>12.333333333333334</v>
          </cell>
          <cell r="BF115">
            <v>18.500000000000004</v>
          </cell>
          <cell r="BG115">
            <v>0</v>
          </cell>
          <cell r="BH115">
            <v>11.666666666666668</v>
          </cell>
          <cell r="BI115">
            <v>152</v>
          </cell>
          <cell r="BJ115">
            <v>70.15384615384616</v>
          </cell>
          <cell r="BK115">
            <v>0</v>
          </cell>
          <cell r="BL115">
            <v>7.833333333333333</v>
          </cell>
          <cell r="BM115">
            <v>9</v>
          </cell>
          <cell r="BN115">
            <v>7.7142857142857135</v>
          </cell>
          <cell r="BO115">
            <v>0</v>
          </cell>
          <cell r="BP115">
            <v>7.833333333333333</v>
          </cell>
          <cell r="BQ115">
            <v>6</v>
          </cell>
          <cell r="BR115">
            <v>2.7692307692307696</v>
          </cell>
          <cell r="BS115">
            <v>0</v>
          </cell>
          <cell r="BT115">
            <v>4.166666666666667</v>
          </cell>
          <cell r="BU115">
            <v>6</v>
          </cell>
          <cell r="BV115">
            <v>4</v>
          </cell>
          <cell r="BW115">
            <v>82</v>
          </cell>
          <cell r="BX115">
            <v>0</v>
          </cell>
          <cell r="BY115">
            <v>4.5</v>
          </cell>
          <cell r="BZ115">
            <v>5</v>
          </cell>
          <cell r="CA115">
            <v>3</v>
          </cell>
          <cell r="CB115">
            <v>83</v>
          </cell>
          <cell r="CC115">
            <v>0</v>
          </cell>
          <cell r="CD115">
            <v>13.333333333333334</v>
          </cell>
          <cell r="CE115">
            <v>4</v>
          </cell>
          <cell r="CF115">
            <v>3.3846153846153846</v>
          </cell>
          <cell r="CG115">
            <v>84</v>
          </cell>
          <cell r="CH115">
            <v>10</v>
          </cell>
          <cell r="CI115">
            <v>96.151515151515142</v>
          </cell>
          <cell r="CJ115">
            <v>14</v>
          </cell>
          <cell r="CK115">
            <v>12.923076923076923</v>
          </cell>
          <cell r="CL115">
            <v>74</v>
          </cell>
          <cell r="CM115">
            <v>0</v>
          </cell>
          <cell r="CN115">
            <v>12.916666666666666</v>
          </cell>
          <cell r="CO115">
            <v>14</v>
          </cell>
          <cell r="CP115">
            <v>12.923076923076923</v>
          </cell>
          <cell r="CQ115">
            <v>75.083333333333329</v>
          </cell>
          <cell r="CR115">
            <v>0</v>
          </cell>
          <cell r="CS115">
            <v>12.916666666666666</v>
          </cell>
          <cell r="CT115">
            <v>10</v>
          </cell>
          <cell r="CU115">
            <v>5</v>
          </cell>
          <cell r="CV115">
            <v>34</v>
          </cell>
          <cell r="CW115">
            <v>80</v>
          </cell>
          <cell r="CX115">
            <v>88</v>
          </cell>
          <cell r="CY115">
            <v>90</v>
          </cell>
          <cell r="CZ115">
            <v>67.5</v>
          </cell>
          <cell r="DA115">
            <v>0</v>
          </cell>
          <cell r="DB115">
            <v>80</v>
          </cell>
          <cell r="DC115">
            <v>167.5</v>
          </cell>
          <cell r="DD115">
            <v>161</v>
          </cell>
          <cell r="DE115">
            <v>46.8</v>
          </cell>
          <cell r="DF115">
            <v>0</v>
          </cell>
          <cell r="DG115">
            <v>0</v>
          </cell>
          <cell r="DH115">
            <v>158.5</v>
          </cell>
          <cell r="DI115">
            <v>159</v>
          </cell>
          <cell r="DJ115">
            <v>49.916666666666671</v>
          </cell>
          <cell r="DK115">
            <v>0</v>
          </cell>
          <cell r="DL115">
            <v>0</v>
          </cell>
          <cell r="DM115">
            <v>156.1</v>
          </cell>
          <cell r="DN115">
            <v>152</v>
          </cell>
          <cell r="DO115">
            <v>51.846153846153847</v>
          </cell>
          <cell r="DP115">
            <v>0</v>
          </cell>
          <cell r="DQ115">
            <v>0</v>
          </cell>
          <cell r="DR115">
            <v>149.83333333333334</v>
          </cell>
          <cell r="DS115">
            <v>149.83333333333334</v>
          </cell>
          <cell r="DT115">
            <v>50.846153846153854</v>
          </cell>
          <cell r="DU115">
            <v>0</v>
          </cell>
          <cell r="DV115">
            <v>0</v>
          </cell>
          <cell r="DW115">
            <v>147.66666666666669</v>
          </cell>
          <cell r="DX115">
            <v>147.66666666666669</v>
          </cell>
          <cell r="DY115">
            <v>49.846153846153861</v>
          </cell>
          <cell r="DZ115">
            <v>0</v>
          </cell>
          <cell r="EA115">
            <v>0</v>
          </cell>
          <cell r="EB115">
            <v>145.50000000000003</v>
          </cell>
          <cell r="EC115">
            <v>145.50000000000003</v>
          </cell>
          <cell r="ED115">
            <v>48.846153846153861</v>
          </cell>
          <cell r="EE115">
            <v>0</v>
          </cell>
          <cell r="EF115">
            <v>0</v>
          </cell>
          <cell r="EG115">
            <v>143.33333333333337</v>
          </cell>
          <cell r="EH115">
            <v>143.33333333333337</v>
          </cell>
          <cell r="EI115">
            <v>47.846153846153868</v>
          </cell>
          <cell r="EJ115">
            <v>0</v>
          </cell>
          <cell r="EK115">
            <v>0</v>
          </cell>
          <cell r="EL115">
            <v>141.16666666666671</v>
          </cell>
          <cell r="EM115">
            <v>141.16666666666671</v>
          </cell>
          <cell r="EN115">
            <v>46.846153846153868</v>
          </cell>
          <cell r="EO115">
            <v>0</v>
          </cell>
          <cell r="EP115">
            <v>0</v>
          </cell>
          <cell r="EQ115">
            <v>139.00000000000006</v>
          </cell>
          <cell r="ER115">
            <v>139.00000000000006</v>
          </cell>
          <cell r="ES115">
            <v>45.846153846153875</v>
          </cell>
          <cell r="ET115">
            <v>0</v>
          </cell>
          <cell r="EU115">
            <v>0</v>
          </cell>
          <cell r="EV115">
            <v>136.8333333333334</v>
          </cell>
          <cell r="EW115">
            <v>136.8333333333334</v>
          </cell>
          <cell r="EX115">
            <v>44.846153846153882</v>
          </cell>
          <cell r="EY115">
            <v>0</v>
          </cell>
          <cell r="EZ115">
            <v>0</v>
          </cell>
          <cell r="FA115">
            <v>134.66666666666674</v>
          </cell>
          <cell r="FB115">
            <v>134.66666666666674</v>
          </cell>
          <cell r="FC115">
            <v>43.846153846153882</v>
          </cell>
          <cell r="FD115">
            <v>0</v>
          </cell>
          <cell r="FE115">
            <v>0</v>
          </cell>
          <cell r="FF115">
            <v>132.50000000000009</v>
          </cell>
          <cell r="FG115">
            <v>132.50000000000009</v>
          </cell>
          <cell r="FH115">
            <v>42.846153846153889</v>
          </cell>
          <cell r="FI115">
            <v>0</v>
          </cell>
          <cell r="FJ115">
            <v>0</v>
          </cell>
          <cell r="FK115">
            <v>130.33333333333343</v>
          </cell>
          <cell r="FL115">
            <v>130.33333333333343</v>
          </cell>
          <cell r="FM115">
            <v>41.846153846153889</v>
          </cell>
          <cell r="FN115">
            <v>0</v>
          </cell>
          <cell r="FO115">
            <v>0</v>
          </cell>
          <cell r="FP115">
            <v>128.16666666666677</v>
          </cell>
          <cell r="FQ115">
            <v>128.16666666666677</v>
          </cell>
          <cell r="FR115">
            <v>40.846153846153896</v>
          </cell>
          <cell r="FS115">
            <v>0</v>
          </cell>
          <cell r="FT115">
            <v>44</v>
          </cell>
          <cell r="FU115">
            <v>2.0333333333333332</v>
          </cell>
          <cell r="FW115" t="str">
            <v>SOBRESTOCK</v>
          </cell>
          <cell r="FX115" t="str">
            <v>B</v>
          </cell>
          <cell r="FY115" t="str">
            <v>Si</v>
          </cell>
        </row>
        <row r="116">
          <cell r="B116" t="str">
            <v>REP-0117</v>
          </cell>
          <cell r="C116" t="str">
            <v>MIX</v>
          </cell>
          <cell r="D116">
            <v>0</v>
          </cell>
          <cell r="E116">
            <v>9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2</v>
          </cell>
          <cell r="O116">
            <v>3</v>
          </cell>
          <cell r="P116">
            <v>1</v>
          </cell>
          <cell r="Q116">
            <v>0</v>
          </cell>
          <cell r="R116">
            <v>0</v>
          </cell>
          <cell r="S116">
            <v>2</v>
          </cell>
          <cell r="T116">
            <v>1</v>
          </cell>
          <cell r="U116">
            <v>2</v>
          </cell>
          <cell r="V116">
            <v>2</v>
          </cell>
          <cell r="W116">
            <v>2</v>
          </cell>
          <cell r="X116">
            <v>2</v>
          </cell>
          <cell r="Y116">
            <v>26</v>
          </cell>
          <cell r="AA116">
            <v>26</v>
          </cell>
          <cell r="AB116">
            <v>4</v>
          </cell>
          <cell r="AC116">
            <v>0.5</v>
          </cell>
          <cell r="AD116">
            <v>1.6666666666666666E-2</v>
          </cell>
          <cell r="AE116">
            <v>0.58333333333333337</v>
          </cell>
          <cell r="AF116">
            <v>0.5</v>
          </cell>
          <cell r="AG116">
            <v>1.9166666666666667</v>
          </cell>
          <cell r="AH116">
            <v>2.0833333333333335</v>
          </cell>
          <cell r="AI116">
            <v>1.5</v>
          </cell>
          <cell r="AJ116">
            <v>1.5</v>
          </cell>
          <cell r="AK116">
            <v>2.0833333333333335</v>
          </cell>
          <cell r="AL116">
            <v>0.29658550700087</v>
          </cell>
          <cell r="AM116">
            <v>1.75</v>
          </cell>
          <cell r="AN116">
            <v>0.16947743257192571</v>
          </cell>
          <cell r="AO116">
            <v>0</v>
          </cell>
          <cell r="AP116">
            <v>19.833333333333332</v>
          </cell>
          <cell r="AQ116">
            <v>7.25</v>
          </cell>
          <cell r="AR116">
            <v>0</v>
          </cell>
          <cell r="AS116">
            <v>18.333333333333336</v>
          </cell>
          <cell r="AT116">
            <v>21</v>
          </cell>
          <cell r="AU116">
            <v>10.956521739130434</v>
          </cell>
          <cell r="AV116">
            <v>0</v>
          </cell>
          <cell r="AW116">
            <v>19.083333333333332</v>
          </cell>
          <cell r="AX116">
            <v>20</v>
          </cell>
          <cell r="AY116">
            <v>9.6</v>
          </cell>
          <cell r="AZ116">
            <v>0</v>
          </cell>
          <cell r="BA116">
            <v>33.083333333333336</v>
          </cell>
          <cell r="BB116">
            <v>18</v>
          </cell>
          <cell r="BC116">
            <v>9.391304347826086</v>
          </cell>
          <cell r="BD116">
            <v>0</v>
          </cell>
          <cell r="BE116">
            <v>16.083333333333332</v>
          </cell>
          <cell r="BF116">
            <v>8.391304347826086</v>
          </cell>
          <cell r="BG116">
            <v>0</v>
          </cell>
          <cell r="BH116">
            <v>14.166666666666666</v>
          </cell>
          <cell r="BI116">
            <v>26</v>
          </cell>
          <cell r="BJ116">
            <v>12.479999999999999</v>
          </cell>
          <cell r="BK116">
            <v>0</v>
          </cell>
          <cell r="BL116">
            <v>25.083333333333332</v>
          </cell>
          <cell r="BM116">
            <v>22</v>
          </cell>
          <cell r="BN116">
            <v>9.4285714285714288</v>
          </cell>
          <cell r="BO116">
            <v>0</v>
          </cell>
          <cell r="BP116">
            <v>19.666666666666668</v>
          </cell>
          <cell r="BQ116">
            <v>22</v>
          </cell>
          <cell r="BR116">
            <v>10.559999999999999</v>
          </cell>
          <cell r="BS116">
            <v>0</v>
          </cell>
          <cell r="BT116">
            <v>19.666666666666668</v>
          </cell>
          <cell r="BU116">
            <v>22</v>
          </cell>
          <cell r="BV116">
            <v>10.153846153846155</v>
          </cell>
          <cell r="BW116">
            <v>0</v>
          </cell>
          <cell r="BX116">
            <v>0</v>
          </cell>
          <cell r="BY116">
            <v>19.833333333333332</v>
          </cell>
          <cell r="BZ116">
            <v>20</v>
          </cell>
          <cell r="CA116">
            <v>9.2307692307692317</v>
          </cell>
          <cell r="CB116">
            <v>0</v>
          </cell>
          <cell r="CC116">
            <v>0</v>
          </cell>
          <cell r="CD116">
            <v>17.833333333333332</v>
          </cell>
          <cell r="CE116">
            <v>20</v>
          </cell>
          <cell r="CF116">
            <v>10.434782608695652</v>
          </cell>
          <cell r="CG116">
            <v>0</v>
          </cell>
          <cell r="CH116">
            <v>0</v>
          </cell>
          <cell r="CI116">
            <v>15.916666666666666</v>
          </cell>
          <cell r="CJ116">
            <v>12</v>
          </cell>
          <cell r="CK116">
            <v>4.5</v>
          </cell>
          <cell r="CL116">
            <v>10</v>
          </cell>
          <cell r="CM116">
            <v>10</v>
          </cell>
          <cell r="CN116">
            <v>19.333333333333332</v>
          </cell>
          <cell r="CO116">
            <v>22</v>
          </cell>
          <cell r="CP116">
            <v>8.25</v>
          </cell>
          <cell r="CQ116">
            <v>2.6666666666666679</v>
          </cell>
          <cell r="CR116">
            <v>0</v>
          </cell>
          <cell r="CS116">
            <v>19.333333333333332</v>
          </cell>
          <cell r="CT116">
            <v>18</v>
          </cell>
          <cell r="CU116">
            <v>8.6399999999999988</v>
          </cell>
          <cell r="CV116">
            <v>20</v>
          </cell>
          <cell r="CW116">
            <v>0</v>
          </cell>
          <cell r="CX116">
            <v>15.916666666666666</v>
          </cell>
          <cell r="CY116">
            <v>15</v>
          </cell>
          <cell r="CZ116">
            <v>7.1999999999999993</v>
          </cell>
          <cell r="DA116">
            <v>22.083333333333336</v>
          </cell>
          <cell r="DB116">
            <v>15</v>
          </cell>
          <cell r="DC116">
            <v>27.916666666666668</v>
          </cell>
          <cell r="DD116">
            <v>26</v>
          </cell>
          <cell r="DE116">
            <v>-4.8</v>
          </cell>
          <cell r="DF116">
            <v>10.083333333333332</v>
          </cell>
          <cell r="DG116">
            <v>0</v>
          </cell>
          <cell r="DH116">
            <v>23.5</v>
          </cell>
          <cell r="DI116">
            <v>23</v>
          </cell>
          <cell r="DJ116">
            <v>-3.2941176470588234</v>
          </cell>
          <cell r="DK116">
            <v>14.5</v>
          </cell>
          <cell r="DL116">
            <v>0</v>
          </cell>
          <cell r="DM116">
            <v>35.166666666666664</v>
          </cell>
          <cell r="DN116">
            <v>26</v>
          </cell>
          <cell r="DO116">
            <v>-3.76</v>
          </cell>
          <cell r="DP116">
            <v>12</v>
          </cell>
          <cell r="DQ116">
            <v>0</v>
          </cell>
          <cell r="DR116">
            <v>23.916666666666668</v>
          </cell>
          <cell r="DS116">
            <v>23.916666666666668</v>
          </cell>
          <cell r="DT116">
            <v>-4.7599999999999989</v>
          </cell>
          <cell r="DU116">
            <v>14.083333333333332</v>
          </cell>
          <cell r="DV116">
            <v>0</v>
          </cell>
          <cell r="DW116">
            <v>21.833333333333336</v>
          </cell>
          <cell r="DX116">
            <v>21.833333333333336</v>
          </cell>
          <cell r="DY116">
            <v>-5.759999999999998</v>
          </cell>
          <cell r="DZ116">
            <v>16.166666666666664</v>
          </cell>
          <cell r="EA116">
            <v>0</v>
          </cell>
          <cell r="EB116">
            <v>19.750000000000004</v>
          </cell>
          <cell r="EC116">
            <v>19.750000000000004</v>
          </cell>
          <cell r="ED116">
            <v>-6.759999999999998</v>
          </cell>
          <cell r="EE116">
            <v>18.249999999999996</v>
          </cell>
          <cell r="EF116">
            <v>0</v>
          </cell>
          <cell r="EG116">
            <v>17.666666666666671</v>
          </cell>
          <cell r="EH116">
            <v>17.666666666666671</v>
          </cell>
          <cell r="EI116">
            <v>-7.7599999999999962</v>
          </cell>
          <cell r="EJ116">
            <v>20.333333333333329</v>
          </cell>
          <cell r="EK116">
            <v>26</v>
          </cell>
          <cell r="EL116">
            <v>41.583333333333336</v>
          </cell>
          <cell r="EM116">
            <v>41.583333333333336</v>
          </cell>
          <cell r="EN116">
            <v>3.7200000000000011</v>
          </cell>
          <cell r="EO116">
            <v>0</v>
          </cell>
          <cell r="EP116">
            <v>0</v>
          </cell>
          <cell r="EQ116">
            <v>39.5</v>
          </cell>
          <cell r="ER116">
            <v>39.5</v>
          </cell>
          <cell r="ES116">
            <v>2.7199999999999998</v>
          </cell>
          <cell r="ET116">
            <v>0</v>
          </cell>
          <cell r="EU116">
            <v>0</v>
          </cell>
          <cell r="EV116">
            <v>37.416666666666664</v>
          </cell>
          <cell r="EW116">
            <v>37.416666666666664</v>
          </cell>
          <cell r="EX116">
            <v>1.7199999999999989</v>
          </cell>
          <cell r="EY116">
            <v>0.5833333333333357</v>
          </cell>
          <cell r="EZ116">
            <v>0</v>
          </cell>
          <cell r="FA116">
            <v>35.333333333333329</v>
          </cell>
          <cell r="FB116">
            <v>35.333333333333329</v>
          </cell>
          <cell r="FC116">
            <v>0.71999999999999775</v>
          </cell>
          <cell r="FD116">
            <v>2.6666666666666714</v>
          </cell>
          <cell r="FE116">
            <v>15</v>
          </cell>
          <cell r="FF116">
            <v>48.249999999999993</v>
          </cell>
          <cell r="FG116">
            <v>48.249999999999993</v>
          </cell>
          <cell r="FH116">
            <v>6.9199999999999964</v>
          </cell>
          <cell r="FI116">
            <v>0</v>
          </cell>
          <cell r="FJ116">
            <v>0</v>
          </cell>
          <cell r="FK116">
            <v>46.166666666666657</v>
          </cell>
          <cell r="FL116">
            <v>46.166666666666657</v>
          </cell>
          <cell r="FM116">
            <v>5.9199999999999946</v>
          </cell>
          <cell r="FN116">
            <v>0</v>
          </cell>
          <cell r="FO116">
            <v>0</v>
          </cell>
          <cell r="FP116">
            <v>44.083333333333321</v>
          </cell>
          <cell r="FQ116">
            <v>44.083333333333321</v>
          </cell>
          <cell r="FR116">
            <v>4.9199999999999946</v>
          </cell>
          <cell r="FS116">
            <v>0</v>
          </cell>
          <cell r="FT116">
            <v>38</v>
          </cell>
          <cell r="FU116">
            <v>2.0333333333333332</v>
          </cell>
          <cell r="FW116" t="str">
            <v>STOCK OK</v>
          </cell>
          <cell r="FX116" t="str">
            <v>B</v>
          </cell>
          <cell r="FY116" t="str">
            <v>Si</v>
          </cell>
        </row>
        <row r="117">
          <cell r="B117" t="str">
            <v>REP-0118</v>
          </cell>
          <cell r="C117" t="str">
            <v>MIX</v>
          </cell>
          <cell r="D117">
            <v>0</v>
          </cell>
          <cell r="E117">
            <v>94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3</v>
          </cell>
          <cell r="L117">
            <v>2</v>
          </cell>
          <cell r="M117">
            <v>2</v>
          </cell>
          <cell r="N117">
            <v>2</v>
          </cell>
          <cell r="O117">
            <v>1</v>
          </cell>
          <cell r="P117">
            <v>2</v>
          </cell>
          <cell r="Q117">
            <v>1</v>
          </cell>
          <cell r="R117">
            <v>0</v>
          </cell>
          <cell r="S117">
            <v>2</v>
          </cell>
          <cell r="T117">
            <v>4</v>
          </cell>
          <cell r="U117">
            <v>1</v>
          </cell>
          <cell r="V117">
            <v>2</v>
          </cell>
          <cell r="W117">
            <v>3</v>
          </cell>
          <cell r="X117">
            <v>3</v>
          </cell>
          <cell r="Y117">
            <v>122</v>
          </cell>
          <cell r="AA117">
            <v>122</v>
          </cell>
          <cell r="AB117">
            <v>12</v>
          </cell>
          <cell r="AC117">
            <v>3</v>
          </cell>
          <cell r="AD117">
            <v>0.1</v>
          </cell>
          <cell r="AE117">
            <v>2.3333333333333335</v>
          </cell>
          <cell r="AF117">
            <v>3.1666666666666665</v>
          </cell>
          <cell r="AG117">
            <v>2.8333333333333335</v>
          </cell>
          <cell r="AH117">
            <v>6.666666666666667</v>
          </cell>
          <cell r="AI117">
            <v>3.6666666666666665</v>
          </cell>
          <cell r="AJ117">
            <v>3.6666666666666665</v>
          </cell>
          <cell r="AK117">
            <v>4.208333333333333</v>
          </cell>
          <cell r="AL117">
            <v>1.6853123680130579</v>
          </cell>
          <cell r="AM117">
            <v>4.208333333333333</v>
          </cell>
          <cell r="AN117">
            <v>0.40047026566646926</v>
          </cell>
          <cell r="AO117">
            <v>0</v>
          </cell>
          <cell r="AP117">
            <v>12.666666666666668</v>
          </cell>
          <cell r="AQ117">
            <v>5.3157894736842106</v>
          </cell>
          <cell r="AR117">
            <v>0</v>
          </cell>
          <cell r="AS117">
            <v>27</v>
          </cell>
          <cell r="AT117">
            <v>37</v>
          </cell>
          <cell r="AU117">
            <v>9.25</v>
          </cell>
          <cell r="AV117">
            <v>0</v>
          </cell>
          <cell r="AW117">
            <v>33</v>
          </cell>
          <cell r="AX117">
            <v>78</v>
          </cell>
          <cell r="AY117">
            <v>18.534653465346537</v>
          </cell>
          <cell r="AZ117">
            <v>0</v>
          </cell>
          <cell r="BA117">
            <v>93.666666666666671</v>
          </cell>
          <cell r="BB117">
            <v>59</v>
          </cell>
          <cell r="BC117">
            <v>5.0571428571428578</v>
          </cell>
          <cell r="BD117">
            <v>0</v>
          </cell>
          <cell r="BE117">
            <v>47.333333333333336</v>
          </cell>
          <cell r="BF117">
            <v>4.0571428571428578</v>
          </cell>
          <cell r="BG117">
            <v>0</v>
          </cell>
          <cell r="BH117">
            <v>35.666666666666671</v>
          </cell>
          <cell r="BI117">
            <v>122</v>
          </cell>
          <cell r="BJ117">
            <v>28.990099009900991</v>
          </cell>
          <cell r="BK117">
            <v>0</v>
          </cell>
          <cell r="BL117">
            <v>60.5</v>
          </cell>
          <cell r="BM117">
            <v>60</v>
          </cell>
          <cell r="BN117">
            <v>7.1999999999999993</v>
          </cell>
          <cell r="BO117">
            <v>0</v>
          </cell>
          <cell r="BP117">
            <v>51.666666666666664</v>
          </cell>
          <cell r="BQ117">
            <v>59</v>
          </cell>
          <cell r="BR117">
            <v>14.019801980198022</v>
          </cell>
          <cell r="BS117">
            <v>0</v>
          </cell>
          <cell r="BT117">
            <v>51.166666666666664</v>
          </cell>
          <cell r="BU117">
            <v>55</v>
          </cell>
          <cell r="BV117">
            <v>7.5</v>
          </cell>
          <cell r="BW117">
            <v>21</v>
          </cell>
          <cell r="BX117">
            <v>0</v>
          </cell>
          <cell r="BY117">
            <v>47.666666666666664</v>
          </cell>
          <cell r="BZ117">
            <v>44</v>
          </cell>
          <cell r="CA117">
            <v>6.2857142857142856</v>
          </cell>
          <cell r="CB117">
            <v>32</v>
          </cell>
          <cell r="CC117">
            <v>0</v>
          </cell>
          <cell r="CD117">
            <v>87</v>
          </cell>
          <cell r="CE117">
            <v>41</v>
          </cell>
          <cell r="CF117">
            <v>6.1780821917808213</v>
          </cell>
          <cell r="CG117">
            <v>35</v>
          </cell>
          <cell r="CH117">
            <v>50</v>
          </cell>
          <cell r="CI117">
            <v>115.36363636363636</v>
          </cell>
          <cell r="CJ117">
            <v>87</v>
          </cell>
          <cell r="CK117">
            <v>13.049999999999999</v>
          </cell>
          <cell r="CL117">
            <v>0</v>
          </cell>
          <cell r="CM117">
            <v>0</v>
          </cell>
          <cell r="CN117">
            <v>80.333333333333329</v>
          </cell>
          <cell r="CO117">
            <v>81</v>
          </cell>
          <cell r="CP117">
            <v>12.149999999999999</v>
          </cell>
          <cell r="CQ117">
            <v>0</v>
          </cell>
          <cell r="CR117">
            <v>0</v>
          </cell>
          <cell r="CS117">
            <v>74.333333333333329</v>
          </cell>
          <cell r="CT117">
            <v>74</v>
          </cell>
          <cell r="CU117">
            <v>11.1</v>
          </cell>
          <cell r="CV117">
            <v>0</v>
          </cell>
          <cell r="CW117">
            <v>0</v>
          </cell>
          <cell r="CX117">
            <v>67.333333333333329</v>
          </cell>
          <cell r="CY117">
            <v>71</v>
          </cell>
          <cell r="CZ117">
            <v>10.65</v>
          </cell>
          <cell r="DA117">
            <v>0</v>
          </cell>
          <cell r="DB117">
            <v>25</v>
          </cell>
          <cell r="DC117">
            <v>91.854166666666671</v>
          </cell>
          <cell r="DD117">
            <v>89</v>
          </cell>
          <cell r="DE117">
            <v>12</v>
          </cell>
          <cell r="DF117">
            <v>0</v>
          </cell>
          <cell r="DG117">
            <v>0</v>
          </cell>
          <cell r="DH117">
            <v>84.75</v>
          </cell>
          <cell r="DI117">
            <v>84</v>
          </cell>
          <cell r="DJ117">
            <v>12.656370656370655</v>
          </cell>
          <cell r="DK117">
            <v>0</v>
          </cell>
          <cell r="DL117">
            <v>0</v>
          </cell>
          <cell r="DM117">
            <v>80.433333333333337</v>
          </cell>
          <cell r="DN117">
            <v>122</v>
          </cell>
          <cell r="DO117">
            <v>21.96039603960396</v>
          </cell>
          <cell r="DP117">
            <v>0</v>
          </cell>
          <cell r="DQ117">
            <v>0</v>
          </cell>
          <cell r="DR117">
            <v>117.79166666666667</v>
          </cell>
          <cell r="DS117">
            <v>117.79166666666667</v>
          </cell>
          <cell r="DT117">
            <v>20.960396039603964</v>
          </cell>
          <cell r="DU117">
            <v>0</v>
          </cell>
          <cell r="DV117">
            <v>0</v>
          </cell>
          <cell r="DW117">
            <v>113.58333333333334</v>
          </cell>
          <cell r="DX117">
            <v>113.58333333333334</v>
          </cell>
          <cell r="DY117">
            <v>19.960396039603964</v>
          </cell>
          <cell r="DZ117">
            <v>0</v>
          </cell>
          <cell r="EA117">
            <v>0</v>
          </cell>
          <cell r="EB117">
            <v>109.37500000000001</v>
          </cell>
          <cell r="EC117">
            <v>109.37500000000001</v>
          </cell>
          <cell r="ED117">
            <v>18.960396039603964</v>
          </cell>
          <cell r="EE117">
            <v>0</v>
          </cell>
          <cell r="EF117">
            <v>0</v>
          </cell>
          <cell r="EG117">
            <v>105.16666666666669</v>
          </cell>
          <cell r="EH117">
            <v>105.16666666666669</v>
          </cell>
          <cell r="EI117">
            <v>17.960396039603964</v>
          </cell>
          <cell r="EJ117">
            <v>0</v>
          </cell>
          <cell r="EK117">
            <v>0</v>
          </cell>
          <cell r="EL117">
            <v>100.95833333333336</v>
          </cell>
          <cell r="EM117">
            <v>100.95833333333336</v>
          </cell>
          <cell r="EN117">
            <v>16.960396039603967</v>
          </cell>
          <cell r="EO117">
            <v>0</v>
          </cell>
          <cell r="EP117">
            <v>0</v>
          </cell>
          <cell r="EQ117">
            <v>96.750000000000028</v>
          </cell>
          <cell r="ER117">
            <v>96.750000000000028</v>
          </cell>
          <cell r="ES117">
            <v>15.960396039603967</v>
          </cell>
          <cell r="ET117">
            <v>0</v>
          </cell>
          <cell r="EU117">
            <v>0</v>
          </cell>
          <cell r="EV117">
            <v>92.5416666666667</v>
          </cell>
          <cell r="EW117">
            <v>92.5416666666667</v>
          </cell>
          <cell r="EX117">
            <v>14.960396039603969</v>
          </cell>
          <cell r="EY117">
            <v>0</v>
          </cell>
          <cell r="EZ117">
            <v>0</v>
          </cell>
          <cell r="FA117">
            <v>88.333333333333371</v>
          </cell>
          <cell r="FB117">
            <v>88.333333333333371</v>
          </cell>
          <cell r="FC117">
            <v>13.960396039603971</v>
          </cell>
          <cell r="FD117">
            <v>0</v>
          </cell>
          <cell r="FE117">
            <v>0</v>
          </cell>
          <cell r="FF117">
            <v>84.125000000000043</v>
          </cell>
          <cell r="FG117">
            <v>84.125000000000043</v>
          </cell>
          <cell r="FH117">
            <v>12.960396039603971</v>
          </cell>
          <cell r="FI117">
            <v>0</v>
          </cell>
          <cell r="FJ117">
            <v>0</v>
          </cell>
          <cell r="FK117">
            <v>79.916666666666714</v>
          </cell>
          <cell r="FL117">
            <v>79.916666666666714</v>
          </cell>
          <cell r="FM117">
            <v>11.960396039603973</v>
          </cell>
          <cell r="FN117">
            <v>0</v>
          </cell>
          <cell r="FO117">
            <v>0</v>
          </cell>
          <cell r="FP117">
            <v>75.708333333333385</v>
          </cell>
          <cell r="FQ117">
            <v>75.708333333333385</v>
          </cell>
          <cell r="FR117">
            <v>10.960396039603973</v>
          </cell>
          <cell r="FS117">
            <v>0</v>
          </cell>
          <cell r="FT117">
            <v>38</v>
          </cell>
          <cell r="FU117">
            <v>2.0333333333333332</v>
          </cell>
          <cell r="FW117" t="str">
            <v>SOBRESTOCK</v>
          </cell>
          <cell r="FX117" t="str">
            <v>B</v>
          </cell>
          <cell r="FY117" t="str">
            <v>Si</v>
          </cell>
        </row>
        <row r="118">
          <cell r="B118" t="str">
            <v>REP-0119</v>
          </cell>
          <cell r="C118" t="str">
            <v>MIX</v>
          </cell>
          <cell r="D118">
            <v>0</v>
          </cell>
          <cell r="E118">
            <v>7</v>
          </cell>
          <cell r="F118">
            <v>0</v>
          </cell>
          <cell r="G118">
            <v>0</v>
          </cell>
          <cell r="H118">
            <v>2</v>
          </cell>
          <cell r="I118">
            <v>2</v>
          </cell>
          <cell r="J118">
            <v>0</v>
          </cell>
          <cell r="K118">
            <v>3</v>
          </cell>
          <cell r="L118">
            <v>2</v>
          </cell>
          <cell r="M118">
            <v>2</v>
          </cell>
          <cell r="N118">
            <v>0</v>
          </cell>
          <cell r="O118">
            <v>0</v>
          </cell>
          <cell r="P118">
            <v>0</v>
          </cell>
          <cell r="Q118">
            <v>1</v>
          </cell>
          <cell r="R118">
            <v>1</v>
          </cell>
          <cell r="S118">
            <v>0</v>
          </cell>
          <cell r="T118">
            <v>0</v>
          </cell>
          <cell r="U118">
            <v>1</v>
          </cell>
          <cell r="V118">
            <v>1</v>
          </cell>
          <cell r="W118">
            <v>0</v>
          </cell>
          <cell r="X118">
            <v>0</v>
          </cell>
          <cell r="Y118">
            <v>22</v>
          </cell>
          <cell r="AA118">
            <v>22</v>
          </cell>
          <cell r="AB118">
            <v>6</v>
          </cell>
          <cell r="AC118">
            <v>1.3333333333333333</v>
          </cell>
          <cell r="AD118">
            <v>4.4444444444444439E-2</v>
          </cell>
          <cell r="AE118">
            <v>1.1666666666666667</v>
          </cell>
          <cell r="AF118">
            <v>1.0833333333333333</v>
          </cell>
          <cell r="AG118">
            <v>1.0833333333333333</v>
          </cell>
          <cell r="AH118">
            <v>1.5</v>
          </cell>
          <cell r="AI118">
            <v>0.5</v>
          </cell>
          <cell r="AJ118">
            <v>0.5</v>
          </cell>
          <cell r="AK118">
            <v>1.5</v>
          </cell>
          <cell r="AL118">
            <v>0.48769582961331781</v>
          </cell>
          <cell r="AM118">
            <v>0.89583333333333326</v>
          </cell>
          <cell r="AN118">
            <v>0.54440464701021529</v>
          </cell>
          <cell r="AO118">
            <v>0</v>
          </cell>
          <cell r="AP118">
            <v>11.666666666666666</v>
          </cell>
          <cell r="AQ118">
            <v>11</v>
          </cell>
          <cell r="AR118">
            <v>0</v>
          </cell>
          <cell r="AS118">
            <v>10.833333333333332</v>
          </cell>
          <cell r="AT118">
            <v>11</v>
          </cell>
          <cell r="AU118">
            <v>10.153846153846155</v>
          </cell>
          <cell r="AV118">
            <v>0</v>
          </cell>
          <cell r="AW118">
            <v>9.9166666666666661</v>
          </cell>
          <cell r="AX118">
            <v>5</v>
          </cell>
          <cell r="AY118">
            <v>3.3333333333333335</v>
          </cell>
          <cell r="AZ118">
            <v>0</v>
          </cell>
          <cell r="BA118">
            <v>23.916666666666668</v>
          </cell>
          <cell r="BB118">
            <v>4</v>
          </cell>
          <cell r="BC118">
            <v>2</v>
          </cell>
          <cell r="BD118">
            <v>0</v>
          </cell>
          <cell r="BE118">
            <v>2</v>
          </cell>
          <cell r="BF118">
            <v>1</v>
          </cell>
          <cell r="BG118">
            <v>20</v>
          </cell>
          <cell r="BH118">
            <v>20</v>
          </cell>
          <cell r="BI118">
            <v>22</v>
          </cell>
          <cell r="BJ118">
            <v>14.666666666666666</v>
          </cell>
          <cell r="BK118">
            <v>0</v>
          </cell>
          <cell r="BL118">
            <v>20.666666666666668</v>
          </cell>
          <cell r="BM118">
            <v>22</v>
          </cell>
          <cell r="BN118">
            <v>13.2</v>
          </cell>
          <cell r="BO118">
            <v>0</v>
          </cell>
          <cell r="BP118">
            <v>20.333333333333332</v>
          </cell>
          <cell r="BQ118">
            <v>19</v>
          </cell>
          <cell r="BR118">
            <v>12.666666666666666</v>
          </cell>
          <cell r="BS118">
            <v>0</v>
          </cell>
          <cell r="BT118">
            <v>17</v>
          </cell>
          <cell r="BU118">
            <v>19</v>
          </cell>
          <cell r="BV118">
            <v>14.25</v>
          </cell>
          <cell r="BW118">
            <v>0</v>
          </cell>
          <cell r="BX118">
            <v>0</v>
          </cell>
          <cell r="BY118">
            <v>17.666666666666668</v>
          </cell>
          <cell r="BZ118">
            <v>17</v>
          </cell>
          <cell r="CA118">
            <v>12.142857142857144</v>
          </cell>
          <cell r="CB118">
            <v>0</v>
          </cell>
          <cell r="CC118">
            <v>0</v>
          </cell>
          <cell r="CD118">
            <v>15.6</v>
          </cell>
          <cell r="CE118">
            <v>17</v>
          </cell>
          <cell r="CF118">
            <v>13.357142857142858</v>
          </cell>
          <cell r="CG118">
            <v>0</v>
          </cell>
          <cell r="CH118">
            <v>0</v>
          </cell>
          <cell r="CI118">
            <v>14.327272727272726</v>
          </cell>
          <cell r="CJ118">
            <v>15</v>
          </cell>
          <cell r="CK118">
            <v>10</v>
          </cell>
          <cell r="CL118">
            <v>0</v>
          </cell>
          <cell r="CM118">
            <v>0</v>
          </cell>
          <cell r="CN118">
            <v>13.5</v>
          </cell>
          <cell r="CO118">
            <v>15</v>
          </cell>
          <cell r="CP118">
            <v>10</v>
          </cell>
          <cell r="CQ118">
            <v>0</v>
          </cell>
          <cell r="CR118">
            <v>0</v>
          </cell>
          <cell r="CS118">
            <v>13.5</v>
          </cell>
          <cell r="CT118">
            <v>14</v>
          </cell>
          <cell r="CU118">
            <v>9.3333333333333339</v>
          </cell>
          <cell r="CV118">
            <v>0</v>
          </cell>
          <cell r="CW118">
            <v>0</v>
          </cell>
          <cell r="CX118">
            <v>12.5</v>
          </cell>
          <cell r="CY118">
            <v>13</v>
          </cell>
          <cell r="CZ118">
            <v>8.6666666666666661</v>
          </cell>
          <cell r="DA118">
            <v>0</v>
          </cell>
          <cell r="DB118">
            <v>10</v>
          </cell>
          <cell r="DC118">
            <v>21.5</v>
          </cell>
          <cell r="DD118">
            <v>22</v>
          </cell>
          <cell r="DE118">
            <v>12</v>
          </cell>
          <cell r="DF118">
            <v>0</v>
          </cell>
          <cell r="DG118">
            <v>0</v>
          </cell>
          <cell r="DH118">
            <v>20.5</v>
          </cell>
          <cell r="DI118">
            <v>21</v>
          </cell>
          <cell r="DJ118">
            <v>13.333333333333334</v>
          </cell>
          <cell r="DK118">
            <v>0</v>
          </cell>
          <cell r="DL118">
            <v>0</v>
          </cell>
          <cell r="DM118">
            <v>19</v>
          </cell>
          <cell r="DN118">
            <v>22</v>
          </cell>
          <cell r="DO118">
            <v>14</v>
          </cell>
          <cell r="DP118">
            <v>0</v>
          </cell>
          <cell r="DQ118">
            <v>0</v>
          </cell>
          <cell r="DR118">
            <v>20.5</v>
          </cell>
          <cell r="DS118">
            <v>20.5</v>
          </cell>
          <cell r="DT118">
            <v>13</v>
          </cell>
          <cell r="DU118">
            <v>0</v>
          </cell>
          <cell r="DV118">
            <v>0</v>
          </cell>
          <cell r="DW118">
            <v>19</v>
          </cell>
          <cell r="DX118">
            <v>19</v>
          </cell>
          <cell r="DY118">
            <v>12</v>
          </cell>
          <cell r="DZ118">
            <v>0</v>
          </cell>
          <cell r="EA118">
            <v>0</v>
          </cell>
          <cell r="EB118">
            <v>17.5</v>
          </cell>
          <cell r="EC118">
            <v>17.5</v>
          </cell>
          <cell r="ED118">
            <v>11</v>
          </cell>
          <cell r="EE118">
            <v>0</v>
          </cell>
          <cell r="EF118">
            <v>0</v>
          </cell>
          <cell r="EG118">
            <v>16</v>
          </cell>
          <cell r="EH118">
            <v>16</v>
          </cell>
          <cell r="EI118">
            <v>10</v>
          </cell>
          <cell r="EJ118">
            <v>0</v>
          </cell>
          <cell r="EK118">
            <v>0</v>
          </cell>
          <cell r="EL118">
            <v>14.5</v>
          </cell>
          <cell r="EM118">
            <v>14.5</v>
          </cell>
          <cell r="EN118">
            <v>9</v>
          </cell>
          <cell r="EO118">
            <v>0</v>
          </cell>
          <cell r="EP118">
            <v>0</v>
          </cell>
          <cell r="EQ118">
            <v>13</v>
          </cell>
          <cell r="ER118">
            <v>13</v>
          </cell>
          <cell r="ES118">
            <v>8</v>
          </cell>
          <cell r="ET118">
            <v>0</v>
          </cell>
          <cell r="EU118">
            <v>0</v>
          </cell>
          <cell r="EV118">
            <v>11.5</v>
          </cell>
          <cell r="EW118">
            <v>11.5</v>
          </cell>
          <cell r="EX118">
            <v>7</v>
          </cell>
          <cell r="EY118">
            <v>0</v>
          </cell>
          <cell r="EZ118">
            <v>0</v>
          </cell>
          <cell r="FA118">
            <v>10</v>
          </cell>
          <cell r="FB118">
            <v>10</v>
          </cell>
          <cell r="FC118">
            <v>6</v>
          </cell>
          <cell r="FD118">
            <v>0</v>
          </cell>
          <cell r="FE118">
            <v>0</v>
          </cell>
          <cell r="FF118">
            <v>8.5</v>
          </cell>
          <cell r="FG118">
            <v>8.5</v>
          </cell>
          <cell r="FH118">
            <v>5</v>
          </cell>
          <cell r="FI118">
            <v>0</v>
          </cell>
          <cell r="FJ118">
            <v>0</v>
          </cell>
          <cell r="FK118">
            <v>7</v>
          </cell>
          <cell r="FL118">
            <v>7</v>
          </cell>
          <cell r="FM118">
            <v>4</v>
          </cell>
          <cell r="FN118">
            <v>0</v>
          </cell>
          <cell r="FO118">
            <v>0</v>
          </cell>
          <cell r="FP118">
            <v>5.5</v>
          </cell>
          <cell r="FQ118">
            <v>5.5</v>
          </cell>
          <cell r="FR118">
            <v>3</v>
          </cell>
          <cell r="FS118">
            <v>0</v>
          </cell>
          <cell r="FT118">
            <v>4</v>
          </cell>
          <cell r="FU118">
            <v>2.0333333333333332</v>
          </cell>
          <cell r="FW118" t="str">
            <v>SOBRESTOCK</v>
          </cell>
          <cell r="FX118" t="str">
            <v>B</v>
          </cell>
          <cell r="FY118" t="str">
            <v>Si</v>
          </cell>
        </row>
        <row r="119">
          <cell r="B119" t="str">
            <v>REP-0120</v>
          </cell>
          <cell r="C119" t="str">
            <v>MIX</v>
          </cell>
          <cell r="D119">
            <v>0</v>
          </cell>
          <cell r="E119">
            <v>23</v>
          </cell>
          <cell r="F119">
            <v>0</v>
          </cell>
          <cell r="G119">
            <v>0</v>
          </cell>
          <cell r="H119">
            <v>3</v>
          </cell>
          <cell r="I119">
            <v>3</v>
          </cell>
          <cell r="J119">
            <v>0</v>
          </cell>
          <cell r="K119">
            <v>6</v>
          </cell>
          <cell r="L119">
            <v>1</v>
          </cell>
          <cell r="M119">
            <v>0</v>
          </cell>
          <cell r="N119">
            <v>1</v>
          </cell>
          <cell r="O119">
            <v>1</v>
          </cell>
          <cell r="P119">
            <v>4</v>
          </cell>
          <cell r="Q119">
            <v>1</v>
          </cell>
          <cell r="R119">
            <v>0</v>
          </cell>
          <cell r="S119">
            <v>2</v>
          </cell>
          <cell r="T119">
            <v>0</v>
          </cell>
          <cell r="U119">
            <v>1</v>
          </cell>
          <cell r="V119">
            <v>1</v>
          </cell>
          <cell r="W119">
            <v>1</v>
          </cell>
          <cell r="X119">
            <v>2</v>
          </cell>
          <cell r="Y119">
            <v>50</v>
          </cell>
          <cell r="AA119">
            <v>50</v>
          </cell>
          <cell r="AB119">
            <v>2</v>
          </cell>
          <cell r="AC119">
            <v>0.16666666666666666</v>
          </cell>
          <cell r="AD119">
            <v>5.5555555555555549E-3</v>
          </cell>
          <cell r="AE119">
            <v>0.16666666666666666</v>
          </cell>
          <cell r="AF119">
            <v>1</v>
          </cell>
          <cell r="AG119">
            <v>0.25</v>
          </cell>
          <cell r="AH119">
            <v>3.8333333333333335</v>
          </cell>
          <cell r="AI119">
            <v>4.166666666666667</v>
          </cell>
          <cell r="AJ119">
            <v>4.166666666666667</v>
          </cell>
          <cell r="AK119">
            <v>4.166666666666667</v>
          </cell>
          <cell r="AL119">
            <v>1.909254993349403</v>
          </cell>
          <cell r="AM119">
            <v>3.104166666666667</v>
          </cell>
          <cell r="AN119">
            <v>0.61506201128034454</v>
          </cell>
          <cell r="AO119">
            <v>0</v>
          </cell>
          <cell r="AP119">
            <v>15.5</v>
          </cell>
          <cell r="AQ119">
            <v>20</v>
          </cell>
          <cell r="AR119">
            <v>0</v>
          </cell>
          <cell r="AS119">
            <v>19</v>
          </cell>
          <cell r="AT119">
            <v>20</v>
          </cell>
          <cell r="AU119">
            <v>80</v>
          </cell>
          <cell r="AV119">
            <v>0</v>
          </cell>
          <cell r="AW119">
            <v>19.75</v>
          </cell>
          <cell r="AX119">
            <v>19</v>
          </cell>
          <cell r="AY119">
            <v>4.5599999999999996</v>
          </cell>
          <cell r="AZ119">
            <v>0</v>
          </cell>
          <cell r="BA119">
            <v>18.666666666666668</v>
          </cell>
          <cell r="BB119">
            <v>17</v>
          </cell>
          <cell r="BC119">
            <v>17</v>
          </cell>
          <cell r="BD119">
            <v>60</v>
          </cell>
          <cell r="BE119">
            <v>76</v>
          </cell>
          <cell r="BF119">
            <v>76</v>
          </cell>
          <cell r="BG119">
            <v>0</v>
          </cell>
          <cell r="BH119">
            <v>75</v>
          </cell>
          <cell r="BI119">
            <v>50</v>
          </cell>
          <cell r="BJ119">
            <v>12</v>
          </cell>
          <cell r="BK119">
            <v>0</v>
          </cell>
          <cell r="BL119">
            <v>69.5</v>
          </cell>
          <cell r="BM119">
            <v>58</v>
          </cell>
          <cell r="BN119">
            <v>16.571428571428573</v>
          </cell>
          <cell r="BO119">
            <v>0</v>
          </cell>
          <cell r="BP119">
            <v>54.5</v>
          </cell>
          <cell r="BQ119">
            <v>45</v>
          </cell>
          <cell r="BR119">
            <v>10.799999999999999</v>
          </cell>
          <cell r="BS119">
            <v>0</v>
          </cell>
          <cell r="BT119">
            <v>39.333333333333336</v>
          </cell>
          <cell r="BU119">
            <v>45</v>
          </cell>
          <cell r="BV119">
            <v>8.1818181818181817</v>
          </cell>
          <cell r="BW119">
            <v>0</v>
          </cell>
          <cell r="BX119">
            <v>0</v>
          </cell>
          <cell r="BY119">
            <v>39.5</v>
          </cell>
          <cell r="BZ119">
            <v>42</v>
          </cell>
          <cell r="CA119">
            <v>7.4117647058823524</v>
          </cell>
          <cell r="CB119">
            <v>4</v>
          </cell>
          <cell r="CC119">
            <v>0</v>
          </cell>
          <cell r="CD119">
            <v>66.333333333333329</v>
          </cell>
          <cell r="CE119">
            <v>40</v>
          </cell>
          <cell r="CF119">
            <v>6.8571428571428577</v>
          </cell>
          <cell r="CG119">
            <v>6</v>
          </cell>
          <cell r="CH119">
            <v>30</v>
          </cell>
          <cell r="CI119">
            <v>66.5</v>
          </cell>
          <cell r="CJ119">
            <v>64</v>
          </cell>
          <cell r="CK119">
            <v>10.378378378378377</v>
          </cell>
          <cell r="CL119">
            <v>0</v>
          </cell>
          <cell r="CM119">
            <v>0</v>
          </cell>
          <cell r="CN119">
            <v>57.833333333333336</v>
          </cell>
          <cell r="CO119">
            <v>58</v>
          </cell>
          <cell r="CP119">
            <v>9.4054054054054053</v>
          </cell>
          <cell r="CQ119">
            <v>0</v>
          </cell>
          <cell r="CR119">
            <v>0</v>
          </cell>
          <cell r="CS119">
            <v>51.833333333333336</v>
          </cell>
          <cell r="CT119">
            <v>53</v>
          </cell>
          <cell r="CU119">
            <v>13.25</v>
          </cell>
          <cell r="CV119">
            <v>0</v>
          </cell>
          <cell r="CW119">
            <v>0</v>
          </cell>
          <cell r="CX119">
            <v>49</v>
          </cell>
          <cell r="CY119">
            <v>47</v>
          </cell>
          <cell r="CZ119">
            <v>11.75</v>
          </cell>
          <cell r="DA119">
            <v>0</v>
          </cell>
          <cell r="DB119">
            <v>20</v>
          </cell>
          <cell r="DC119">
            <v>61.5</v>
          </cell>
          <cell r="DD119">
            <v>55</v>
          </cell>
          <cell r="DE119">
            <v>6</v>
          </cell>
          <cell r="DF119">
            <v>0</v>
          </cell>
          <cell r="DG119">
            <v>0</v>
          </cell>
          <cell r="DH119">
            <v>49</v>
          </cell>
          <cell r="DI119">
            <v>55</v>
          </cell>
          <cell r="DJ119">
            <v>9.1999999999999993</v>
          </cell>
          <cell r="DK119">
            <v>0</v>
          </cell>
          <cell r="DL119">
            <v>0</v>
          </cell>
          <cell r="DM119">
            <v>44</v>
          </cell>
          <cell r="DN119">
            <v>50</v>
          </cell>
          <cell r="DO119">
            <v>9.44</v>
          </cell>
          <cell r="DP119">
            <v>0</v>
          </cell>
          <cell r="DQ119">
            <v>0</v>
          </cell>
          <cell r="DR119">
            <v>45.833333333333336</v>
          </cell>
          <cell r="DS119">
            <v>45.833333333333336</v>
          </cell>
          <cell r="DT119">
            <v>8.4400000000000013</v>
          </cell>
          <cell r="DU119">
            <v>0</v>
          </cell>
          <cell r="DV119">
            <v>0</v>
          </cell>
          <cell r="DW119">
            <v>41.666666666666671</v>
          </cell>
          <cell r="DX119">
            <v>41.666666666666671</v>
          </cell>
          <cell r="DY119">
            <v>7.44</v>
          </cell>
          <cell r="DZ119">
            <v>0</v>
          </cell>
          <cell r="EA119">
            <v>0</v>
          </cell>
          <cell r="EB119">
            <v>37.500000000000007</v>
          </cell>
          <cell r="EC119">
            <v>37.500000000000007</v>
          </cell>
          <cell r="ED119">
            <v>6.4400000000000013</v>
          </cell>
          <cell r="EE119">
            <v>0</v>
          </cell>
          <cell r="EF119">
            <v>0</v>
          </cell>
          <cell r="EG119">
            <v>33.333333333333343</v>
          </cell>
          <cell r="EH119">
            <v>33.333333333333343</v>
          </cell>
          <cell r="EI119">
            <v>5.4400000000000022</v>
          </cell>
          <cell r="EJ119">
            <v>0</v>
          </cell>
          <cell r="EK119">
            <v>0</v>
          </cell>
          <cell r="EL119">
            <v>29.166666666666675</v>
          </cell>
          <cell r="EM119">
            <v>29.166666666666675</v>
          </cell>
          <cell r="EN119">
            <v>4.4400000000000013</v>
          </cell>
          <cell r="EO119">
            <v>0</v>
          </cell>
          <cell r="EP119">
            <v>0</v>
          </cell>
          <cell r="EQ119">
            <v>25.000000000000007</v>
          </cell>
          <cell r="ER119">
            <v>25.000000000000007</v>
          </cell>
          <cell r="ES119">
            <v>3.4400000000000013</v>
          </cell>
          <cell r="ET119">
            <v>0</v>
          </cell>
          <cell r="EU119">
            <v>0</v>
          </cell>
          <cell r="EV119">
            <v>20.833333333333339</v>
          </cell>
          <cell r="EW119">
            <v>20.833333333333339</v>
          </cell>
          <cell r="EX119">
            <v>2.4400000000000013</v>
          </cell>
          <cell r="EY119">
            <v>0</v>
          </cell>
          <cell r="EZ119">
            <v>0</v>
          </cell>
          <cell r="FA119">
            <v>16.666666666666671</v>
          </cell>
          <cell r="FB119">
            <v>16.666666666666671</v>
          </cell>
          <cell r="FC119">
            <v>1.4400000000000013</v>
          </cell>
          <cell r="FD119">
            <v>2.3333333333333286</v>
          </cell>
          <cell r="FE119">
            <v>25</v>
          </cell>
          <cell r="FF119">
            <v>37.500000000000007</v>
          </cell>
          <cell r="FG119">
            <v>37.500000000000007</v>
          </cell>
          <cell r="FH119">
            <v>6.4400000000000013</v>
          </cell>
          <cell r="FI119">
            <v>0</v>
          </cell>
          <cell r="FJ119">
            <v>0</v>
          </cell>
          <cell r="FK119">
            <v>33.333333333333343</v>
          </cell>
          <cell r="FL119">
            <v>33.333333333333343</v>
          </cell>
          <cell r="FM119">
            <v>5.4400000000000022</v>
          </cell>
          <cell r="FN119">
            <v>0</v>
          </cell>
          <cell r="FO119">
            <v>0</v>
          </cell>
          <cell r="FP119">
            <v>29.166666666666675</v>
          </cell>
          <cell r="FQ119">
            <v>29.166666666666675</v>
          </cell>
          <cell r="FR119">
            <v>4.4400000000000013</v>
          </cell>
          <cell r="FS119">
            <v>0</v>
          </cell>
          <cell r="FT119">
            <v>19</v>
          </cell>
          <cell r="FU119">
            <v>2.0333333333333332</v>
          </cell>
          <cell r="FW119" t="str">
            <v>SOBRESTOCK</v>
          </cell>
          <cell r="FX119" t="str">
            <v>B</v>
          </cell>
          <cell r="FY119" t="str">
            <v>Si</v>
          </cell>
        </row>
        <row r="120">
          <cell r="B120" t="str">
            <v>REP-0121</v>
          </cell>
          <cell r="C120" t="str">
            <v>MIX</v>
          </cell>
          <cell r="D120">
            <v>0</v>
          </cell>
          <cell r="E120">
            <v>122</v>
          </cell>
          <cell r="F120">
            <v>0</v>
          </cell>
          <cell r="G120">
            <v>0</v>
          </cell>
          <cell r="H120">
            <v>7</v>
          </cell>
          <cell r="I120">
            <v>7</v>
          </cell>
          <cell r="J120">
            <v>0</v>
          </cell>
          <cell r="K120">
            <v>6</v>
          </cell>
          <cell r="L120">
            <v>7</v>
          </cell>
          <cell r="M120">
            <v>3</v>
          </cell>
          <cell r="N120">
            <v>1</v>
          </cell>
          <cell r="O120">
            <v>1</v>
          </cell>
          <cell r="P120">
            <v>2</v>
          </cell>
          <cell r="Q120">
            <v>0</v>
          </cell>
          <cell r="R120">
            <v>4</v>
          </cell>
          <cell r="S120">
            <v>1</v>
          </cell>
          <cell r="T120">
            <v>1</v>
          </cell>
          <cell r="U120">
            <v>2</v>
          </cell>
          <cell r="V120">
            <v>2</v>
          </cell>
          <cell r="W120">
            <v>1</v>
          </cell>
          <cell r="X120">
            <v>1</v>
          </cell>
          <cell r="Y120">
            <v>168</v>
          </cell>
          <cell r="AA120">
            <v>168</v>
          </cell>
          <cell r="AB120">
            <v>1</v>
          </cell>
          <cell r="AC120">
            <v>0</v>
          </cell>
          <cell r="AD120">
            <v>0</v>
          </cell>
          <cell r="AE120">
            <v>8.3333333333333329E-2</v>
          </cell>
          <cell r="AF120">
            <v>0.25</v>
          </cell>
          <cell r="AG120">
            <v>0.25</v>
          </cell>
          <cell r="AH120">
            <v>13.333333333333334</v>
          </cell>
          <cell r="AI120">
            <v>4.166666666666667</v>
          </cell>
          <cell r="AJ120">
            <v>4.166666666666667</v>
          </cell>
          <cell r="AK120">
            <v>8</v>
          </cell>
          <cell r="AL120">
            <v>5.5520996195300016</v>
          </cell>
          <cell r="AM120">
            <v>5.479166666666667</v>
          </cell>
          <cell r="AN120">
            <v>1.0133109571765782</v>
          </cell>
          <cell r="AO120">
            <v>0</v>
          </cell>
          <cell r="AP120">
            <v>8.5</v>
          </cell>
          <cell r="AQ120">
            <v>63</v>
          </cell>
          <cell r="AR120">
            <v>0</v>
          </cell>
          <cell r="AS120">
            <v>10</v>
          </cell>
          <cell r="AT120">
            <v>10</v>
          </cell>
          <cell r="AU120">
            <v>3.3333333333333335</v>
          </cell>
          <cell r="AV120">
            <v>0</v>
          </cell>
          <cell r="AW120">
            <v>7</v>
          </cell>
          <cell r="AX120">
            <v>9</v>
          </cell>
          <cell r="AY120">
            <v>1.125</v>
          </cell>
          <cell r="AZ120">
            <v>0</v>
          </cell>
          <cell r="BA120">
            <v>27</v>
          </cell>
          <cell r="BB120">
            <v>9</v>
          </cell>
          <cell r="BC120">
            <v>3.8571428571428568</v>
          </cell>
          <cell r="BD120">
            <v>57</v>
          </cell>
          <cell r="BE120">
            <v>63.666666666666664</v>
          </cell>
          <cell r="BF120">
            <v>27.285714285714285</v>
          </cell>
          <cell r="BG120">
            <v>0</v>
          </cell>
          <cell r="BH120">
            <v>61.333333333333329</v>
          </cell>
          <cell r="BI120">
            <v>168</v>
          </cell>
          <cell r="BJ120">
            <v>21</v>
          </cell>
          <cell r="BK120">
            <v>0</v>
          </cell>
          <cell r="BL120">
            <v>34.333333333333336</v>
          </cell>
          <cell r="BM120">
            <v>40</v>
          </cell>
          <cell r="BN120">
            <v>5.454545454545455</v>
          </cell>
          <cell r="BO120">
            <v>0</v>
          </cell>
          <cell r="BP120">
            <v>182.66666666666666</v>
          </cell>
          <cell r="BQ120">
            <v>191</v>
          </cell>
          <cell r="BR120">
            <v>23.875</v>
          </cell>
          <cell r="BS120">
            <v>0</v>
          </cell>
          <cell r="BT120">
            <v>183.5</v>
          </cell>
          <cell r="BU120">
            <v>191</v>
          </cell>
          <cell r="BV120">
            <v>25.466666666666665</v>
          </cell>
          <cell r="BW120">
            <v>0</v>
          </cell>
          <cell r="BX120">
            <v>0</v>
          </cell>
          <cell r="BY120">
            <v>183.5</v>
          </cell>
          <cell r="BZ120">
            <v>189</v>
          </cell>
          <cell r="CA120">
            <v>24.652173913043477</v>
          </cell>
          <cell r="CB120">
            <v>0</v>
          </cell>
          <cell r="CC120">
            <v>0</v>
          </cell>
          <cell r="CD120">
            <v>181.33333333333334</v>
          </cell>
          <cell r="CE120">
            <v>115</v>
          </cell>
          <cell r="CF120">
            <v>5.8974358974358978</v>
          </cell>
          <cell r="CG120">
            <v>41</v>
          </cell>
          <cell r="CH120">
            <v>0</v>
          </cell>
          <cell r="CI120">
            <v>202.83333333333334</v>
          </cell>
          <cell r="CJ120">
            <v>87</v>
          </cell>
          <cell r="CK120">
            <v>4.5789473684210522</v>
          </cell>
          <cell r="CL120">
            <v>65</v>
          </cell>
          <cell r="CM120">
            <v>0</v>
          </cell>
          <cell r="CN120">
            <v>68</v>
          </cell>
          <cell r="CO120">
            <v>65</v>
          </cell>
          <cell r="CP120">
            <v>6.5</v>
          </cell>
          <cell r="CQ120">
            <v>84</v>
          </cell>
          <cell r="CR120">
            <v>0</v>
          </cell>
          <cell r="CS120">
            <v>55</v>
          </cell>
          <cell r="CT120">
            <v>60</v>
          </cell>
          <cell r="CU120">
            <v>6</v>
          </cell>
          <cell r="CV120">
            <v>0</v>
          </cell>
          <cell r="CW120">
            <v>60</v>
          </cell>
          <cell r="CX120">
            <v>110</v>
          </cell>
          <cell r="CY120">
            <v>54</v>
          </cell>
          <cell r="CZ120">
            <v>5.4</v>
          </cell>
          <cell r="DA120">
            <v>0</v>
          </cell>
          <cell r="DB120">
            <v>60</v>
          </cell>
          <cell r="DC120">
            <v>106</v>
          </cell>
          <cell r="DD120">
            <v>168</v>
          </cell>
          <cell r="DE120">
            <v>18.625</v>
          </cell>
          <cell r="DF120">
            <v>0</v>
          </cell>
          <cell r="DG120">
            <v>0</v>
          </cell>
          <cell r="DH120">
            <v>160</v>
          </cell>
          <cell r="DI120">
            <v>168</v>
          </cell>
          <cell r="DJ120">
            <v>20.625</v>
          </cell>
          <cell r="DK120">
            <v>0</v>
          </cell>
          <cell r="DL120">
            <v>0</v>
          </cell>
          <cell r="DM120">
            <v>152</v>
          </cell>
          <cell r="DN120">
            <v>168</v>
          </cell>
          <cell r="DO120">
            <v>20.625</v>
          </cell>
          <cell r="DP120">
            <v>0</v>
          </cell>
          <cell r="DQ120">
            <v>0</v>
          </cell>
          <cell r="DR120">
            <v>160</v>
          </cell>
          <cell r="DS120">
            <v>160</v>
          </cell>
          <cell r="DT120">
            <v>19.625</v>
          </cell>
          <cell r="DU120">
            <v>0</v>
          </cell>
          <cell r="DV120">
            <v>0</v>
          </cell>
          <cell r="DW120">
            <v>152</v>
          </cell>
          <cell r="DX120">
            <v>152</v>
          </cell>
          <cell r="DY120">
            <v>18.625</v>
          </cell>
          <cell r="DZ120">
            <v>0</v>
          </cell>
          <cell r="EA120">
            <v>0</v>
          </cell>
          <cell r="EB120">
            <v>144</v>
          </cell>
          <cell r="EC120">
            <v>144</v>
          </cell>
          <cell r="ED120">
            <v>17.625</v>
          </cell>
          <cell r="EE120">
            <v>0</v>
          </cell>
          <cell r="EF120">
            <v>0</v>
          </cell>
          <cell r="EG120">
            <v>136</v>
          </cell>
          <cell r="EH120">
            <v>136</v>
          </cell>
          <cell r="EI120">
            <v>16.625</v>
          </cell>
          <cell r="EJ120">
            <v>0</v>
          </cell>
          <cell r="EK120">
            <v>0</v>
          </cell>
          <cell r="EL120">
            <v>128</v>
          </cell>
          <cell r="EM120">
            <v>128</v>
          </cell>
          <cell r="EN120">
            <v>15.625</v>
          </cell>
          <cell r="EO120">
            <v>0</v>
          </cell>
          <cell r="EP120">
            <v>0</v>
          </cell>
          <cell r="EQ120">
            <v>120</v>
          </cell>
          <cell r="ER120">
            <v>120</v>
          </cell>
          <cell r="ES120">
            <v>14.625</v>
          </cell>
          <cell r="ET120">
            <v>0</v>
          </cell>
          <cell r="EU120">
            <v>0</v>
          </cell>
          <cell r="EV120">
            <v>112</v>
          </cell>
          <cell r="EW120">
            <v>112</v>
          </cell>
          <cell r="EX120">
            <v>13.625</v>
          </cell>
          <cell r="EY120">
            <v>0</v>
          </cell>
          <cell r="EZ120">
            <v>0</v>
          </cell>
          <cell r="FA120">
            <v>104</v>
          </cell>
          <cell r="FB120">
            <v>104</v>
          </cell>
          <cell r="FC120">
            <v>12.625</v>
          </cell>
          <cell r="FD120">
            <v>0</v>
          </cell>
          <cell r="FE120">
            <v>0</v>
          </cell>
          <cell r="FF120">
            <v>96</v>
          </cell>
          <cell r="FG120">
            <v>96</v>
          </cell>
          <cell r="FH120">
            <v>11.625</v>
          </cell>
          <cell r="FI120">
            <v>0</v>
          </cell>
          <cell r="FJ120">
            <v>0</v>
          </cell>
          <cell r="FK120">
            <v>88</v>
          </cell>
          <cell r="FL120">
            <v>88</v>
          </cell>
          <cell r="FM120">
            <v>10.625</v>
          </cell>
          <cell r="FN120">
            <v>0</v>
          </cell>
          <cell r="FO120">
            <v>0</v>
          </cell>
          <cell r="FP120">
            <v>80</v>
          </cell>
          <cell r="FQ120">
            <v>80</v>
          </cell>
          <cell r="FR120">
            <v>9.625</v>
          </cell>
          <cell r="FS120">
            <v>0</v>
          </cell>
          <cell r="FT120">
            <v>19</v>
          </cell>
          <cell r="FU120">
            <v>2.0333333333333332</v>
          </cell>
          <cell r="FW120" t="str">
            <v>SOBRESTOCK</v>
          </cell>
          <cell r="FX120" t="str">
            <v>A</v>
          </cell>
          <cell r="FY120" t="str">
            <v>Si</v>
          </cell>
        </row>
        <row r="121">
          <cell r="B121" t="str">
            <v>REP-0122</v>
          </cell>
          <cell r="C121" t="str">
            <v>MIX</v>
          </cell>
          <cell r="D121">
            <v>0</v>
          </cell>
          <cell r="E121">
            <v>140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140</v>
          </cell>
          <cell r="AA121">
            <v>140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3.5833333333333335</v>
          </cell>
          <cell r="AI121">
            <v>0</v>
          </cell>
          <cell r="AJ121">
            <v>0</v>
          </cell>
          <cell r="AK121">
            <v>0.89583333333333337</v>
          </cell>
          <cell r="AL121">
            <v>1.7916666666666667</v>
          </cell>
          <cell r="AM121">
            <v>0.89583333333333337</v>
          </cell>
          <cell r="AN121">
            <v>2</v>
          </cell>
          <cell r="AO121">
            <v>0</v>
          </cell>
          <cell r="AP121">
            <v>0</v>
          </cell>
          <cell r="AQ121" t="str">
            <v/>
          </cell>
          <cell r="AR121">
            <v>0</v>
          </cell>
          <cell r="AS121">
            <v>0</v>
          </cell>
          <cell r="AT121">
            <v>0</v>
          </cell>
          <cell r="AU121" t="str">
            <v/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30</v>
          </cell>
          <cell r="BB121">
            <v>0</v>
          </cell>
          <cell r="BC121" t="str">
            <v/>
          </cell>
          <cell r="BD121">
            <v>0</v>
          </cell>
          <cell r="BE121">
            <v>0</v>
          </cell>
          <cell r="BF121" t="str">
            <v/>
          </cell>
          <cell r="BG121">
            <v>30</v>
          </cell>
          <cell r="BH121">
            <v>30</v>
          </cell>
          <cell r="BI121">
            <v>140</v>
          </cell>
          <cell r="BJ121">
            <v>156.27906976744185</v>
          </cell>
          <cell r="BK121">
            <v>0</v>
          </cell>
          <cell r="BL121">
            <v>70</v>
          </cell>
          <cell r="BM121">
            <v>70</v>
          </cell>
          <cell r="BN121" t="str">
            <v/>
          </cell>
          <cell r="BO121">
            <v>0</v>
          </cell>
          <cell r="BP121">
            <v>70</v>
          </cell>
          <cell r="BQ121">
            <v>70</v>
          </cell>
          <cell r="BR121">
            <v>78.139534883720927</v>
          </cell>
          <cell r="BS121">
            <v>0</v>
          </cell>
          <cell r="BT121">
            <v>70</v>
          </cell>
          <cell r="BU121">
            <v>70</v>
          </cell>
          <cell r="BV121" t="str">
            <v/>
          </cell>
          <cell r="BW121">
            <v>0</v>
          </cell>
          <cell r="BX121">
            <v>0</v>
          </cell>
          <cell r="BY121">
            <v>70</v>
          </cell>
          <cell r="BZ121">
            <v>68</v>
          </cell>
          <cell r="CA121">
            <v>204</v>
          </cell>
          <cell r="CB121">
            <v>0</v>
          </cell>
          <cell r="CC121">
            <v>0</v>
          </cell>
          <cell r="CD121">
            <v>67.666666666666671</v>
          </cell>
          <cell r="CE121">
            <v>68</v>
          </cell>
          <cell r="CF121">
            <v>204</v>
          </cell>
          <cell r="CG121">
            <v>0</v>
          </cell>
          <cell r="CH121">
            <v>0</v>
          </cell>
          <cell r="CI121">
            <v>67.333333333333343</v>
          </cell>
          <cell r="CJ121">
            <v>27</v>
          </cell>
          <cell r="CK121">
            <v>3.7674418604651163</v>
          </cell>
          <cell r="CL121">
            <v>31</v>
          </cell>
          <cell r="CM121">
            <v>0</v>
          </cell>
          <cell r="CN121">
            <v>19.833333333333332</v>
          </cell>
          <cell r="CO121">
            <v>27</v>
          </cell>
          <cell r="CP121">
            <v>3.7674418604651163</v>
          </cell>
          <cell r="CQ121">
            <v>38.166666666666671</v>
          </cell>
          <cell r="CR121">
            <v>0</v>
          </cell>
          <cell r="CS121">
            <v>19.833333333333332</v>
          </cell>
          <cell r="CT121">
            <v>27</v>
          </cell>
          <cell r="CU121">
            <v>3.7674418604651163</v>
          </cell>
          <cell r="CV121">
            <v>0</v>
          </cell>
          <cell r="CW121">
            <v>50</v>
          </cell>
          <cell r="CX121">
            <v>69.833333333333329</v>
          </cell>
          <cell r="CY121">
            <v>27</v>
          </cell>
          <cell r="CZ121">
            <v>7.5348837209302326</v>
          </cell>
          <cell r="DA121">
            <v>0</v>
          </cell>
          <cell r="DB121">
            <v>50</v>
          </cell>
          <cell r="DC121">
            <v>73.416666666666671</v>
          </cell>
          <cell r="DD121">
            <v>140</v>
          </cell>
          <cell r="DE121">
            <v>36.837209302325583</v>
          </cell>
          <cell r="DF121">
            <v>0</v>
          </cell>
          <cell r="DG121">
            <v>0</v>
          </cell>
          <cell r="DH121">
            <v>136.41666666666666</v>
          </cell>
          <cell r="DI121">
            <v>140</v>
          </cell>
          <cell r="DJ121">
            <v>156.04651162790697</v>
          </cell>
          <cell r="DK121">
            <v>0</v>
          </cell>
          <cell r="DL121">
            <v>0</v>
          </cell>
          <cell r="DM121">
            <v>135.52083333333331</v>
          </cell>
          <cell r="DN121">
            <v>140</v>
          </cell>
          <cell r="DO121">
            <v>156.04651162790697</v>
          </cell>
          <cell r="DP121">
            <v>0</v>
          </cell>
          <cell r="DQ121">
            <v>0</v>
          </cell>
          <cell r="DR121">
            <v>139.10416666666666</v>
          </cell>
          <cell r="DS121">
            <v>139.10416666666666</v>
          </cell>
          <cell r="DT121">
            <v>155.04651162790697</v>
          </cell>
          <cell r="DU121">
            <v>0</v>
          </cell>
          <cell r="DV121">
            <v>0</v>
          </cell>
          <cell r="DW121">
            <v>138.20833333333331</v>
          </cell>
          <cell r="DX121">
            <v>138.20833333333331</v>
          </cell>
          <cell r="DY121">
            <v>154.04651162790694</v>
          </cell>
          <cell r="DZ121">
            <v>0</v>
          </cell>
          <cell r="EA121">
            <v>0</v>
          </cell>
          <cell r="EB121">
            <v>137.31249999999997</v>
          </cell>
          <cell r="EC121">
            <v>137.31249999999997</v>
          </cell>
          <cell r="ED121">
            <v>153.04651162790694</v>
          </cell>
          <cell r="EE121">
            <v>0</v>
          </cell>
          <cell r="EF121">
            <v>0</v>
          </cell>
          <cell r="EG121">
            <v>136.41666666666663</v>
          </cell>
          <cell r="EH121">
            <v>136.41666666666663</v>
          </cell>
          <cell r="EI121">
            <v>152.04651162790694</v>
          </cell>
          <cell r="EJ121">
            <v>0</v>
          </cell>
          <cell r="EK121">
            <v>0</v>
          </cell>
          <cell r="EL121">
            <v>135.52083333333329</v>
          </cell>
          <cell r="EM121">
            <v>135.52083333333329</v>
          </cell>
          <cell r="EN121">
            <v>151.04651162790691</v>
          </cell>
          <cell r="EO121">
            <v>0</v>
          </cell>
          <cell r="EP121">
            <v>0</v>
          </cell>
          <cell r="EQ121">
            <v>134.62499999999994</v>
          </cell>
          <cell r="ER121">
            <v>134.62499999999994</v>
          </cell>
          <cell r="ES121">
            <v>150.04651162790691</v>
          </cell>
          <cell r="ET121">
            <v>0</v>
          </cell>
          <cell r="EU121">
            <v>0</v>
          </cell>
          <cell r="EV121">
            <v>133.7291666666666</v>
          </cell>
          <cell r="EW121">
            <v>133.7291666666666</v>
          </cell>
          <cell r="EX121">
            <v>149.04651162790691</v>
          </cell>
          <cell r="EY121">
            <v>0</v>
          </cell>
          <cell r="EZ121">
            <v>0</v>
          </cell>
          <cell r="FA121">
            <v>132.83333333333326</v>
          </cell>
          <cell r="FB121">
            <v>132.83333333333326</v>
          </cell>
          <cell r="FC121">
            <v>148.04651162790688</v>
          </cell>
          <cell r="FD121">
            <v>0</v>
          </cell>
          <cell r="FE121">
            <v>0</v>
          </cell>
          <cell r="FF121">
            <v>131.93749999999991</v>
          </cell>
          <cell r="FG121">
            <v>131.93749999999991</v>
          </cell>
          <cell r="FH121">
            <v>147.04651162790688</v>
          </cell>
          <cell r="FI121">
            <v>0</v>
          </cell>
          <cell r="FJ121">
            <v>0</v>
          </cell>
          <cell r="FK121">
            <v>131.04166666666657</v>
          </cell>
          <cell r="FL121">
            <v>131.04166666666657</v>
          </cell>
          <cell r="FM121">
            <v>146.04651162790685</v>
          </cell>
          <cell r="FN121">
            <v>0</v>
          </cell>
          <cell r="FO121">
            <v>0</v>
          </cell>
          <cell r="FP121">
            <v>130.14583333333323</v>
          </cell>
          <cell r="FQ121">
            <v>130.14583333333323</v>
          </cell>
          <cell r="FR121">
            <v>145.04651162790685</v>
          </cell>
          <cell r="FS121">
            <v>0</v>
          </cell>
          <cell r="FT121">
            <v>2</v>
          </cell>
          <cell r="FU121">
            <v>2.0333333333333332</v>
          </cell>
          <cell r="FV121" t="str">
            <v>SI</v>
          </cell>
          <cell r="FW121" t="str">
            <v>SIN ROTACIÓN</v>
          </cell>
          <cell r="FX121" t="str">
            <v>STOCK MUERTO</v>
          </cell>
          <cell r="FY121" t="str">
            <v>Si</v>
          </cell>
        </row>
        <row r="122">
          <cell r="B122" t="str">
            <v>REP-0123</v>
          </cell>
          <cell r="C122" t="str">
            <v>MIX</v>
          </cell>
          <cell r="D122">
            <v>0</v>
          </cell>
          <cell r="E122">
            <v>30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30</v>
          </cell>
          <cell r="AA122">
            <v>30</v>
          </cell>
          <cell r="AB122">
            <v>4</v>
          </cell>
          <cell r="AC122">
            <v>0.5</v>
          </cell>
          <cell r="AD122">
            <v>1.6666666666666666E-2</v>
          </cell>
          <cell r="AE122">
            <v>0.58333333333333337</v>
          </cell>
          <cell r="AF122">
            <v>0</v>
          </cell>
          <cell r="AG122">
            <v>0</v>
          </cell>
          <cell r="AH122">
            <v>0.83333333333333337</v>
          </cell>
          <cell r="AI122">
            <v>0.16666666666666666</v>
          </cell>
          <cell r="AJ122">
            <v>0.16666666666666666</v>
          </cell>
          <cell r="AK122">
            <v>0.83333333333333337</v>
          </cell>
          <cell r="AL122">
            <v>0.3695592971013909</v>
          </cell>
          <cell r="AM122">
            <v>0.29166666666666669</v>
          </cell>
          <cell r="AN122">
            <v>1.2670604472047686</v>
          </cell>
          <cell r="AO122">
            <v>0</v>
          </cell>
          <cell r="AP122">
            <v>10</v>
          </cell>
          <cell r="AQ122" t="str">
            <v/>
          </cell>
          <cell r="AR122">
            <v>0</v>
          </cell>
          <cell r="AS122">
            <v>10</v>
          </cell>
          <cell r="AT122">
            <v>0</v>
          </cell>
          <cell r="AU122" t="str">
            <v/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 t="str">
            <v/>
          </cell>
          <cell r="BD122">
            <v>0</v>
          </cell>
          <cell r="BE122">
            <v>0</v>
          </cell>
          <cell r="BF122" t="str">
            <v/>
          </cell>
          <cell r="BG122">
            <v>0</v>
          </cell>
          <cell r="BH122">
            <v>0</v>
          </cell>
          <cell r="BI122">
            <v>30</v>
          </cell>
          <cell r="BJ122">
            <v>36</v>
          </cell>
          <cell r="BK122">
            <v>0</v>
          </cell>
          <cell r="BL122">
            <v>0</v>
          </cell>
          <cell r="BM122">
            <v>0</v>
          </cell>
          <cell r="BN122" t="str">
            <v/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 t="str">
            <v/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 t="str">
            <v/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/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14</v>
          </cell>
          <cell r="CM122">
            <v>0</v>
          </cell>
          <cell r="CN122">
            <v>-1.6666666666666667</v>
          </cell>
          <cell r="CO122">
            <v>0</v>
          </cell>
          <cell r="CP122">
            <v>0</v>
          </cell>
          <cell r="CQ122">
            <v>15.666666666666666</v>
          </cell>
          <cell r="CR122">
            <v>0</v>
          </cell>
          <cell r="CS122">
            <v>-1.6666666666666667</v>
          </cell>
          <cell r="CT122">
            <v>0</v>
          </cell>
          <cell r="CU122">
            <v>0</v>
          </cell>
          <cell r="CV122">
            <v>4</v>
          </cell>
          <cell r="CW122">
            <v>15</v>
          </cell>
          <cell r="CX122">
            <v>13.333333333333334</v>
          </cell>
          <cell r="CY122">
            <v>0</v>
          </cell>
          <cell r="CZ122">
            <v>0</v>
          </cell>
          <cell r="DA122">
            <v>0</v>
          </cell>
          <cell r="DB122">
            <v>15</v>
          </cell>
          <cell r="DC122">
            <v>14.166666666666666</v>
          </cell>
          <cell r="DD122">
            <v>15</v>
          </cell>
          <cell r="DE122">
            <v>15.6</v>
          </cell>
          <cell r="DF122">
            <v>0</v>
          </cell>
          <cell r="DG122">
            <v>0</v>
          </cell>
          <cell r="DH122">
            <v>14.166666666666666</v>
          </cell>
          <cell r="DI122">
            <v>15</v>
          </cell>
          <cell r="DJ122">
            <v>17.600000000000001</v>
          </cell>
          <cell r="DK122">
            <v>0</v>
          </cell>
          <cell r="DL122">
            <v>0</v>
          </cell>
          <cell r="DM122">
            <v>13.333333333333332</v>
          </cell>
          <cell r="DN122">
            <v>30</v>
          </cell>
          <cell r="DO122">
            <v>35.6</v>
          </cell>
          <cell r="DP122">
            <v>0</v>
          </cell>
          <cell r="DQ122">
            <v>0</v>
          </cell>
          <cell r="DR122">
            <v>29.166666666666668</v>
          </cell>
          <cell r="DS122">
            <v>29.166666666666668</v>
          </cell>
          <cell r="DT122">
            <v>34.6</v>
          </cell>
          <cell r="DU122">
            <v>0</v>
          </cell>
          <cell r="DV122">
            <v>0</v>
          </cell>
          <cell r="DW122">
            <v>28.333333333333336</v>
          </cell>
          <cell r="DX122">
            <v>28.333333333333336</v>
          </cell>
          <cell r="DY122">
            <v>33.6</v>
          </cell>
          <cell r="DZ122">
            <v>0</v>
          </cell>
          <cell r="EA122">
            <v>0</v>
          </cell>
          <cell r="EB122">
            <v>27.500000000000004</v>
          </cell>
          <cell r="EC122">
            <v>27.500000000000004</v>
          </cell>
          <cell r="ED122">
            <v>32.6</v>
          </cell>
          <cell r="EE122">
            <v>0</v>
          </cell>
          <cell r="EF122">
            <v>0</v>
          </cell>
          <cell r="EG122">
            <v>26.666666666666671</v>
          </cell>
          <cell r="EH122">
            <v>26.666666666666671</v>
          </cell>
          <cell r="EI122">
            <v>31.600000000000005</v>
          </cell>
          <cell r="EJ122">
            <v>0</v>
          </cell>
          <cell r="EK122">
            <v>0</v>
          </cell>
          <cell r="EL122">
            <v>25.833333333333339</v>
          </cell>
          <cell r="EM122">
            <v>25.833333333333339</v>
          </cell>
          <cell r="EN122">
            <v>30.600000000000005</v>
          </cell>
          <cell r="EO122">
            <v>0</v>
          </cell>
          <cell r="EP122">
            <v>0</v>
          </cell>
          <cell r="EQ122">
            <v>25.000000000000007</v>
          </cell>
          <cell r="ER122">
            <v>25.000000000000007</v>
          </cell>
          <cell r="ES122">
            <v>29.600000000000009</v>
          </cell>
          <cell r="ET122">
            <v>0</v>
          </cell>
          <cell r="EU122">
            <v>0</v>
          </cell>
          <cell r="EV122">
            <v>24.166666666666675</v>
          </cell>
          <cell r="EW122">
            <v>24.166666666666675</v>
          </cell>
          <cell r="EX122">
            <v>28.600000000000009</v>
          </cell>
          <cell r="EY122">
            <v>0</v>
          </cell>
          <cell r="EZ122">
            <v>0</v>
          </cell>
          <cell r="FA122">
            <v>23.333333333333343</v>
          </cell>
          <cell r="FB122">
            <v>23.333333333333343</v>
          </cell>
          <cell r="FC122">
            <v>27.600000000000009</v>
          </cell>
          <cell r="FD122">
            <v>0</v>
          </cell>
          <cell r="FE122">
            <v>0</v>
          </cell>
          <cell r="FF122">
            <v>22.500000000000011</v>
          </cell>
          <cell r="FG122">
            <v>22.500000000000011</v>
          </cell>
          <cell r="FH122">
            <v>26.600000000000012</v>
          </cell>
          <cell r="FI122">
            <v>0</v>
          </cell>
          <cell r="FJ122">
            <v>0</v>
          </cell>
          <cell r="FK122">
            <v>21.666666666666679</v>
          </cell>
          <cell r="FL122">
            <v>21.666666666666679</v>
          </cell>
          <cell r="FM122">
            <v>25.600000000000012</v>
          </cell>
          <cell r="FN122">
            <v>0</v>
          </cell>
          <cell r="FO122">
            <v>0</v>
          </cell>
          <cell r="FP122">
            <v>20.833333333333346</v>
          </cell>
          <cell r="FQ122">
            <v>20.833333333333346</v>
          </cell>
          <cell r="FR122">
            <v>24.600000000000016</v>
          </cell>
          <cell r="FS122">
            <v>0</v>
          </cell>
          <cell r="FT122">
            <v>2</v>
          </cell>
          <cell r="FU122">
            <v>2.0333333333333332</v>
          </cell>
          <cell r="FV122" t="str">
            <v>SI</v>
          </cell>
          <cell r="FW122" t="str">
            <v>SOBRESTOCK</v>
          </cell>
          <cell r="FX122" t="str">
            <v>C</v>
          </cell>
          <cell r="FY122" t="str">
            <v>Si</v>
          </cell>
        </row>
        <row r="123">
          <cell r="B123" t="str">
            <v>REP-0124</v>
          </cell>
          <cell r="C123" t="str">
            <v>MIX</v>
          </cell>
          <cell r="D123">
            <v>0</v>
          </cell>
          <cell r="E123">
            <v>8</v>
          </cell>
          <cell r="F123">
            <v>0</v>
          </cell>
          <cell r="G123">
            <v>0</v>
          </cell>
          <cell r="H123">
            <v>1</v>
          </cell>
          <cell r="I123">
            <v>1</v>
          </cell>
          <cell r="J123">
            <v>0</v>
          </cell>
          <cell r="K123">
            <v>2</v>
          </cell>
          <cell r="L123">
            <v>2</v>
          </cell>
          <cell r="M123">
            <v>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1</v>
          </cell>
          <cell r="W123">
            <v>0</v>
          </cell>
          <cell r="X123">
            <v>0</v>
          </cell>
          <cell r="Y123">
            <v>17</v>
          </cell>
          <cell r="AA123">
            <v>17</v>
          </cell>
          <cell r="AB123">
            <v>1</v>
          </cell>
          <cell r="AC123">
            <v>0.5</v>
          </cell>
          <cell r="AD123">
            <v>1.6666666666666666E-2</v>
          </cell>
          <cell r="AE123">
            <v>0.33333333333333331</v>
          </cell>
          <cell r="AF123">
            <v>0.41666666666666669</v>
          </cell>
          <cell r="AG123">
            <v>0</v>
          </cell>
          <cell r="AH123">
            <v>0.91666666666666663</v>
          </cell>
          <cell r="AI123">
            <v>0</v>
          </cell>
          <cell r="AJ123">
            <v>0</v>
          </cell>
          <cell r="AK123">
            <v>0.91666666666666663</v>
          </cell>
          <cell r="AL123">
            <v>0.45833333333333331</v>
          </cell>
          <cell r="AM123">
            <v>0.22916666666666666</v>
          </cell>
          <cell r="AN123">
            <v>2</v>
          </cell>
          <cell r="AO123">
            <v>0</v>
          </cell>
          <cell r="AP123">
            <v>7.1111111111111107</v>
          </cell>
          <cell r="AQ123">
            <v>18.2</v>
          </cell>
          <cell r="AR123">
            <v>0</v>
          </cell>
          <cell r="AS123">
            <v>7.1666666666666661</v>
          </cell>
          <cell r="AT123">
            <v>8</v>
          </cell>
          <cell r="AU123" t="str">
            <v/>
          </cell>
          <cell r="AV123">
            <v>0</v>
          </cell>
          <cell r="AW123">
            <v>8</v>
          </cell>
          <cell r="AX123">
            <v>5</v>
          </cell>
          <cell r="AY123">
            <v>5.454545454545455</v>
          </cell>
          <cell r="AZ123">
            <v>0</v>
          </cell>
          <cell r="BA123">
            <v>15</v>
          </cell>
          <cell r="BB123">
            <v>4</v>
          </cell>
          <cell r="BC123">
            <v>3</v>
          </cell>
          <cell r="BD123">
            <v>0</v>
          </cell>
          <cell r="BE123">
            <v>2.666666666666667</v>
          </cell>
          <cell r="BF123">
            <v>2.0000000000000004</v>
          </cell>
          <cell r="BG123">
            <v>10</v>
          </cell>
          <cell r="BH123">
            <v>11.333333333333334</v>
          </cell>
          <cell r="BI123">
            <v>17</v>
          </cell>
          <cell r="BJ123">
            <v>18.545454545454547</v>
          </cell>
          <cell r="BK123">
            <v>0</v>
          </cell>
          <cell r="BL123">
            <v>12.166666666666666</v>
          </cell>
          <cell r="BM123">
            <v>13</v>
          </cell>
          <cell r="BN123">
            <v>15.6</v>
          </cell>
          <cell r="BO123">
            <v>0</v>
          </cell>
          <cell r="BP123">
            <v>12.166666666666666</v>
          </cell>
          <cell r="BQ123">
            <v>10</v>
          </cell>
          <cell r="BR123">
            <v>10.90909090909091</v>
          </cell>
          <cell r="BS123">
            <v>0</v>
          </cell>
          <cell r="BT123">
            <v>8.6666666666666661</v>
          </cell>
          <cell r="BU123">
            <v>10</v>
          </cell>
          <cell r="BV123">
            <v>11.25</v>
          </cell>
          <cell r="BW123">
            <v>0</v>
          </cell>
          <cell r="BX123">
            <v>0</v>
          </cell>
          <cell r="BY123">
            <v>9.1111111111111107</v>
          </cell>
          <cell r="BZ123">
            <v>8</v>
          </cell>
          <cell r="CA123">
            <v>8</v>
          </cell>
          <cell r="CB123">
            <v>0</v>
          </cell>
          <cell r="CC123">
            <v>0</v>
          </cell>
          <cell r="CD123">
            <v>7</v>
          </cell>
          <cell r="CE123">
            <v>8</v>
          </cell>
          <cell r="CF123">
            <v>8.8000000000000007</v>
          </cell>
          <cell r="CG123">
            <v>0</v>
          </cell>
          <cell r="CH123">
            <v>0</v>
          </cell>
          <cell r="CI123">
            <v>6.0909090909090908</v>
          </cell>
          <cell r="CJ123">
            <v>7</v>
          </cell>
          <cell r="CK123">
            <v>7</v>
          </cell>
          <cell r="CL123">
            <v>1</v>
          </cell>
          <cell r="CM123">
            <v>5</v>
          </cell>
          <cell r="CN123">
            <v>11</v>
          </cell>
          <cell r="CO123">
            <v>12</v>
          </cell>
          <cell r="CP123">
            <v>12</v>
          </cell>
          <cell r="CQ123">
            <v>0</v>
          </cell>
          <cell r="CR123">
            <v>0</v>
          </cell>
          <cell r="CS123">
            <v>11</v>
          </cell>
          <cell r="CT123">
            <v>12</v>
          </cell>
          <cell r="CU123">
            <v>13.090909090909092</v>
          </cell>
          <cell r="CV123">
            <v>0</v>
          </cell>
          <cell r="CW123">
            <v>0</v>
          </cell>
          <cell r="CX123">
            <v>11.083333333333334</v>
          </cell>
          <cell r="CY123">
            <v>12</v>
          </cell>
          <cell r="CZ123">
            <v>13.090909090909092</v>
          </cell>
          <cell r="DA123">
            <v>0</v>
          </cell>
          <cell r="DB123">
            <v>5</v>
          </cell>
          <cell r="DC123">
            <v>16.083333333333332</v>
          </cell>
          <cell r="DD123">
            <v>17</v>
          </cell>
          <cell r="DE123">
            <v>16.363636363636363</v>
          </cell>
          <cell r="DF123">
            <v>0</v>
          </cell>
          <cell r="DG123">
            <v>0</v>
          </cell>
          <cell r="DH123">
            <v>16.083333333333332</v>
          </cell>
          <cell r="DI123">
            <v>17</v>
          </cell>
          <cell r="DJ123">
            <v>18.363636363636363</v>
          </cell>
          <cell r="DK123">
            <v>0</v>
          </cell>
          <cell r="DL123">
            <v>0</v>
          </cell>
          <cell r="DM123">
            <v>15.166666666666666</v>
          </cell>
          <cell r="DN123">
            <v>17</v>
          </cell>
          <cell r="DO123">
            <v>18.363636363636363</v>
          </cell>
          <cell r="DP123">
            <v>0</v>
          </cell>
          <cell r="DQ123">
            <v>0</v>
          </cell>
          <cell r="DR123">
            <v>16.083333333333332</v>
          </cell>
          <cell r="DS123">
            <v>16.083333333333332</v>
          </cell>
          <cell r="DT123">
            <v>17.363636363636363</v>
          </cell>
          <cell r="DU123">
            <v>0</v>
          </cell>
          <cell r="DV123">
            <v>0</v>
          </cell>
          <cell r="DW123">
            <v>15.166666666666666</v>
          </cell>
          <cell r="DX123">
            <v>15.166666666666666</v>
          </cell>
          <cell r="DY123">
            <v>16.363636363636363</v>
          </cell>
          <cell r="DZ123">
            <v>0</v>
          </cell>
          <cell r="EA123">
            <v>0</v>
          </cell>
          <cell r="EB123">
            <v>14.25</v>
          </cell>
          <cell r="EC123">
            <v>14.25</v>
          </cell>
          <cell r="ED123">
            <v>15.363636363636363</v>
          </cell>
          <cell r="EE123">
            <v>0</v>
          </cell>
          <cell r="EF123">
            <v>0</v>
          </cell>
          <cell r="EG123">
            <v>13.333333333333334</v>
          </cell>
          <cell r="EH123">
            <v>13.333333333333334</v>
          </cell>
          <cell r="EI123">
            <v>14.363636363636365</v>
          </cell>
          <cell r="EJ123">
            <v>0</v>
          </cell>
          <cell r="EK123">
            <v>0</v>
          </cell>
          <cell r="EL123">
            <v>12.416666666666668</v>
          </cell>
          <cell r="EM123">
            <v>12.416666666666668</v>
          </cell>
          <cell r="EN123">
            <v>13.363636363636365</v>
          </cell>
          <cell r="EO123">
            <v>0</v>
          </cell>
          <cell r="EP123">
            <v>0</v>
          </cell>
          <cell r="EQ123">
            <v>11.500000000000002</v>
          </cell>
          <cell r="ER123">
            <v>11.500000000000002</v>
          </cell>
          <cell r="ES123">
            <v>12.363636363636367</v>
          </cell>
          <cell r="ET123">
            <v>0</v>
          </cell>
          <cell r="EU123">
            <v>0</v>
          </cell>
          <cell r="EV123">
            <v>10.583333333333336</v>
          </cell>
          <cell r="EW123">
            <v>10.583333333333336</v>
          </cell>
          <cell r="EX123">
            <v>11.363636363636367</v>
          </cell>
          <cell r="EY123">
            <v>0</v>
          </cell>
          <cell r="EZ123">
            <v>0</v>
          </cell>
          <cell r="FA123">
            <v>9.6666666666666696</v>
          </cell>
          <cell r="FB123">
            <v>9.6666666666666696</v>
          </cell>
          <cell r="FC123">
            <v>10.363636363636367</v>
          </cell>
          <cell r="FD123">
            <v>0</v>
          </cell>
          <cell r="FE123">
            <v>0</v>
          </cell>
          <cell r="FF123">
            <v>8.7500000000000036</v>
          </cell>
          <cell r="FG123">
            <v>8.7500000000000036</v>
          </cell>
          <cell r="FH123">
            <v>9.3636363636363669</v>
          </cell>
          <cell r="FI123">
            <v>0</v>
          </cell>
          <cell r="FJ123">
            <v>0</v>
          </cell>
          <cell r="FK123">
            <v>7.8333333333333366</v>
          </cell>
          <cell r="FL123">
            <v>7.8333333333333366</v>
          </cell>
          <cell r="FM123">
            <v>8.3636363636363669</v>
          </cell>
          <cell r="FN123">
            <v>0</v>
          </cell>
          <cell r="FO123">
            <v>0</v>
          </cell>
          <cell r="FP123">
            <v>6.9166666666666696</v>
          </cell>
          <cell r="FQ123">
            <v>6.9166666666666696</v>
          </cell>
          <cell r="FR123">
            <v>7.3636363636363669</v>
          </cell>
          <cell r="FS123">
            <v>0</v>
          </cell>
          <cell r="FT123">
            <v>2</v>
          </cell>
          <cell r="FU123">
            <v>2.0333333333333332</v>
          </cell>
          <cell r="FW123" t="str">
            <v>SIN ROTACIÓN</v>
          </cell>
          <cell r="FX123" t="str">
            <v>C</v>
          </cell>
          <cell r="FY123" t="str">
            <v>Si</v>
          </cell>
        </row>
        <row r="124">
          <cell r="B124" t="str">
            <v>REP-0125</v>
          </cell>
          <cell r="C124" t="str">
            <v>MIX</v>
          </cell>
          <cell r="D124">
            <v>0</v>
          </cell>
          <cell r="E124">
            <v>10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9</v>
          </cell>
          <cell r="L124">
            <v>0</v>
          </cell>
          <cell r="M124">
            <v>2</v>
          </cell>
          <cell r="N124">
            <v>1</v>
          </cell>
          <cell r="O124">
            <v>1</v>
          </cell>
          <cell r="P124">
            <v>2</v>
          </cell>
          <cell r="Q124">
            <v>3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  <cell r="Y124">
            <v>35</v>
          </cell>
          <cell r="AA124">
            <v>35</v>
          </cell>
          <cell r="AB124">
            <v>0</v>
          </cell>
          <cell r="AC124">
            <v>0</v>
          </cell>
          <cell r="AD124">
            <v>0</v>
          </cell>
          <cell r="AE124">
            <v>8.3333333333333329E-2</v>
          </cell>
          <cell r="AF124">
            <v>0.66666666666666663</v>
          </cell>
          <cell r="AG124">
            <v>0.16666666666666666</v>
          </cell>
          <cell r="AH124">
            <v>1.1666666666666667</v>
          </cell>
          <cell r="AI124">
            <v>0.5</v>
          </cell>
          <cell r="AJ124">
            <v>0.5</v>
          </cell>
          <cell r="AK124">
            <v>1.1666666666666667</v>
          </cell>
          <cell r="AL124">
            <v>0.41943524640393048</v>
          </cell>
          <cell r="AM124">
            <v>0.58333333333333337</v>
          </cell>
          <cell r="AN124">
            <v>0.71903185097816646</v>
          </cell>
          <cell r="AO124">
            <v>0</v>
          </cell>
          <cell r="AP124">
            <v>52</v>
          </cell>
          <cell r="AQ124">
            <v>78.500000000000014</v>
          </cell>
          <cell r="AR124">
            <v>0</v>
          </cell>
          <cell r="AS124">
            <v>51.666666666666671</v>
          </cell>
          <cell r="AT124">
            <v>53</v>
          </cell>
          <cell r="AU124">
            <v>318</v>
          </cell>
          <cell r="AV124">
            <v>0</v>
          </cell>
          <cell r="AW124">
            <v>52.833333333333336</v>
          </cell>
          <cell r="AX124">
            <v>53</v>
          </cell>
          <cell r="AY124">
            <v>45.428571428571423</v>
          </cell>
          <cell r="AZ124">
            <v>0</v>
          </cell>
          <cell r="BA124">
            <v>52.833333333333336</v>
          </cell>
          <cell r="BB124">
            <v>52</v>
          </cell>
          <cell r="BC124">
            <v>156</v>
          </cell>
          <cell r="BD124">
            <v>0</v>
          </cell>
          <cell r="BE124">
            <v>51.666666666666664</v>
          </cell>
          <cell r="BF124">
            <v>155</v>
          </cell>
          <cell r="BG124">
            <v>0</v>
          </cell>
          <cell r="BH124">
            <v>51.333333333333329</v>
          </cell>
          <cell r="BI124">
            <v>35</v>
          </cell>
          <cell r="BJ124">
            <v>29.999999999999996</v>
          </cell>
          <cell r="BK124">
            <v>0</v>
          </cell>
          <cell r="BL124">
            <v>47.166666666666664</v>
          </cell>
          <cell r="BM124">
            <v>47</v>
          </cell>
          <cell r="BN124">
            <v>56.4</v>
          </cell>
          <cell r="BO124">
            <v>0</v>
          </cell>
          <cell r="BP124">
            <v>46.166666666666664</v>
          </cell>
          <cell r="BQ124">
            <v>47</v>
          </cell>
          <cell r="BR124">
            <v>40.285714285714285</v>
          </cell>
          <cell r="BS124">
            <v>0</v>
          </cell>
          <cell r="BT124">
            <v>46</v>
          </cell>
          <cell r="BU124">
            <v>47</v>
          </cell>
          <cell r="BV124">
            <v>47</v>
          </cell>
          <cell r="BW124">
            <v>0</v>
          </cell>
          <cell r="BX124">
            <v>0</v>
          </cell>
          <cell r="BY124">
            <v>46</v>
          </cell>
          <cell r="BZ124">
            <v>47</v>
          </cell>
          <cell r="CA124">
            <v>56.4</v>
          </cell>
          <cell r="CB124">
            <v>0</v>
          </cell>
          <cell r="CC124">
            <v>0</v>
          </cell>
          <cell r="CD124">
            <v>46.166666666666664</v>
          </cell>
          <cell r="CE124">
            <v>46</v>
          </cell>
          <cell r="CF124">
            <v>46</v>
          </cell>
          <cell r="CG124">
            <v>0</v>
          </cell>
          <cell r="CH124">
            <v>0</v>
          </cell>
          <cell r="CI124">
            <v>45.166666666666664</v>
          </cell>
          <cell r="CJ124">
            <v>39</v>
          </cell>
          <cell r="CK124">
            <v>26</v>
          </cell>
          <cell r="CL124">
            <v>0</v>
          </cell>
          <cell r="CM124">
            <v>0</v>
          </cell>
          <cell r="CN124">
            <v>37.5</v>
          </cell>
          <cell r="CO124">
            <v>39</v>
          </cell>
          <cell r="CP124">
            <v>26</v>
          </cell>
          <cell r="CQ124">
            <v>0</v>
          </cell>
          <cell r="CR124">
            <v>0</v>
          </cell>
          <cell r="CS124">
            <v>37.5</v>
          </cell>
          <cell r="CT124">
            <v>39</v>
          </cell>
          <cell r="CU124">
            <v>29.25</v>
          </cell>
          <cell r="CV124">
            <v>0</v>
          </cell>
          <cell r="CW124">
            <v>0</v>
          </cell>
          <cell r="CX124">
            <v>37.666666666666664</v>
          </cell>
          <cell r="CY124">
            <v>39</v>
          </cell>
          <cell r="CZ124">
            <v>33.428571428571423</v>
          </cell>
          <cell r="DA124">
            <v>0</v>
          </cell>
          <cell r="DB124">
            <v>0</v>
          </cell>
          <cell r="DC124">
            <v>37.833333333333336</v>
          </cell>
          <cell r="DD124">
            <v>40</v>
          </cell>
          <cell r="DE124">
            <v>31.714285714285712</v>
          </cell>
          <cell r="DF124">
            <v>0</v>
          </cell>
          <cell r="DG124">
            <v>0</v>
          </cell>
          <cell r="DH124">
            <v>38.833333333333336</v>
          </cell>
          <cell r="DI124">
            <v>40</v>
          </cell>
          <cell r="DJ124">
            <v>33.714285714285708</v>
          </cell>
          <cell r="DK124">
            <v>0</v>
          </cell>
          <cell r="DL124">
            <v>0</v>
          </cell>
          <cell r="DM124">
            <v>37.666666666666671</v>
          </cell>
          <cell r="DN124">
            <v>35</v>
          </cell>
          <cell r="DO124">
            <v>29.428571428571427</v>
          </cell>
          <cell r="DP124">
            <v>0</v>
          </cell>
          <cell r="DQ124">
            <v>0</v>
          </cell>
          <cell r="DR124">
            <v>33.833333333333336</v>
          </cell>
          <cell r="DS124">
            <v>33.833333333333336</v>
          </cell>
          <cell r="DT124">
            <v>28.428571428571431</v>
          </cell>
          <cell r="DU124">
            <v>0</v>
          </cell>
          <cell r="DV124">
            <v>0</v>
          </cell>
          <cell r="DW124">
            <v>32.666666666666671</v>
          </cell>
          <cell r="DX124">
            <v>32.666666666666671</v>
          </cell>
          <cell r="DY124">
            <v>27.428571428571431</v>
          </cell>
          <cell r="DZ124">
            <v>0</v>
          </cell>
          <cell r="EA124">
            <v>0</v>
          </cell>
          <cell r="EB124">
            <v>31.500000000000004</v>
          </cell>
          <cell r="EC124">
            <v>31.500000000000004</v>
          </cell>
          <cell r="ED124">
            <v>26.428571428571431</v>
          </cell>
          <cell r="EE124">
            <v>0</v>
          </cell>
          <cell r="EF124">
            <v>0</v>
          </cell>
          <cell r="EG124">
            <v>30.333333333333336</v>
          </cell>
          <cell r="EH124">
            <v>30.333333333333336</v>
          </cell>
          <cell r="EI124">
            <v>25.428571428571431</v>
          </cell>
          <cell r="EJ124">
            <v>0</v>
          </cell>
          <cell r="EK124">
            <v>0</v>
          </cell>
          <cell r="EL124">
            <v>29.166666666666668</v>
          </cell>
          <cell r="EM124">
            <v>29.166666666666668</v>
          </cell>
          <cell r="EN124">
            <v>24.428571428571427</v>
          </cell>
          <cell r="EO124">
            <v>0</v>
          </cell>
          <cell r="EP124">
            <v>0</v>
          </cell>
          <cell r="EQ124">
            <v>28</v>
          </cell>
          <cell r="ER124">
            <v>28</v>
          </cell>
          <cell r="ES124">
            <v>23.428571428571427</v>
          </cell>
          <cell r="ET124">
            <v>0</v>
          </cell>
          <cell r="EU124">
            <v>0</v>
          </cell>
          <cell r="EV124">
            <v>26.833333333333332</v>
          </cell>
          <cell r="EW124">
            <v>26.833333333333332</v>
          </cell>
          <cell r="EX124">
            <v>22.428571428571427</v>
          </cell>
          <cell r="EY124">
            <v>0</v>
          </cell>
          <cell r="EZ124">
            <v>0</v>
          </cell>
          <cell r="FA124">
            <v>25.666666666666664</v>
          </cell>
          <cell r="FB124">
            <v>25.666666666666664</v>
          </cell>
          <cell r="FC124">
            <v>21.428571428571427</v>
          </cell>
          <cell r="FD124">
            <v>0</v>
          </cell>
          <cell r="FE124">
            <v>0</v>
          </cell>
          <cell r="FF124">
            <v>24.499999999999996</v>
          </cell>
          <cell r="FG124">
            <v>24.499999999999996</v>
          </cell>
          <cell r="FH124">
            <v>20.428571428571423</v>
          </cell>
          <cell r="FI124">
            <v>0</v>
          </cell>
          <cell r="FJ124">
            <v>0</v>
          </cell>
          <cell r="FK124">
            <v>23.333333333333329</v>
          </cell>
          <cell r="FL124">
            <v>23.333333333333329</v>
          </cell>
          <cell r="FM124">
            <v>19.428571428571423</v>
          </cell>
          <cell r="FN124">
            <v>0</v>
          </cell>
          <cell r="FO124">
            <v>0</v>
          </cell>
          <cell r="FP124">
            <v>22.166666666666661</v>
          </cell>
          <cell r="FQ124">
            <v>22.166666666666661</v>
          </cell>
          <cell r="FR124">
            <v>18.428571428571423</v>
          </cell>
          <cell r="FS124">
            <v>0</v>
          </cell>
          <cell r="FT124">
            <v>3</v>
          </cell>
          <cell r="FU124">
            <v>2.0333333333333332</v>
          </cell>
          <cell r="FW124" t="str">
            <v>SOBRESTOCK</v>
          </cell>
          <cell r="FX124" t="str">
            <v>C</v>
          </cell>
          <cell r="FY124" t="str">
            <v>Si</v>
          </cell>
        </row>
        <row r="125">
          <cell r="B125" t="str">
            <v>REP-0126</v>
          </cell>
          <cell r="C125" t="str">
            <v>MIX</v>
          </cell>
          <cell r="D125">
            <v>0</v>
          </cell>
          <cell r="E125">
            <v>8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6</v>
          </cell>
          <cell r="L125">
            <v>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2</v>
          </cell>
          <cell r="R125">
            <v>3</v>
          </cell>
          <cell r="S125">
            <v>1</v>
          </cell>
          <cell r="T125">
            <v>0</v>
          </cell>
          <cell r="U125">
            <v>2</v>
          </cell>
          <cell r="V125">
            <v>0</v>
          </cell>
          <cell r="W125">
            <v>0</v>
          </cell>
          <cell r="X125">
            <v>0</v>
          </cell>
          <cell r="Y125">
            <v>23</v>
          </cell>
          <cell r="AA125">
            <v>23</v>
          </cell>
          <cell r="AB125">
            <v>1</v>
          </cell>
          <cell r="AC125">
            <v>1.6666666666666667</v>
          </cell>
          <cell r="AD125">
            <v>5.5555555555555559E-2</v>
          </cell>
          <cell r="AE125">
            <v>0.91666666666666663</v>
          </cell>
          <cell r="AF125">
            <v>1.25</v>
          </cell>
          <cell r="AG125">
            <v>1</v>
          </cell>
          <cell r="AH125">
            <v>1</v>
          </cell>
          <cell r="AI125">
            <v>1.5</v>
          </cell>
          <cell r="AJ125">
            <v>1.5</v>
          </cell>
          <cell r="AK125">
            <v>1.5</v>
          </cell>
          <cell r="AL125">
            <v>0.25</v>
          </cell>
          <cell r="AM125">
            <v>1.25</v>
          </cell>
          <cell r="AN125">
            <v>0.2</v>
          </cell>
          <cell r="AO125">
            <v>0</v>
          </cell>
          <cell r="AP125">
            <v>15</v>
          </cell>
          <cell r="AQ125">
            <v>11.8</v>
          </cell>
          <cell r="AR125">
            <v>0</v>
          </cell>
          <cell r="AS125">
            <v>13.5</v>
          </cell>
          <cell r="AT125">
            <v>15</v>
          </cell>
          <cell r="AU125">
            <v>15</v>
          </cell>
          <cell r="AV125">
            <v>0</v>
          </cell>
          <cell r="AW125">
            <v>14</v>
          </cell>
          <cell r="AX125">
            <v>14</v>
          </cell>
          <cell r="AY125">
            <v>9.3333333333333339</v>
          </cell>
          <cell r="AZ125">
            <v>0</v>
          </cell>
          <cell r="BA125">
            <v>13</v>
          </cell>
          <cell r="BB125">
            <v>13</v>
          </cell>
          <cell r="BC125">
            <v>13</v>
          </cell>
          <cell r="BD125">
            <v>0</v>
          </cell>
          <cell r="BE125">
            <v>12</v>
          </cell>
          <cell r="BF125">
            <v>12</v>
          </cell>
          <cell r="BG125">
            <v>0</v>
          </cell>
          <cell r="BH125">
            <v>11</v>
          </cell>
          <cell r="BI125">
            <v>23</v>
          </cell>
          <cell r="BJ125">
            <v>15.333333333333334</v>
          </cell>
          <cell r="BK125">
            <v>0</v>
          </cell>
          <cell r="BL125">
            <v>11</v>
          </cell>
          <cell r="BM125">
            <v>9</v>
          </cell>
          <cell r="BN125">
            <v>7.7142857142857135</v>
          </cell>
          <cell r="BO125">
            <v>0</v>
          </cell>
          <cell r="BP125">
            <v>7.833333333333333</v>
          </cell>
          <cell r="BQ125">
            <v>9</v>
          </cell>
          <cell r="BR125">
            <v>6</v>
          </cell>
          <cell r="BS125">
            <v>0</v>
          </cell>
          <cell r="BT125">
            <v>8</v>
          </cell>
          <cell r="BU125">
            <v>9</v>
          </cell>
          <cell r="BV125">
            <v>9</v>
          </cell>
          <cell r="BW125">
            <v>0</v>
          </cell>
          <cell r="BX125">
            <v>0</v>
          </cell>
          <cell r="BY125">
            <v>8</v>
          </cell>
          <cell r="BZ125">
            <v>8</v>
          </cell>
          <cell r="CA125">
            <v>6</v>
          </cell>
          <cell r="CB125">
            <v>2</v>
          </cell>
          <cell r="CC125">
            <v>0</v>
          </cell>
          <cell r="CD125">
            <v>16.666666666666668</v>
          </cell>
          <cell r="CE125">
            <v>6</v>
          </cell>
          <cell r="CF125">
            <v>3.5999999999999996</v>
          </cell>
          <cell r="CG125">
            <v>8</v>
          </cell>
          <cell r="CH125">
            <v>10</v>
          </cell>
          <cell r="CI125">
            <v>23</v>
          </cell>
          <cell r="CJ125">
            <v>17</v>
          </cell>
          <cell r="CK125">
            <v>10.199999999999999</v>
          </cell>
          <cell r="CL125">
            <v>0</v>
          </cell>
          <cell r="CM125">
            <v>0</v>
          </cell>
          <cell r="CN125">
            <v>15.333333333333334</v>
          </cell>
          <cell r="CO125">
            <v>15</v>
          </cell>
          <cell r="CP125">
            <v>7.5</v>
          </cell>
          <cell r="CQ125">
            <v>0</v>
          </cell>
          <cell r="CR125">
            <v>0</v>
          </cell>
          <cell r="CS125">
            <v>13</v>
          </cell>
          <cell r="CT125">
            <v>15</v>
          </cell>
          <cell r="CU125">
            <v>12.857142857142856</v>
          </cell>
          <cell r="CV125">
            <v>0</v>
          </cell>
          <cell r="CW125">
            <v>0</v>
          </cell>
          <cell r="CX125">
            <v>13.833333333333334</v>
          </cell>
          <cell r="CY125">
            <v>16</v>
          </cell>
          <cell r="CZ125">
            <v>13.714285714285714</v>
          </cell>
          <cell r="DA125">
            <v>0</v>
          </cell>
          <cell r="DB125">
            <v>15</v>
          </cell>
          <cell r="DC125">
            <v>29.833333333333332</v>
          </cell>
          <cell r="DD125">
            <v>29</v>
          </cell>
          <cell r="DE125">
            <v>21.428571428571427</v>
          </cell>
          <cell r="DF125">
            <v>0</v>
          </cell>
          <cell r="DG125">
            <v>0</v>
          </cell>
          <cell r="DH125">
            <v>27.833333333333332</v>
          </cell>
          <cell r="DI125">
            <v>23</v>
          </cell>
          <cell r="DJ125">
            <v>12.555555555555555</v>
          </cell>
          <cell r="DK125">
            <v>0</v>
          </cell>
          <cell r="DL125">
            <v>0</v>
          </cell>
          <cell r="DM125">
            <v>26.033333333333331</v>
          </cell>
          <cell r="DN125">
            <v>23</v>
          </cell>
          <cell r="DO125">
            <v>14.666666666666666</v>
          </cell>
          <cell r="DP125">
            <v>0</v>
          </cell>
          <cell r="DQ125">
            <v>0</v>
          </cell>
          <cell r="DR125">
            <v>21.5</v>
          </cell>
          <cell r="DS125">
            <v>21.5</v>
          </cell>
          <cell r="DT125">
            <v>13.666666666666666</v>
          </cell>
          <cell r="DU125">
            <v>0</v>
          </cell>
          <cell r="DV125">
            <v>0</v>
          </cell>
          <cell r="DW125">
            <v>20</v>
          </cell>
          <cell r="DX125">
            <v>20</v>
          </cell>
          <cell r="DY125">
            <v>12.666666666666666</v>
          </cell>
          <cell r="DZ125">
            <v>0</v>
          </cell>
          <cell r="EA125">
            <v>0</v>
          </cell>
          <cell r="EB125">
            <v>18.5</v>
          </cell>
          <cell r="EC125">
            <v>18.5</v>
          </cell>
          <cell r="ED125">
            <v>11.666666666666666</v>
          </cell>
          <cell r="EE125">
            <v>0</v>
          </cell>
          <cell r="EF125">
            <v>0</v>
          </cell>
          <cell r="EG125">
            <v>17</v>
          </cell>
          <cell r="EH125">
            <v>17</v>
          </cell>
          <cell r="EI125">
            <v>10.666666666666666</v>
          </cell>
          <cell r="EJ125">
            <v>0</v>
          </cell>
          <cell r="EK125">
            <v>0</v>
          </cell>
          <cell r="EL125">
            <v>15.5</v>
          </cell>
          <cell r="EM125">
            <v>15.5</v>
          </cell>
          <cell r="EN125">
            <v>9.6666666666666679</v>
          </cell>
          <cell r="EO125">
            <v>0</v>
          </cell>
          <cell r="EP125">
            <v>0</v>
          </cell>
          <cell r="EQ125">
            <v>14</v>
          </cell>
          <cell r="ER125">
            <v>14</v>
          </cell>
          <cell r="ES125">
            <v>8.6666666666666679</v>
          </cell>
          <cell r="ET125">
            <v>0</v>
          </cell>
          <cell r="EU125">
            <v>0</v>
          </cell>
          <cell r="EV125">
            <v>12.5</v>
          </cell>
          <cell r="EW125">
            <v>12.5</v>
          </cell>
          <cell r="EX125">
            <v>7.666666666666667</v>
          </cell>
          <cell r="EY125">
            <v>0</v>
          </cell>
          <cell r="EZ125">
            <v>0</v>
          </cell>
          <cell r="FA125">
            <v>11</v>
          </cell>
          <cell r="FB125">
            <v>11</v>
          </cell>
          <cell r="FC125">
            <v>6.666666666666667</v>
          </cell>
          <cell r="FD125">
            <v>0</v>
          </cell>
          <cell r="FE125">
            <v>0</v>
          </cell>
          <cell r="FF125">
            <v>9.5</v>
          </cell>
          <cell r="FG125">
            <v>9.5</v>
          </cell>
          <cell r="FH125">
            <v>5.6666666666666661</v>
          </cell>
          <cell r="FI125">
            <v>0</v>
          </cell>
          <cell r="FJ125">
            <v>0</v>
          </cell>
          <cell r="FK125">
            <v>8</v>
          </cell>
          <cell r="FL125">
            <v>8</v>
          </cell>
          <cell r="FM125">
            <v>4.6666666666666661</v>
          </cell>
          <cell r="FN125">
            <v>0</v>
          </cell>
          <cell r="FO125">
            <v>0</v>
          </cell>
          <cell r="FP125">
            <v>6.5</v>
          </cell>
          <cell r="FQ125">
            <v>6.5</v>
          </cell>
          <cell r="FR125">
            <v>3.666666666666667</v>
          </cell>
          <cell r="FS125">
            <v>0</v>
          </cell>
          <cell r="FT125">
            <v>4</v>
          </cell>
          <cell r="FU125">
            <v>2.0333333333333332</v>
          </cell>
          <cell r="FW125" t="str">
            <v>SOBRESTOCK</v>
          </cell>
          <cell r="FX125" t="str">
            <v>B</v>
          </cell>
          <cell r="FY125" t="str">
            <v>Si</v>
          </cell>
        </row>
        <row r="126">
          <cell r="B126" t="str">
            <v>REP-0127</v>
          </cell>
          <cell r="C126" t="str">
            <v>MIX</v>
          </cell>
          <cell r="D126">
            <v>0</v>
          </cell>
          <cell r="E126">
            <v>100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100</v>
          </cell>
          <cell r="AA126">
            <v>100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96</v>
          </cell>
          <cell r="AQ126" t="str">
            <v/>
          </cell>
          <cell r="AR126">
            <v>0</v>
          </cell>
          <cell r="AS126">
            <v>96</v>
          </cell>
          <cell r="AT126">
            <v>96</v>
          </cell>
          <cell r="AU126" t="str">
            <v/>
          </cell>
          <cell r="AV126">
            <v>0</v>
          </cell>
          <cell r="AW126">
            <v>96</v>
          </cell>
          <cell r="AX126">
            <v>96</v>
          </cell>
          <cell r="AY126" t="str">
            <v/>
          </cell>
          <cell r="AZ126">
            <v>0</v>
          </cell>
          <cell r="BA126">
            <v>96</v>
          </cell>
          <cell r="BB126">
            <v>96</v>
          </cell>
          <cell r="BC126" t="str">
            <v/>
          </cell>
          <cell r="BD126">
            <v>0</v>
          </cell>
          <cell r="BE126">
            <v>96</v>
          </cell>
          <cell r="BF126" t="str">
            <v/>
          </cell>
          <cell r="BG126">
            <v>0</v>
          </cell>
          <cell r="BH126">
            <v>96</v>
          </cell>
          <cell r="BI126">
            <v>100</v>
          </cell>
          <cell r="BJ126" t="str">
            <v/>
          </cell>
          <cell r="BK126">
            <v>0</v>
          </cell>
          <cell r="BL126">
            <v>96</v>
          </cell>
          <cell r="BM126">
            <v>96</v>
          </cell>
          <cell r="BN126" t="str">
            <v/>
          </cell>
          <cell r="BO126">
            <v>0</v>
          </cell>
          <cell r="BP126">
            <v>96</v>
          </cell>
          <cell r="BQ126">
            <v>96</v>
          </cell>
          <cell r="BR126" t="str">
            <v/>
          </cell>
          <cell r="BS126">
            <v>0</v>
          </cell>
          <cell r="BT126">
            <v>96</v>
          </cell>
          <cell r="BU126">
            <v>96</v>
          </cell>
          <cell r="BV126" t="str">
            <v/>
          </cell>
          <cell r="BW126">
            <v>0</v>
          </cell>
          <cell r="BX126">
            <v>0</v>
          </cell>
          <cell r="BY126">
            <v>96</v>
          </cell>
          <cell r="BZ126">
            <v>96</v>
          </cell>
          <cell r="CA126" t="str">
            <v/>
          </cell>
          <cell r="CB126">
            <v>0</v>
          </cell>
          <cell r="CC126">
            <v>0</v>
          </cell>
          <cell r="CD126">
            <v>96</v>
          </cell>
          <cell r="CE126">
            <v>96</v>
          </cell>
          <cell r="CF126" t="str">
            <v/>
          </cell>
          <cell r="CG126">
            <v>0</v>
          </cell>
          <cell r="CH126">
            <v>0</v>
          </cell>
          <cell r="CI126">
            <v>96</v>
          </cell>
          <cell r="CJ126">
            <v>100</v>
          </cell>
          <cell r="CK126" t="str">
            <v/>
          </cell>
          <cell r="CL126">
            <v>0</v>
          </cell>
          <cell r="CM126">
            <v>0</v>
          </cell>
          <cell r="CN126">
            <v>100</v>
          </cell>
          <cell r="CO126">
            <v>100</v>
          </cell>
          <cell r="CP126" t="str">
            <v/>
          </cell>
          <cell r="CQ126">
            <v>0</v>
          </cell>
          <cell r="CR126">
            <v>0</v>
          </cell>
          <cell r="CS126">
            <v>100</v>
          </cell>
          <cell r="CT126">
            <v>100</v>
          </cell>
          <cell r="CU126" t="str">
            <v/>
          </cell>
          <cell r="CV126">
            <v>0</v>
          </cell>
          <cell r="CW126">
            <v>0</v>
          </cell>
          <cell r="CX126">
            <v>100</v>
          </cell>
          <cell r="CY126">
            <v>100</v>
          </cell>
          <cell r="CZ126" t="str">
            <v/>
          </cell>
          <cell r="DA126">
            <v>0</v>
          </cell>
          <cell r="DB126">
            <v>0</v>
          </cell>
          <cell r="DC126">
            <v>100</v>
          </cell>
          <cell r="DD126">
            <v>100</v>
          </cell>
          <cell r="DE126" t="str">
            <v/>
          </cell>
          <cell r="DF126">
            <v>0</v>
          </cell>
          <cell r="DG126">
            <v>0</v>
          </cell>
          <cell r="DH126">
            <v>100</v>
          </cell>
          <cell r="DI126">
            <v>100</v>
          </cell>
          <cell r="DJ126" t="str">
            <v/>
          </cell>
          <cell r="DK126">
            <v>0</v>
          </cell>
          <cell r="DL126">
            <v>0</v>
          </cell>
          <cell r="DM126">
            <v>100</v>
          </cell>
          <cell r="DN126">
            <v>100</v>
          </cell>
          <cell r="DO126" t="str">
            <v/>
          </cell>
          <cell r="DP126">
            <v>0</v>
          </cell>
          <cell r="DQ126">
            <v>0</v>
          </cell>
          <cell r="DR126">
            <v>100</v>
          </cell>
          <cell r="DS126">
            <v>100</v>
          </cell>
          <cell r="DT126" t="str">
            <v/>
          </cell>
          <cell r="DU126">
            <v>0</v>
          </cell>
          <cell r="DV126">
            <v>0</v>
          </cell>
          <cell r="DW126">
            <v>100</v>
          </cell>
          <cell r="DX126">
            <v>100</v>
          </cell>
          <cell r="DY126" t="str">
            <v/>
          </cell>
          <cell r="DZ126">
            <v>0</v>
          </cell>
          <cell r="EA126">
            <v>0</v>
          </cell>
          <cell r="EB126">
            <v>100</v>
          </cell>
          <cell r="EC126">
            <v>100</v>
          </cell>
          <cell r="ED126" t="str">
            <v/>
          </cell>
          <cell r="EE126">
            <v>0</v>
          </cell>
          <cell r="EF126">
            <v>0</v>
          </cell>
          <cell r="EG126">
            <v>100</v>
          </cell>
          <cell r="EH126">
            <v>100</v>
          </cell>
          <cell r="EI126" t="str">
            <v/>
          </cell>
          <cell r="EJ126">
            <v>0</v>
          </cell>
          <cell r="EK126">
            <v>0</v>
          </cell>
          <cell r="EL126">
            <v>100</v>
          </cell>
          <cell r="EM126">
            <v>100</v>
          </cell>
          <cell r="EN126" t="str">
            <v/>
          </cell>
          <cell r="EO126">
            <v>0</v>
          </cell>
          <cell r="EP126">
            <v>0</v>
          </cell>
          <cell r="EQ126">
            <v>100</v>
          </cell>
          <cell r="ER126">
            <v>100</v>
          </cell>
          <cell r="ES126" t="str">
            <v/>
          </cell>
          <cell r="ET126">
            <v>0</v>
          </cell>
          <cell r="EU126">
            <v>0</v>
          </cell>
          <cell r="EV126">
            <v>100</v>
          </cell>
          <cell r="EW126">
            <v>100</v>
          </cell>
          <cell r="EX126" t="str">
            <v/>
          </cell>
          <cell r="EY126">
            <v>0</v>
          </cell>
          <cell r="EZ126">
            <v>0</v>
          </cell>
          <cell r="FA126">
            <v>100</v>
          </cell>
          <cell r="FB126">
            <v>100</v>
          </cell>
          <cell r="FC126" t="str">
            <v/>
          </cell>
          <cell r="FD126">
            <v>0</v>
          </cell>
          <cell r="FE126">
            <v>0</v>
          </cell>
          <cell r="FF126">
            <v>100</v>
          </cell>
          <cell r="FG126">
            <v>100</v>
          </cell>
          <cell r="FH126" t="str">
            <v/>
          </cell>
          <cell r="FI126">
            <v>0</v>
          </cell>
          <cell r="FJ126">
            <v>0</v>
          </cell>
          <cell r="FK126">
            <v>100</v>
          </cell>
          <cell r="FL126">
            <v>100</v>
          </cell>
          <cell r="FM126" t="str">
            <v/>
          </cell>
          <cell r="FN126">
            <v>0</v>
          </cell>
          <cell r="FO126">
            <v>0</v>
          </cell>
          <cell r="FP126">
            <v>100</v>
          </cell>
          <cell r="FQ126">
            <v>100</v>
          </cell>
          <cell r="FR126" t="str">
            <v/>
          </cell>
          <cell r="FS126">
            <v>0</v>
          </cell>
          <cell r="FT126">
            <v>0</v>
          </cell>
          <cell r="FU126">
            <v>2.0333333333333332</v>
          </cell>
          <cell r="FV126" t="str">
            <v>SI</v>
          </cell>
          <cell r="FW126" t="str">
            <v>SIN ROTACIÓN</v>
          </cell>
          <cell r="FX126" t="str">
            <v>STOCK MUERTO</v>
          </cell>
          <cell r="FY126" t="str">
            <v>Si</v>
          </cell>
        </row>
        <row r="127">
          <cell r="B127" t="str">
            <v>REP-0128</v>
          </cell>
          <cell r="C127" t="str">
            <v>MIX</v>
          </cell>
          <cell r="D127">
            <v>0</v>
          </cell>
          <cell r="E127">
            <v>5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9</v>
          </cell>
          <cell r="L127">
            <v>8</v>
          </cell>
          <cell r="M127">
            <v>2</v>
          </cell>
          <cell r="N127">
            <v>1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25</v>
          </cell>
          <cell r="AA127">
            <v>25</v>
          </cell>
          <cell r="AB127">
            <v>1</v>
          </cell>
          <cell r="AC127">
            <v>0</v>
          </cell>
          <cell r="AD127">
            <v>0</v>
          </cell>
          <cell r="AE127">
            <v>8.3333333333333329E-2</v>
          </cell>
          <cell r="AF127">
            <v>0</v>
          </cell>
          <cell r="AG127">
            <v>8.3333333333333329E-2</v>
          </cell>
          <cell r="AH127">
            <v>8.3333333333333329E-2</v>
          </cell>
          <cell r="AI127">
            <v>0.16666666666666666</v>
          </cell>
          <cell r="AJ127">
            <v>0.16666666666666666</v>
          </cell>
          <cell r="AK127">
            <v>0.16666666666666666</v>
          </cell>
          <cell r="AL127">
            <v>4.8112522432468822E-2</v>
          </cell>
          <cell r="AM127">
            <v>0.125</v>
          </cell>
          <cell r="AN127">
            <v>0.38490017945975058</v>
          </cell>
          <cell r="AO127">
            <v>0</v>
          </cell>
          <cell r="AP127">
            <v>11.833333333333334</v>
          </cell>
          <cell r="AQ127">
            <v>71.000000000000014</v>
          </cell>
          <cell r="AR127">
            <v>0</v>
          </cell>
          <cell r="AS127">
            <v>11.666666666666668</v>
          </cell>
          <cell r="AT127">
            <v>12</v>
          </cell>
          <cell r="AU127">
            <v>72</v>
          </cell>
          <cell r="AV127">
            <v>0</v>
          </cell>
          <cell r="AW127">
            <v>11.833333333333334</v>
          </cell>
          <cell r="AX127">
            <v>12</v>
          </cell>
          <cell r="AY127">
            <v>72</v>
          </cell>
          <cell r="AZ127">
            <v>0</v>
          </cell>
          <cell r="BA127">
            <v>16.833333333333332</v>
          </cell>
          <cell r="BB127">
            <v>12</v>
          </cell>
          <cell r="BC127">
            <v>18</v>
          </cell>
          <cell r="BD127">
            <v>0</v>
          </cell>
          <cell r="BE127">
            <v>11.333333333333334</v>
          </cell>
          <cell r="BF127">
            <v>17.000000000000004</v>
          </cell>
          <cell r="BG127">
            <v>5</v>
          </cell>
          <cell r="BH127">
            <v>15.66666666666667</v>
          </cell>
          <cell r="BI127">
            <v>25</v>
          </cell>
          <cell r="BJ127">
            <v>150</v>
          </cell>
          <cell r="BK127">
            <v>0</v>
          </cell>
          <cell r="BL127">
            <v>25.833333333333332</v>
          </cell>
          <cell r="BM127">
            <v>26</v>
          </cell>
          <cell r="BN127">
            <v>156</v>
          </cell>
          <cell r="BO127">
            <v>0</v>
          </cell>
          <cell r="BP127">
            <v>25.833333333333332</v>
          </cell>
          <cell r="BQ127">
            <v>26</v>
          </cell>
          <cell r="BR127">
            <v>156</v>
          </cell>
          <cell r="BS127">
            <v>0</v>
          </cell>
          <cell r="BT127">
            <v>25.833333333333332</v>
          </cell>
          <cell r="BU127">
            <v>26</v>
          </cell>
          <cell r="BV127">
            <v>156</v>
          </cell>
          <cell r="BW127">
            <v>0</v>
          </cell>
          <cell r="BX127">
            <v>0</v>
          </cell>
          <cell r="BY127">
            <v>25.833333333333332</v>
          </cell>
          <cell r="BZ127">
            <v>26</v>
          </cell>
          <cell r="CA127">
            <v>156</v>
          </cell>
          <cell r="CB127">
            <v>0</v>
          </cell>
          <cell r="CC127">
            <v>0</v>
          </cell>
          <cell r="CD127">
            <v>25.833333333333332</v>
          </cell>
          <cell r="CE127">
            <v>26</v>
          </cell>
          <cell r="CF127">
            <v>156</v>
          </cell>
          <cell r="CG127">
            <v>0</v>
          </cell>
          <cell r="CH127">
            <v>0</v>
          </cell>
          <cell r="CI127">
            <v>25.666666666666664</v>
          </cell>
          <cell r="CJ127">
            <v>26</v>
          </cell>
          <cell r="CK127">
            <v>312</v>
          </cell>
          <cell r="CL127">
            <v>0</v>
          </cell>
          <cell r="CM127">
            <v>0</v>
          </cell>
          <cell r="CN127">
            <v>25.916666666666668</v>
          </cell>
          <cell r="CO127">
            <v>26</v>
          </cell>
          <cell r="CP127">
            <v>312</v>
          </cell>
          <cell r="CQ127">
            <v>0</v>
          </cell>
          <cell r="CR127">
            <v>0</v>
          </cell>
          <cell r="CS127">
            <v>25.916666666666668</v>
          </cell>
          <cell r="CT127">
            <v>26</v>
          </cell>
          <cell r="CU127">
            <v>312</v>
          </cell>
          <cell r="CV127">
            <v>0</v>
          </cell>
          <cell r="CW127">
            <v>0</v>
          </cell>
          <cell r="CX127">
            <v>25.916666666666668</v>
          </cell>
          <cell r="CY127">
            <v>25</v>
          </cell>
          <cell r="CZ127">
            <v>75</v>
          </cell>
          <cell r="DA127">
            <v>0</v>
          </cell>
          <cell r="DB127">
            <v>0</v>
          </cell>
          <cell r="DC127">
            <v>24.75</v>
          </cell>
          <cell r="DD127">
            <v>26</v>
          </cell>
          <cell r="DE127">
            <v>100</v>
          </cell>
          <cell r="DF127">
            <v>0</v>
          </cell>
          <cell r="DG127">
            <v>0</v>
          </cell>
          <cell r="DH127">
            <v>25.75</v>
          </cell>
          <cell r="DI127">
            <v>26</v>
          </cell>
          <cell r="DJ127">
            <v>127</v>
          </cell>
          <cell r="DK127">
            <v>0</v>
          </cell>
          <cell r="DL127">
            <v>0</v>
          </cell>
          <cell r="DM127">
            <v>25.55</v>
          </cell>
          <cell r="DN127">
            <v>25</v>
          </cell>
          <cell r="DO127">
            <v>146</v>
          </cell>
          <cell r="DP127">
            <v>0</v>
          </cell>
          <cell r="DQ127">
            <v>0</v>
          </cell>
          <cell r="DR127">
            <v>24.833333333333332</v>
          </cell>
          <cell r="DS127">
            <v>24.833333333333332</v>
          </cell>
          <cell r="DT127">
            <v>145</v>
          </cell>
          <cell r="DU127">
            <v>0</v>
          </cell>
          <cell r="DV127">
            <v>0</v>
          </cell>
          <cell r="DW127">
            <v>24.666666666666664</v>
          </cell>
          <cell r="DX127">
            <v>24.666666666666664</v>
          </cell>
          <cell r="DY127">
            <v>144</v>
          </cell>
          <cell r="DZ127">
            <v>0</v>
          </cell>
          <cell r="EA127">
            <v>0</v>
          </cell>
          <cell r="EB127">
            <v>24.499999999999996</v>
          </cell>
          <cell r="EC127">
            <v>24.499999999999996</v>
          </cell>
          <cell r="ED127">
            <v>143</v>
          </cell>
          <cell r="EE127">
            <v>0</v>
          </cell>
          <cell r="EF127">
            <v>0</v>
          </cell>
          <cell r="EG127">
            <v>24.333333333333329</v>
          </cell>
          <cell r="EH127">
            <v>24.333333333333329</v>
          </cell>
          <cell r="EI127">
            <v>141.99999999999997</v>
          </cell>
          <cell r="EJ127">
            <v>0</v>
          </cell>
          <cell r="EK127">
            <v>0</v>
          </cell>
          <cell r="EL127">
            <v>24.166666666666661</v>
          </cell>
          <cell r="EM127">
            <v>24.166666666666661</v>
          </cell>
          <cell r="EN127">
            <v>140.99999999999997</v>
          </cell>
          <cell r="EO127">
            <v>0</v>
          </cell>
          <cell r="EP127">
            <v>0</v>
          </cell>
          <cell r="EQ127">
            <v>23.999999999999993</v>
          </cell>
          <cell r="ER127">
            <v>23.999999999999993</v>
          </cell>
          <cell r="ES127">
            <v>139.99999999999997</v>
          </cell>
          <cell r="ET127">
            <v>0</v>
          </cell>
          <cell r="EU127">
            <v>0</v>
          </cell>
          <cell r="EV127">
            <v>23.833333333333325</v>
          </cell>
          <cell r="EW127">
            <v>23.833333333333325</v>
          </cell>
          <cell r="EX127">
            <v>138.99999999999997</v>
          </cell>
          <cell r="EY127">
            <v>0</v>
          </cell>
          <cell r="EZ127">
            <v>0</v>
          </cell>
          <cell r="FA127">
            <v>23.666666666666657</v>
          </cell>
          <cell r="FB127">
            <v>23.666666666666657</v>
          </cell>
          <cell r="FC127">
            <v>137.99999999999994</v>
          </cell>
          <cell r="FD127">
            <v>0</v>
          </cell>
          <cell r="FE127">
            <v>0</v>
          </cell>
          <cell r="FF127">
            <v>23.499999999999989</v>
          </cell>
          <cell r="FG127">
            <v>23.499999999999989</v>
          </cell>
          <cell r="FH127">
            <v>136.99999999999994</v>
          </cell>
          <cell r="FI127">
            <v>0</v>
          </cell>
          <cell r="FJ127">
            <v>0</v>
          </cell>
          <cell r="FK127">
            <v>23.333333333333321</v>
          </cell>
          <cell r="FL127">
            <v>23.333333333333321</v>
          </cell>
          <cell r="FM127">
            <v>135.99999999999994</v>
          </cell>
          <cell r="FN127">
            <v>0</v>
          </cell>
          <cell r="FO127">
            <v>0</v>
          </cell>
          <cell r="FP127">
            <v>23.166666666666654</v>
          </cell>
          <cell r="FQ127">
            <v>23.166666666666654</v>
          </cell>
          <cell r="FR127">
            <v>134.99999999999994</v>
          </cell>
          <cell r="FS127">
            <v>0</v>
          </cell>
          <cell r="FT127">
            <v>1</v>
          </cell>
          <cell r="FU127">
            <v>2.0333333333333332</v>
          </cell>
          <cell r="FW127" t="str">
            <v>SOBRESTOCK</v>
          </cell>
          <cell r="FX127" t="str">
            <v>C</v>
          </cell>
          <cell r="FY127" t="str">
            <v>Si</v>
          </cell>
        </row>
        <row r="128">
          <cell r="B128" t="str">
            <v>REP-0129</v>
          </cell>
          <cell r="C128" t="str">
            <v>MIX</v>
          </cell>
          <cell r="D128">
            <v>0</v>
          </cell>
          <cell r="E128">
            <v>7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7</v>
          </cell>
          <cell r="AA128">
            <v>7</v>
          </cell>
          <cell r="AB128">
            <v>4</v>
          </cell>
          <cell r="AC128">
            <v>0</v>
          </cell>
          <cell r="AD128">
            <v>0</v>
          </cell>
          <cell r="AE128">
            <v>0.25</v>
          </cell>
          <cell r="AF128">
            <v>8.3333333333333329E-2</v>
          </cell>
          <cell r="AG128">
            <v>8.3333333333333329E-2</v>
          </cell>
          <cell r="AH128">
            <v>0</v>
          </cell>
          <cell r="AI128">
            <v>0.16666666666666666</v>
          </cell>
          <cell r="AJ128">
            <v>0.16666666666666666</v>
          </cell>
          <cell r="AK128">
            <v>0.16666666666666666</v>
          </cell>
          <cell r="AL128">
            <v>7.9785592313028189E-2</v>
          </cell>
          <cell r="AM128">
            <v>0.10416666666666666</v>
          </cell>
          <cell r="AN128">
            <v>0.76594168620507064</v>
          </cell>
          <cell r="AO128">
            <v>0</v>
          </cell>
          <cell r="AP128">
            <v>6.916666666666667</v>
          </cell>
          <cell r="AQ128">
            <v>41</v>
          </cell>
          <cell r="AR128">
            <v>0</v>
          </cell>
          <cell r="AS128">
            <v>6.8333333333333339</v>
          </cell>
          <cell r="AT128">
            <v>7</v>
          </cell>
          <cell r="AU128">
            <v>84</v>
          </cell>
          <cell r="AV128">
            <v>0</v>
          </cell>
          <cell r="AW128">
            <v>6.916666666666667</v>
          </cell>
          <cell r="AX128">
            <v>7</v>
          </cell>
          <cell r="AY128">
            <v>42</v>
          </cell>
          <cell r="AZ128">
            <v>0</v>
          </cell>
          <cell r="BA128">
            <v>6.916666666666667</v>
          </cell>
          <cell r="BB128">
            <v>7</v>
          </cell>
          <cell r="BC128">
            <v>84</v>
          </cell>
          <cell r="BD128">
            <v>0</v>
          </cell>
          <cell r="BE128">
            <v>6.916666666666667</v>
          </cell>
          <cell r="BF128">
            <v>83.000000000000014</v>
          </cell>
          <cell r="BG128">
            <v>0</v>
          </cell>
          <cell r="BH128">
            <v>6.8333333333333339</v>
          </cell>
          <cell r="BI128">
            <v>7</v>
          </cell>
          <cell r="BJ128">
            <v>42</v>
          </cell>
          <cell r="BK128">
            <v>0</v>
          </cell>
          <cell r="BL128">
            <v>6.916666666666667</v>
          </cell>
          <cell r="BM128">
            <v>7</v>
          </cell>
          <cell r="BN128">
            <v>84</v>
          </cell>
          <cell r="BO128">
            <v>0</v>
          </cell>
          <cell r="BP128">
            <v>6.916666666666667</v>
          </cell>
          <cell r="BQ128">
            <v>7</v>
          </cell>
          <cell r="BR128">
            <v>42</v>
          </cell>
          <cell r="BS128">
            <v>0</v>
          </cell>
          <cell r="BT128">
            <v>6.916666666666667</v>
          </cell>
          <cell r="BU128">
            <v>7</v>
          </cell>
          <cell r="BV128">
            <v>84</v>
          </cell>
          <cell r="BW128">
            <v>0</v>
          </cell>
          <cell r="BX128">
            <v>0</v>
          </cell>
          <cell r="BY128">
            <v>6.916666666666667</v>
          </cell>
          <cell r="BZ128">
            <v>7</v>
          </cell>
          <cell r="CA128">
            <v>84</v>
          </cell>
          <cell r="CB128">
            <v>0</v>
          </cell>
          <cell r="CC128">
            <v>0</v>
          </cell>
          <cell r="CD128">
            <v>6.916666666666667</v>
          </cell>
          <cell r="CE128">
            <v>7</v>
          </cell>
          <cell r="CF128">
            <v>84</v>
          </cell>
          <cell r="CG128">
            <v>0</v>
          </cell>
          <cell r="CH128">
            <v>0</v>
          </cell>
          <cell r="CI128">
            <v>6.8333333333333339</v>
          </cell>
          <cell r="CJ128">
            <v>7</v>
          </cell>
          <cell r="CK128">
            <v>84</v>
          </cell>
          <cell r="CL128">
            <v>0</v>
          </cell>
          <cell r="CM128">
            <v>0</v>
          </cell>
          <cell r="CN128">
            <v>6.916666666666667</v>
          </cell>
          <cell r="CO128">
            <v>7</v>
          </cell>
          <cell r="CP128">
            <v>84</v>
          </cell>
          <cell r="CQ128">
            <v>0</v>
          </cell>
          <cell r="CR128">
            <v>0</v>
          </cell>
          <cell r="CS128">
            <v>6.916666666666667</v>
          </cell>
          <cell r="CT128">
            <v>6</v>
          </cell>
          <cell r="CU128">
            <v>12</v>
          </cell>
          <cell r="CV128">
            <v>0</v>
          </cell>
          <cell r="CW128">
            <v>0</v>
          </cell>
          <cell r="CX128">
            <v>5.5</v>
          </cell>
          <cell r="CY128">
            <v>6</v>
          </cell>
          <cell r="CZ128">
            <v>18</v>
          </cell>
          <cell r="DA128">
            <v>0</v>
          </cell>
          <cell r="DB128">
            <v>0</v>
          </cell>
          <cell r="DC128">
            <v>5.75</v>
          </cell>
          <cell r="DD128">
            <v>7</v>
          </cell>
          <cell r="DE128">
            <v>24</v>
          </cell>
          <cell r="DF128">
            <v>0</v>
          </cell>
          <cell r="DG128">
            <v>0</v>
          </cell>
          <cell r="DH128">
            <v>6.75</v>
          </cell>
          <cell r="DI128">
            <v>7</v>
          </cell>
          <cell r="DJ128">
            <v>32</v>
          </cell>
          <cell r="DK128">
            <v>0</v>
          </cell>
          <cell r="DL128">
            <v>0</v>
          </cell>
          <cell r="DM128">
            <v>6.55</v>
          </cell>
          <cell r="DN128">
            <v>7</v>
          </cell>
          <cell r="DO128">
            <v>38</v>
          </cell>
          <cell r="DP128">
            <v>0</v>
          </cell>
          <cell r="DQ128">
            <v>0</v>
          </cell>
          <cell r="DR128">
            <v>6.833333333333333</v>
          </cell>
          <cell r="DS128">
            <v>6.833333333333333</v>
          </cell>
          <cell r="DT128">
            <v>37</v>
          </cell>
          <cell r="DU128">
            <v>0</v>
          </cell>
          <cell r="DV128">
            <v>0</v>
          </cell>
          <cell r="DW128">
            <v>6.6666666666666661</v>
          </cell>
          <cell r="DX128">
            <v>6.6666666666666661</v>
          </cell>
          <cell r="DY128">
            <v>36</v>
          </cell>
          <cell r="DZ128">
            <v>0</v>
          </cell>
          <cell r="EA128">
            <v>0</v>
          </cell>
          <cell r="EB128">
            <v>6.4999999999999991</v>
          </cell>
          <cell r="EC128">
            <v>6.4999999999999991</v>
          </cell>
          <cell r="ED128">
            <v>35</v>
          </cell>
          <cell r="EE128">
            <v>0</v>
          </cell>
          <cell r="EF128">
            <v>0</v>
          </cell>
          <cell r="EG128">
            <v>6.3333333333333321</v>
          </cell>
          <cell r="EH128">
            <v>6.3333333333333321</v>
          </cell>
          <cell r="EI128">
            <v>33.999999999999993</v>
          </cell>
          <cell r="EJ128">
            <v>0</v>
          </cell>
          <cell r="EK128">
            <v>0</v>
          </cell>
          <cell r="EL128">
            <v>6.1666666666666652</v>
          </cell>
          <cell r="EM128">
            <v>6.1666666666666652</v>
          </cell>
          <cell r="EN128">
            <v>32.999999999999993</v>
          </cell>
          <cell r="EO128">
            <v>0</v>
          </cell>
          <cell r="EP128">
            <v>0</v>
          </cell>
          <cell r="EQ128">
            <v>5.9999999999999982</v>
          </cell>
          <cell r="ER128">
            <v>5.9999999999999982</v>
          </cell>
          <cell r="ES128">
            <v>31.999999999999989</v>
          </cell>
          <cell r="ET128">
            <v>0</v>
          </cell>
          <cell r="EU128">
            <v>0</v>
          </cell>
          <cell r="EV128">
            <v>5.8333333333333313</v>
          </cell>
          <cell r="EW128">
            <v>5.8333333333333313</v>
          </cell>
          <cell r="EX128">
            <v>30.999999999999989</v>
          </cell>
          <cell r="EY128">
            <v>0</v>
          </cell>
          <cell r="EZ128">
            <v>0</v>
          </cell>
          <cell r="FA128">
            <v>5.6666666666666643</v>
          </cell>
          <cell r="FB128">
            <v>5.6666666666666643</v>
          </cell>
          <cell r="FC128">
            <v>29.999999999999986</v>
          </cell>
          <cell r="FD128">
            <v>0</v>
          </cell>
          <cell r="FE128">
            <v>0</v>
          </cell>
          <cell r="FF128">
            <v>5.4999999999999973</v>
          </cell>
          <cell r="FG128">
            <v>5.4999999999999973</v>
          </cell>
          <cell r="FH128">
            <v>28.999999999999986</v>
          </cell>
          <cell r="FI128">
            <v>0</v>
          </cell>
          <cell r="FJ128">
            <v>0</v>
          </cell>
          <cell r="FK128">
            <v>5.3333333333333304</v>
          </cell>
          <cell r="FL128">
            <v>5.3333333333333304</v>
          </cell>
          <cell r="FM128">
            <v>27.999999999999982</v>
          </cell>
          <cell r="FN128">
            <v>0</v>
          </cell>
          <cell r="FO128">
            <v>0</v>
          </cell>
          <cell r="FP128">
            <v>5.1666666666666634</v>
          </cell>
          <cell r="FQ128">
            <v>5.1666666666666634</v>
          </cell>
          <cell r="FR128">
            <v>26.999999999999982</v>
          </cell>
          <cell r="FS128">
            <v>0</v>
          </cell>
          <cell r="FT128">
            <v>1</v>
          </cell>
          <cell r="FU128">
            <v>2.0333333333333332</v>
          </cell>
          <cell r="FW128" t="str">
            <v>SOBRESTOCK</v>
          </cell>
          <cell r="FX128" t="str">
            <v>C</v>
          </cell>
          <cell r="FY128" t="str">
            <v>Si</v>
          </cell>
        </row>
        <row r="129">
          <cell r="B129" t="str">
            <v>REP-0130</v>
          </cell>
          <cell r="C129" t="str">
            <v>MIX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AA129">
            <v>0</v>
          </cell>
          <cell r="AB129">
            <v>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M129">
            <v>0</v>
          </cell>
          <cell r="AO129">
            <v>0</v>
          </cell>
          <cell r="AP129">
            <v>0</v>
          </cell>
          <cell r="AQ129" t="str">
            <v/>
          </cell>
          <cell r="AR129">
            <v>0</v>
          </cell>
          <cell r="AS129">
            <v>0</v>
          </cell>
          <cell r="AT129">
            <v>0</v>
          </cell>
          <cell r="AU129" t="str">
            <v/>
          </cell>
          <cell r="AV129">
            <v>0</v>
          </cell>
          <cell r="AW129">
            <v>0</v>
          </cell>
          <cell r="AX129">
            <v>0</v>
          </cell>
          <cell r="AY129" t="str">
            <v/>
          </cell>
          <cell r="AZ129">
            <v>0</v>
          </cell>
          <cell r="BA129">
            <v>0</v>
          </cell>
          <cell r="BB129">
            <v>0</v>
          </cell>
          <cell r="BC129" t="str">
            <v/>
          </cell>
          <cell r="BD129">
            <v>0</v>
          </cell>
          <cell r="BE129">
            <v>0</v>
          </cell>
          <cell r="BF129" t="str">
            <v/>
          </cell>
          <cell r="BG129">
            <v>0</v>
          </cell>
          <cell r="BH129">
            <v>0</v>
          </cell>
          <cell r="BI129">
            <v>0</v>
          </cell>
          <cell r="BJ129" t="str">
            <v/>
          </cell>
          <cell r="BK129">
            <v>0</v>
          </cell>
          <cell r="BL129">
            <v>0</v>
          </cell>
          <cell r="BM129">
            <v>0</v>
          </cell>
          <cell r="BN129" t="str">
            <v/>
          </cell>
          <cell r="BO129">
            <v>0</v>
          </cell>
          <cell r="BP129">
            <v>0</v>
          </cell>
          <cell r="BQ129">
            <v>0</v>
          </cell>
          <cell r="BR129" t="str">
            <v/>
          </cell>
          <cell r="BS129">
            <v>0</v>
          </cell>
          <cell r="BT129">
            <v>0</v>
          </cell>
          <cell r="BU129">
            <v>0</v>
          </cell>
          <cell r="BV129" t="str">
            <v/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 t="str">
            <v/>
          </cell>
          <cell r="CB129">
            <v>0</v>
          </cell>
          <cell r="CD129">
            <v>0</v>
          </cell>
          <cell r="CE129">
            <v>0</v>
          </cell>
          <cell r="CF129" t="str">
            <v/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 t="str">
            <v/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 t="str">
            <v/>
          </cell>
          <cell r="CQ129">
            <v>0</v>
          </cell>
          <cell r="CS129">
            <v>0</v>
          </cell>
          <cell r="CT129">
            <v>0</v>
          </cell>
          <cell r="CU129" t="str">
            <v/>
          </cell>
          <cell r="CV129">
            <v>0</v>
          </cell>
          <cell r="CX129">
            <v>0</v>
          </cell>
          <cell r="CY129">
            <v>0</v>
          </cell>
          <cell r="CZ129" t="str">
            <v/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 t="str">
            <v/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 t="str">
            <v/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 t="str">
            <v/>
          </cell>
          <cell r="DP129">
            <v>0</v>
          </cell>
          <cell r="DR129">
            <v>0</v>
          </cell>
          <cell r="DS129">
            <v>0</v>
          </cell>
          <cell r="DT129" t="str">
            <v/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 t="str">
            <v/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 t="str">
            <v/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 t="str">
            <v/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 t="str">
            <v/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 t="str">
            <v/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 t="str">
            <v/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 t="str">
            <v/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 t="str">
            <v/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 t="str">
            <v/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 t="str">
            <v/>
          </cell>
          <cell r="FS129">
            <v>0</v>
          </cell>
          <cell r="FT129">
            <v>0</v>
          </cell>
          <cell r="FU129">
            <v>66.666666666666671</v>
          </cell>
          <cell r="FW129" t="str">
            <v>SIN ROTACIÓN</v>
          </cell>
          <cell r="FX129" t="str">
            <v/>
          </cell>
          <cell r="FY129" t="str">
            <v>No</v>
          </cell>
        </row>
        <row r="130">
          <cell r="B130" t="str">
            <v>REP-0131</v>
          </cell>
          <cell r="C130" t="str">
            <v>NO VIGENTE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AA130">
            <v>0</v>
          </cell>
          <cell r="AB130">
            <v>1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O130">
            <v>0</v>
          </cell>
          <cell r="AP130">
            <v>0</v>
          </cell>
          <cell r="AQ130" t="str">
            <v/>
          </cell>
          <cell r="AR130">
            <v>0</v>
          </cell>
          <cell r="AS130">
            <v>0</v>
          </cell>
          <cell r="AT130">
            <v>0</v>
          </cell>
          <cell r="AU130" t="str">
            <v/>
          </cell>
          <cell r="AV130">
            <v>0</v>
          </cell>
          <cell r="AW130">
            <v>0</v>
          </cell>
          <cell r="AX130">
            <v>0</v>
          </cell>
          <cell r="AY130" t="str">
            <v/>
          </cell>
          <cell r="AZ130">
            <v>0</v>
          </cell>
          <cell r="BA130">
            <v>0</v>
          </cell>
          <cell r="BB130">
            <v>0</v>
          </cell>
          <cell r="BC130" t="str">
            <v/>
          </cell>
          <cell r="BD130">
            <v>0</v>
          </cell>
          <cell r="BE130">
            <v>0</v>
          </cell>
          <cell r="BF130" t="str">
            <v/>
          </cell>
          <cell r="BG130">
            <v>0</v>
          </cell>
          <cell r="BH130">
            <v>0</v>
          </cell>
          <cell r="BI130">
            <v>0</v>
          </cell>
          <cell r="BJ130" t="str">
            <v/>
          </cell>
          <cell r="BK130">
            <v>0</v>
          </cell>
          <cell r="BL130">
            <v>0</v>
          </cell>
          <cell r="BM130">
            <v>0</v>
          </cell>
          <cell r="BN130" t="str">
            <v/>
          </cell>
          <cell r="BO130">
            <v>0</v>
          </cell>
          <cell r="BP130">
            <v>0</v>
          </cell>
          <cell r="BQ130">
            <v>0</v>
          </cell>
          <cell r="BR130" t="str">
            <v/>
          </cell>
          <cell r="BS130">
            <v>0</v>
          </cell>
          <cell r="BT130">
            <v>0</v>
          </cell>
          <cell r="BU130">
            <v>0</v>
          </cell>
          <cell r="BV130" t="str">
            <v/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 t="str">
            <v/>
          </cell>
          <cell r="CB130">
            <v>0</v>
          </cell>
          <cell r="CD130">
            <v>0</v>
          </cell>
          <cell r="CE130">
            <v>0</v>
          </cell>
          <cell r="CF130" t="str">
            <v/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 t="str">
            <v/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 t="str">
            <v/>
          </cell>
          <cell r="CQ130">
            <v>0</v>
          </cell>
          <cell r="CS130">
            <v>0</v>
          </cell>
          <cell r="CT130">
            <v>0</v>
          </cell>
          <cell r="CU130" t="str">
            <v/>
          </cell>
          <cell r="CV130">
            <v>0</v>
          </cell>
          <cell r="CX130">
            <v>0</v>
          </cell>
          <cell r="CY130">
            <v>0</v>
          </cell>
          <cell r="CZ130" t="str">
            <v/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 t="str">
            <v/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 t="str">
            <v/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 t="str">
            <v/>
          </cell>
          <cell r="DP130">
            <v>0</v>
          </cell>
          <cell r="DR130">
            <v>0</v>
          </cell>
          <cell r="DS130">
            <v>0</v>
          </cell>
          <cell r="DT130" t="str">
            <v/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 t="str">
            <v/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 t="str">
            <v/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 t="str">
            <v/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 t="str">
            <v/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 t="str">
            <v/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 t="str">
            <v/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 t="str">
            <v/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 t="str">
            <v/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 t="str">
            <v/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 t="str">
            <v/>
          </cell>
          <cell r="FS130">
            <v>0</v>
          </cell>
          <cell r="FT130">
            <v>0</v>
          </cell>
          <cell r="FU130">
            <v>66.666666666666671</v>
          </cell>
          <cell r="FW130" t="str">
            <v>SIN ROTACIÓN</v>
          </cell>
          <cell r="FX130">
            <v>0</v>
          </cell>
          <cell r="FY130" t="str">
            <v>No</v>
          </cell>
        </row>
        <row r="131">
          <cell r="B131" t="str">
            <v>REP-0132</v>
          </cell>
          <cell r="C131" t="str">
            <v>MIX</v>
          </cell>
          <cell r="D131">
            <v>0</v>
          </cell>
          <cell r="E131">
            <v>9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9</v>
          </cell>
          <cell r="AA131">
            <v>9</v>
          </cell>
          <cell r="AB131">
            <v>1</v>
          </cell>
          <cell r="AC131">
            <v>0.16666666666666666</v>
          </cell>
          <cell r="AD131">
            <v>5.5555555555555549E-3</v>
          </cell>
          <cell r="AE131">
            <v>0.16666666666666666</v>
          </cell>
          <cell r="AF131">
            <v>0</v>
          </cell>
          <cell r="AG131">
            <v>0</v>
          </cell>
          <cell r="AH131">
            <v>0.16666666666666666</v>
          </cell>
          <cell r="AI131">
            <v>0.33333333333333331</v>
          </cell>
          <cell r="AJ131">
            <v>0.33333333333333331</v>
          </cell>
          <cell r="AK131">
            <v>0.33333333333333331</v>
          </cell>
          <cell r="AL131">
            <v>0.15957118462605638</v>
          </cell>
          <cell r="AM131">
            <v>0.20833333333333331</v>
          </cell>
          <cell r="AN131">
            <v>0.76594168620507064</v>
          </cell>
          <cell r="AO131">
            <v>0</v>
          </cell>
          <cell r="AP131">
            <v>10.833333333333334</v>
          </cell>
          <cell r="AQ131" t="str">
            <v/>
          </cell>
          <cell r="AR131">
            <v>0</v>
          </cell>
          <cell r="AS131">
            <v>11</v>
          </cell>
          <cell r="AT131">
            <v>11</v>
          </cell>
          <cell r="AU131" t="str">
            <v/>
          </cell>
          <cell r="AV131">
            <v>0</v>
          </cell>
          <cell r="AW131">
            <v>11</v>
          </cell>
          <cell r="AX131">
            <v>11</v>
          </cell>
          <cell r="AY131">
            <v>33</v>
          </cell>
          <cell r="AZ131">
            <v>0</v>
          </cell>
          <cell r="BA131">
            <v>11</v>
          </cell>
          <cell r="BB131">
            <v>11</v>
          </cell>
          <cell r="BC131" t="str">
            <v/>
          </cell>
          <cell r="BD131">
            <v>0</v>
          </cell>
          <cell r="BE131">
            <v>11</v>
          </cell>
          <cell r="BF131" t="str">
            <v/>
          </cell>
          <cell r="BG131">
            <v>0</v>
          </cell>
          <cell r="BH131">
            <v>11</v>
          </cell>
          <cell r="BI131">
            <v>9</v>
          </cell>
          <cell r="BJ131">
            <v>27</v>
          </cell>
          <cell r="BK131">
            <v>0</v>
          </cell>
          <cell r="BL131">
            <v>11</v>
          </cell>
          <cell r="BM131">
            <v>11</v>
          </cell>
          <cell r="BN131" t="str">
            <v/>
          </cell>
          <cell r="BO131">
            <v>0</v>
          </cell>
          <cell r="BP131">
            <v>11</v>
          </cell>
          <cell r="BQ131">
            <v>10</v>
          </cell>
          <cell r="BR131">
            <v>30</v>
          </cell>
          <cell r="BS131">
            <v>0</v>
          </cell>
          <cell r="BT131">
            <v>9.8333333333333339</v>
          </cell>
          <cell r="BU131">
            <v>10</v>
          </cell>
          <cell r="BV131">
            <v>60</v>
          </cell>
          <cell r="BW131">
            <v>0</v>
          </cell>
          <cell r="BX131">
            <v>0</v>
          </cell>
          <cell r="BY131">
            <v>9.8333333333333339</v>
          </cell>
          <cell r="BZ131">
            <v>9</v>
          </cell>
          <cell r="CA131">
            <v>27</v>
          </cell>
          <cell r="CB131">
            <v>0</v>
          </cell>
          <cell r="CC131">
            <v>0</v>
          </cell>
          <cell r="CD131">
            <v>8.6666666666666661</v>
          </cell>
          <cell r="CE131">
            <v>9</v>
          </cell>
          <cell r="CF131">
            <v>27</v>
          </cell>
          <cell r="CG131">
            <v>0</v>
          </cell>
          <cell r="CH131">
            <v>0</v>
          </cell>
          <cell r="CI131">
            <v>8.3333333333333321</v>
          </cell>
          <cell r="CJ131">
            <v>10</v>
          </cell>
          <cell r="CK131">
            <v>30</v>
          </cell>
          <cell r="CL131">
            <v>0</v>
          </cell>
          <cell r="CM131">
            <v>0</v>
          </cell>
          <cell r="CN131">
            <v>9.6666666666666661</v>
          </cell>
          <cell r="CO131">
            <v>10</v>
          </cell>
          <cell r="CP131">
            <v>30</v>
          </cell>
          <cell r="CQ131">
            <v>0</v>
          </cell>
          <cell r="CR131">
            <v>0</v>
          </cell>
          <cell r="CS131">
            <v>9.6666666666666661</v>
          </cell>
          <cell r="CT131">
            <v>10</v>
          </cell>
          <cell r="CU131">
            <v>60</v>
          </cell>
          <cell r="CV131">
            <v>0</v>
          </cell>
          <cell r="CW131">
            <v>0</v>
          </cell>
          <cell r="CX131">
            <v>9.8333333333333339</v>
          </cell>
          <cell r="CY131">
            <v>8</v>
          </cell>
          <cell r="CZ131">
            <v>12</v>
          </cell>
          <cell r="DA131">
            <v>0</v>
          </cell>
          <cell r="DB131">
            <v>0</v>
          </cell>
          <cell r="DC131">
            <v>7.5</v>
          </cell>
          <cell r="DD131">
            <v>9</v>
          </cell>
          <cell r="DE131">
            <v>16</v>
          </cell>
          <cell r="DF131">
            <v>0</v>
          </cell>
          <cell r="DG131">
            <v>0</v>
          </cell>
          <cell r="DH131">
            <v>8.5</v>
          </cell>
          <cell r="DI131">
            <v>9</v>
          </cell>
          <cell r="DJ131">
            <v>22</v>
          </cell>
          <cell r="DK131">
            <v>0</v>
          </cell>
          <cell r="DL131">
            <v>0</v>
          </cell>
          <cell r="DM131">
            <v>8.1</v>
          </cell>
          <cell r="DN131">
            <v>9</v>
          </cell>
          <cell r="DO131">
            <v>26</v>
          </cell>
          <cell r="DP131">
            <v>0</v>
          </cell>
          <cell r="DQ131">
            <v>0</v>
          </cell>
          <cell r="DR131">
            <v>8.6666666666666661</v>
          </cell>
          <cell r="DS131">
            <v>8.6666666666666661</v>
          </cell>
          <cell r="DT131">
            <v>25</v>
          </cell>
          <cell r="DU131">
            <v>0</v>
          </cell>
          <cell r="DV131">
            <v>0</v>
          </cell>
          <cell r="DW131">
            <v>8.3333333333333321</v>
          </cell>
          <cell r="DX131">
            <v>8.3333333333333321</v>
          </cell>
          <cell r="DY131">
            <v>23.999999999999996</v>
          </cell>
          <cell r="DZ131">
            <v>0</v>
          </cell>
          <cell r="EA131">
            <v>0</v>
          </cell>
          <cell r="EB131">
            <v>7.9999999999999991</v>
          </cell>
          <cell r="EC131">
            <v>7.9999999999999991</v>
          </cell>
          <cell r="ED131">
            <v>23</v>
          </cell>
          <cell r="EE131">
            <v>0</v>
          </cell>
          <cell r="EF131">
            <v>0</v>
          </cell>
          <cell r="EG131">
            <v>7.6666666666666661</v>
          </cell>
          <cell r="EH131">
            <v>7.6666666666666661</v>
          </cell>
          <cell r="EI131">
            <v>22</v>
          </cell>
          <cell r="EJ131">
            <v>0</v>
          </cell>
          <cell r="EK131">
            <v>0</v>
          </cell>
          <cell r="EL131">
            <v>7.333333333333333</v>
          </cell>
          <cell r="EM131">
            <v>7.333333333333333</v>
          </cell>
          <cell r="EN131">
            <v>21</v>
          </cell>
          <cell r="EO131">
            <v>0</v>
          </cell>
          <cell r="EP131">
            <v>0</v>
          </cell>
          <cell r="EQ131">
            <v>7</v>
          </cell>
          <cell r="ER131">
            <v>7</v>
          </cell>
          <cell r="ES131">
            <v>20</v>
          </cell>
          <cell r="ET131">
            <v>0</v>
          </cell>
          <cell r="EU131">
            <v>0</v>
          </cell>
          <cell r="EV131">
            <v>6.666666666666667</v>
          </cell>
          <cell r="EW131">
            <v>6.666666666666667</v>
          </cell>
          <cell r="EX131">
            <v>19.000000000000004</v>
          </cell>
          <cell r="EY131">
            <v>0</v>
          </cell>
          <cell r="EZ131">
            <v>0</v>
          </cell>
          <cell r="FA131">
            <v>6.3333333333333339</v>
          </cell>
          <cell r="FB131">
            <v>6.3333333333333339</v>
          </cell>
          <cell r="FC131">
            <v>18.000000000000004</v>
          </cell>
          <cell r="FD131">
            <v>0</v>
          </cell>
          <cell r="FE131">
            <v>0</v>
          </cell>
          <cell r="FF131">
            <v>6.0000000000000009</v>
          </cell>
          <cell r="FG131">
            <v>6.0000000000000009</v>
          </cell>
          <cell r="FH131">
            <v>17.000000000000004</v>
          </cell>
          <cell r="FI131">
            <v>0</v>
          </cell>
          <cell r="FJ131">
            <v>0</v>
          </cell>
          <cell r="FK131">
            <v>5.6666666666666679</v>
          </cell>
          <cell r="FL131">
            <v>5.6666666666666679</v>
          </cell>
          <cell r="FM131">
            <v>16.000000000000004</v>
          </cell>
          <cell r="FN131">
            <v>0</v>
          </cell>
          <cell r="FO131">
            <v>0</v>
          </cell>
          <cell r="FP131">
            <v>5.3333333333333348</v>
          </cell>
          <cell r="FQ131">
            <v>5.3333333333333348</v>
          </cell>
          <cell r="FR131">
            <v>15.000000000000005</v>
          </cell>
          <cell r="FS131">
            <v>0</v>
          </cell>
          <cell r="FT131">
            <v>1</v>
          </cell>
          <cell r="FU131">
            <v>2.0333333333333332</v>
          </cell>
          <cell r="FW131" t="str">
            <v>SOBRESTOCK</v>
          </cell>
          <cell r="FX131" t="str">
            <v>C</v>
          </cell>
          <cell r="FY131" t="str">
            <v>Si</v>
          </cell>
        </row>
        <row r="132">
          <cell r="B132" t="str">
            <v>REP-0133</v>
          </cell>
          <cell r="C132" t="str">
            <v>NO VIGENTE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O132">
            <v>0</v>
          </cell>
          <cell r="AP132">
            <v>0</v>
          </cell>
          <cell r="AQ132" t="str">
            <v/>
          </cell>
          <cell r="AR132">
            <v>0</v>
          </cell>
          <cell r="AS132">
            <v>0</v>
          </cell>
          <cell r="AT132">
            <v>0</v>
          </cell>
          <cell r="AU132" t="str">
            <v/>
          </cell>
          <cell r="AV132">
            <v>0</v>
          </cell>
          <cell r="AW132">
            <v>0</v>
          </cell>
          <cell r="AX132">
            <v>0</v>
          </cell>
          <cell r="AY132" t="str">
            <v/>
          </cell>
          <cell r="AZ132">
            <v>0</v>
          </cell>
          <cell r="BA132">
            <v>0</v>
          </cell>
          <cell r="BB132">
            <v>0</v>
          </cell>
          <cell r="BC132" t="str">
            <v/>
          </cell>
          <cell r="BD132">
            <v>0</v>
          </cell>
          <cell r="BE132">
            <v>0</v>
          </cell>
          <cell r="BF132" t="str">
            <v/>
          </cell>
          <cell r="BG132">
            <v>0</v>
          </cell>
          <cell r="BH132">
            <v>0</v>
          </cell>
          <cell r="BI132">
            <v>0</v>
          </cell>
          <cell r="BJ132" t="str">
            <v/>
          </cell>
          <cell r="BK132">
            <v>0</v>
          </cell>
          <cell r="BL132">
            <v>0</v>
          </cell>
          <cell r="BM132">
            <v>0</v>
          </cell>
          <cell r="BN132" t="str">
            <v/>
          </cell>
          <cell r="BO132">
            <v>0</v>
          </cell>
          <cell r="BP132">
            <v>0</v>
          </cell>
          <cell r="BQ132">
            <v>0</v>
          </cell>
          <cell r="BR132" t="str">
            <v/>
          </cell>
          <cell r="BS132">
            <v>0</v>
          </cell>
          <cell r="BT132">
            <v>0</v>
          </cell>
          <cell r="BU132">
            <v>0</v>
          </cell>
          <cell r="BV132" t="str">
            <v/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 t="str">
            <v/>
          </cell>
          <cell r="CB132">
            <v>0</v>
          </cell>
          <cell r="CD132">
            <v>0</v>
          </cell>
          <cell r="CE132">
            <v>0</v>
          </cell>
          <cell r="CF132" t="str">
            <v/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 t="str">
            <v/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 t="str">
            <v/>
          </cell>
          <cell r="CQ132">
            <v>0</v>
          </cell>
          <cell r="CS132">
            <v>0</v>
          </cell>
          <cell r="CT132">
            <v>0</v>
          </cell>
          <cell r="CU132" t="str">
            <v/>
          </cell>
          <cell r="CV132">
            <v>0</v>
          </cell>
          <cell r="CX132">
            <v>0</v>
          </cell>
          <cell r="CY132">
            <v>0</v>
          </cell>
          <cell r="CZ132" t="str">
            <v/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 t="str">
            <v/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 t="str">
            <v/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 t="str">
            <v/>
          </cell>
          <cell r="DP132">
            <v>0</v>
          </cell>
          <cell r="DR132">
            <v>0</v>
          </cell>
          <cell r="DS132">
            <v>0</v>
          </cell>
          <cell r="DT132" t="str">
            <v/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 t="str">
            <v/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 t="str">
            <v/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 t="str">
            <v/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 t="str">
            <v/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 t="str">
            <v/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 t="str">
            <v/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 t="str">
            <v/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 t="str">
            <v/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 t="str">
            <v/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 t="str">
            <v/>
          </cell>
          <cell r="FS132">
            <v>0</v>
          </cell>
          <cell r="FT132">
            <v>0</v>
          </cell>
          <cell r="FU132">
            <v>66.666666666666671</v>
          </cell>
          <cell r="FW132" t="str">
            <v>SIN ROTACIÓN</v>
          </cell>
          <cell r="FX132">
            <v>0</v>
          </cell>
          <cell r="FY132" t="str">
            <v>No</v>
          </cell>
        </row>
        <row r="133">
          <cell r="B133" t="str">
            <v>REP-0134</v>
          </cell>
          <cell r="C133" t="str">
            <v>MIX</v>
          </cell>
          <cell r="D133">
            <v>0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4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3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8</v>
          </cell>
          <cell r="AA133">
            <v>8</v>
          </cell>
          <cell r="AB133">
            <v>1</v>
          </cell>
          <cell r="AC133">
            <v>0.33333333333333331</v>
          </cell>
          <cell r="AD133">
            <v>1.111111111111111E-2</v>
          </cell>
          <cell r="AE133">
            <v>0.25</v>
          </cell>
          <cell r="AF133">
            <v>0.25</v>
          </cell>
          <cell r="AG133">
            <v>0.25</v>
          </cell>
          <cell r="AH133">
            <v>0.25</v>
          </cell>
          <cell r="AI133">
            <v>0</v>
          </cell>
          <cell r="AJ133">
            <v>0</v>
          </cell>
          <cell r="AK133">
            <v>0.25</v>
          </cell>
          <cell r="AL133">
            <v>0.14433756729740643</v>
          </cell>
          <cell r="AM133">
            <v>0.125</v>
          </cell>
          <cell r="AN133">
            <v>1.1547005383792515</v>
          </cell>
          <cell r="AO133">
            <v>0</v>
          </cell>
          <cell r="AP133">
            <v>13.75</v>
          </cell>
          <cell r="AQ133">
            <v>55</v>
          </cell>
          <cell r="AR133">
            <v>0</v>
          </cell>
          <cell r="AS133">
            <v>13.5</v>
          </cell>
          <cell r="AT133">
            <v>14</v>
          </cell>
          <cell r="AU133">
            <v>56</v>
          </cell>
          <cell r="AV133">
            <v>0</v>
          </cell>
          <cell r="AW133">
            <v>13.75</v>
          </cell>
          <cell r="AX133">
            <v>14</v>
          </cell>
          <cell r="AY133">
            <v>56</v>
          </cell>
          <cell r="AZ133">
            <v>0</v>
          </cell>
          <cell r="BA133">
            <v>13.75</v>
          </cell>
          <cell r="BB133">
            <v>14</v>
          </cell>
          <cell r="BC133">
            <v>56</v>
          </cell>
          <cell r="BD133">
            <v>0</v>
          </cell>
          <cell r="BE133">
            <v>13.75</v>
          </cell>
          <cell r="BF133">
            <v>55</v>
          </cell>
          <cell r="BG133">
            <v>0</v>
          </cell>
          <cell r="BH133">
            <v>13.5</v>
          </cell>
          <cell r="BI133">
            <v>8</v>
          </cell>
          <cell r="BJ133">
            <v>32</v>
          </cell>
          <cell r="BK133">
            <v>0</v>
          </cell>
          <cell r="BL133">
            <v>13.75</v>
          </cell>
          <cell r="BM133">
            <v>14</v>
          </cell>
          <cell r="BN133">
            <v>56</v>
          </cell>
          <cell r="BO133">
            <v>0</v>
          </cell>
          <cell r="BP133">
            <v>13.75</v>
          </cell>
          <cell r="BQ133">
            <v>14</v>
          </cell>
          <cell r="BR133">
            <v>56</v>
          </cell>
          <cell r="BS133">
            <v>0</v>
          </cell>
          <cell r="BT133">
            <v>13.75</v>
          </cell>
          <cell r="BU133">
            <v>14</v>
          </cell>
          <cell r="BV133">
            <v>56</v>
          </cell>
          <cell r="BW133">
            <v>0</v>
          </cell>
          <cell r="BX133">
            <v>0</v>
          </cell>
          <cell r="BY133">
            <v>13.75</v>
          </cell>
          <cell r="BZ133">
            <v>13</v>
          </cell>
          <cell r="CA133">
            <v>52</v>
          </cell>
          <cell r="CB133">
            <v>0</v>
          </cell>
          <cell r="CC133">
            <v>0</v>
          </cell>
          <cell r="CD133">
            <v>12.75</v>
          </cell>
          <cell r="CE133">
            <v>13</v>
          </cell>
          <cell r="CF133">
            <v>52</v>
          </cell>
          <cell r="CG133">
            <v>0</v>
          </cell>
          <cell r="CH133">
            <v>0</v>
          </cell>
          <cell r="CI133">
            <v>12.5</v>
          </cell>
          <cell r="CJ133">
            <v>11</v>
          </cell>
          <cell r="CK133">
            <v>22</v>
          </cell>
          <cell r="CL133">
            <v>0</v>
          </cell>
          <cell r="CM133">
            <v>0</v>
          </cell>
          <cell r="CN133">
            <v>10.5</v>
          </cell>
          <cell r="CO133">
            <v>11</v>
          </cell>
          <cell r="CP133">
            <v>22</v>
          </cell>
          <cell r="CQ133">
            <v>0</v>
          </cell>
          <cell r="CR133">
            <v>0</v>
          </cell>
          <cell r="CS133">
            <v>10.5</v>
          </cell>
          <cell r="CT133">
            <v>11</v>
          </cell>
          <cell r="CU133">
            <v>22</v>
          </cell>
          <cell r="CV133">
            <v>0</v>
          </cell>
          <cell r="CW133">
            <v>0</v>
          </cell>
          <cell r="CX133">
            <v>10.5</v>
          </cell>
          <cell r="CY133">
            <v>8</v>
          </cell>
          <cell r="CZ133">
            <v>32</v>
          </cell>
          <cell r="DA133">
            <v>0</v>
          </cell>
          <cell r="DB133">
            <v>0</v>
          </cell>
          <cell r="DC133">
            <v>7.75</v>
          </cell>
          <cell r="DD133">
            <v>11</v>
          </cell>
          <cell r="DE133">
            <v>40</v>
          </cell>
          <cell r="DF133">
            <v>0</v>
          </cell>
          <cell r="DG133">
            <v>0</v>
          </cell>
          <cell r="DH133">
            <v>10.75</v>
          </cell>
          <cell r="DI133">
            <v>11</v>
          </cell>
          <cell r="DJ133">
            <v>42</v>
          </cell>
          <cell r="DK133">
            <v>0</v>
          </cell>
          <cell r="DL133">
            <v>0</v>
          </cell>
          <cell r="DM133">
            <v>10.5</v>
          </cell>
          <cell r="DN133">
            <v>8</v>
          </cell>
          <cell r="DO133">
            <v>30</v>
          </cell>
          <cell r="DP133">
            <v>0</v>
          </cell>
          <cell r="DQ133">
            <v>0</v>
          </cell>
          <cell r="DR133">
            <v>7.75</v>
          </cell>
          <cell r="DS133">
            <v>7.75</v>
          </cell>
          <cell r="DT133">
            <v>29</v>
          </cell>
          <cell r="DU133">
            <v>0</v>
          </cell>
          <cell r="DV133">
            <v>0</v>
          </cell>
          <cell r="DW133">
            <v>7.5</v>
          </cell>
          <cell r="DX133">
            <v>7.5</v>
          </cell>
          <cell r="DY133">
            <v>28</v>
          </cell>
          <cell r="DZ133">
            <v>0</v>
          </cell>
          <cell r="EA133">
            <v>0</v>
          </cell>
          <cell r="EB133">
            <v>7.25</v>
          </cell>
          <cell r="EC133">
            <v>7.25</v>
          </cell>
          <cell r="ED133">
            <v>27</v>
          </cell>
          <cell r="EE133">
            <v>0</v>
          </cell>
          <cell r="EF133">
            <v>0</v>
          </cell>
          <cell r="EG133">
            <v>7</v>
          </cell>
          <cell r="EH133">
            <v>7</v>
          </cell>
          <cell r="EI133">
            <v>26</v>
          </cell>
          <cell r="EJ133">
            <v>0</v>
          </cell>
          <cell r="EK133">
            <v>0</v>
          </cell>
          <cell r="EL133">
            <v>6.75</v>
          </cell>
          <cell r="EM133">
            <v>6.75</v>
          </cell>
          <cell r="EN133">
            <v>25</v>
          </cell>
          <cell r="EO133">
            <v>0</v>
          </cell>
          <cell r="EP133">
            <v>0</v>
          </cell>
          <cell r="EQ133">
            <v>6.5</v>
          </cell>
          <cell r="ER133">
            <v>6.5</v>
          </cell>
          <cell r="ES133">
            <v>24</v>
          </cell>
          <cell r="ET133">
            <v>0</v>
          </cell>
          <cell r="EU133">
            <v>0</v>
          </cell>
          <cell r="EV133">
            <v>6.25</v>
          </cell>
          <cell r="EW133">
            <v>6.25</v>
          </cell>
          <cell r="EX133">
            <v>23</v>
          </cell>
          <cell r="EY133">
            <v>0</v>
          </cell>
          <cell r="EZ133">
            <v>0</v>
          </cell>
          <cell r="FA133">
            <v>6</v>
          </cell>
          <cell r="FB133">
            <v>6</v>
          </cell>
          <cell r="FC133">
            <v>22</v>
          </cell>
          <cell r="FD133">
            <v>0</v>
          </cell>
          <cell r="FE133">
            <v>0</v>
          </cell>
          <cell r="FF133">
            <v>5.75</v>
          </cell>
          <cell r="FG133">
            <v>5.75</v>
          </cell>
          <cell r="FH133">
            <v>21</v>
          </cell>
          <cell r="FI133">
            <v>0</v>
          </cell>
          <cell r="FJ133">
            <v>0</v>
          </cell>
          <cell r="FK133">
            <v>5.5</v>
          </cell>
          <cell r="FL133">
            <v>5.5</v>
          </cell>
          <cell r="FM133">
            <v>20</v>
          </cell>
          <cell r="FN133">
            <v>0</v>
          </cell>
          <cell r="FO133">
            <v>0</v>
          </cell>
          <cell r="FP133">
            <v>5.25</v>
          </cell>
          <cell r="FQ133">
            <v>5.25</v>
          </cell>
          <cell r="FR133">
            <v>19</v>
          </cell>
          <cell r="FS133">
            <v>0</v>
          </cell>
          <cell r="FT133">
            <v>1</v>
          </cell>
          <cell r="FU133">
            <v>2.0333333333333332</v>
          </cell>
          <cell r="FW133" t="str">
            <v>SIN ROTACIÓN</v>
          </cell>
          <cell r="FX133" t="str">
            <v>C</v>
          </cell>
          <cell r="FY133" t="str">
            <v>Si</v>
          </cell>
        </row>
        <row r="134">
          <cell r="B134" t="str">
            <v>REP-0135</v>
          </cell>
          <cell r="C134" t="str">
            <v>NAC</v>
          </cell>
          <cell r="D134">
            <v>0</v>
          </cell>
          <cell r="E134">
            <v>16</v>
          </cell>
          <cell r="F134">
            <v>0</v>
          </cell>
          <cell r="G134">
            <v>0</v>
          </cell>
          <cell r="H134">
            <v>1</v>
          </cell>
          <cell r="I134">
            <v>1</v>
          </cell>
          <cell r="J134">
            <v>0</v>
          </cell>
          <cell r="K134">
            <v>2</v>
          </cell>
          <cell r="L134">
            <v>0</v>
          </cell>
          <cell r="M134">
            <v>0</v>
          </cell>
          <cell r="N134">
            <v>0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  <cell r="Y134">
            <v>25</v>
          </cell>
          <cell r="AA134">
            <v>25</v>
          </cell>
          <cell r="AB134">
            <v>4</v>
          </cell>
          <cell r="AC134">
            <v>0</v>
          </cell>
          <cell r="AD134">
            <v>0</v>
          </cell>
          <cell r="AE134">
            <v>0</v>
          </cell>
          <cell r="AF134">
            <v>8.3333333333333329E-2</v>
          </cell>
          <cell r="AG134">
            <v>0.16666666666666666</v>
          </cell>
          <cell r="AH134">
            <v>0</v>
          </cell>
          <cell r="AI134">
            <v>0.16666666666666666</v>
          </cell>
          <cell r="AJ134">
            <v>0.16666666666666666</v>
          </cell>
          <cell r="AK134">
            <v>0.16666666666666666</v>
          </cell>
          <cell r="AL134">
            <v>8.3333333333333329E-2</v>
          </cell>
          <cell r="AM134">
            <v>0.125</v>
          </cell>
          <cell r="AN134">
            <v>0.66666666666666663</v>
          </cell>
          <cell r="AO134">
            <v>0</v>
          </cell>
          <cell r="AP134">
            <v>26.833333333333332</v>
          </cell>
          <cell r="AQ134">
            <v>161</v>
          </cell>
          <cell r="AR134">
            <v>0</v>
          </cell>
          <cell r="AS134">
            <v>26.833333333333336</v>
          </cell>
          <cell r="AT134">
            <v>27</v>
          </cell>
          <cell r="AU134">
            <v>162</v>
          </cell>
          <cell r="AV134">
            <v>0</v>
          </cell>
          <cell r="AW134">
            <v>26.833333333333332</v>
          </cell>
          <cell r="AX134">
            <v>27</v>
          </cell>
          <cell r="AY134">
            <v>162</v>
          </cell>
          <cell r="AZ134">
            <v>0</v>
          </cell>
          <cell r="BA134">
            <v>26.833333333333332</v>
          </cell>
          <cell r="BB134">
            <v>27</v>
          </cell>
          <cell r="BC134">
            <v>81</v>
          </cell>
          <cell r="BD134">
            <v>0</v>
          </cell>
          <cell r="BE134">
            <v>26.666666666666668</v>
          </cell>
          <cell r="BF134">
            <v>80.000000000000014</v>
          </cell>
          <cell r="BG134">
            <v>0</v>
          </cell>
          <cell r="BH134">
            <v>26.333333333333336</v>
          </cell>
          <cell r="BI134">
            <v>25</v>
          </cell>
          <cell r="BJ134">
            <v>150</v>
          </cell>
          <cell r="BK134">
            <v>0</v>
          </cell>
          <cell r="BL134">
            <v>26.833333333333332</v>
          </cell>
          <cell r="BM134">
            <v>27</v>
          </cell>
          <cell r="BN134">
            <v>162</v>
          </cell>
          <cell r="BO134">
            <v>0</v>
          </cell>
          <cell r="BP134">
            <v>26.833333333333332</v>
          </cell>
          <cell r="BQ134">
            <v>27</v>
          </cell>
          <cell r="BR134">
            <v>162</v>
          </cell>
          <cell r="BS134">
            <v>0</v>
          </cell>
          <cell r="BT134">
            <v>26.833333333333332</v>
          </cell>
          <cell r="BU134">
            <v>27</v>
          </cell>
          <cell r="BV134">
            <v>162</v>
          </cell>
          <cell r="BW134">
            <v>0</v>
          </cell>
          <cell r="BX134">
            <v>0</v>
          </cell>
          <cell r="BY134">
            <v>26.833333333333332</v>
          </cell>
          <cell r="BZ134">
            <v>27</v>
          </cell>
          <cell r="CA134">
            <v>162</v>
          </cell>
          <cell r="CB134">
            <v>0</v>
          </cell>
          <cell r="CC134">
            <v>0</v>
          </cell>
          <cell r="CD134">
            <v>26.833333333333332</v>
          </cell>
          <cell r="CE134">
            <v>27</v>
          </cell>
          <cell r="CF134">
            <v>162</v>
          </cell>
          <cell r="CG134">
            <v>0</v>
          </cell>
          <cell r="CH134">
            <v>0</v>
          </cell>
          <cell r="CI134">
            <v>26.666666666666664</v>
          </cell>
          <cell r="CJ134">
            <v>28</v>
          </cell>
          <cell r="CK134">
            <v>168</v>
          </cell>
          <cell r="CL134">
            <v>0</v>
          </cell>
          <cell r="CM134">
            <v>0</v>
          </cell>
          <cell r="CN134">
            <v>27.833333333333332</v>
          </cell>
          <cell r="CO134">
            <v>28</v>
          </cell>
          <cell r="CP134">
            <v>168</v>
          </cell>
          <cell r="CQ134">
            <v>0</v>
          </cell>
          <cell r="CR134">
            <v>0</v>
          </cell>
          <cell r="CS134">
            <v>27.833333333333332</v>
          </cell>
          <cell r="CT134">
            <v>28</v>
          </cell>
          <cell r="CU134">
            <v>168</v>
          </cell>
          <cell r="CV134">
            <v>0</v>
          </cell>
          <cell r="CW134">
            <v>0</v>
          </cell>
          <cell r="CX134">
            <v>27.833333333333332</v>
          </cell>
          <cell r="CY134">
            <v>29</v>
          </cell>
          <cell r="CZ134">
            <v>174</v>
          </cell>
          <cell r="DA134">
            <v>0</v>
          </cell>
          <cell r="DB134">
            <v>0</v>
          </cell>
          <cell r="DC134">
            <v>28.833333333333332</v>
          </cell>
          <cell r="DD134">
            <v>28</v>
          </cell>
          <cell r="DE134">
            <v>162</v>
          </cell>
          <cell r="DF134">
            <v>0</v>
          </cell>
          <cell r="DG134">
            <v>0</v>
          </cell>
          <cell r="DH134">
            <v>27.833333333333332</v>
          </cell>
          <cell r="DI134">
            <v>27</v>
          </cell>
          <cell r="DJ134">
            <v>132</v>
          </cell>
          <cell r="DK134">
            <v>0</v>
          </cell>
          <cell r="DL134">
            <v>0</v>
          </cell>
          <cell r="DM134">
            <v>27.633333333333333</v>
          </cell>
          <cell r="DN134">
            <v>25</v>
          </cell>
          <cell r="DO134">
            <v>146</v>
          </cell>
          <cell r="DP134">
            <v>0</v>
          </cell>
          <cell r="DQ134">
            <v>0</v>
          </cell>
          <cell r="DR134">
            <v>24.833333333333332</v>
          </cell>
          <cell r="DS134">
            <v>24.833333333333332</v>
          </cell>
          <cell r="DT134">
            <v>145</v>
          </cell>
          <cell r="DU134">
            <v>0</v>
          </cell>
          <cell r="DV134">
            <v>0</v>
          </cell>
          <cell r="DW134">
            <v>24.666666666666664</v>
          </cell>
          <cell r="DX134">
            <v>24.666666666666664</v>
          </cell>
          <cell r="DY134">
            <v>144</v>
          </cell>
          <cell r="DZ134">
            <v>0</v>
          </cell>
          <cell r="EA134">
            <v>0</v>
          </cell>
          <cell r="EB134">
            <v>24.499999999999996</v>
          </cell>
          <cell r="EC134">
            <v>24.499999999999996</v>
          </cell>
          <cell r="ED134">
            <v>143</v>
          </cell>
          <cell r="EE134">
            <v>0</v>
          </cell>
          <cell r="EF134">
            <v>0</v>
          </cell>
          <cell r="EG134">
            <v>24.333333333333329</v>
          </cell>
          <cell r="EH134">
            <v>24.333333333333329</v>
          </cell>
          <cell r="EI134">
            <v>141.99999999999997</v>
          </cell>
          <cell r="EJ134">
            <v>0</v>
          </cell>
          <cell r="EK134">
            <v>0</v>
          </cell>
          <cell r="EL134">
            <v>24.166666666666661</v>
          </cell>
          <cell r="EM134">
            <v>24.166666666666661</v>
          </cell>
          <cell r="EN134">
            <v>140.99999999999997</v>
          </cell>
          <cell r="EO134">
            <v>0</v>
          </cell>
          <cell r="EP134">
            <v>0</v>
          </cell>
          <cell r="EQ134">
            <v>23.999999999999993</v>
          </cell>
          <cell r="ER134">
            <v>23.999999999999993</v>
          </cell>
          <cell r="ES134">
            <v>139.99999999999997</v>
          </cell>
          <cell r="ET134">
            <v>0</v>
          </cell>
          <cell r="EU134">
            <v>0</v>
          </cell>
          <cell r="EV134">
            <v>23.833333333333325</v>
          </cell>
          <cell r="EW134">
            <v>23.833333333333325</v>
          </cell>
          <cell r="EX134">
            <v>138.99999999999997</v>
          </cell>
          <cell r="EY134">
            <v>0</v>
          </cell>
          <cell r="EZ134">
            <v>0</v>
          </cell>
          <cell r="FA134">
            <v>23.666666666666657</v>
          </cell>
          <cell r="FB134">
            <v>23.666666666666657</v>
          </cell>
          <cell r="FC134">
            <v>137.99999999999994</v>
          </cell>
          <cell r="FD134">
            <v>0</v>
          </cell>
          <cell r="FE134">
            <v>0</v>
          </cell>
          <cell r="FF134">
            <v>23.499999999999989</v>
          </cell>
          <cell r="FG134">
            <v>23.499999999999989</v>
          </cell>
          <cell r="FH134">
            <v>136.99999999999994</v>
          </cell>
          <cell r="FI134">
            <v>0</v>
          </cell>
          <cell r="FJ134">
            <v>0</v>
          </cell>
          <cell r="FK134">
            <v>23.333333333333321</v>
          </cell>
          <cell r="FL134">
            <v>23.333333333333321</v>
          </cell>
          <cell r="FM134">
            <v>135.99999999999994</v>
          </cell>
          <cell r="FN134">
            <v>0</v>
          </cell>
          <cell r="FO134">
            <v>0</v>
          </cell>
          <cell r="FP134">
            <v>23.166666666666654</v>
          </cell>
          <cell r="FQ134">
            <v>23.166666666666654</v>
          </cell>
          <cell r="FR134">
            <v>134.99999999999994</v>
          </cell>
          <cell r="FS134">
            <v>0</v>
          </cell>
          <cell r="FT134">
            <v>1</v>
          </cell>
          <cell r="FU134">
            <v>1.0333333333333334</v>
          </cell>
          <cell r="FW134" t="str">
            <v>SOBRESTOCK</v>
          </cell>
          <cell r="FX134" t="str">
            <v>C</v>
          </cell>
          <cell r="FY134" t="str">
            <v>Si</v>
          </cell>
        </row>
        <row r="135">
          <cell r="B135" t="str">
            <v>REP-0136</v>
          </cell>
          <cell r="C135" t="str">
            <v>MIX</v>
          </cell>
          <cell r="D135">
            <v>0</v>
          </cell>
          <cell r="E135">
            <v>5</v>
          </cell>
          <cell r="F135">
            <v>0</v>
          </cell>
          <cell r="G135">
            <v>0</v>
          </cell>
          <cell r="H135">
            <v>2</v>
          </cell>
          <cell r="I135">
            <v>2</v>
          </cell>
          <cell r="J135">
            <v>0</v>
          </cell>
          <cell r="K135">
            <v>4</v>
          </cell>
          <cell r="L135">
            <v>5</v>
          </cell>
          <cell r="M135">
            <v>2</v>
          </cell>
          <cell r="N135">
            <v>1</v>
          </cell>
          <cell r="O135">
            <v>1</v>
          </cell>
          <cell r="P135">
            <v>0</v>
          </cell>
          <cell r="Q135">
            <v>1</v>
          </cell>
          <cell r="R135">
            <v>0</v>
          </cell>
          <cell r="S135">
            <v>2</v>
          </cell>
          <cell r="T135">
            <v>3</v>
          </cell>
          <cell r="U135">
            <v>0</v>
          </cell>
          <cell r="V135">
            <v>0</v>
          </cell>
          <cell r="W135">
            <v>1</v>
          </cell>
          <cell r="X135">
            <v>0</v>
          </cell>
          <cell r="Y135">
            <v>29</v>
          </cell>
          <cell r="AA135">
            <v>29</v>
          </cell>
          <cell r="AB135">
            <v>4</v>
          </cell>
          <cell r="AC135">
            <v>1</v>
          </cell>
          <cell r="AD135">
            <v>3.3333333333333333E-2</v>
          </cell>
          <cell r="AE135">
            <v>0.83333333333333337</v>
          </cell>
          <cell r="AF135">
            <v>0.66666666666666663</v>
          </cell>
          <cell r="AG135">
            <v>1.25</v>
          </cell>
          <cell r="AH135">
            <v>0.66666666666666663</v>
          </cell>
          <cell r="AI135">
            <v>1.5</v>
          </cell>
          <cell r="AJ135">
            <v>1.5</v>
          </cell>
          <cell r="AK135">
            <v>1.5</v>
          </cell>
          <cell r="AL135">
            <v>0.39308254716902608</v>
          </cell>
          <cell r="AM135">
            <v>1.2291666666666665</v>
          </cell>
          <cell r="AN135">
            <v>0.31979597057819076</v>
          </cell>
          <cell r="AO135">
            <v>0</v>
          </cell>
          <cell r="AP135">
            <v>17.75</v>
          </cell>
          <cell r="AQ135">
            <v>10.399999999999999</v>
          </cell>
          <cell r="AR135">
            <v>0</v>
          </cell>
          <cell r="AS135">
            <v>16</v>
          </cell>
          <cell r="AT135">
            <v>44</v>
          </cell>
          <cell r="AU135">
            <v>29.333333333333332</v>
          </cell>
          <cell r="AV135">
            <v>0</v>
          </cell>
          <cell r="AW135">
            <v>42.5</v>
          </cell>
          <cell r="AX135">
            <v>43</v>
          </cell>
          <cell r="AY135">
            <v>28.666666666666668</v>
          </cell>
          <cell r="AZ135">
            <v>0</v>
          </cell>
          <cell r="BA135">
            <v>41.75</v>
          </cell>
          <cell r="BB135">
            <v>43</v>
          </cell>
          <cell r="BC135">
            <v>34.4</v>
          </cell>
          <cell r="BD135">
            <v>0</v>
          </cell>
          <cell r="BE135">
            <v>41.75</v>
          </cell>
          <cell r="BF135">
            <v>33.4</v>
          </cell>
          <cell r="BG135">
            <v>0</v>
          </cell>
          <cell r="BH135">
            <v>40.5</v>
          </cell>
          <cell r="BI135">
            <v>29</v>
          </cell>
          <cell r="BJ135">
            <v>19.333333333333332</v>
          </cell>
          <cell r="BK135">
            <v>0</v>
          </cell>
          <cell r="BL135">
            <v>39.75</v>
          </cell>
          <cell r="BM135">
            <v>40</v>
          </cell>
          <cell r="BN135">
            <v>32</v>
          </cell>
          <cell r="BO135">
            <v>0</v>
          </cell>
          <cell r="BP135">
            <v>38.75</v>
          </cell>
          <cell r="BQ135">
            <v>38</v>
          </cell>
          <cell r="BR135">
            <v>25.333333333333332</v>
          </cell>
          <cell r="BS135">
            <v>0</v>
          </cell>
          <cell r="BT135">
            <v>36.75</v>
          </cell>
          <cell r="BU135">
            <v>38</v>
          </cell>
          <cell r="BV135">
            <v>30.4</v>
          </cell>
          <cell r="BW135">
            <v>0</v>
          </cell>
          <cell r="BX135">
            <v>0</v>
          </cell>
          <cell r="BY135">
            <v>36.75</v>
          </cell>
          <cell r="BZ135">
            <v>38</v>
          </cell>
          <cell r="CA135">
            <v>30.4</v>
          </cell>
          <cell r="CB135">
            <v>0</v>
          </cell>
          <cell r="CC135">
            <v>0</v>
          </cell>
          <cell r="CD135">
            <v>36.75</v>
          </cell>
          <cell r="CE135">
            <v>36</v>
          </cell>
          <cell r="CF135">
            <v>28.8</v>
          </cell>
          <cell r="CG135">
            <v>0</v>
          </cell>
          <cell r="CH135">
            <v>0</v>
          </cell>
          <cell r="CI135">
            <v>35.5</v>
          </cell>
          <cell r="CJ135">
            <v>36</v>
          </cell>
          <cell r="CK135">
            <v>28.8</v>
          </cell>
          <cell r="CL135">
            <v>0</v>
          </cell>
          <cell r="CM135">
            <v>0</v>
          </cell>
          <cell r="CN135">
            <v>34.75</v>
          </cell>
          <cell r="CO135">
            <v>36</v>
          </cell>
          <cell r="CP135">
            <v>28.8</v>
          </cell>
          <cell r="CQ135">
            <v>0</v>
          </cell>
          <cell r="CR135">
            <v>0</v>
          </cell>
          <cell r="CS135">
            <v>34.75</v>
          </cell>
          <cell r="CT135">
            <v>37</v>
          </cell>
          <cell r="CU135">
            <v>29.6</v>
          </cell>
          <cell r="CV135">
            <v>0</v>
          </cell>
          <cell r="CW135">
            <v>0</v>
          </cell>
          <cell r="CX135">
            <v>35.75</v>
          </cell>
          <cell r="CY135">
            <v>36</v>
          </cell>
          <cell r="CZ135">
            <v>28.8</v>
          </cell>
          <cell r="DA135">
            <v>0</v>
          </cell>
          <cell r="DB135">
            <v>0</v>
          </cell>
          <cell r="DC135">
            <v>34.75</v>
          </cell>
          <cell r="DD135">
            <v>34</v>
          </cell>
          <cell r="DE135">
            <v>24.8</v>
          </cell>
          <cell r="DF135">
            <v>0</v>
          </cell>
          <cell r="DG135">
            <v>0</v>
          </cell>
          <cell r="DH135">
            <v>32.75</v>
          </cell>
          <cell r="DI135">
            <v>30</v>
          </cell>
          <cell r="DJ135">
            <v>21.285714285714288</v>
          </cell>
          <cell r="DK135">
            <v>0</v>
          </cell>
          <cell r="DL135">
            <v>0</v>
          </cell>
          <cell r="DM135">
            <v>31.35</v>
          </cell>
          <cell r="DN135">
            <v>29</v>
          </cell>
          <cell r="DO135">
            <v>18.666666666666668</v>
          </cell>
          <cell r="DP135">
            <v>0</v>
          </cell>
          <cell r="DQ135">
            <v>0</v>
          </cell>
          <cell r="DR135">
            <v>27.5</v>
          </cell>
          <cell r="DS135">
            <v>27.5</v>
          </cell>
          <cell r="DT135">
            <v>17.666666666666664</v>
          </cell>
          <cell r="DU135">
            <v>0</v>
          </cell>
          <cell r="DV135">
            <v>0</v>
          </cell>
          <cell r="DW135">
            <v>26</v>
          </cell>
          <cell r="DX135">
            <v>26</v>
          </cell>
          <cell r="DY135">
            <v>16.666666666666664</v>
          </cell>
          <cell r="DZ135">
            <v>0</v>
          </cell>
          <cell r="EA135">
            <v>0</v>
          </cell>
          <cell r="EB135">
            <v>24.5</v>
          </cell>
          <cell r="EC135">
            <v>24.5</v>
          </cell>
          <cell r="ED135">
            <v>15.666666666666666</v>
          </cell>
          <cell r="EE135">
            <v>0</v>
          </cell>
          <cell r="EF135">
            <v>0</v>
          </cell>
          <cell r="EG135">
            <v>23</v>
          </cell>
          <cell r="EH135">
            <v>23</v>
          </cell>
          <cell r="EI135">
            <v>14.666666666666666</v>
          </cell>
          <cell r="EJ135">
            <v>0</v>
          </cell>
          <cell r="EK135">
            <v>0</v>
          </cell>
          <cell r="EL135">
            <v>21.5</v>
          </cell>
          <cell r="EM135">
            <v>21.5</v>
          </cell>
          <cell r="EN135">
            <v>13.666666666666666</v>
          </cell>
          <cell r="EO135">
            <v>0</v>
          </cell>
          <cell r="EP135">
            <v>0</v>
          </cell>
          <cell r="EQ135">
            <v>20</v>
          </cell>
          <cell r="ER135">
            <v>20</v>
          </cell>
          <cell r="ES135">
            <v>12.666666666666666</v>
          </cell>
          <cell r="ET135">
            <v>0</v>
          </cell>
          <cell r="EU135">
            <v>0</v>
          </cell>
          <cell r="EV135">
            <v>18.5</v>
          </cell>
          <cell r="EW135">
            <v>18.5</v>
          </cell>
          <cell r="EX135">
            <v>11.666666666666666</v>
          </cell>
          <cell r="EY135">
            <v>0</v>
          </cell>
          <cell r="EZ135">
            <v>0</v>
          </cell>
          <cell r="FA135">
            <v>17</v>
          </cell>
          <cell r="FB135">
            <v>17</v>
          </cell>
          <cell r="FC135">
            <v>10.666666666666666</v>
          </cell>
          <cell r="FD135">
            <v>0</v>
          </cell>
          <cell r="FE135">
            <v>0</v>
          </cell>
          <cell r="FF135">
            <v>15.5</v>
          </cell>
          <cell r="FG135">
            <v>15.5</v>
          </cell>
          <cell r="FH135">
            <v>9.6666666666666679</v>
          </cell>
          <cell r="FI135">
            <v>0</v>
          </cell>
          <cell r="FJ135">
            <v>0</v>
          </cell>
          <cell r="FK135">
            <v>14</v>
          </cell>
          <cell r="FL135">
            <v>14</v>
          </cell>
          <cell r="FM135">
            <v>8.6666666666666679</v>
          </cell>
          <cell r="FN135">
            <v>0</v>
          </cell>
          <cell r="FO135">
            <v>0</v>
          </cell>
          <cell r="FP135">
            <v>12.5</v>
          </cell>
          <cell r="FQ135">
            <v>12.5</v>
          </cell>
          <cell r="FR135">
            <v>7.666666666666667</v>
          </cell>
          <cell r="FS135">
            <v>0</v>
          </cell>
          <cell r="FT135">
            <v>4</v>
          </cell>
          <cell r="FU135">
            <v>2.0333333333333332</v>
          </cell>
          <cell r="FW135" t="str">
            <v>SOBRESTOCK</v>
          </cell>
          <cell r="FX135" t="str">
            <v>B</v>
          </cell>
          <cell r="FY135" t="str">
            <v>Si</v>
          </cell>
        </row>
        <row r="136">
          <cell r="B136" t="str">
            <v>REP-0137</v>
          </cell>
          <cell r="C136" t="str">
            <v>MIX</v>
          </cell>
          <cell r="D136">
            <v>0</v>
          </cell>
          <cell r="E136">
            <v>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2</v>
          </cell>
          <cell r="AA136">
            <v>2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8.3333333333333329E-2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3.7267799624996489E-2</v>
          </cell>
          <cell r="AM136">
            <v>0</v>
          </cell>
          <cell r="AN136">
            <v>0</v>
          </cell>
          <cell r="AO136">
            <v>0</v>
          </cell>
          <cell r="AP136">
            <v>2</v>
          </cell>
          <cell r="AQ136">
            <v>23.000000000000004</v>
          </cell>
          <cell r="AR136">
            <v>0</v>
          </cell>
          <cell r="AS136">
            <v>1.8333333333333335</v>
          </cell>
          <cell r="AT136">
            <v>2</v>
          </cell>
          <cell r="AU136" t="str">
            <v/>
          </cell>
          <cell r="AV136">
            <v>0</v>
          </cell>
          <cell r="AW136">
            <v>2</v>
          </cell>
          <cell r="AX136">
            <v>2</v>
          </cell>
          <cell r="AY136" t="str">
            <v/>
          </cell>
          <cell r="AZ136">
            <v>0</v>
          </cell>
          <cell r="BA136">
            <v>2</v>
          </cell>
          <cell r="BB136">
            <v>2</v>
          </cell>
          <cell r="BC136" t="str">
            <v/>
          </cell>
          <cell r="BD136">
            <v>0</v>
          </cell>
          <cell r="BE136">
            <v>2</v>
          </cell>
          <cell r="BF136" t="str">
            <v/>
          </cell>
          <cell r="BG136">
            <v>0</v>
          </cell>
          <cell r="BH136">
            <v>2</v>
          </cell>
          <cell r="BI136">
            <v>2</v>
          </cell>
          <cell r="BJ136" t="str">
            <v/>
          </cell>
          <cell r="BK136">
            <v>0</v>
          </cell>
          <cell r="BL136">
            <v>2</v>
          </cell>
          <cell r="BM136">
            <v>2</v>
          </cell>
          <cell r="BN136" t="str">
            <v/>
          </cell>
          <cell r="BO136">
            <v>0</v>
          </cell>
          <cell r="BP136">
            <v>2</v>
          </cell>
          <cell r="BQ136">
            <v>2</v>
          </cell>
          <cell r="BR136" t="str">
            <v/>
          </cell>
          <cell r="BS136">
            <v>0</v>
          </cell>
          <cell r="BT136">
            <v>2</v>
          </cell>
          <cell r="BU136">
            <v>2</v>
          </cell>
          <cell r="BV136" t="str">
            <v/>
          </cell>
          <cell r="BW136">
            <v>0</v>
          </cell>
          <cell r="BX136">
            <v>0</v>
          </cell>
          <cell r="BY136">
            <v>2</v>
          </cell>
          <cell r="BZ136">
            <v>2</v>
          </cell>
          <cell r="CA136" t="str">
            <v/>
          </cell>
          <cell r="CB136">
            <v>0</v>
          </cell>
          <cell r="CC136">
            <v>0</v>
          </cell>
          <cell r="CD136">
            <v>2</v>
          </cell>
          <cell r="CE136">
            <v>2</v>
          </cell>
          <cell r="CF136" t="str">
            <v/>
          </cell>
          <cell r="CG136">
            <v>0</v>
          </cell>
          <cell r="CH136">
            <v>0</v>
          </cell>
          <cell r="CI136">
            <v>2</v>
          </cell>
          <cell r="CJ136">
            <v>2</v>
          </cell>
          <cell r="CK136" t="str">
            <v/>
          </cell>
          <cell r="CL136">
            <v>0</v>
          </cell>
          <cell r="CM136">
            <v>0</v>
          </cell>
          <cell r="CN136">
            <v>2</v>
          </cell>
          <cell r="CO136">
            <v>2</v>
          </cell>
          <cell r="CP136" t="str">
            <v/>
          </cell>
          <cell r="CQ136">
            <v>0</v>
          </cell>
          <cell r="CR136">
            <v>0</v>
          </cell>
          <cell r="CS136">
            <v>2</v>
          </cell>
          <cell r="CT136">
            <v>2</v>
          </cell>
          <cell r="CU136" t="str">
            <v/>
          </cell>
          <cell r="CV136">
            <v>0</v>
          </cell>
          <cell r="CW136">
            <v>0</v>
          </cell>
          <cell r="CX136">
            <v>2</v>
          </cell>
          <cell r="CY136">
            <v>2</v>
          </cell>
          <cell r="CZ136" t="str">
            <v/>
          </cell>
          <cell r="DA136">
            <v>0</v>
          </cell>
          <cell r="DB136">
            <v>0</v>
          </cell>
          <cell r="DC136">
            <v>2</v>
          </cell>
          <cell r="DD136">
            <v>2</v>
          </cell>
          <cell r="DE136" t="str">
            <v/>
          </cell>
          <cell r="DF136">
            <v>0</v>
          </cell>
          <cell r="DG136">
            <v>0</v>
          </cell>
          <cell r="DH136">
            <v>2</v>
          </cell>
          <cell r="DI136">
            <v>2</v>
          </cell>
          <cell r="DJ136" t="str">
            <v/>
          </cell>
          <cell r="DK136">
            <v>0</v>
          </cell>
          <cell r="DL136">
            <v>0</v>
          </cell>
          <cell r="DM136">
            <v>2</v>
          </cell>
          <cell r="DN136">
            <v>2</v>
          </cell>
          <cell r="DO136" t="str">
            <v/>
          </cell>
          <cell r="DP136">
            <v>0</v>
          </cell>
          <cell r="DQ136">
            <v>0</v>
          </cell>
          <cell r="DR136">
            <v>2</v>
          </cell>
          <cell r="DS136">
            <v>2</v>
          </cell>
          <cell r="DT136" t="str">
            <v/>
          </cell>
          <cell r="DU136">
            <v>0</v>
          </cell>
          <cell r="DV136">
            <v>0</v>
          </cell>
          <cell r="DW136">
            <v>2</v>
          </cell>
          <cell r="DX136">
            <v>2</v>
          </cell>
          <cell r="DY136" t="str">
            <v/>
          </cell>
          <cell r="DZ136">
            <v>0</v>
          </cell>
          <cell r="EA136">
            <v>0</v>
          </cell>
          <cell r="EB136">
            <v>2</v>
          </cell>
          <cell r="EC136">
            <v>2</v>
          </cell>
          <cell r="ED136" t="str">
            <v/>
          </cell>
          <cell r="EE136">
            <v>0</v>
          </cell>
          <cell r="EF136">
            <v>0</v>
          </cell>
          <cell r="EG136">
            <v>2</v>
          </cell>
          <cell r="EH136">
            <v>2</v>
          </cell>
          <cell r="EI136" t="str">
            <v/>
          </cell>
          <cell r="EJ136">
            <v>0</v>
          </cell>
          <cell r="EK136">
            <v>0</v>
          </cell>
          <cell r="EL136">
            <v>2</v>
          </cell>
          <cell r="EM136">
            <v>2</v>
          </cell>
          <cell r="EN136" t="str">
            <v/>
          </cell>
          <cell r="EO136">
            <v>0</v>
          </cell>
          <cell r="EP136">
            <v>0</v>
          </cell>
          <cell r="EQ136">
            <v>2</v>
          </cell>
          <cell r="ER136">
            <v>2</v>
          </cell>
          <cell r="ES136" t="str">
            <v/>
          </cell>
          <cell r="ET136">
            <v>0</v>
          </cell>
          <cell r="EU136">
            <v>0</v>
          </cell>
          <cell r="EV136">
            <v>2</v>
          </cell>
          <cell r="EW136">
            <v>2</v>
          </cell>
          <cell r="EX136" t="str">
            <v/>
          </cell>
          <cell r="EY136">
            <v>0</v>
          </cell>
          <cell r="EZ136">
            <v>0</v>
          </cell>
          <cell r="FA136">
            <v>2</v>
          </cell>
          <cell r="FB136">
            <v>2</v>
          </cell>
          <cell r="FC136" t="str">
            <v/>
          </cell>
          <cell r="FD136">
            <v>0</v>
          </cell>
          <cell r="FE136">
            <v>0</v>
          </cell>
          <cell r="FF136">
            <v>2</v>
          </cell>
          <cell r="FG136">
            <v>2</v>
          </cell>
          <cell r="FH136" t="str">
            <v/>
          </cell>
          <cell r="FI136">
            <v>0</v>
          </cell>
          <cell r="FJ136">
            <v>0</v>
          </cell>
          <cell r="FK136">
            <v>2</v>
          </cell>
          <cell r="FL136">
            <v>2</v>
          </cell>
          <cell r="FM136" t="str">
            <v/>
          </cell>
          <cell r="FN136">
            <v>0</v>
          </cell>
          <cell r="FO136">
            <v>0</v>
          </cell>
          <cell r="FP136">
            <v>2</v>
          </cell>
          <cell r="FQ136">
            <v>2</v>
          </cell>
          <cell r="FR136" t="str">
            <v/>
          </cell>
          <cell r="FS136">
            <v>0</v>
          </cell>
          <cell r="FT136">
            <v>0</v>
          </cell>
          <cell r="FU136">
            <v>2.0333333333333332</v>
          </cell>
          <cell r="FW136" t="str">
            <v>SIN ROTACIÓN</v>
          </cell>
          <cell r="FX136" t="str">
            <v>C</v>
          </cell>
          <cell r="FY136" t="str">
            <v>Si</v>
          </cell>
        </row>
        <row r="137">
          <cell r="B137" t="str">
            <v>REP-0138</v>
          </cell>
          <cell r="C137" t="str">
            <v>MIX</v>
          </cell>
          <cell r="D137">
            <v>0</v>
          </cell>
          <cell r="E137">
            <v>14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14</v>
          </cell>
          <cell r="AA137">
            <v>14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0.25</v>
          </cell>
          <cell r="AI137">
            <v>0</v>
          </cell>
          <cell r="AJ137">
            <v>0</v>
          </cell>
          <cell r="AK137">
            <v>0.25</v>
          </cell>
          <cell r="AL137">
            <v>0.125</v>
          </cell>
          <cell r="AM137">
            <v>6.25E-2</v>
          </cell>
          <cell r="AN137">
            <v>2</v>
          </cell>
          <cell r="AO137">
            <v>0</v>
          </cell>
          <cell r="AP137">
            <v>5.5</v>
          </cell>
          <cell r="AQ137" t="str">
            <v/>
          </cell>
          <cell r="AR137">
            <v>0</v>
          </cell>
          <cell r="AS137">
            <v>6</v>
          </cell>
          <cell r="AT137">
            <v>6</v>
          </cell>
          <cell r="AU137" t="str">
            <v/>
          </cell>
          <cell r="AV137">
            <v>0</v>
          </cell>
          <cell r="AW137">
            <v>6</v>
          </cell>
          <cell r="AX137">
            <v>6</v>
          </cell>
          <cell r="AY137">
            <v>24</v>
          </cell>
          <cell r="AZ137">
            <v>0</v>
          </cell>
          <cell r="BA137">
            <v>6</v>
          </cell>
          <cell r="BB137">
            <v>6</v>
          </cell>
          <cell r="BC137">
            <v>36</v>
          </cell>
          <cell r="BD137">
            <v>0</v>
          </cell>
          <cell r="BE137">
            <v>5.833333333333333</v>
          </cell>
          <cell r="BF137">
            <v>35</v>
          </cell>
          <cell r="BG137">
            <v>0</v>
          </cell>
          <cell r="BH137">
            <v>5.6666666666666661</v>
          </cell>
          <cell r="BI137">
            <v>14</v>
          </cell>
          <cell r="BJ137">
            <v>56</v>
          </cell>
          <cell r="BK137">
            <v>0</v>
          </cell>
          <cell r="BL137">
            <v>3.6666666666666665</v>
          </cell>
          <cell r="BM137">
            <v>3</v>
          </cell>
          <cell r="BN137">
            <v>6</v>
          </cell>
          <cell r="BO137">
            <v>0</v>
          </cell>
          <cell r="BP137">
            <v>2.5</v>
          </cell>
          <cell r="BQ137">
            <v>3</v>
          </cell>
          <cell r="BR137">
            <v>12</v>
          </cell>
          <cell r="BS137">
            <v>0</v>
          </cell>
          <cell r="BT137">
            <v>2.5</v>
          </cell>
          <cell r="BU137">
            <v>3</v>
          </cell>
          <cell r="BV137">
            <v>6</v>
          </cell>
          <cell r="BW137">
            <v>1</v>
          </cell>
          <cell r="BX137">
            <v>0</v>
          </cell>
          <cell r="BY137">
            <v>2.5</v>
          </cell>
          <cell r="BZ137">
            <v>3</v>
          </cell>
          <cell r="CA137">
            <v>6</v>
          </cell>
          <cell r="CB137">
            <v>1</v>
          </cell>
          <cell r="CC137">
            <v>0</v>
          </cell>
          <cell r="CD137">
            <v>12.5</v>
          </cell>
          <cell r="CE137">
            <v>3</v>
          </cell>
          <cell r="CF137">
            <v>6</v>
          </cell>
          <cell r="CG137">
            <v>1</v>
          </cell>
          <cell r="CH137">
            <v>10</v>
          </cell>
          <cell r="CI137">
            <v>13</v>
          </cell>
          <cell r="CJ137">
            <v>14</v>
          </cell>
          <cell r="CK137">
            <v>56</v>
          </cell>
          <cell r="CL137">
            <v>0</v>
          </cell>
          <cell r="CM137">
            <v>0</v>
          </cell>
          <cell r="CN137">
            <v>13.75</v>
          </cell>
          <cell r="CO137">
            <v>14</v>
          </cell>
          <cell r="CP137">
            <v>56</v>
          </cell>
          <cell r="CQ137">
            <v>0</v>
          </cell>
          <cell r="CR137">
            <v>0</v>
          </cell>
          <cell r="CS137">
            <v>13.75</v>
          </cell>
          <cell r="CT137">
            <v>14</v>
          </cell>
          <cell r="CU137">
            <v>56</v>
          </cell>
          <cell r="CV137">
            <v>0</v>
          </cell>
          <cell r="CW137">
            <v>0</v>
          </cell>
          <cell r="CX137">
            <v>13.75</v>
          </cell>
          <cell r="CY137">
            <v>14</v>
          </cell>
          <cell r="CZ137">
            <v>56</v>
          </cell>
          <cell r="DA137">
            <v>0</v>
          </cell>
          <cell r="DB137">
            <v>0</v>
          </cell>
          <cell r="DC137">
            <v>13.75</v>
          </cell>
          <cell r="DD137">
            <v>14</v>
          </cell>
          <cell r="DE137">
            <v>52</v>
          </cell>
          <cell r="DF137">
            <v>0</v>
          </cell>
          <cell r="DG137">
            <v>0</v>
          </cell>
          <cell r="DH137">
            <v>13.75</v>
          </cell>
          <cell r="DI137">
            <v>14</v>
          </cell>
          <cell r="DJ137">
            <v>54</v>
          </cell>
          <cell r="DK137">
            <v>0</v>
          </cell>
          <cell r="DL137">
            <v>0</v>
          </cell>
          <cell r="DM137">
            <v>13.5</v>
          </cell>
          <cell r="DN137">
            <v>14</v>
          </cell>
          <cell r="DO137">
            <v>54</v>
          </cell>
          <cell r="DP137">
            <v>0</v>
          </cell>
          <cell r="DQ137">
            <v>0</v>
          </cell>
          <cell r="DR137">
            <v>13.75</v>
          </cell>
          <cell r="DS137">
            <v>13.75</v>
          </cell>
          <cell r="DT137">
            <v>53</v>
          </cell>
          <cell r="DU137">
            <v>0</v>
          </cell>
          <cell r="DV137">
            <v>0</v>
          </cell>
          <cell r="DW137">
            <v>13.5</v>
          </cell>
          <cell r="DX137">
            <v>13.5</v>
          </cell>
          <cell r="DY137">
            <v>52</v>
          </cell>
          <cell r="DZ137">
            <v>0</v>
          </cell>
          <cell r="EA137">
            <v>0</v>
          </cell>
          <cell r="EB137">
            <v>13.25</v>
          </cell>
          <cell r="EC137">
            <v>13.25</v>
          </cell>
          <cell r="ED137">
            <v>51</v>
          </cell>
          <cell r="EE137">
            <v>0</v>
          </cell>
          <cell r="EF137">
            <v>0</v>
          </cell>
          <cell r="EG137">
            <v>13</v>
          </cell>
          <cell r="EH137">
            <v>13</v>
          </cell>
          <cell r="EI137">
            <v>50</v>
          </cell>
          <cell r="EJ137">
            <v>0</v>
          </cell>
          <cell r="EK137">
            <v>0</v>
          </cell>
          <cell r="EL137">
            <v>12.75</v>
          </cell>
          <cell r="EM137">
            <v>12.75</v>
          </cell>
          <cell r="EN137">
            <v>49</v>
          </cell>
          <cell r="EO137">
            <v>0</v>
          </cell>
          <cell r="EP137">
            <v>0</v>
          </cell>
          <cell r="EQ137">
            <v>12.5</v>
          </cell>
          <cell r="ER137">
            <v>12.5</v>
          </cell>
          <cell r="ES137">
            <v>48</v>
          </cell>
          <cell r="ET137">
            <v>0</v>
          </cell>
          <cell r="EU137">
            <v>0</v>
          </cell>
          <cell r="EV137">
            <v>12.25</v>
          </cell>
          <cell r="EW137">
            <v>12.25</v>
          </cell>
          <cell r="EX137">
            <v>47</v>
          </cell>
          <cell r="EY137">
            <v>0</v>
          </cell>
          <cell r="EZ137">
            <v>0</v>
          </cell>
          <cell r="FA137">
            <v>12</v>
          </cell>
          <cell r="FB137">
            <v>12</v>
          </cell>
          <cell r="FC137">
            <v>46</v>
          </cell>
          <cell r="FD137">
            <v>0</v>
          </cell>
          <cell r="FE137">
            <v>0</v>
          </cell>
          <cell r="FF137">
            <v>11.75</v>
          </cell>
          <cell r="FG137">
            <v>11.75</v>
          </cell>
          <cell r="FH137">
            <v>45</v>
          </cell>
          <cell r="FI137">
            <v>0</v>
          </cell>
          <cell r="FJ137">
            <v>0</v>
          </cell>
          <cell r="FK137">
            <v>11.5</v>
          </cell>
          <cell r="FL137">
            <v>11.5</v>
          </cell>
          <cell r="FM137">
            <v>44</v>
          </cell>
          <cell r="FN137">
            <v>0</v>
          </cell>
          <cell r="FO137">
            <v>0</v>
          </cell>
          <cell r="FP137">
            <v>11.25</v>
          </cell>
          <cell r="FQ137">
            <v>11.25</v>
          </cell>
          <cell r="FR137">
            <v>43</v>
          </cell>
          <cell r="FS137">
            <v>0</v>
          </cell>
          <cell r="FT137">
            <v>1</v>
          </cell>
          <cell r="FU137">
            <v>2.0333333333333332</v>
          </cell>
          <cell r="FW137" t="str">
            <v>SIN ROTACIÓN</v>
          </cell>
          <cell r="FX137" t="str">
            <v>STOCK MUERTO</v>
          </cell>
          <cell r="FY137" t="str">
            <v>Si</v>
          </cell>
        </row>
        <row r="138">
          <cell r="B138" t="str">
            <v>REP-0143</v>
          </cell>
          <cell r="C138" t="str">
            <v>MIX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AA138">
            <v>0</v>
          </cell>
          <cell r="AB138">
            <v>3</v>
          </cell>
          <cell r="AC138">
            <v>0.66666666666666663</v>
          </cell>
          <cell r="AD138">
            <v>2.222222222222222E-2</v>
          </cell>
          <cell r="AE138">
            <v>0.58333333333333337</v>
          </cell>
          <cell r="AF138">
            <v>1.75</v>
          </cell>
          <cell r="AG138">
            <v>0.33333333333333331</v>
          </cell>
          <cell r="AH138">
            <v>0</v>
          </cell>
          <cell r="AI138">
            <v>0</v>
          </cell>
          <cell r="AJ138">
            <v>0</v>
          </cell>
          <cell r="AK138">
            <v>0.33333333333333331</v>
          </cell>
          <cell r="AM138">
            <v>8.3333333333333329E-2</v>
          </cell>
          <cell r="AO138">
            <v>0</v>
          </cell>
          <cell r="AP138">
            <v>-0.33333333333333331</v>
          </cell>
          <cell r="AQ138">
            <v>-1</v>
          </cell>
          <cell r="AR138">
            <v>0</v>
          </cell>
          <cell r="AS138">
            <v>-3.5</v>
          </cell>
          <cell r="AT138">
            <v>0</v>
          </cell>
          <cell r="AU138">
            <v>0</v>
          </cell>
          <cell r="AV138">
            <v>0</v>
          </cell>
          <cell r="AW138">
            <v>-0.5</v>
          </cell>
          <cell r="AX138">
            <v>0</v>
          </cell>
          <cell r="AY138">
            <v>0</v>
          </cell>
          <cell r="AZ138">
            <v>0</v>
          </cell>
          <cell r="BA138">
            <v>-0.5</v>
          </cell>
          <cell r="BB138">
            <v>0</v>
          </cell>
          <cell r="BC138">
            <v>0</v>
          </cell>
          <cell r="BD138">
            <v>0</v>
          </cell>
          <cell r="BE138">
            <v>-0.33333333333333331</v>
          </cell>
          <cell r="BF138">
            <v>-1</v>
          </cell>
          <cell r="BG138">
            <v>0</v>
          </cell>
          <cell r="BH138">
            <v>-0.66666666666666663</v>
          </cell>
          <cell r="BI138">
            <v>0</v>
          </cell>
          <cell r="BJ138">
            <v>0</v>
          </cell>
          <cell r="BK138">
            <v>0</v>
          </cell>
          <cell r="BL138">
            <v>-0.33333333333333331</v>
          </cell>
          <cell r="BM138">
            <v>0</v>
          </cell>
          <cell r="BN138">
            <v>0</v>
          </cell>
          <cell r="BO138">
            <v>0</v>
          </cell>
          <cell r="BP138">
            <v>-0.33333333333333331</v>
          </cell>
          <cell r="BQ138">
            <v>0</v>
          </cell>
          <cell r="BR138">
            <v>0</v>
          </cell>
          <cell r="BS138">
            <v>0</v>
          </cell>
          <cell r="BT138">
            <v>-0.33333333333333331</v>
          </cell>
          <cell r="BU138">
            <v>0</v>
          </cell>
          <cell r="BV138">
            <v>0</v>
          </cell>
          <cell r="BW138">
            <v>44</v>
          </cell>
          <cell r="BX138">
            <v>0</v>
          </cell>
          <cell r="BY138">
            <v>-0.33333333333333331</v>
          </cell>
          <cell r="BZ138">
            <v>0</v>
          </cell>
          <cell r="CA138">
            <v>0</v>
          </cell>
          <cell r="CB138">
            <v>44</v>
          </cell>
          <cell r="CD138">
            <v>-0.33333333333333331</v>
          </cell>
          <cell r="CE138">
            <v>0</v>
          </cell>
          <cell r="CF138">
            <v>0</v>
          </cell>
          <cell r="CG138">
            <v>44</v>
          </cell>
          <cell r="CH138">
            <v>0</v>
          </cell>
          <cell r="CI138">
            <v>43.333333333333329</v>
          </cell>
          <cell r="CJ138">
            <v>0</v>
          </cell>
          <cell r="CK138">
            <v>0</v>
          </cell>
          <cell r="CL138">
            <v>44</v>
          </cell>
          <cell r="CM138">
            <v>0</v>
          </cell>
          <cell r="CN138">
            <v>-0.33333333333333331</v>
          </cell>
          <cell r="CO138">
            <v>0</v>
          </cell>
          <cell r="CP138">
            <v>0</v>
          </cell>
          <cell r="CQ138">
            <v>44.333333333333336</v>
          </cell>
          <cell r="CS138">
            <v>-0.33333333333333331</v>
          </cell>
          <cell r="CT138">
            <v>0</v>
          </cell>
          <cell r="CU138">
            <v>0</v>
          </cell>
          <cell r="CV138">
            <v>23</v>
          </cell>
          <cell r="CX138">
            <v>-0.33333333333333331</v>
          </cell>
          <cell r="CY138">
            <v>0</v>
          </cell>
          <cell r="CZ138">
            <v>0</v>
          </cell>
          <cell r="DA138">
            <v>23.333333333333332</v>
          </cell>
          <cell r="DB138">
            <v>0</v>
          </cell>
          <cell r="DC138">
            <v>-0.33333333333333331</v>
          </cell>
          <cell r="DD138">
            <v>0</v>
          </cell>
          <cell r="DE138">
            <v>-69</v>
          </cell>
          <cell r="DF138">
            <v>23.333333333333332</v>
          </cell>
          <cell r="DG138">
            <v>0</v>
          </cell>
          <cell r="DH138">
            <v>-0.33333333333333331</v>
          </cell>
          <cell r="DI138">
            <v>0</v>
          </cell>
          <cell r="DJ138">
            <v>-67</v>
          </cell>
          <cell r="DK138">
            <v>23.333333333333332</v>
          </cell>
          <cell r="DL138">
            <v>0</v>
          </cell>
          <cell r="DM138">
            <v>22.666666666666668</v>
          </cell>
          <cell r="DN138">
            <v>0</v>
          </cell>
          <cell r="DO138">
            <v>-67</v>
          </cell>
          <cell r="DP138">
            <v>23</v>
          </cell>
          <cell r="DQ138">
            <v>0</v>
          </cell>
          <cell r="DR138">
            <v>-0.33333333333333331</v>
          </cell>
          <cell r="DS138">
            <v>-0.33333333333333331</v>
          </cell>
          <cell r="DT138">
            <v>-68</v>
          </cell>
          <cell r="DU138">
            <v>23.333333333333332</v>
          </cell>
          <cell r="DV138">
            <v>0</v>
          </cell>
          <cell r="DW138">
            <v>-0.66666666666666663</v>
          </cell>
          <cell r="DX138">
            <v>-0.66666666666666663</v>
          </cell>
          <cell r="DY138">
            <v>-69.000000000000014</v>
          </cell>
          <cell r="DZ138">
            <v>23.666666666666668</v>
          </cell>
          <cell r="EA138">
            <v>0</v>
          </cell>
          <cell r="EB138">
            <v>-1</v>
          </cell>
          <cell r="EC138">
            <v>-1</v>
          </cell>
          <cell r="ED138">
            <v>-70</v>
          </cell>
          <cell r="EE138">
            <v>24</v>
          </cell>
          <cell r="EF138">
            <v>0</v>
          </cell>
          <cell r="EG138">
            <v>-1.3333333333333333</v>
          </cell>
          <cell r="EH138">
            <v>-1.3333333333333333</v>
          </cell>
          <cell r="EI138">
            <v>-71</v>
          </cell>
          <cell r="EJ138">
            <v>24.333333333333332</v>
          </cell>
          <cell r="EK138">
            <v>0</v>
          </cell>
          <cell r="EL138">
            <v>-1.6666666666666665</v>
          </cell>
          <cell r="EM138">
            <v>-1.6666666666666665</v>
          </cell>
          <cell r="EN138">
            <v>-72.000000000000014</v>
          </cell>
          <cell r="EO138">
            <v>24.666666666666668</v>
          </cell>
          <cell r="EP138">
            <v>0</v>
          </cell>
          <cell r="EQ138">
            <v>-1.9999999999999998</v>
          </cell>
          <cell r="ER138">
            <v>-1.9999999999999998</v>
          </cell>
          <cell r="ES138">
            <v>-73</v>
          </cell>
          <cell r="ET138">
            <v>25</v>
          </cell>
          <cell r="EU138">
            <v>0</v>
          </cell>
          <cell r="EV138">
            <v>-2.333333333333333</v>
          </cell>
          <cell r="EW138">
            <v>-2.333333333333333</v>
          </cell>
          <cell r="EX138">
            <v>-74</v>
          </cell>
          <cell r="EY138">
            <v>25.333333333333332</v>
          </cell>
          <cell r="EZ138">
            <v>0</v>
          </cell>
          <cell r="FA138">
            <v>-2.6666666666666665</v>
          </cell>
          <cell r="FB138">
            <v>-2.6666666666666665</v>
          </cell>
          <cell r="FC138">
            <v>-75.000000000000014</v>
          </cell>
          <cell r="FD138">
            <v>25.666666666666668</v>
          </cell>
          <cell r="FE138">
            <v>0</v>
          </cell>
          <cell r="FF138">
            <v>-3</v>
          </cell>
          <cell r="FG138">
            <v>-3</v>
          </cell>
          <cell r="FH138">
            <v>-76</v>
          </cell>
          <cell r="FI138">
            <v>26</v>
          </cell>
          <cell r="FJ138">
            <v>0</v>
          </cell>
          <cell r="FK138">
            <v>-3.3333333333333335</v>
          </cell>
          <cell r="FL138">
            <v>-3.3333333333333335</v>
          </cell>
          <cell r="FM138">
            <v>-77</v>
          </cell>
          <cell r="FN138">
            <v>26.333333333333332</v>
          </cell>
          <cell r="FO138">
            <v>0</v>
          </cell>
          <cell r="FP138">
            <v>-3.666666666666667</v>
          </cell>
          <cell r="FQ138">
            <v>-3.666666666666667</v>
          </cell>
          <cell r="FR138">
            <v>-78.000000000000014</v>
          </cell>
          <cell r="FS138">
            <v>26.666666666666668</v>
          </cell>
          <cell r="FT138">
            <v>23</v>
          </cell>
          <cell r="FU138">
            <v>66.666666666666671</v>
          </cell>
          <cell r="FV138" t="str">
            <v>DESCONTINUAR</v>
          </cell>
          <cell r="FW138" t="str">
            <v>SIN ROTACIÓN</v>
          </cell>
          <cell r="FX138" t="str">
            <v/>
          </cell>
          <cell r="FY138" t="str">
            <v>No</v>
          </cell>
        </row>
        <row r="139">
          <cell r="B139" t="str">
            <v>REP-0144</v>
          </cell>
          <cell r="C139" t="str">
            <v>MIX</v>
          </cell>
          <cell r="D139">
            <v>0</v>
          </cell>
          <cell r="E139">
            <v>13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2</v>
          </cell>
          <cell r="W139">
            <v>0</v>
          </cell>
          <cell r="X139">
            <v>0</v>
          </cell>
          <cell r="Y139">
            <v>16</v>
          </cell>
          <cell r="AA139">
            <v>16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8.3333333333333329E-2</v>
          </cell>
          <cell r="AH139">
            <v>0.25</v>
          </cell>
          <cell r="AI139">
            <v>0</v>
          </cell>
          <cell r="AJ139">
            <v>0</v>
          </cell>
          <cell r="AK139">
            <v>0.25</v>
          </cell>
          <cell r="AL139">
            <v>0.11785113019775792</v>
          </cell>
          <cell r="AM139">
            <v>8.3333333333333329E-2</v>
          </cell>
          <cell r="AN139">
            <v>1.4142135623730951</v>
          </cell>
          <cell r="AO139">
            <v>0</v>
          </cell>
          <cell r="AP139">
            <v>17.916666666666668</v>
          </cell>
          <cell r="AQ139">
            <v>215.00000000000003</v>
          </cell>
          <cell r="AR139">
            <v>0</v>
          </cell>
          <cell r="AS139">
            <v>18</v>
          </cell>
          <cell r="AT139">
            <v>18</v>
          </cell>
          <cell r="AU139">
            <v>216</v>
          </cell>
          <cell r="AV139">
            <v>0</v>
          </cell>
          <cell r="AW139">
            <v>17.916666666666668</v>
          </cell>
          <cell r="AX139">
            <v>18</v>
          </cell>
          <cell r="AY139">
            <v>72</v>
          </cell>
          <cell r="AZ139">
            <v>0</v>
          </cell>
          <cell r="BA139">
            <v>17.916666666666668</v>
          </cell>
          <cell r="BB139">
            <v>18</v>
          </cell>
          <cell r="BC139">
            <v>108</v>
          </cell>
          <cell r="BD139">
            <v>0</v>
          </cell>
          <cell r="BE139">
            <v>17.833333333333332</v>
          </cell>
          <cell r="BF139">
            <v>107</v>
          </cell>
          <cell r="BG139">
            <v>0</v>
          </cell>
          <cell r="BH139">
            <v>17.666666666666664</v>
          </cell>
          <cell r="BI139">
            <v>16</v>
          </cell>
          <cell r="BJ139">
            <v>64</v>
          </cell>
          <cell r="BK139">
            <v>0</v>
          </cell>
          <cell r="BL139">
            <v>17.916666666666668</v>
          </cell>
          <cell r="BM139">
            <v>18</v>
          </cell>
          <cell r="BN139">
            <v>216</v>
          </cell>
          <cell r="BO139">
            <v>0</v>
          </cell>
          <cell r="BP139">
            <v>17.916666666666668</v>
          </cell>
          <cell r="BQ139">
            <v>18</v>
          </cell>
          <cell r="BR139">
            <v>72</v>
          </cell>
          <cell r="BS139">
            <v>0</v>
          </cell>
          <cell r="BT139">
            <v>17.916666666666668</v>
          </cell>
          <cell r="BU139">
            <v>18</v>
          </cell>
          <cell r="BV139">
            <v>216</v>
          </cell>
          <cell r="BW139">
            <v>0</v>
          </cell>
          <cell r="BX139">
            <v>0</v>
          </cell>
          <cell r="BY139">
            <v>17.916666666666668</v>
          </cell>
          <cell r="BZ139">
            <v>18</v>
          </cell>
          <cell r="CA139">
            <v>216</v>
          </cell>
          <cell r="CB139">
            <v>0</v>
          </cell>
          <cell r="CC139">
            <v>0</v>
          </cell>
          <cell r="CD139">
            <v>17.916666666666668</v>
          </cell>
          <cell r="CE139">
            <v>18</v>
          </cell>
          <cell r="CF139">
            <v>216</v>
          </cell>
          <cell r="CG139">
            <v>0</v>
          </cell>
          <cell r="CH139">
            <v>0</v>
          </cell>
          <cell r="CI139">
            <v>17.833333333333336</v>
          </cell>
          <cell r="CJ139">
            <v>15</v>
          </cell>
          <cell r="CK139">
            <v>30</v>
          </cell>
          <cell r="CL139">
            <v>0</v>
          </cell>
          <cell r="CM139">
            <v>0</v>
          </cell>
          <cell r="CN139">
            <v>14.5</v>
          </cell>
          <cell r="CO139">
            <v>15</v>
          </cell>
          <cell r="CP139">
            <v>30</v>
          </cell>
          <cell r="CQ139">
            <v>0</v>
          </cell>
          <cell r="CR139">
            <v>0</v>
          </cell>
          <cell r="CS139">
            <v>14.5</v>
          </cell>
          <cell r="CT139">
            <v>15</v>
          </cell>
          <cell r="CU139">
            <v>30</v>
          </cell>
          <cell r="CV139">
            <v>0</v>
          </cell>
          <cell r="CW139">
            <v>0</v>
          </cell>
          <cell r="CX139">
            <v>14.5</v>
          </cell>
          <cell r="CY139">
            <v>15</v>
          </cell>
          <cell r="CZ139">
            <v>60</v>
          </cell>
          <cell r="DA139">
            <v>0</v>
          </cell>
          <cell r="DB139">
            <v>0</v>
          </cell>
          <cell r="DC139">
            <v>14.75</v>
          </cell>
          <cell r="DD139">
            <v>16</v>
          </cell>
          <cell r="DE139">
            <v>60</v>
          </cell>
          <cell r="DF139">
            <v>0</v>
          </cell>
          <cell r="DG139">
            <v>0</v>
          </cell>
          <cell r="DH139">
            <v>15.75</v>
          </cell>
          <cell r="DI139">
            <v>16</v>
          </cell>
          <cell r="DJ139">
            <v>62</v>
          </cell>
          <cell r="DK139">
            <v>0</v>
          </cell>
          <cell r="DL139">
            <v>0</v>
          </cell>
          <cell r="DM139">
            <v>15.5</v>
          </cell>
          <cell r="DN139">
            <v>16</v>
          </cell>
          <cell r="DO139">
            <v>62</v>
          </cell>
          <cell r="DP139">
            <v>0</v>
          </cell>
          <cell r="DQ139">
            <v>0</v>
          </cell>
          <cell r="DR139">
            <v>15.75</v>
          </cell>
          <cell r="DS139">
            <v>15.75</v>
          </cell>
          <cell r="DT139">
            <v>61</v>
          </cell>
          <cell r="DU139">
            <v>0</v>
          </cell>
          <cell r="DV139">
            <v>0</v>
          </cell>
          <cell r="DW139">
            <v>15.5</v>
          </cell>
          <cell r="DX139">
            <v>15.5</v>
          </cell>
          <cell r="DY139">
            <v>60</v>
          </cell>
          <cell r="DZ139">
            <v>0</v>
          </cell>
          <cell r="EA139">
            <v>0</v>
          </cell>
          <cell r="EB139">
            <v>15.25</v>
          </cell>
          <cell r="EC139">
            <v>15.25</v>
          </cell>
          <cell r="ED139">
            <v>59</v>
          </cell>
          <cell r="EE139">
            <v>0</v>
          </cell>
          <cell r="EF139">
            <v>0</v>
          </cell>
          <cell r="EG139">
            <v>15</v>
          </cell>
          <cell r="EH139">
            <v>15</v>
          </cell>
          <cell r="EI139">
            <v>58</v>
          </cell>
          <cell r="EJ139">
            <v>0</v>
          </cell>
          <cell r="EK139">
            <v>0</v>
          </cell>
          <cell r="EL139">
            <v>14.75</v>
          </cell>
          <cell r="EM139">
            <v>14.75</v>
          </cell>
          <cell r="EN139">
            <v>57</v>
          </cell>
          <cell r="EO139">
            <v>0</v>
          </cell>
          <cell r="EP139">
            <v>0</v>
          </cell>
          <cell r="EQ139">
            <v>14.5</v>
          </cell>
          <cell r="ER139">
            <v>14.5</v>
          </cell>
          <cell r="ES139">
            <v>56</v>
          </cell>
          <cell r="ET139">
            <v>0</v>
          </cell>
          <cell r="EU139">
            <v>0</v>
          </cell>
          <cell r="EV139">
            <v>14.25</v>
          </cell>
          <cell r="EW139">
            <v>14.25</v>
          </cell>
          <cell r="EX139">
            <v>55</v>
          </cell>
          <cell r="EY139">
            <v>0</v>
          </cell>
          <cell r="EZ139">
            <v>0</v>
          </cell>
          <cell r="FA139">
            <v>14</v>
          </cell>
          <cell r="FB139">
            <v>14</v>
          </cell>
          <cell r="FC139">
            <v>54</v>
          </cell>
          <cell r="FD139">
            <v>0</v>
          </cell>
          <cell r="FE139">
            <v>0</v>
          </cell>
          <cell r="FF139">
            <v>13.75</v>
          </cell>
          <cell r="FG139">
            <v>13.75</v>
          </cell>
          <cell r="FH139">
            <v>53</v>
          </cell>
          <cell r="FI139">
            <v>0</v>
          </cell>
          <cell r="FJ139">
            <v>0</v>
          </cell>
          <cell r="FK139">
            <v>13.5</v>
          </cell>
          <cell r="FL139">
            <v>13.5</v>
          </cell>
          <cell r="FM139">
            <v>52</v>
          </cell>
          <cell r="FN139">
            <v>0</v>
          </cell>
          <cell r="FO139">
            <v>0</v>
          </cell>
          <cell r="FP139">
            <v>13.25</v>
          </cell>
          <cell r="FQ139">
            <v>13.25</v>
          </cell>
          <cell r="FR139">
            <v>51</v>
          </cell>
          <cell r="FS139">
            <v>0</v>
          </cell>
          <cell r="FT139">
            <v>1</v>
          </cell>
          <cell r="FU139">
            <v>2.0333333333333332</v>
          </cell>
          <cell r="FW139" t="str">
            <v>SIN ROTACIÓN</v>
          </cell>
          <cell r="FX139" t="str">
            <v>C</v>
          </cell>
          <cell r="FY139" t="str">
            <v>Si</v>
          </cell>
        </row>
        <row r="140">
          <cell r="B140" t="str">
            <v>REP-0145</v>
          </cell>
          <cell r="C140" t="str">
            <v>MIX</v>
          </cell>
          <cell r="D140">
            <v>0</v>
          </cell>
          <cell r="E140">
            <v>15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17</v>
          </cell>
          <cell r="AA140">
            <v>17</v>
          </cell>
          <cell r="AB140">
            <v>0</v>
          </cell>
          <cell r="AC140">
            <v>0.5</v>
          </cell>
          <cell r="AD140">
            <v>1.6666666666666666E-2</v>
          </cell>
          <cell r="AE140">
            <v>0.25</v>
          </cell>
          <cell r="AF140">
            <v>0.125</v>
          </cell>
          <cell r="AG140">
            <v>8.3333333333333329E-2</v>
          </cell>
          <cell r="AH140">
            <v>0</v>
          </cell>
          <cell r="AI140">
            <v>0.16666666666666666</v>
          </cell>
          <cell r="AJ140">
            <v>0.16666666666666666</v>
          </cell>
          <cell r="AK140">
            <v>0.16666666666666666</v>
          </cell>
          <cell r="AL140">
            <v>7.9785592313028189E-2</v>
          </cell>
          <cell r="AM140">
            <v>0.10416666666666666</v>
          </cell>
          <cell r="AN140">
            <v>0.76594168620507064</v>
          </cell>
          <cell r="AO140">
            <v>0</v>
          </cell>
          <cell r="AP140">
            <v>1.9166666666666667</v>
          </cell>
          <cell r="AQ140">
            <v>15</v>
          </cell>
          <cell r="AR140">
            <v>0</v>
          </cell>
          <cell r="AS140">
            <v>1.75</v>
          </cell>
          <cell r="AT140">
            <v>2</v>
          </cell>
          <cell r="AU140">
            <v>24</v>
          </cell>
          <cell r="AV140">
            <v>0</v>
          </cell>
          <cell r="AW140">
            <v>1.9166666666666667</v>
          </cell>
          <cell r="AX140">
            <v>2</v>
          </cell>
          <cell r="AY140">
            <v>12</v>
          </cell>
          <cell r="AZ140">
            <v>0</v>
          </cell>
          <cell r="BA140">
            <v>1.9166666666666667</v>
          </cell>
          <cell r="BB140">
            <v>2</v>
          </cell>
          <cell r="BC140">
            <v>24</v>
          </cell>
          <cell r="BD140">
            <v>0</v>
          </cell>
          <cell r="BE140">
            <v>1.9166666666666667</v>
          </cell>
          <cell r="BF140">
            <v>23.000000000000004</v>
          </cell>
          <cell r="BG140">
            <v>0</v>
          </cell>
          <cell r="BH140">
            <v>1.8333333333333335</v>
          </cell>
          <cell r="BI140">
            <v>17</v>
          </cell>
          <cell r="BJ140">
            <v>102</v>
          </cell>
          <cell r="BK140">
            <v>0</v>
          </cell>
          <cell r="BL140">
            <v>1.9166666666666667</v>
          </cell>
          <cell r="BM140">
            <v>2</v>
          </cell>
          <cell r="BN140">
            <v>24</v>
          </cell>
          <cell r="BO140">
            <v>0</v>
          </cell>
          <cell r="BP140">
            <v>1.9166666666666667</v>
          </cell>
          <cell r="BQ140">
            <v>4</v>
          </cell>
          <cell r="BR140">
            <v>24</v>
          </cell>
          <cell r="BS140">
            <v>0</v>
          </cell>
          <cell r="BT140">
            <v>3.9166666666666665</v>
          </cell>
          <cell r="BU140">
            <v>2</v>
          </cell>
          <cell r="BV140">
            <v>24</v>
          </cell>
          <cell r="BW140">
            <v>0</v>
          </cell>
          <cell r="BX140">
            <v>0</v>
          </cell>
          <cell r="BY140">
            <v>1.9166666666666667</v>
          </cell>
          <cell r="BZ140">
            <v>2</v>
          </cell>
          <cell r="CA140">
            <v>24</v>
          </cell>
          <cell r="CB140">
            <v>0</v>
          </cell>
          <cell r="CC140">
            <v>0</v>
          </cell>
          <cell r="CD140">
            <v>1.9166666666666667</v>
          </cell>
          <cell r="CE140">
            <v>2</v>
          </cell>
          <cell r="CF140">
            <v>24</v>
          </cell>
          <cell r="CG140">
            <v>0</v>
          </cell>
          <cell r="CH140">
            <v>0</v>
          </cell>
          <cell r="CI140">
            <v>1.8333333333333335</v>
          </cell>
          <cell r="CJ140">
            <v>2</v>
          </cell>
          <cell r="CK140">
            <v>24</v>
          </cell>
          <cell r="CL140">
            <v>0</v>
          </cell>
          <cell r="CM140">
            <v>0</v>
          </cell>
          <cell r="CN140">
            <v>1.9166666666666667</v>
          </cell>
          <cell r="CO140">
            <v>2</v>
          </cell>
          <cell r="CP140">
            <v>2</v>
          </cell>
          <cell r="CQ140">
            <v>0</v>
          </cell>
          <cell r="CR140">
            <v>0</v>
          </cell>
          <cell r="CS140">
            <v>1</v>
          </cell>
          <cell r="CT140">
            <v>2</v>
          </cell>
          <cell r="CU140">
            <v>4</v>
          </cell>
          <cell r="CV140">
            <v>0</v>
          </cell>
          <cell r="CW140">
            <v>0</v>
          </cell>
          <cell r="CX140">
            <v>1.5</v>
          </cell>
          <cell r="CY140">
            <v>2</v>
          </cell>
          <cell r="CZ140">
            <v>6</v>
          </cell>
          <cell r="DA140">
            <v>0</v>
          </cell>
          <cell r="DB140">
            <v>0</v>
          </cell>
          <cell r="DC140">
            <v>1.75</v>
          </cell>
          <cell r="DD140">
            <v>17</v>
          </cell>
          <cell r="DE140">
            <v>64</v>
          </cell>
          <cell r="DF140">
            <v>0</v>
          </cell>
          <cell r="DG140">
            <v>0</v>
          </cell>
          <cell r="DH140">
            <v>16.75</v>
          </cell>
          <cell r="DI140">
            <v>17</v>
          </cell>
          <cell r="DJ140">
            <v>82</v>
          </cell>
          <cell r="DK140">
            <v>0</v>
          </cell>
          <cell r="DL140">
            <v>0</v>
          </cell>
          <cell r="DM140">
            <v>16.55</v>
          </cell>
          <cell r="DN140">
            <v>17</v>
          </cell>
          <cell r="DO140">
            <v>98</v>
          </cell>
          <cell r="DP140">
            <v>0</v>
          </cell>
          <cell r="DQ140">
            <v>0</v>
          </cell>
          <cell r="DR140">
            <v>16.833333333333332</v>
          </cell>
          <cell r="DS140">
            <v>16.833333333333332</v>
          </cell>
          <cell r="DT140">
            <v>97</v>
          </cell>
          <cell r="DU140">
            <v>0</v>
          </cell>
          <cell r="DV140">
            <v>0</v>
          </cell>
          <cell r="DW140">
            <v>16.666666666666664</v>
          </cell>
          <cell r="DX140">
            <v>16.666666666666664</v>
          </cell>
          <cell r="DY140">
            <v>95.999999999999986</v>
          </cell>
          <cell r="DZ140">
            <v>0</v>
          </cell>
          <cell r="EA140">
            <v>0</v>
          </cell>
          <cell r="EB140">
            <v>16.499999999999996</v>
          </cell>
          <cell r="EC140">
            <v>16.499999999999996</v>
          </cell>
          <cell r="ED140">
            <v>94.999999999999986</v>
          </cell>
          <cell r="EE140">
            <v>0</v>
          </cell>
          <cell r="EF140">
            <v>0</v>
          </cell>
          <cell r="EG140">
            <v>16.333333333333329</v>
          </cell>
          <cell r="EH140">
            <v>16.333333333333329</v>
          </cell>
          <cell r="EI140">
            <v>93.999999999999972</v>
          </cell>
          <cell r="EJ140">
            <v>0</v>
          </cell>
          <cell r="EK140">
            <v>0</v>
          </cell>
          <cell r="EL140">
            <v>16.166666666666661</v>
          </cell>
          <cell r="EM140">
            <v>16.166666666666661</v>
          </cell>
          <cell r="EN140">
            <v>92.999999999999972</v>
          </cell>
          <cell r="EO140">
            <v>0</v>
          </cell>
          <cell r="EP140">
            <v>0</v>
          </cell>
          <cell r="EQ140">
            <v>15.999999999999995</v>
          </cell>
          <cell r="ER140">
            <v>15.999999999999995</v>
          </cell>
          <cell r="ES140">
            <v>91.999999999999972</v>
          </cell>
          <cell r="ET140">
            <v>0</v>
          </cell>
          <cell r="EU140">
            <v>0</v>
          </cell>
          <cell r="EV140">
            <v>15.833333333333329</v>
          </cell>
          <cell r="EW140">
            <v>15.833333333333329</v>
          </cell>
          <cell r="EX140">
            <v>90.999999999999972</v>
          </cell>
          <cell r="EY140">
            <v>0</v>
          </cell>
          <cell r="EZ140">
            <v>0</v>
          </cell>
          <cell r="FA140">
            <v>15.666666666666663</v>
          </cell>
          <cell r="FB140">
            <v>15.666666666666663</v>
          </cell>
          <cell r="FC140">
            <v>89.999999999999986</v>
          </cell>
          <cell r="FD140">
            <v>0</v>
          </cell>
          <cell r="FE140">
            <v>0</v>
          </cell>
          <cell r="FF140">
            <v>15.499999999999996</v>
          </cell>
          <cell r="FG140">
            <v>15.499999999999996</v>
          </cell>
          <cell r="FH140">
            <v>88.999999999999986</v>
          </cell>
          <cell r="FI140">
            <v>0</v>
          </cell>
          <cell r="FJ140">
            <v>0</v>
          </cell>
          <cell r="FK140">
            <v>15.33333333333333</v>
          </cell>
          <cell r="FL140">
            <v>15.33333333333333</v>
          </cell>
          <cell r="FM140">
            <v>87.999999999999986</v>
          </cell>
          <cell r="FN140">
            <v>0</v>
          </cell>
          <cell r="FO140">
            <v>0</v>
          </cell>
          <cell r="FP140">
            <v>15.166666666666664</v>
          </cell>
          <cell r="FQ140">
            <v>15.166666666666664</v>
          </cell>
          <cell r="FR140">
            <v>86.999999999999986</v>
          </cell>
          <cell r="FS140">
            <v>0</v>
          </cell>
          <cell r="FT140">
            <v>1</v>
          </cell>
          <cell r="FU140">
            <v>2.0333333333333332</v>
          </cell>
          <cell r="FW140" t="str">
            <v>SOBRESTOCK</v>
          </cell>
          <cell r="FX140" t="str">
            <v>C</v>
          </cell>
          <cell r="FY140" t="str">
            <v>Si</v>
          </cell>
        </row>
        <row r="141">
          <cell r="B141" t="str">
            <v>REP-0146</v>
          </cell>
          <cell r="C141" t="str">
            <v>MIX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O141">
            <v>0</v>
          </cell>
          <cell r="AP141">
            <v>0</v>
          </cell>
          <cell r="AQ141" t="str">
            <v/>
          </cell>
          <cell r="AR141">
            <v>0</v>
          </cell>
          <cell r="AS141">
            <v>0</v>
          </cell>
          <cell r="AT141">
            <v>0</v>
          </cell>
          <cell r="AU141" t="str">
            <v/>
          </cell>
          <cell r="AV141">
            <v>0</v>
          </cell>
          <cell r="AW141">
            <v>0</v>
          </cell>
          <cell r="AX141">
            <v>0</v>
          </cell>
          <cell r="AY141" t="str">
            <v/>
          </cell>
          <cell r="AZ141">
            <v>0</v>
          </cell>
          <cell r="BA141">
            <v>0</v>
          </cell>
          <cell r="BB141">
            <v>0</v>
          </cell>
          <cell r="BC141" t="str">
            <v/>
          </cell>
          <cell r="BD141">
            <v>0</v>
          </cell>
          <cell r="BE141">
            <v>0</v>
          </cell>
          <cell r="BF141" t="str">
            <v/>
          </cell>
          <cell r="BG141">
            <v>0</v>
          </cell>
          <cell r="BH141">
            <v>0</v>
          </cell>
          <cell r="BI141">
            <v>0</v>
          </cell>
          <cell r="BJ141" t="str">
            <v/>
          </cell>
          <cell r="BK141">
            <v>0</v>
          </cell>
          <cell r="BL141">
            <v>0</v>
          </cell>
          <cell r="BM141">
            <v>0</v>
          </cell>
          <cell r="BN141" t="str">
            <v/>
          </cell>
          <cell r="BO141">
            <v>0</v>
          </cell>
          <cell r="BP141">
            <v>0</v>
          </cell>
          <cell r="BQ141">
            <v>0</v>
          </cell>
          <cell r="BR141" t="str">
            <v/>
          </cell>
          <cell r="BS141">
            <v>0</v>
          </cell>
          <cell r="BT141">
            <v>0</v>
          </cell>
          <cell r="BU141">
            <v>0</v>
          </cell>
          <cell r="BV141" t="str">
            <v/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 t="str">
            <v/>
          </cell>
          <cell r="CB141">
            <v>0</v>
          </cell>
          <cell r="CD141">
            <v>0</v>
          </cell>
          <cell r="CE141">
            <v>0</v>
          </cell>
          <cell r="CF141" t="str">
            <v/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 t="str">
            <v/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 t="str">
            <v/>
          </cell>
          <cell r="CQ141">
            <v>0</v>
          </cell>
          <cell r="CS141">
            <v>0</v>
          </cell>
          <cell r="CT141">
            <v>0</v>
          </cell>
          <cell r="CU141" t="str">
            <v/>
          </cell>
          <cell r="CV141">
            <v>0</v>
          </cell>
          <cell r="CX141">
            <v>0</v>
          </cell>
          <cell r="CY141">
            <v>0</v>
          </cell>
          <cell r="CZ141" t="str">
            <v/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 t="str">
            <v/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 t="str">
            <v/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 t="str">
            <v/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 t="str">
            <v/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 t="str">
            <v/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 t="str">
            <v/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 t="str">
            <v/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 t="str">
            <v/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 t="str">
            <v/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 t="str">
            <v/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 t="str">
            <v/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 t="str">
            <v/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 t="str">
            <v/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 t="str">
            <v/>
          </cell>
          <cell r="FS141">
            <v>0</v>
          </cell>
          <cell r="FT141">
            <v>0</v>
          </cell>
          <cell r="FU141">
            <v>66.666666666666671</v>
          </cell>
          <cell r="FW141" t="str">
            <v>SIN ROTACIÓN</v>
          </cell>
          <cell r="FX141" t="str">
            <v/>
          </cell>
          <cell r="FY141" t="str">
            <v>No</v>
          </cell>
        </row>
        <row r="142">
          <cell r="B142" t="str">
            <v>REP-0147</v>
          </cell>
          <cell r="C142" t="str">
            <v>MIX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3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3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3</v>
          </cell>
          <cell r="AQ142" t="str">
            <v/>
          </cell>
          <cell r="AR142">
            <v>0</v>
          </cell>
          <cell r="AS142">
            <v>3</v>
          </cell>
          <cell r="AT142">
            <v>3</v>
          </cell>
          <cell r="AU142" t="str">
            <v/>
          </cell>
          <cell r="AV142">
            <v>0</v>
          </cell>
          <cell r="AW142">
            <v>3</v>
          </cell>
          <cell r="AX142">
            <v>3</v>
          </cell>
          <cell r="AY142" t="str">
            <v/>
          </cell>
          <cell r="AZ142">
            <v>0</v>
          </cell>
          <cell r="BA142">
            <v>3</v>
          </cell>
          <cell r="BB142">
            <v>3</v>
          </cell>
          <cell r="BC142" t="str">
            <v/>
          </cell>
          <cell r="BD142">
            <v>0</v>
          </cell>
          <cell r="BE142">
            <v>3</v>
          </cell>
          <cell r="BF142" t="str">
            <v/>
          </cell>
          <cell r="BG142">
            <v>0</v>
          </cell>
          <cell r="BH142">
            <v>3</v>
          </cell>
          <cell r="BI142">
            <v>3</v>
          </cell>
          <cell r="BJ142" t="str">
            <v/>
          </cell>
          <cell r="BK142">
            <v>0</v>
          </cell>
          <cell r="BL142">
            <v>3</v>
          </cell>
          <cell r="BM142">
            <v>3</v>
          </cell>
          <cell r="BN142" t="str">
            <v/>
          </cell>
          <cell r="BO142">
            <v>0</v>
          </cell>
          <cell r="BP142">
            <v>3</v>
          </cell>
          <cell r="BQ142">
            <v>3</v>
          </cell>
          <cell r="BR142" t="str">
            <v/>
          </cell>
          <cell r="BS142">
            <v>0</v>
          </cell>
          <cell r="BT142">
            <v>3</v>
          </cell>
          <cell r="BU142">
            <v>3</v>
          </cell>
          <cell r="BV142" t="str">
            <v/>
          </cell>
          <cell r="BW142">
            <v>0</v>
          </cell>
          <cell r="BX142">
            <v>0</v>
          </cell>
          <cell r="BY142">
            <v>3</v>
          </cell>
          <cell r="BZ142">
            <v>3</v>
          </cell>
          <cell r="CA142" t="str">
            <v/>
          </cell>
          <cell r="CB142">
            <v>0</v>
          </cell>
          <cell r="CC142">
            <v>0</v>
          </cell>
          <cell r="CD142">
            <v>3</v>
          </cell>
          <cell r="CE142">
            <v>3</v>
          </cell>
          <cell r="CF142" t="str">
            <v/>
          </cell>
          <cell r="CG142">
            <v>0</v>
          </cell>
          <cell r="CH142">
            <v>0</v>
          </cell>
          <cell r="CI142">
            <v>3</v>
          </cell>
          <cell r="CJ142">
            <v>3</v>
          </cell>
          <cell r="CK142" t="str">
            <v/>
          </cell>
          <cell r="CL142">
            <v>0</v>
          </cell>
          <cell r="CM142">
            <v>0</v>
          </cell>
          <cell r="CN142">
            <v>3</v>
          </cell>
          <cell r="CO142">
            <v>3</v>
          </cell>
          <cell r="CP142" t="str">
            <v/>
          </cell>
          <cell r="CQ142">
            <v>0</v>
          </cell>
          <cell r="CR142">
            <v>0</v>
          </cell>
          <cell r="CS142">
            <v>3</v>
          </cell>
          <cell r="CT142">
            <v>3</v>
          </cell>
          <cell r="CU142" t="str">
            <v/>
          </cell>
          <cell r="CV142">
            <v>0</v>
          </cell>
          <cell r="CW142">
            <v>0</v>
          </cell>
          <cell r="CX142">
            <v>3</v>
          </cell>
          <cell r="CY142">
            <v>3</v>
          </cell>
          <cell r="CZ142" t="str">
            <v/>
          </cell>
          <cell r="DA142">
            <v>0</v>
          </cell>
          <cell r="DB142">
            <v>0</v>
          </cell>
          <cell r="DC142">
            <v>3</v>
          </cell>
          <cell r="DD142">
            <v>3</v>
          </cell>
          <cell r="DE142" t="str">
            <v/>
          </cell>
          <cell r="DF142">
            <v>0</v>
          </cell>
          <cell r="DG142">
            <v>0</v>
          </cell>
          <cell r="DH142">
            <v>3</v>
          </cell>
          <cell r="DI142">
            <v>3</v>
          </cell>
          <cell r="DJ142" t="str">
            <v/>
          </cell>
          <cell r="DK142">
            <v>0</v>
          </cell>
          <cell r="DL142">
            <v>0</v>
          </cell>
          <cell r="DM142">
            <v>3</v>
          </cell>
          <cell r="DN142">
            <v>3</v>
          </cell>
          <cell r="DO142" t="str">
            <v/>
          </cell>
          <cell r="DP142">
            <v>0</v>
          </cell>
          <cell r="DQ142">
            <v>0</v>
          </cell>
          <cell r="DR142">
            <v>3</v>
          </cell>
          <cell r="DS142">
            <v>3</v>
          </cell>
          <cell r="DT142" t="str">
            <v/>
          </cell>
          <cell r="DU142">
            <v>0</v>
          </cell>
          <cell r="DV142">
            <v>0</v>
          </cell>
          <cell r="DW142">
            <v>3</v>
          </cell>
          <cell r="DX142">
            <v>3</v>
          </cell>
          <cell r="DY142" t="str">
            <v/>
          </cell>
          <cell r="DZ142">
            <v>0</v>
          </cell>
          <cell r="EA142">
            <v>0</v>
          </cell>
          <cell r="EB142">
            <v>3</v>
          </cell>
          <cell r="EC142">
            <v>3</v>
          </cell>
          <cell r="ED142" t="str">
            <v/>
          </cell>
          <cell r="EE142">
            <v>0</v>
          </cell>
          <cell r="EF142">
            <v>0</v>
          </cell>
          <cell r="EG142">
            <v>3</v>
          </cell>
          <cell r="EH142">
            <v>3</v>
          </cell>
          <cell r="EI142" t="str">
            <v/>
          </cell>
          <cell r="EJ142">
            <v>0</v>
          </cell>
          <cell r="EK142">
            <v>0</v>
          </cell>
          <cell r="EL142">
            <v>3</v>
          </cell>
          <cell r="EM142">
            <v>3</v>
          </cell>
          <cell r="EN142" t="str">
            <v/>
          </cell>
          <cell r="EO142">
            <v>0</v>
          </cell>
          <cell r="EP142">
            <v>0</v>
          </cell>
          <cell r="EQ142">
            <v>3</v>
          </cell>
          <cell r="ER142">
            <v>3</v>
          </cell>
          <cell r="ES142" t="str">
            <v/>
          </cell>
          <cell r="ET142">
            <v>0</v>
          </cell>
          <cell r="EU142">
            <v>0</v>
          </cell>
          <cell r="EV142">
            <v>3</v>
          </cell>
          <cell r="EW142">
            <v>3</v>
          </cell>
          <cell r="EX142" t="str">
            <v/>
          </cell>
          <cell r="EY142">
            <v>0</v>
          </cell>
          <cell r="EZ142">
            <v>0</v>
          </cell>
          <cell r="FA142">
            <v>3</v>
          </cell>
          <cell r="FB142">
            <v>3</v>
          </cell>
          <cell r="FC142" t="str">
            <v/>
          </cell>
          <cell r="FD142">
            <v>0</v>
          </cell>
          <cell r="FE142">
            <v>0</v>
          </cell>
          <cell r="FF142">
            <v>3</v>
          </cell>
          <cell r="FG142">
            <v>3</v>
          </cell>
          <cell r="FH142" t="str">
            <v/>
          </cell>
          <cell r="FI142">
            <v>0</v>
          </cell>
          <cell r="FJ142">
            <v>0</v>
          </cell>
          <cell r="FK142">
            <v>3</v>
          </cell>
          <cell r="FL142">
            <v>3</v>
          </cell>
          <cell r="FM142" t="str">
            <v/>
          </cell>
          <cell r="FN142">
            <v>0</v>
          </cell>
          <cell r="FO142">
            <v>0</v>
          </cell>
          <cell r="FP142">
            <v>3</v>
          </cell>
          <cell r="FQ142">
            <v>3</v>
          </cell>
          <cell r="FR142" t="str">
            <v/>
          </cell>
          <cell r="FS142">
            <v>0</v>
          </cell>
          <cell r="FT142">
            <v>0</v>
          </cell>
          <cell r="FU142">
            <v>2.0333333333333332</v>
          </cell>
          <cell r="FV142" t="str">
            <v>SI</v>
          </cell>
          <cell r="FW142" t="str">
            <v>SIN ROTACIÓN</v>
          </cell>
          <cell r="FX142" t="str">
            <v>STOCK MUERTO</v>
          </cell>
          <cell r="FY142" t="str">
            <v>Si</v>
          </cell>
        </row>
        <row r="143">
          <cell r="B143" t="str">
            <v>REP-0148</v>
          </cell>
          <cell r="C143" t="str">
            <v>NO VIGENTE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M143">
            <v>0</v>
          </cell>
          <cell r="AO143">
            <v>0</v>
          </cell>
          <cell r="AP143">
            <v>0</v>
          </cell>
          <cell r="AQ143" t="str">
            <v/>
          </cell>
          <cell r="AR143">
            <v>0</v>
          </cell>
          <cell r="AS143">
            <v>0</v>
          </cell>
          <cell r="AT143">
            <v>0</v>
          </cell>
          <cell r="AU143" t="str">
            <v/>
          </cell>
          <cell r="AV143">
            <v>0</v>
          </cell>
          <cell r="AW143">
            <v>0</v>
          </cell>
          <cell r="AX143">
            <v>0</v>
          </cell>
          <cell r="AY143" t="str">
            <v/>
          </cell>
          <cell r="AZ143">
            <v>0</v>
          </cell>
          <cell r="BA143">
            <v>0</v>
          </cell>
          <cell r="BB143">
            <v>0</v>
          </cell>
          <cell r="BC143" t="str">
            <v/>
          </cell>
          <cell r="BD143">
            <v>0</v>
          </cell>
          <cell r="BE143">
            <v>0</v>
          </cell>
          <cell r="BF143" t="str">
            <v/>
          </cell>
          <cell r="BG143">
            <v>0</v>
          </cell>
          <cell r="BH143">
            <v>0</v>
          </cell>
          <cell r="BI143">
            <v>0</v>
          </cell>
          <cell r="BJ143" t="str">
            <v/>
          </cell>
          <cell r="BK143">
            <v>0</v>
          </cell>
          <cell r="BL143">
            <v>0</v>
          </cell>
          <cell r="BM143">
            <v>0</v>
          </cell>
          <cell r="BN143" t="str">
            <v/>
          </cell>
          <cell r="BO143">
            <v>0</v>
          </cell>
          <cell r="BP143">
            <v>0</v>
          </cell>
          <cell r="BQ143">
            <v>0</v>
          </cell>
          <cell r="BR143" t="str">
            <v/>
          </cell>
          <cell r="BS143">
            <v>0</v>
          </cell>
          <cell r="BT143">
            <v>0</v>
          </cell>
          <cell r="BU143">
            <v>0</v>
          </cell>
          <cell r="BV143" t="str">
            <v/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 t="str">
            <v/>
          </cell>
          <cell r="CB143">
            <v>0</v>
          </cell>
          <cell r="CD143">
            <v>0</v>
          </cell>
          <cell r="CE143">
            <v>0</v>
          </cell>
          <cell r="CF143" t="str">
            <v/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 t="str">
            <v/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 t="str">
            <v/>
          </cell>
          <cell r="CQ143">
            <v>0</v>
          </cell>
          <cell r="CS143">
            <v>0</v>
          </cell>
          <cell r="CT143">
            <v>0</v>
          </cell>
          <cell r="CU143" t="str">
            <v/>
          </cell>
          <cell r="CV143">
            <v>0</v>
          </cell>
          <cell r="CX143">
            <v>0</v>
          </cell>
          <cell r="CY143">
            <v>0</v>
          </cell>
          <cell r="CZ143" t="str">
            <v/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 t="str">
            <v/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 t="str">
            <v/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 t="str">
            <v/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 t="str">
            <v/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 t="str">
            <v/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 t="str">
            <v/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 t="str">
            <v/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 t="str">
            <v/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 t="str">
            <v/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 t="str">
            <v/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 t="str">
            <v/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 t="str">
            <v/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 t="str">
            <v/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 t="str">
            <v/>
          </cell>
          <cell r="FS143">
            <v>0</v>
          </cell>
          <cell r="FT143">
            <v>0</v>
          </cell>
          <cell r="FU143">
            <v>66.666666666666671</v>
          </cell>
          <cell r="FW143" t="str">
            <v>SIN ROTACIÓN</v>
          </cell>
          <cell r="FX143">
            <v>0</v>
          </cell>
          <cell r="FY143" t="str">
            <v>No</v>
          </cell>
        </row>
        <row r="144">
          <cell r="B144" t="str">
            <v>REP-0149</v>
          </cell>
          <cell r="C144" t="str">
            <v>MIX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6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AA144">
            <v>6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8.3333333333333329E-2</v>
          </cell>
          <cell r="AH144">
            <v>8.3333333333333329E-2</v>
          </cell>
          <cell r="AI144">
            <v>0</v>
          </cell>
          <cell r="AJ144">
            <v>0</v>
          </cell>
          <cell r="AK144">
            <v>8.3333333333333329E-2</v>
          </cell>
          <cell r="AL144">
            <v>4.8112522432468816E-2</v>
          </cell>
          <cell r="AM144">
            <v>4.1666666666666664E-2</v>
          </cell>
          <cell r="AN144">
            <v>1.1547005383792517</v>
          </cell>
          <cell r="AO144">
            <v>0</v>
          </cell>
          <cell r="AP144">
            <v>6.833333333333333</v>
          </cell>
          <cell r="AQ144">
            <v>83.000000000000014</v>
          </cell>
          <cell r="AR144">
            <v>0</v>
          </cell>
          <cell r="AS144">
            <v>7</v>
          </cell>
          <cell r="AT144">
            <v>7</v>
          </cell>
          <cell r="AU144">
            <v>84</v>
          </cell>
          <cell r="AV144">
            <v>0</v>
          </cell>
          <cell r="AW144">
            <v>6.916666666666667</v>
          </cell>
          <cell r="AX144">
            <v>7</v>
          </cell>
          <cell r="AY144">
            <v>84</v>
          </cell>
          <cell r="AZ144">
            <v>0</v>
          </cell>
          <cell r="BA144">
            <v>6.916666666666667</v>
          </cell>
          <cell r="BB144">
            <v>7</v>
          </cell>
          <cell r="BC144">
            <v>84</v>
          </cell>
          <cell r="BD144">
            <v>0</v>
          </cell>
          <cell r="BE144">
            <v>6.916666666666667</v>
          </cell>
          <cell r="BF144">
            <v>83.000000000000014</v>
          </cell>
          <cell r="BG144">
            <v>0</v>
          </cell>
          <cell r="BH144">
            <v>6.8333333333333339</v>
          </cell>
          <cell r="BI144">
            <v>6</v>
          </cell>
          <cell r="BJ144">
            <v>72</v>
          </cell>
          <cell r="BK144">
            <v>0</v>
          </cell>
          <cell r="BL144">
            <v>6.916666666666667</v>
          </cell>
          <cell r="BM144">
            <v>7</v>
          </cell>
          <cell r="BN144">
            <v>84</v>
          </cell>
          <cell r="BO144">
            <v>0</v>
          </cell>
          <cell r="BP144">
            <v>6.916666666666667</v>
          </cell>
          <cell r="BQ144">
            <v>6</v>
          </cell>
          <cell r="BR144">
            <v>72</v>
          </cell>
          <cell r="BS144">
            <v>0</v>
          </cell>
          <cell r="BT144">
            <v>5.833333333333333</v>
          </cell>
          <cell r="BU144">
            <v>6</v>
          </cell>
          <cell r="BV144">
            <v>36</v>
          </cell>
          <cell r="BW144">
            <v>0</v>
          </cell>
          <cell r="BX144">
            <v>0</v>
          </cell>
          <cell r="BY144">
            <v>5.833333333333333</v>
          </cell>
          <cell r="BZ144">
            <v>6</v>
          </cell>
          <cell r="CA144">
            <v>36</v>
          </cell>
          <cell r="CB144">
            <v>0</v>
          </cell>
          <cell r="CC144">
            <v>0</v>
          </cell>
          <cell r="CD144">
            <v>5.833333333333333</v>
          </cell>
          <cell r="CE144">
            <v>6</v>
          </cell>
          <cell r="CF144">
            <v>36</v>
          </cell>
          <cell r="CG144">
            <v>0</v>
          </cell>
          <cell r="CH144">
            <v>0</v>
          </cell>
          <cell r="CI144">
            <v>5.6666666666666661</v>
          </cell>
          <cell r="CJ144">
            <v>6</v>
          </cell>
          <cell r="CK144">
            <v>36</v>
          </cell>
          <cell r="CL144">
            <v>0</v>
          </cell>
          <cell r="CM144">
            <v>0</v>
          </cell>
          <cell r="CN144">
            <v>5.833333333333333</v>
          </cell>
          <cell r="CO144">
            <v>6</v>
          </cell>
          <cell r="CP144">
            <v>36</v>
          </cell>
          <cell r="CQ144">
            <v>0</v>
          </cell>
          <cell r="CR144">
            <v>0</v>
          </cell>
          <cell r="CS144">
            <v>5.833333333333333</v>
          </cell>
          <cell r="CT144">
            <v>6</v>
          </cell>
          <cell r="CU144">
            <v>72</v>
          </cell>
          <cell r="CV144">
            <v>0</v>
          </cell>
          <cell r="CW144">
            <v>0</v>
          </cell>
          <cell r="CX144">
            <v>5.916666666666667</v>
          </cell>
          <cell r="CY144">
            <v>6</v>
          </cell>
          <cell r="CZ144">
            <v>72</v>
          </cell>
          <cell r="DA144">
            <v>0</v>
          </cell>
          <cell r="DB144">
            <v>0</v>
          </cell>
          <cell r="DC144">
            <v>5.916666666666667</v>
          </cell>
          <cell r="DD144">
            <v>6</v>
          </cell>
          <cell r="DE144">
            <v>60</v>
          </cell>
          <cell r="DF144">
            <v>0</v>
          </cell>
          <cell r="DG144">
            <v>0</v>
          </cell>
          <cell r="DH144">
            <v>5.916666666666667</v>
          </cell>
          <cell r="DI144">
            <v>6</v>
          </cell>
          <cell r="DJ144">
            <v>62</v>
          </cell>
          <cell r="DK144">
            <v>0</v>
          </cell>
          <cell r="DL144">
            <v>0</v>
          </cell>
          <cell r="DM144">
            <v>5.8333333333333339</v>
          </cell>
          <cell r="DN144">
            <v>6</v>
          </cell>
          <cell r="DO144">
            <v>62</v>
          </cell>
          <cell r="DP144">
            <v>0</v>
          </cell>
          <cell r="DQ144">
            <v>0</v>
          </cell>
          <cell r="DR144">
            <v>5.916666666666667</v>
          </cell>
          <cell r="DS144">
            <v>5.916666666666667</v>
          </cell>
          <cell r="DT144">
            <v>61.000000000000007</v>
          </cell>
          <cell r="DU144">
            <v>0</v>
          </cell>
          <cell r="DV144">
            <v>0</v>
          </cell>
          <cell r="DW144">
            <v>5.8333333333333339</v>
          </cell>
          <cell r="DX144">
            <v>5.8333333333333339</v>
          </cell>
          <cell r="DY144">
            <v>60.000000000000007</v>
          </cell>
          <cell r="DZ144">
            <v>0</v>
          </cell>
          <cell r="EA144">
            <v>0</v>
          </cell>
          <cell r="EB144">
            <v>5.7500000000000009</v>
          </cell>
          <cell r="EC144">
            <v>5.7500000000000009</v>
          </cell>
          <cell r="ED144">
            <v>59.000000000000014</v>
          </cell>
          <cell r="EE144">
            <v>0</v>
          </cell>
          <cell r="EF144">
            <v>0</v>
          </cell>
          <cell r="EG144">
            <v>5.6666666666666679</v>
          </cell>
          <cell r="EH144">
            <v>5.6666666666666679</v>
          </cell>
          <cell r="EI144">
            <v>58.000000000000014</v>
          </cell>
          <cell r="EJ144">
            <v>0</v>
          </cell>
          <cell r="EK144">
            <v>0</v>
          </cell>
          <cell r="EL144">
            <v>5.5833333333333348</v>
          </cell>
          <cell r="EM144">
            <v>5.5833333333333348</v>
          </cell>
          <cell r="EN144">
            <v>57.000000000000021</v>
          </cell>
          <cell r="EO144">
            <v>0</v>
          </cell>
          <cell r="EP144">
            <v>0</v>
          </cell>
          <cell r="EQ144">
            <v>5.5000000000000018</v>
          </cell>
          <cell r="ER144">
            <v>5.5000000000000018</v>
          </cell>
          <cell r="ES144">
            <v>56.000000000000021</v>
          </cell>
          <cell r="ET144">
            <v>0</v>
          </cell>
          <cell r="EU144">
            <v>0</v>
          </cell>
          <cell r="EV144">
            <v>5.4166666666666687</v>
          </cell>
          <cell r="EW144">
            <v>5.4166666666666687</v>
          </cell>
          <cell r="EX144">
            <v>55.000000000000028</v>
          </cell>
          <cell r="EY144">
            <v>0</v>
          </cell>
          <cell r="EZ144">
            <v>0</v>
          </cell>
          <cell r="FA144">
            <v>5.3333333333333357</v>
          </cell>
          <cell r="FB144">
            <v>5.3333333333333357</v>
          </cell>
          <cell r="FC144">
            <v>54.000000000000028</v>
          </cell>
          <cell r="FD144">
            <v>0</v>
          </cell>
          <cell r="FE144">
            <v>0</v>
          </cell>
          <cell r="FF144">
            <v>5.2500000000000027</v>
          </cell>
          <cell r="FG144">
            <v>5.2500000000000027</v>
          </cell>
          <cell r="FH144">
            <v>53.000000000000036</v>
          </cell>
          <cell r="FI144">
            <v>0</v>
          </cell>
          <cell r="FJ144">
            <v>0</v>
          </cell>
          <cell r="FK144">
            <v>5.1666666666666696</v>
          </cell>
          <cell r="FL144">
            <v>5.1666666666666696</v>
          </cell>
          <cell r="FM144">
            <v>52.000000000000036</v>
          </cell>
          <cell r="FN144">
            <v>0</v>
          </cell>
          <cell r="FO144">
            <v>0</v>
          </cell>
          <cell r="FP144">
            <v>5.0833333333333366</v>
          </cell>
          <cell r="FQ144">
            <v>5.0833333333333366</v>
          </cell>
          <cell r="FR144">
            <v>51.000000000000043</v>
          </cell>
          <cell r="FS144">
            <v>0</v>
          </cell>
          <cell r="FT144">
            <v>1</v>
          </cell>
          <cell r="FU144">
            <v>2.0333333333333332</v>
          </cell>
          <cell r="FW144" t="str">
            <v>SIN ROTACIÓN</v>
          </cell>
          <cell r="FX144" t="str">
            <v>C</v>
          </cell>
          <cell r="FY144" t="str">
            <v>Si</v>
          </cell>
        </row>
        <row r="145">
          <cell r="B145" t="str">
            <v>REP-0150</v>
          </cell>
          <cell r="C145" t="str">
            <v>MIX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AA145">
            <v>0</v>
          </cell>
          <cell r="AB145">
            <v>279</v>
          </cell>
          <cell r="AC145">
            <v>67.666666666666671</v>
          </cell>
          <cell r="AD145">
            <v>2.2555555555555555</v>
          </cell>
          <cell r="AE145">
            <v>55.416666666666664</v>
          </cell>
          <cell r="AF145">
            <v>8.25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M145">
            <v>0</v>
          </cell>
          <cell r="AO145">
            <v>0</v>
          </cell>
          <cell r="AP145">
            <v>0</v>
          </cell>
          <cell r="AQ145">
            <v>-1</v>
          </cell>
          <cell r="AR145">
            <v>0</v>
          </cell>
          <cell r="AS145">
            <v>-16.5</v>
          </cell>
          <cell r="AT145">
            <v>0</v>
          </cell>
          <cell r="AU145" t="str">
            <v/>
          </cell>
          <cell r="AV145">
            <v>0</v>
          </cell>
          <cell r="AW145">
            <v>0</v>
          </cell>
          <cell r="AX145">
            <v>0</v>
          </cell>
          <cell r="AY145" t="str">
            <v/>
          </cell>
          <cell r="AZ145">
            <v>0</v>
          </cell>
          <cell r="BA145">
            <v>0</v>
          </cell>
          <cell r="BB145">
            <v>0</v>
          </cell>
          <cell r="BC145" t="str">
            <v/>
          </cell>
          <cell r="BD145">
            <v>0</v>
          </cell>
          <cell r="BE145">
            <v>0</v>
          </cell>
          <cell r="BF145" t="str">
            <v/>
          </cell>
          <cell r="BG145">
            <v>0</v>
          </cell>
          <cell r="BH145">
            <v>0</v>
          </cell>
          <cell r="BI145">
            <v>0</v>
          </cell>
          <cell r="BJ145" t="str">
            <v/>
          </cell>
          <cell r="BK145">
            <v>0</v>
          </cell>
          <cell r="BL145">
            <v>0</v>
          </cell>
          <cell r="BM145">
            <v>0</v>
          </cell>
          <cell r="BN145" t="str">
            <v/>
          </cell>
          <cell r="BO145">
            <v>0</v>
          </cell>
          <cell r="BP145">
            <v>0</v>
          </cell>
          <cell r="BQ145">
            <v>0</v>
          </cell>
          <cell r="BR145" t="str">
            <v/>
          </cell>
          <cell r="BS145">
            <v>0</v>
          </cell>
          <cell r="BT145">
            <v>0</v>
          </cell>
          <cell r="BU145">
            <v>0</v>
          </cell>
          <cell r="BV145" t="str">
            <v/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 t="str">
            <v/>
          </cell>
          <cell r="CB145">
            <v>0</v>
          </cell>
          <cell r="CD145">
            <v>0</v>
          </cell>
          <cell r="CE145">
            <v>0</v>
          </cell>
          <cell r="CF145" t="str">
            <v/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 t="str">
            <v/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 t="str">
            <v/>
          </cell>
          <cell r="CQ145">
            <v>0</v>
          </cell>
          <cell r="CS145">
            <v>0</v>
          </cell>
          <cell r="CT145">
            <v>0</v>
          </cell>
          <cell r="CU145" t="str">
            <v/>
          </cell>
          <cell r="CV145">
            <v>0</v>
          </cell>
          <cell r="CX145">
            <v>0</v>
          </cell>
          <cell r="CY145">
            <v>0</v>
          </cell>
          <cell r="CZ145" t="str">
            <v/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 t="str">
            <v/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 t="str">
            <v/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 t="str">
            <v/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 t="str">
            <v/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 t="str">
            <v/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 t="str">
            <v/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 t="str">
            <v/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 t="str">
            <v/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 t="str">
            <v/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 t="str">
            <v/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 t="str">
            <v/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 t="str">
            <v/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 t="str">
            <v/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 t="str">
            <v/>
          </cell>
          <cell r="FS145">
            <v>0</v>
          </cell>
          <cell r="FT145">
            <v>0</v>
          </cell>
          <cell r="FU145">
            <v>66.666666666666671</v>
          </cell>
          <cell r="FW145" t="str">
            <v>SIN ROTACIÓN</v>
          </cell>
          <cell r="FX145" t="str">
            <v/>
          </cell>
          <cell r="FY145" t="str">
            <v>No</v>
          </cell>
        </row>
        <row r="146">
          <cell r="B146" t="str">
            <v>REP-0151</v>
          </cell>
          <cell r="C146" t="str">
            <v>MIX</v>
          </cell>
          <cell r="D146">
            <v>0</v>
          </cell>
          <cell r="E146">
            <v>4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4</v>
          </cell>
          <cell r="AA146">
            <v>4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8.3333333333333329E-2</v>
          </cell>
          <cell r="AG146">
            <v>0</v>
          </cell>
          <cell r="AH146">
            <v>0.16666666666666666</v>
          </cell>
          <cell r="AI146">
            <v>0</v>
          </cell>
          <cell r="AJ146">
            <v>0</v>
          </cell>
          <cell r="AK146">
            <v>0.16666666666666666</v>
          </cell>
          <cell r="AL146">
            <v>8.3333333333333329E-2</v>
          </cell>
          <cell r="AM146">
            <v>4.1666666666666664E-2</v>
          </cell>
          <cell r="AN146">
            <v>2</v>
          </cell>
          <cell r="AO146">
            <v>0</v>
          </cell>
          <cell r="AP146">
            <v>6</v>
          </cell>
          <cell r="AQ146">
            <v>71.000000000000014</v>
          </cell>
          <cell r="AR146">
            <v>0</v>
          </cell>
          <cell r="AS146">
            <v>5.8333333333333339</v>
          </cell>
          <cell r="AT146">
            <v>5</v>
          </cell>
          <cell r="AU146" t="str">
            <v/>
          </cell>
          <cell r="AV146">
            <v>0</v>
          </cell>
          <cell r="AW146">
            <v>5</v>
          </cell>
          <cell r="AX146">
            <v>5</v>
          </cell>
          <cell r="AY146">
            <v>30</v>
          </cell>
          <cell r="AZ146">
            <v>0</v>
          </cell>
          <cell r="BA146">
            <v>5</v>
          </cell>
          <cell r="BB146">
            <v>5</v>
          </cell>
          <cell r="BC146" t="str">
            <v/>
          </cell>
          <cell r="BD146">
            <v>0</v>
          </cell>
          <cell r="BE146">
            <v>5</v>
          </cell>
          <cell r="BF146" t="str">
            <v/>
          </cell>
          <cell r="BG146">
            <v>0</v>
          </cell>
          <cell r="BH146">
            <v>5</v>
          </cell>
          <cell r="BI146">
            <v>4</v>
          </cell>
          <cell r="BJ146">
            <v>24</v>
          </cell>
          <cell r="BK146">
            <v>0</v>
          </cell>
          <cell r="BL146">
            <v>5</v>
          </cell>
          <cell r="BM146">
            <v>5</v>
          </cell>
          <cell r="BN146" t="str">
            <v/>
          </cell>
          <cell r="BO146">
            <v>0</v>
          </cell>
          <cell r="BP146">
            <v>5</v>
          </cell>
          <cell r="BQ146">
            <v>5</v>
          </cell>
          <cell r="BR146">
            <v>30</v>
          </cell>
          <cell r="BS146">
            <v>0</v>
          </cell>
          <cell r="BT146">
            <v>5</v>
          </cell>
          <cell r="BU146">
            <v>5</v>
          </cell>
          <cell r="BV146" t="str">
            <v/>
          </cell>
          <cell r="BW146">
            <v>0</v>
          </cell>
          <cell r="BX146">
            <v>0</v>
          </cell>
          <cell r="BY146">
            <v>5</v>
          </cell>
          <cell r="BZ146">
            <v>5</v>
          </cell>
          <cell r="CA146" t="str">
            <v/>
          </cell>
          <cell r="CB146">
            <v>0</v>
          </cell>
          <cell r="CC146">
            <v>0</v>
          </cell>
          <cell r="CD146">
            <v>5</v>
          </cell>
          <cell r="CE146">
            <v>5</v>
          </cell>
          <cell r="CF146" t="str">
            <v/>
          </cell>
          <cell r="CG146">
            <v>0</v>
          </cell>
          <cell r="CH146">
            <v>0</v>
          </cell>
          <cell r="CI146">
            <v>5</v>
          </cell>
          <cell r="CJ146">
            <v>4</v>
          </cell>
          <cell r="CK146">
            <v>12</v>
          </cell>
          <cell r="CL146">
            <v>0</v>
          </cell>
          <cell r="CM146">
            <v>0</v>
          </cell>
          <cell r="CN146">
            <v>3.6666666666666665</v>
          </cell>
          <cell r="CO146">
            <v>4</v>
          </cell>
          <cell r="CP146">
            <v>12</v>
          </cell>
          <cell r="CQ146">
            <v>0</v>
          </cell>
          <cell r="CR146">
            <v>0</v>
          </cell>
          <cell r="CS146">
            <v>3.6666666666666665</v>
          </cell>
          <cell r="CT146">
            <v>4</v>
          </cell>
          <cell r="CU146">
            <v>12</v>
          </cell>
          <cell r="CV146">
            <v>0</v>
          </cell>
          <cell r="CW146">
            <v>0</v>
          </cell>
          <cell r="CX146">
            <v>3.6666666666666665</v>
          </cell>
          <cell r="CY146">
            <v>4</v>
          </cell>
          <cell r="CZ146">
            <v>24</v>
          </cell>
          <cell r="DA146">
            <v>0</v>
          </cell>
          <cell r="DB146">
            <v>0</v>
          </cell>
          <cell r="DC146">
            <v>3.8333333333333335</v>
          </cell>
          <cell r="DD146">
            <v>4</v>
          </cell>
          <cell r="DE146">
            <v>18</v>
          </cell>
          <cell r="DF146">
            <v>0</v>
          </cell>
          <cell r="DG146">
            <v>0</v>
          </cell>
          <cell r="DH146">
            <v>3.8333333333333335</v>
          </cell>
          <cell r="DI146">
            <v>4</v>
          </cell>
          <cell r="DJ146">
            <v>20</v>
          </cell>
          <cell r="DK146">
            <v>0</v>
          </cell>
          <cell r="DL146">
            <v>0</v>
          </cell>
          <cell r="DM146">
            <v>3.666666666666667</v>
          </cell>
          <cell r="DN146">
            <v>4</v>
          </cell>
          <cell r="DO146">
            <v>20</v>
          </cell>
          <cell r="DP146">
            <v>0</v>
          </cell>
          <cell r="DQ146">
            <v>0</v>
          </cell>
          <cell r="DR146">
            <v>3.8333333333333335</v>
          </cell>
          <cell r="DS146">
            <v>3.8333333333333335</v>
          </cell>
          <cell r="DT146">
            <v>19.000000000000004</v>
          </cell>
          <cell r="DU146">
            <v>0</v>
          </cell>
          <cell r="DV146">
            <v>0</v>
          </cell>
          <cell r="DW146">
            <v>3.666666666666667</v>
          </cell>
          <cell r="DX146">
            <v>3.666666666666667</v>
          </cell>
          <cell r="DY146">
            <v>18.000000000000004</v>
          </cell>
          <cell r="DZ146">
            <v>0</v>
          </cell>
          <cell r="EA146">
            <v>0</v>
          </cell>
          <cell r="EB146">
            <v>3.5000000000000004</v>
          </cell>
          <cell r="EC146">
            <v>3.5000000000000004</v>
          </cell>
          <cell r="ED146">
            <v>17.000000000000004</v>
          </cell>
          <cell r="EE146">
            <v>0</v>
          </cell>
          <cell r="EF146">
            <v>0</v>
          </cell>
          <cell r="EG146">
            <v>3.3333333333333339</v>
          </cell>
          <cell r="EH146">
            <v>3.3333333333333339</v>
          </cell>
          <cell r="EI146">
            <v>16.000000000000004</v>
          </cell>
          <cell r="EJ146">
            <v>0</v>
          </cell>
          <cell r="EK146">
            <v>0</v>
          </cell>
          <cell r="EL146">
            <v>3.1666666666666674</v>
          </cell>
          <cell r="EM146">
            <v>3.1666666666666674</v>
          </cell>
          <cell r="EN146">
            <v>15.000000000000005</v>
          </cell>
          <cell r="EO146">
            <v>0</v>
          </cell>
          <cell r="EP146">
            <v>0</v>
          </cell>
          <cell r="EQ146">
            <v>3.0000000000000009</v>
          </cell>
          <cell r="ER146">
            <v>3.0000000000000009</v>
          </cell>
          <cell r="ES146">
            <v>14.000000000000005</v>
          </cell>
          <cell r="ET146">
            <v>0</v>
          </cell>
          <cell r="EU146">
            <v>0</v>
          </cell>
          <cell r="EV146">
            <v>2.8333333333333344</v>
          </cell>
          <cell r="EW146">
            <v>2.8333333333333344</v>
          </cell>
          <cell r="EX146">
            <v>13.000000000000007</v>
          </cell>
          <cell r="EY146">
            <v>0</v>
          </cell>
          <cell r="EZ146">
            <v>0</v>
          </cell>
          <cell r="FA146">
            <v>2.6666666666666679</v>
          </cell>
          <cell r="FB146">
            <v>2.6666666666666679</v>
          </cell>
          <cell r="FC146">
            <v>12.000000000000007</v>
          </cell>
          <cell r="FD146">
            <v>0</v>
          </cell>
          <cell r="FE146">
            <v>0</v>
          </cell>
          <cell r="FF146">
            <v>2.5000000000000013</v>
          </cell>
          <cell r="FG146">
            <v>2.5000000000000013</v>
          </cell>
          <cell r="FH146">
            <v>11.000000000000009</v>
          </cell>
          <cell r="FI146">
            <v>0</v>
          </cell>
          <cell r="FJ146">
            <v>0</v>
          </cell>
          <cell r="FK146">
            <v>2.3333333333333348</v>
          </cell>
          <cell r="FL146">
            <v>2.3333333333333348</v>
          </cell>
          <cell r="FM146">
            <v>10.000000000000009</v>
          </cell>
          <cell r="FN146">
            <v>0</v>
          </cell>
          <cell r="FO146">
            <v>0</v>
          </cell>
          <cell r="FP146">
            <v>2.1666666666666683</v>
          </cell>
          <cell r="FQ146">
            <v>2.1666666666666683</v>
          </cell>
          <cell r="FR146">
            <v>9.0000000000000107</v>
          </cell>
          <cell r="FS146">
            <v>0</v>
          </cell>
          <cell r="FT146">
            <v>1</v>
          </cell>
          <cell r="FU146">
            <v>2.0333333333333332</v>
          </cell>
          <cell r="FW146" t="str">
            <v>SIN ROTACIÓN</v>
          </cell>
          <cell r="FX146" t="str">
            <v>C</v>
          </cell>
          <cell r="FY146" t="str">
            <v>Si</v>
          </cell>
        </row>
        <row r="147">
          <cell r="B147" t="str">
            <v>REP-0152</v>
          </cell>
          <cell r="C147" t="str">
            <v>MIX</v>
          </cell>
          <cell r="D147">
            <v>0</v>
          </cell>
          <cell r="E147">
            <v>53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1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57</v>
          </cell>
          <cell r="AA147">
            <v>57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8.3333333333333329E-2</v>
          </cell>
          <cell r="AG147">
            <v>8.3333333333333329E-2</v>
          </cell>
          <cell r="AH147">
            <v>1.3333333333333333</v>
          </cell>
          <cell r="AI147">
            <v>0</v>
          </cell>
          <cell r="AJ147">
            <v>0</v>
          </cell>
          <cell r="AK147">
            <v>1.3333333333333333</v>
          </cell>
          <cell r="AL147">
            <v>0.65395874261075293</v>
          </cell>
          <cell r="AM147">
            <v>0.35416666666666663</v>
          </cell>
          <cell r="AN147">
            <v>1.8464717438421261</v>
          </cell>
          <cell r="AO147">
            <v>0</v>
          </cell>
          <cell r="AP147">
            <v>3.8333333333333335</v>
          </cell>
          <cell r="AQ147">
            <v>23.000000000000004</v>
          </cell>
          <cell r="AR147">
            <v>0</v>
          </cell>
          <cell r="AS147">
            <v>3.666666666666667</v>
          </cell>
          <cell r="AT147">
            <v>4</v>
          </cell>
          <cell r="AU147">
            <v>24</v>
          </cell>
          <cell r="AV147">
            <v>0</v>
          </cell>
          <cell r="AW147">
            <v>3.8333333333333335</v>
          </cell>
          <cell r="AX147">
            <v>4</v>
          </cell>
          <cell r="AY147">
            <v>3</v>
          </cell>
          <cell r="AZ147">
            <v>0</v>
          </cell>
          <cell r="BA147">
            <v>8.8333333333333339</v>
          </cell>
          <cell r="BB147">
            <v>4</v>
          </cell>
          <cell r="BC147">
            <v>12</v>
          </cell>
          <cell r="BD147">
            <v>0</v>
          </cell>
          <cell r="BE147">
            <v>3.6666666666666665</v>
          </cell>
          <cell r="BF147">
            <v>11</v>
          </cell>
          <cell r="BG147">
            <v>5</v>
          </cell>
          <cell r="BH147">
            <v>8.3333333333333321</v>
          </cell>
          <cell r="BI147">
            <v>57</v>
          </cell>
          <cell r="BJ147">
            <v>42.75</v>
          </cell>
          <cell r="BK147">
            <v>0</v>
          </cell>
          <cell r="BL147">
            <v>18.916666666666668</v>
          </cell>
          <cell r="BM147">
            <v>19</v>
          </cell>
          <cell r="BN147">
            <v>228</v>
          </cell>
          <cell r="BO147">
            <v>0</v>
          </cell>
          <cell r="BP147">
            <v>18.916666666666668</v>
          </cell>
          <cell r="BQ147">
            <v>18</v>
          </cell>
          <cell r="BR147">
            <v>13.5</v>
          </cell>
          <cell r="BS147">
            <v>0</v>
          </cell>
          <cell r="BT147">
            <v>17.833333333333332</v>
          </cell>
          <cell r="BU147">
            <v>18</v>
          </cell>
          <cell r="BV147">
            <v>108</v>
          </cell>
          <cell r="BW147">
            <v>0</v>
          </cell>
          <cell r="BX147">
            <v>0</v>
          </cell>
          <cell r="BY147">
            <v>17.833333333333332</v>
          </cell>
          <cell r="BZ147">
            <v>18</v>
          </cell>
          <cell r="CA147">
            <v>108</v>
          </cell>
          <cell r="CB147">
            <v>0</v>
          </cell>
          <cell r="CC147">
            <v>0</v>
          </cell>
          <cell r="CD147">
            <v>17.833333333333332</v>
          </cell>
          <cell r="CE147">
            <v>18</v>
          </cell>
          <cell r="CF147">
            <v>108</v>
          </cell>
          <cell r="CG147">
            <v>0</v>
          </cell>
          <cell r="CH147">
            <v>0</v>
          </cell>
          <cell r="CI147">
            <v>17.666666666666664</v>
          </cell>
          <cell r="CJ147">
            <v>3</v>
          </cell>
          <cell r="CK147">
            <v>1.125</v>
          </cell>
          <cell r="CL147">
            <v>19</v>
          </cell>
          <cell r="CM147">
            <v>0</v>
          </cell>
          <cell r="CN147">
            <v>0.33333333333333348</v>
          </cell>
          <cell r="CO147">
            <v>3</v>
          </cell>
          <cell r="CP147">
            <v>1.125</v>
          </cell>
          <cell r="CQ147">
            <v>21.666666666666668</v>
          </cell>
          <cell r="CR147">
            <v>0</v>
          </cell>
          <cell r="CS147">
            <v>0.33333333333333348</v>
          </cell>
          <cell r="CT147">
            <v>3</v>
          </cell>
          <cell r="CU147">
            <v>1.2</v>
          </cell>
          <cell r="CV147">
            <v>3</v>
          </cell>
          <cell r="CW147">
            <v>15</v>
          </cell>
          <cell r="CX147">
            <v>15.5</v>
          </cell>
          <cell r="CY147">
            <v>18</v>
          </cell>
          <cell r="CZ147">
            <v>13.5</v>
          </cell>
          <cell r="DA147">
            <v>0</v>
          </cell>
          <cell r="DB147">
            <v>15</v>
          </cell>
          <cell r="DC147">
            <v>31.666666666666668</v>
          </cell>
          <cell r="DD147">
            <v>58</v>
          </cell>
          <cell r="DE147">
            <v>41.25</v>
          </cell>
          <cell r="DF147">
            <v>0</v>
          </cell>
          <cell r="DG147">
            <v>0</v>
          </cell>
          <cell r="DH147">
            <v>56.666666666666664</v>
          </cell>
          <cell r="DI147">
            <v>58</v>
          </cell>
          <cell r="DJ147">
            <v>43.25</v>
          </cell>
          <cell r="DK147">
            <v>0</v>
          </cell>
          <cell r="DL147">
            <v>0</v>
          </cell>
          <cell r="DM147">
            <v>55.333333333333329</v>
          </cell>
          <cell r="DN147">
            <v>57</v>
          </cell>
          <cell r="DO147">
            <v>42.5</v>
          </cell>
          <cell r="DP147">
            <v>0</v>
          </cell>
          <cell r="DQ147">
            <v>0</v>
          </cell>
          <cell r="DR147">
            <v>55.666666666666664</v>
          </cell>
          <cell r="DS147">
            <v>55.666666666666664</v>
          </cell>
          <cell r="DT147">
            <v>41.5</v>
          </cell>
          <cell r="DU147">
            <v>0</v>
          </cell>
          <cell r="DV147">
            <v>0</v>
          </cell>
          <cell r="DW147">
            <v>54.333333333333329</v>
          </cell>
          <cell r="DX147">
            <v>54.333333333333329</v>
          </cell>
          <cell r="DY147">
            <v>40.5</v>
          </cell>
          <cell r="DZ147">
            <v>0</v>
          </cell>
          <cell r="EA147">
            <v>0</v>
          </cell>
          <cell r="EB147">
            <v>52.999999999999993</v>
          </cell>
          <cell r="EC147">
            <v>52.999999999999993</v>
          </cell>
          <cell r="ED147">
            <v>39.5</v>
          </cell>
          <cell r="EE147">
            <v>0</v>
          </cell>
          <cell r="EF147">
            <v>0</v>
          </cell>
          <cell r="EG147">
            <v>51.666666666666657</v>
          </cell>
          <cell r="EH147">
            <v>51.666666666666657</v>
          </cell>
          <cell r="EI147">
            <v>38.499999999999993</v>
          </cell>
          <cell r="EJ147">
            <v>0</v>
          </cell>
          <cell r="EK147">
            <v>0</v>
          </cell>
          <cell r="EL147">
            <v>50.333333333333321</v>
          </cell>
          <cell r="EM147">
            <v>50.333333333333321</v>
          </cell>
          <cell r="EN147">
            <v>37.499999999999993</v>
          </cell>
          <cell r="EO147">
            <v>0</v>
          </cell>
          <cell r="EP147">
            <v>0</v>
          </cell>
          <cell r="EQ147">
            <v>48.999999999999986</v>
          </cell>
          <cell r="ER147">
            <v>48.999999999999986</v>
          </cell>
          <cell r="ES147">
            <v>36.499999999999993</v>
          </cell>
          <cell r="ET147">
            <v>0</v>
          </cell>
          <cell r="EU147">
            <v>0</v>
          </cell>
          <cell r="EV147">
            <v>47.66666666666665</v>
          </cell>
          <cell r="EW147">
            <v>47.66666666666665</v>
          </cell>
          <cell r="EX147">
            <v>35.499999999999993</v>
          </cell>
          <cell r="EY147">
            <v>0</v>
          </cell>
          <cell r="EZ147">
            <v>0</v>
          </cell>
          <cell r="FA147">
            <v>46.333333333333314</v>
          </cell>
          <cell r="FB147">
            <v>46.333333333333314</v>
          </cell>
          <cell r="FC147">
            <v>34.499999999999986</v>
          </cell>
          <cell r="FD147">
            <v>0</v>
          </cell>
          <cell r="FE147">
            <v>0</v>
          </cell>
          <cell r="FF147">
            <v>44.999999999999979</v>
          </cell>
          <cell r="FG147">
            <v>44.999999999999979</v>
          </cell>
          <cell r="FH147">
            <v>33.499999999999986</v>
          </cell>
          <cell r="FI147">
            <v>0</v>
          </cell>
          <cell r="FJ147">
            <v>0</v>
          </cell>
          <cell r="FK147">
            <v>43.666666666666643</v>
          </cell>
          <cell r="FL147">
            <v>43.666666666666643</v>
          </cell>
          <cell r="FM147">
            <v>32.499999999999986</v>
          </cell>
          <cell r="FN147">
            <v>0</v>
          </cell>
          <cell r="FO147">
            <v>0</v>
          </cell>
          <cell r="FP147">
            <v>42.333333333333307</v>
          </cell>
          <cell r="FQ147">
            <v>42.333333333333307</v>
          </cell>
          <cell r="FR147">
            <v>31.499999999999982</v>
          </cell>
          <cell r="FS147">
            <v>0</v>
          </cell>
          <cell r="FT147">
            <v>3</v>
          </cell>
          <cell r="FU147">
            <v>2.0333333333333332</v>
          </cell>
          <cell r="FW147" t="str">
            <v>SIN ROTACIÓN</v>
          </cell>
          <cell r="FX147" t="str">
            <v>C</v>
          </cell>
          <cell r="FY147" t="str">
            <v>Si</v>
          </cell>
        </row>
        <row r="148">
          <cell r="B148" t="str">
            <v>REP-0153</v>
          </cell>
          <cell r="C148" t="str">
            <v>MIX</v>
          </cell>
          <cell r="D148">
            <v>0</v>
          </cell>
          <cell r="E148">
            <v>2</v>
          </cell>
          <cell r="F148">
            <v>0</v>
          </cell>
          <cell r="G148">
            <v>0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4</v>
          </cell>
          <cell r="AA148">
            <v>4</v>
          </cell>
          <cell r="AB148">
            <v>1</v>
          </cell>
          <cell r="AC148">
            <v>0</v>
          </cell>
          <cell r="AD148">
            <v>0</v>
          </cell>
          <cell r="AE148">
            <v>8.3333333333333329E-2</v>
          </cell>
          <cell r="AF148">
            <v>8.3333333333333329E-2</v>
          </cell>
          <cell r="AG148">
            <v>0</v>
          </cell>
          <cell r="AH148">
            <v>0.16666666666666666</v>
          </cell>
          <cell r="AI148">
            <v>0.16666666666666666</v>
          </cell>
          <cell r="AJ148">
            <v>0.16666666666666666</v>
          </cell>
          <cell r="AK148">
            <v>0.16666666666666666</v>
          </cell>
          <cell r="AL148">
            <v>8.3333333333333329E-2</v>
          </cell>
          <cell r="AM148">
            <v>0.125</v>
          </cell>
          <cell r="AN148">
            <v>0.66666666666666663</v>
          </cell>
          <cell r="AO148">
            <v>0</v>
          </cell>
          <cell r="AP148">
            <v>0.77777777777777779</v>
          </cell>
          <cell r="AQ148">
            <v>11</v>
          </cell>
          <cell r="AR148">
            <v>0</v>
          </cell>
          <cell r="AS148">
            <v>3.833333333333333</v>
          </cell>
          <cell r="AT148">
            <v>1</v>
          </cell>
          <cell r="AU148" t="str">
            <v/>
          </cell>
          <cell r="AV148">
            <v>0</v>
          </cell>
          <cell r="AW148">
            <v>1</v>
          </cell>
          <cell r="AX148">
            <v>3</v>
          </cell>
          <cell r="AY148">
            <v>18</v>
          </cell>
          <cell r="AZ148">
            <v>0</v>
          </cell>
          <cell r="BA148">
            <v>3</v>
          </cell>
          <cell r="BB148">
            <v>3</v>
          </cell>
          <cell r="BC148">
            <v>9</v>
          </cell>
          <cell r="BD148">
            <v>0</v>
          </cell>
          <cell r="BE148">
            <v>2.6666666666666665</v>
          </cell>
          <cell r="BF148">
            <v>8</v>
          </cell>
          <cell r="BG148">
            <v>0</v>
          </cell>
          <cell r="BH148">
            <v>2.333333333333333</v>
          </cell>
          <cell r="BI148">
            <v>4</v>
          </cell>
          <cell r="BJ148">
            <v>24</v>
          </cell>
          <cell r="BK148">
            <v>0</v>
          </cell>
          <cell r="BL148">
            <v>2.8333333333333335</v>
          </cell>
          <cell r="BM148">
            <v>3</v>
          </cell>
          <cell r="BN148">
            <v>18</v>
          </cell>
          <cell r="BO148">
            <v>0</v>
          </cell>
          <cell r="BP148">
            <v>2.8333333333333335</v>
          </cell>
          <cell r="BQ148">
            <v>3</v>
          </cell>
          <cell r="BR148">
            <v>18</v>
          </cell>
          <cell r="BS148">
            <v>0</v>
          </cell>
          <cell r="BT148">
            <v>2.8333333333333335</v>
          </cell>
          <cell r="BU148">
            <v>2</v>
          </cell>
          <cell r="BV148">
            <v>9</v>
          </cell>
          <cell r="BW148">
            <v>0</v>
          </cell>
          <cell r="BX148">
            <v>0</v>
          </cell>
          <cell r="BY148">
            <v>1.7777777777777777</v>
          </cell>
          <cell r="BZ148">
            <v>2</v>
          </cell>
          <cell r="CA148">
            <v>10</v>
          </cell>
          <cell r="CB148">
            <v>0</v>
          </cell>
          <cell r="CC148">
            <v>0</v>
          </cell>
          <cell r="CD148">
            <v>1.8</v>
          </cell>
          <cell r="CE148">
            <v>2</v>
          </cell>
          <cell r="CF148">
            <v>11</v>
          </cell>
          <cell r="CG148">
            <v>0</v>
          </cell>
          <cell r="CH148">
            <v>0</v>
          </cell>
          <cell r="CI148">
            <v>1.6181818181818182</v>
          </cell>
          <cell r="CJ148">
            <v>2</v>
          </cell>
          <cell r="CK148">
            <v>12</v>
          </cell>
          <cell r="CL148">
            <v>0</v>
          </cell>
          <cell r="CM148">
            <v>2</v>
          </cell>
          <cell r="CN148">
            <v>3.8333333333333335</v>
          </cell>
          <cell r="CO148">
            <v>4</v>
          </cell>
          <cell r="CP148">
            <v>24</v>
          </cell>
          <cell r="CQ148">
            <v>0</v>
          </cell>
          <cell r="CR148">
            <v>0</v>
          </cell>
          <cell r="CS148">
            <v>3.8333333333333335</v>
          </cell>
          <cell r="CT148">
            <v>4</v>
          </cell>
          <cell r="CU148">
            <v>24</v>
          </cell>
          <cell r="CV148">
            <v>0</v>
          </cell>
          <cell r="CW148">
            <v>0</v>
          </cell>
          <cell r="CX148">
            <v>3.8333333333333335</v>
          </cell>
          <cell r="CY148">
            <v>4</v>
          </cell>
          <cell r="CZ148">
            <v>24</v>
          </cell>
          <cell r="DA148">
            <v>0</v>
          </cell>
          <cell r="DB148">
            <v>0</v>
          </cell>
          <cell r="DC148">
            <v>3.8333333333333335</v>
          </cell>
          <cell r="DD148">
            <v>4</v>
          </cell>
          <cell r="DE148">
            <v>18</v>
          </cell>
          <cell r="DF148">
            <v>0</v>
          </cell>
          <cell r="DG148">
            <v>0</v>
          </cell>
          <cell r="DH148">
            <v>3.8333333333333335</v>
          </cell>
          <cell r="DI148">
            <v>3</v>
          </cell>
          <cell r="DJ148">
            <v>12</v>
          </cell>
          <cell r="DK148">
            <v>0</v>
          </cell>
          <cell r="DL148">
            <v>0</v>
          </cell>
          <cell r="DM148">
            <v>3.6333333333333333</v>
          </cell>
          <cell r="DN148">
            <v>4</v>
          </cell>
          <cell r="DO148">
            <v>20</v>
          </cell>
          <cell r="DP148">
            <v>0</v>
          </cell>
          <cell r="DQ148">
            <v>0</v>
          </cell>
          <cell r="DR148">
            <v>3.8333333333333335</v>
          </cell>
          <cell r="DS148">
            <v>3.8333333333333335</v>
          </cell>
          <cell r="DT148">
            <v>19.000000000000004</v>
          </cell>
          <cell r="DU148">
            <v>0</v>
          </cell>
          <cell r="DV148">
            <v>0</v>
          </cell>
          <cell r="DW148">
            <v>3.666666666666667</v>
          </cell>
          <cell r="DX148">
            <v>3.666666666666667</v>
          </cell>
          <cell r="DY148">
            <v>18.000000000000004</v>
          </cell>
          <cell r="DZ148">
            <v>0</v>
          </cell>
          <cell r="EA148">
            <v>0</v>
          </cell>
          <cell r="EB148">
            <v>3.5000000000000004</v>
          </cell>
          <cell r="EC148">
            <v>3.5000000000000004</v>
          </cell>
          <cell r="ED148">
            <v>17.000000000000004</v>
          </cell>
          <cell r="EE148">
            <v>0</v>
          </cell>
          <cell r="EF148">
            <v>0</v>
          </cell>
          <cell r="EG148">
            <v>3.3333333333333339</v>
          </cell>
          <cell r="EH148">
            <v>3.3333333333333339</v>
          </cell>
          <cell r="EI148">
            <v>16.000000000000004</v>
          </cell>
          <cell r="EJ148">
            <v>0</v>
          </cell>
          <cell r="EK148">
            <v>0</v>
          </cell>
          <cell r="EL148">
            <v>3.1666666666666674</v>
          </cell>
          <cell r="EM148">
            <v>3.1666666666666674</v>
          </cell>
          <cell r="EN148">
            <v>15.000000000000005</v>
          </cell>
          <cell r="EO148">
            <v>0</v>
          </cell>
          <cell r="EP148">
            <v>0</v>
          </cell>
          <cell r="EQ148">
            <v>3.0000000000000009</v>
          </cell>
          <cell r="ER148">
            <v>3.0000000000000009</v>
          </cell>
          <cell r="ES148">
            <v>14.000000000000005</v>
          </cell>
          <cell r="ET148">
            <v>0</v>
          </cell>
          <cell r="EU148">
            <v>0</v>
          </cell>
          <cell r="EV148">
            <v>2.8333333333333344</v>
          </cell>
          <cell r="EW148">
            <v>2.8333333333333344</v>
          </cell>
          <cell r="EX148">
            <v>13.000000000000007</v>
          </cell>
          <cell r="EY148">
            <v>0</v>
          </cell>
          <cell r="EZ148">
            <v>0</v>
          </cell>
          <cell r="FA148">
            <v>2.6666666666666679</v>
          </cell>
          <cell r="FB148">
            <v>2.6666666666666679</v>
          </cell>
          <cell r="FC148">
            <v>12.000000000000007</v>
          </cell>
          <cell r="FD148">
            <v>0</v>
          </cell>
          <cell r="FE148">
            <v>2</v>
          </cell>
          <cell r="FF148">
            <v>4.5000000000000009</v>
          </cell>
          <cell r="FG148">
            <v>4.5000000000000009</v>
          </cell>
          <cell r="FH148">
            <v>23.000000000000007</v>
          </cell>
          <cell r="FI148">
            <v>0</v>
          </cell>
          <cell r="FJ148">
            <v>0</v>
          </cell>
          <cell r="FK148">
            <v>4.3333333333333339</v>
          </cell>
          <cell r="FL148">
            <v>4.3333333333333339</v>
          </cell>
          <cell r="FM148">
            <v>22.000000000000004</v>
          </cell>
          <cell r="FN148">
            <v>0</v>
          </cell>
          <cell r="FO148">
            <v>0</v>
          </cell>
          <cell r="FP148">
            <v>4.166666666666667</v>
          </cell>
          <cell r="FQ148">
            <v>4.166666666666667</v>
          </cell>
          <cell r="FR148">
            <v>21.000000000000004</v>
          </cell>
          <cell r="FS148">
            <v>0</v>
          </cell>
          <cell r="FT148">
            <v>1</v>
          </cell>
          <cell r="FU148">
            <v>2.0333333333333332</v>
          </cell>
          <cell r="FW148" t="str">
            <v>SOBRESTOCK</v>
          </cell>
          <cell r="FX148" t="str">
            <v>C</v>
          </cell>
          <cell r="FY148" t="str">
            <v>Si</v>
          </cell>
        </row>
        <row r="149">
          <cell r="B149" t="str">
            <v>REP-0154</v>
          </cell>
          <cell r="C149" t="str">
            <v>MIX</v>
          </cell>
          <cell r="D149">
            <v>0</v>
          </cell>
          <cell r="E149">
            <v>2</v>
          </cell>
          <cell r="F149">
            <v>0</v>
          </cell>
          <cell r="G149">
            <v>0</v>
          </cell>
          <cell r="H149">
            <v>2</v>
          </cell>
          <cell r="I149">
            <v>2</v>
          </cell>
          <cell r="J149">
            <v>0</v>
          </cell>
          <cell r="K149">
            <v>2</v>
          </cell>
          <cell r="L149">
            <v>1</v>
          </cell>
          <cell r="M149">
            <v>0</v>
          </cell>
          <cell r="N149">
            <v>1</v>
          </cell>
          <cell r="O149">
            <v>1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1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12</v>
          </cell>
          <cell r="AA149">
            <v>12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0.33333333333333331</v>
          </cell>
          <cell r="AI149">
            <v>0.16666666666666666</v>
          </cell>
          <cell r="AJ149">
            <v>0.16666666666666666</v>
          </cell>
          <cell r="AK149">
            <v>0.33333333333333331</v>
          </cell>
          <cell r="AL149">
            <v>0.13608276348795437</v>
          </cell>
          <cell r="AM149">
            <v>0.16666666666666666</v>
          </cell>
          <cell r="AN149">
            <v>0.81649658092772626</v>
          </cell>
          <cell r="AO149">
            <v>0</v>
          </cell>
          <cell r="AP149">
            <v>15.5</v>
          </cell>
          <cell r="AQ149" t="str">
            <v/>
          </cell>
          <cell r="AR149">
            <v>0</v>
          </cell>
          <cell r="AS149">
            <v>16</v>
          </cell>
          <cell r="AT149">
            <v>16</v>
          </cell>
          <cell r="AU149" t="str">
            <v/>
          </cell>
          <cell r="AV149">
            <v>0</v>
          </cell>
          <cell r="AW149">
            <v>16</v>
          </cell>
          <cell r="AX149">
            <v>15</v>
          </cell>
          <cell r="AY149">
            <v>45</v>
          </cell>
          <cell r="AZ149">
            <v>0</v>
          </cell>
          <cell r="BA149">
            <v>14.666666666666666</v>
          </cell>
          <cell r="BB149">
            <v>13</v>
          </cell>
          <cell r="BC149">
            <v>13</v>
          </cell>
          <cell r="BD149">
            <v>0</v>
          </cell>
          <cell r="BE149">
            <v>12</v>
          </cell>
          <cell r="BF149">
            <v>12</v>
          </cell>
          <cell r="BG149">
            <v>0</v>
          </cell>
          <cell r="BH149">
            <v>11</v>
          </cell>
          <cell r="BI149">
            <v>12</v>
          </cell>
          <cell r="BJ149">
            <v>36</v>
          </cell>
          <cell r="BK149">
            <v>0</v>
          </cell>
          <cell r="BL149">
            <v>11.333333333333334</v>
          </cell>
          <cell r="BM149">
            <v>13</v>
          </cell>
          <cell r="BN149">
            <v>19.5</v>
          </cell>
          <cell r="BO149">
            <v>0</v>
          </cell>
          <cell r="BP149">
            <v>12.333333333333334</v>
          </cell>
          <cell r="BQ149">
            <v>12</v>
          </cell>
          <cell r="BR149">
            <v>36</v>
          </cell>
          <cell r="BS149">
            <v>0</v>
          </cell>
          <cell r="BT149">
            <v>11.333333333333334</v>
          </cell>
          <cell r="BU149">
            <v>12</v>
          </cell>
          <cell r="BV149">
            <v>24</v>
          </cell>
          <cell r="BW149">
            <v>0</v>
          </cell>
          <cell r="BX149">
            <v>0</v>
          </cell>
          <cell r="BY149">
            <v>11.5</v>
          </cell>
          <cell r="BZ149">
            <v>12</v>
          </cell>
          <cell r="CA149">
            <v>30</v>
          </cell>
          <cell r="CB149">
            <v>0</v>
          </cell>
          <cell r="CC149">
            <v>0</v>
          </cell>
          <cell r="CD149">
            <v>11.6</v>
          </cell>
          <cell r="CE149">
            <v>12</v>
          </cell>
          <cell r="CF149">
            <v>33</v>
          </cell>
          <cell r="CG149">
            <v>0</v>
          </cell>
          <cell r="CH149">
            <v>0</v>
          </cell>
          <cell r="CI149">
            <v>11.236363636363636</v>
          </cell>
          <cell r="CJ149">
            <v>13</v>
          </cell>
          <cell r="CK149">
            <v>39</v>
          </cell>
          <cell r="CL149">
            <v>0</v>
          </cell>
          <cell r="CM149">
            <v>0</v>
          </cell>
          <cell r="CN149">
            <v>12.666666666666666</v>
          </cell>
          <cell r="CO149">
            <v>12</v>
          </cell>
          <cell r="CP149">
            <v>12</v>
          </cell>
          <cell r="CQ149">
            <v>0</v>
          </cell>
          <cell r="CR149">
            <v>0</v>
          </cell>
          <cell r="CS149">
            <v>11</v>
          </cell>
          <cell r="CT149">
            <v>11</v>
          </cell>
          <cell r="CU149">
            <v>22</v>
          </cell>
          <cell r="CV149">
            <v>0</v>
          </cell>
          <cell r="CW149">
            <v>0</v>
          </cell>
          <cell r="CX149">
            <v>10.5</v>
          </cell>
          <cell r="CY149">
            <v>11</v>
          </cell>
          <cell r="CZ149">
            <v>33</v>
          </cell>
          <cell r="DA149">
            <v>0</v>
          </cell>
          <cell r="DB149">
            <v>0</v>
          </cell>
          <cell r="DC149">
            <v>10.666666666666666</v>
          </cell>
          <cell r="DD149">
            <v>11</v>
          </cell>
          <cell r="DE149">
            <v>30</v>
          </cell>
          <cell r="DF149">
            <v>0</v>
          </cell>
          <cell r="DG149">
            <v>0</v>
          </cell>
          <cell r="DH149">
            <v>10.666666666666666</v>
          </cell>
          <cell r="DI149">
            <v>11</v>
          </cell>
          <cell r="DJ149">
            <v>32</v>
          </cell>
          <cell r="DK149">
            <v>0</v>
          </cell>
          <cell r="DL149">
            <v>0</v>
          </cell>
          <cell r="DM149">
            <v>10.333333333333332</v>
          </cell>
          <cell r="DN149">
            <v>12</v>
          </cell>
          <cell r="DO149">
            <v>35</v>
          </cell>
          <cell r="DP149">
            <v>0</v>
          </cell>
          <cell r="DQ149">
            <v>0</v>
          </cell>
          <cell r="DR149">
            <v>11.666666666666666</v>
          </cell>
          <cell r="DS149">
            <v>11.666666666666666</v>
          </cell>
          <cell r="DT149">
            <v>34</v>
          </cell>
          <cell r="DU149">
            <v>0</v>
          </cell>
          <cell r="DV149">
            <v>0</v>
          </cell>
          <cell r="DW149">
            <v>11.333333333333332</v>
          </cell>
          <cell r="DX149">
            <v>11.333333333333332</v>
          </cell>
          <cell r="DY149">
            <v>33</v>
          </cell>
          <cell r="DZ149">
            <v>0</v>
          </cell>
          <cell r="EA149">
            <v>0</v>
          </cell>
          <cell r="EB149">
            <v>10.999999999999998</v>
          </cell>
          <cell r="EC149">
            <v>10.999999999999998</v>
          </cell>
          <cell r="ED149">
            <v>31.999999999999996</v>
          </cell>
          <cell r="EE149">
            <v>0</v>
          </cell>
          <cell r="EF149">
            <v>0</v>
          </cell>
          <cell r="EG149">
            <v>10.666666666666664</v>
          </cell>
          <cell r="EH149">
            <v>10.666666666666664</v>
          </cell>
          <cell r="EI149">
            <v>30.999999999999993</v>
          </cell>
          <cell r="EJ149">
            <v>0</v>
          </cell>
          <cell r="EK149">
            <v>0</v>
          </cell>
          <cell r="EL149">
            <v>10.33333333333333</v>
          </cell>
          <cell r="EM149">
            <v>10.33333333333333</v>
          </cell>
          <cell r="EN149">
            <v>29.999999999999993</v>
          </cell>
          <cell r="EO149">
            <v>0</v>
          </cell>
          <cell r="EP149">
            <v>0</v>
          </cell>
          <cell r="EQ149">
            <v>9.9999999999999964</v>
          </cell>
          <cell r="ER149">
            <v>9.9999999999999964</v>
          </cell>
          <cell r="ES149">
            <v>28.999999999999989</v>
          </cell>
          <cell r="ET149">
            <v>0</v>
          </cell>
          <cell r="EU149">
            <v>0</v>
          </cell>
          <cell r="EV149">
            <v>9.6666666666666625</v>
          </cell>
          <cell r="EW149">
            <v>9.6666666666666625</v>
          </cell>
          <cell r="EX149">
            <v>27.999999999999989</v>
          </cell>
          <cell r="EY149">
            <v>0</v>
          </cell>
          <cell r="EZ149">
            <v>0</v>
          </cell>
          <cell r="FA149">
            <v>9.3333333333333286</v>
          </cell>
          <cell r="FB149">
            <v>9.3333333333333286</v>
          </cell>
          <cell r="FC149">
            <v>26.999999999999986</v>
          </cell>
          <cell r="FD149">
            <v>0</v>
          </cell>
          <cell r="FE149">
            <v>0</v>
          </cell>
          <cell r="FF149">
            <v>8.9999999999999947</v>
          </cell>
          <cell r="FG149">
            <v>8.9999999999999947</v>
          </cell>
          <cell r="FH149">
            <v>25.999999999999986</v>
          </cell>
          <cell r="FI149">
            <v>0</v>
          </cell>
          <cell r="FJ149">
            <v>0</v>
          </cell>
          <cell r="FK149">
            <v>8.6666666666666607</v>
          </cell>
          <cell r="FL149">
            <v>8.6666666666666607</v>
          </cell>
          <cell r="FM149">
            <v>24.999999999999982</v>
          </cell>
          <cell r="FN149">
            <v>0</v>
          </cell>
          <cell r="FO149">
            <v>0</v>
          </cell>
          <cell r="FP149">
            <v>8.3333333333333268</v>
          </cell>
          <cell r="FQ149">
            <v>8.3333333333333268</v>
          </cell>
          <cell r="FR149">
            <v>23.999999999999982</v>
          </cell>
          <cell r="FS149">
            <v>0</v>
          </cell>
          <cell r="FT149">
            <v>1</v>
          </cell>
          <cell r="FU149">
            <v>2.0333333333333332</v>
          </cell>
          <cell r="FW149" t="str">
            <v>SOBRESTOCK</v>
          </cell>
          <cell r="FX149" t="str">
            <v>C</v>
          </cell>
          <cell r="FY149" t="str">
            <v>Si</v>
          </cell>
        </row>
        <row r="150">
          <cell r="B150" t="str">
            <v>REP-0155</v>
          </cell>
          <cell r="C150" t="str">
            <v>MIX</v>
          </cell>
          <cell r="D150">
            <v>0</v>
          </cell>
          <cell r="E150">
            <v>4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0</v>
          </cell>
          <cell r="V150">
            <v>1</v>
          </cell>
          <cell r="W150">
            <v>0</v>
          </cell>
          <cell r="X150">
            <v>0</v>
          </cell>
          <cell r="Y150">
            <v>6</v>
          </cell>
          <cell r="AA150">
            <v>6</v>
          </cell>
          <cell r="AB150">
            <v>0</v>
          </cell>
          <cell r="AC150">
            <v>0.16666666666666666</v>
          </cell>
          <cell r="AD150">
            <v>5.5555555555555549E-3</v>
          </cell>
          <cell r="AE150">
            <v>8.3333333333333329E-2</v>
          </cell>
          <cell r="AF150">
            <v>8.3333333333333329E-2</v>
          </cell>
          <cell r="AG150">
            <v>0</v>
          </cell>
          <cell r="AH150">
            <v>0.16666666666666666</v>
          </cell>
          <cell r="AI150">
            <v>0</v>
          </cell>
          <cell r="AJ150">
            <v>0</v>
          </cell>
          <cell r="AK150">
            <v>0.16666666666666666</v>
          </cell>
          <cell r="AL150">
            <v>8.3333333333333329E-2</v>
          </cell>
          <cell r="AM150">
            <v>4.1666666666666664E-2</v>
          </cell>
          <cell r="AN150">
            <v>2</v>
          </cell>
          <cell r="AO150">
            <v>0</v>
          </cell>
          <cell r="AP150">
            <v>9.8888888888888893</v>
          </cell>
          <cell r="AQ150">
            <v>119</v>
          </cell>
          <cell r="AR150">
            <v>0</v>
          </cell>
          <cell r="AS150">
            <v>9.8333333333333321</v>
          </cell>
          <cell r="AT150">
            <v>10</v>
          </cell>
          <cell r="AU150" t="str">
            <v/>
          </cell>
          <cell r="AV150">
            <v>0</v>
          </cell>
          <cell r="AW150">
            <v>10</v>
          </cell>
          <cell r="AX150">
            <v>9</v>
          </cell>
          <cell r="AY150">
            <v>54</v>
          </cell>
          <cell r="AZ150">
            <v>0</v>
          </cell>
          <cell r="BA150">
            <v>9</v>
          </cell>
          <cell r="BB150">
            <v>9</v>
          </cell>
          <cell r="BC150">
            <v>27</v>
          </cell>
          <cell r="BD150">
            <v>0</v>
          </cell>
          <cell r="BE150">
            <v>8.6666666666666661</v>
          </cell>
          <cell r="BF150">
            <v>26</v>
          </cell>
          <cell r="BG150">
            <v>0</v>
          </cell>
          <cell r="BH150">
            <v>8.3333333333333321</v>
          </cell>
          <cell r="BI150">
            <v>6</v>
          </cell>
          <cell r="BJ150">
            <v>36</v>
          </cell>
          <cell r="BK150">
            <v>0</v>
          </cell>
          <cell r="BL150">
            <v>8.8333333333333339</v>
          </cell>
          <cell r="BM150">
            <v>9</v>
          </cell>
          <cell r="BN150">
            <v>54</v>
          </cell>
          <cell r="BO150">
            <v>0</v>
          </cell>
          <cell r="BP150">
            <v>8.8333333333333339</v>
          </cell>
          <cell r="BQ150">
            <v>9</v>
          </cell>
          <cell r="BR150">
            <v>54</v>
          </cell>
          <cell r="BS150">
            <v>0</v>
          </cell>
          <cell r="BT150">
            <v>8.8333333333333339</v>
          </cell>
          <cell r="BU150">
            <v>9</v>
          </cell>
          <cell r="BV150">
            <v>81</v>
          </cell>
          <cell r="BW150">
            <v>0</v>
          </cell>
          <cell r="BX150">
            <v>0</v>
          </cell>
          <cell r="BY150">
            <v>8.8888888888888893</v>
          </cell>
          <cell r="BZ150">
            <v>9</v>
          </cell>
          <cell r="CA150">
            <v>90</v>
          </cell>
          <cell r="CB150">
            <v>0</v>
          </cell>
          <cell r="CC150">
            <v>0</v>
          </cell>
          <cell r="CD150">
            <v>8.9</v>
          </cell>
          <cell r="CE150">
            <v>9</v>
          </cell>
          <cell r="CF150">
            <v>99</v>
          </cell>
          <cell r="CG150">
            <v>0</v>
          </cell>
          <cell r="CH150">
            <v>0</v>
          </cell>
          <cell r="CI150">
            <v>8.8090909090909086</v>
          </cell>
          <cell r="CJ150">
            <v>8</v>
          </cell>
          <cell r="CK150">
            <v>48</v>
          </cell>
          <cell r="CL150">
            <v>0</v>
          </cell>
          <cell r="CM150">
            <v>0</v>
          </cell>
          <cell r="CN150">
            <v>7.833333333333333</v>
          </cell>
          <cell r="CO150">
            <v>8</v>
          </cell>
          <cell r="CP150">
            <v>48</v>
          </cell>
          <cell r="CQ150">
            <v>0</v>
          </cell>
          <cell r="CR150">
            <v>0</v>
          </cell>
          <cell r="CS150">
            <v>7.833333333333333</v>
          </cell>
          <cell r="CT150">
            <v>8</v>
          </cell>
          <cell r="CU150">
            <v>48</v>
          </cell>
          <cell r="CV150">
            <v>0</v>
          </cell>
          <cell r="CW150">
            <v>0</v>
          </cell>
          <cell r="CX150">
            <v>7.833333333333333</v>
          </cell>
          <cell r="CY150">
            <v>7</v>
          </cell>
          <cell r="CZ150">
            <v>42</v>
          </cell>
          <cell r="DA150">
            <v>0</v>
          </cell>
          <cell r="DB150">
            <v>0</v>
          </cell>
          <cell r="DC150">
            <v>6.833333333333333</v>
          </cell>
          <cell r="DD150">
            <v>8</v>
          </cell>
          <cell r="DE150">
            <v>42</v>
          </cell>
          <cell r="DF150">
            <v>0</v>
          </cell>
          <cell r="DG150">
            <v>0</v>
          </cell>
          <cell r="DH150">
            <v>7.833333333333333</v>
          </cell>
          <cell r="DI150">
            <v>8</v>
          </cell>
          <cell r="DJ150">
            <v>44</v>
          </cell>
          <cell r="DK150">
            <v>0</v>
          </cell>
          <cell r="DL150">
            <v>0</v>
          </cell>
          <cell r="DM150">
            <v>7.6666666666666661</v>
          </cell>
          <cell r="DN150">
            <v>6</v>
          </cell>
          <cell r="DO150">
            <v>32</v>
          </cell>
          <cell r="DP150">
            <v>0</v>
          </cell>
          <cell r="DQ150">
            <v>0</v>
          </cell>
          <cell r="DR150">
            <v>5.833333333333333</v>
          </cell>
          <cell r="DS150">
            <v>5.833333333333333</v>
          </cell>
          <cell r="DT150">
            <v>31</v>
          </cell>
          <cell r="DU150">
            <v>0</v>
          </cell>
          <cell r="DV150">
            <v>0</v>
          </cell>
          <cell r="DW150">
            <v>5.6666666666666661</v>
          </cell>
          <cell r="DX150">
            <v>5.6666666666666661</v>
          </cell>
          <cell r="DY150">
            <v>29.999999999999996</v>
          </cell>
          <cell r="DZ150">
            <v>0</v>
          </cell>
          <cell r="EA150">
            <v>0</v>
          </cell>
          <cell r="EB150">
            <v>5.4999999999999991</v>
          </cell>
          <cell r="EC150">
            <v>5.4999999999999991</v>
          </cell>
          <cell r="ED150">
            <v>28.999999999999996</v>
          </cell>
          <cell r="EE150">
            <v>0</v>
          </cell>
          <cell r="EF150">
            <v>0</v>
          </cell>
          <cell r="EG150">
            <v>5.3333333333333321</v>
          </cell>
          <cell r="EH150">
            <v>5.3333333333333321</v>
          </cell>
          <cell r="EI150">
            <v>27.999999999999993</v>
          </cell>
          <cell r="EJ150">
            <v>0</v>
          </cell>
          <cell r="EK150">
            <v>0</v>
          </cell>
          <cell r="EL150">
            <v>5.1666666666666652</v>
          </cell>
          <cell r="EM150">
            <v>5.1666666666666652</v>
          </cell>
          <cell r="EN150">
            <v>26.999999999999993</v>
          </cell>
          <cell r="EO150">
            <v>0</v>
          </cell>
          <cell r="EP150">
            <v>0</v>
          </cell>
          <cell r="EQ150">
            <v>4.9999999999999982</v>
          </cell>
          <cell r="ER150">
            <v>4.9999999999999982</v>
          </cell>
          <cell r="ES150">
            <v>25.999999999999989</v>
          </cell>
          <cell r="ET150">
            <v>0</v>
          </cell>
          <cell r="EU150">
            <v>0</v>
          </cell>
          <cell r="EV150">
            <v>4.8333333333333313</v>
          </cell>
          <cell r="EW150">
            <v>4.8333333333333313</v>
          </cell>
          <cell r="EX150">
            <v>24.999999999999989</v>
          </cell>
          <cell r="EY150">
            <v>0</v>
          </cell>
          <cell r="EZ150">
            <v>0</v>
          </cell>
          <cell r="FA150">
            <v>4.6666666666666643</v>
          </cell>
          <cell r="FB150">
            <v>4.6666666666666643</v>
          </cell>
          <cell r="FC150">
            <v>23.999999999999986</v>
          </cell>
          <cell r="FD150">
            <v>0</v>
          </cell>
          <cell r="FE150">
            <v>0</v>
          </cell>
          <cell r="FF150">
            <v>4.4999999999999973</v>
          </cell>
          <cell r="FG150">
            <v>4.4999999999999973</v>
          </cell>
          <cell r="FH150">
            <v>22.999999999999986</v>
          </cell>
          <cell r="FI150">
            <v>0</v>
          </cell>
          <cell r="FJ150">
            <v>0</v>
          </cell>
          <cell r="FK150">
            <v>4.3333333333333304</v>
          </cell>
          <cell r="FL150">
            <v>4.3333333333333304</v>
          </cell>
          <cell r="FM150">
            <v>21.999999999999982</v>
          </cell>
          <cell r="FN150">
            <v>0</v>
          </cell>
          <cell r="FO150">
            <v>0</v>
          </cell>
          <cell r="FP150">
            <v>4.1666666666666634</v>
          </cell>
          <cell r="FQ150">
            <v>4.1666666666666634</v>
          </cell>
          <cell r="FR150">
            <v>20.999999999999982</v>
          </cell>
          <cell r="FS150">
            <v>0</v>
          </cell>
          <cell r="FT150">
            <v>1</v>
          </cell>
          <cell r="FU150">
            <v>2.0333333333333332</v>
          </cell>
          <cell r="FW150" t="str">
            <v>SIN ROTACIÓN</v>
          </cell>
          <cell r="FX150" t="str">
            <v>C</v>
          </cell>
          <cell r="FY150" t="str">
            <v>Si</v>
          </cell>
        </row>
        <row r="151">
          <cell r="B151" t="str">
            <v>REP-0156</v>
          </cell>
          <cell r="C151" t="str">
            <v>MIX</v>
          </cell>
          <cell r="D151">
            <v>0</v>
          </cell>
          <cell r="E151">
            <v>21</v>
          </cell>
          <cell r="F151">
            <v>0</v>
          </cell>
          <cell r="G151">
            <v>0</v>
          </cell>
          <cell r="H151">
            <v>3</v>
          </cell>
          <cell r="I151">
            <v>3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3</v>
          </cell>
          <cell r="O151">
            <v>1</v>
          </cell>
          <cell r="P151">
            <v>1</v>
          </cell>
          <cell r="Q151">
            <v>0</v>
          </cell>
          <cell r="R151">
            <v>2</v>
          </cell>
          <cell r="S151">
            <v>1</v>
          </cell>
          <cell r="T151">
            <v>1</v>
          </cell>
          <cell r="U151">
            <v>2</v>
          </cell>
          <cell r="V151">
            <v>1</v>
          </cell>
          <cell r="W151">
            <v>1</v>
          </cell>
          <cell r="X151">
            <v>1</v>
          </cell>
          <cell r="Y151">
            <v>41</v>
          </cell>
          <cell r="AA151">
            <v>41</v>
          </cell>
          <cell r="AB151">
            <v>0</v>
          </cell>
          <cell r="AC151">
            <v>1.1666666666666667</v>
          </cell>
          <cell r="AD151">
            <v>3.888888888888889E-2</v>
          </cell>
          <cell r="AE151">
            <v>0.75</v>
          </cell>
          <cell r="AF151">
            <v>0.25</v>
          </cell>
          <cell r="AG151">
            <v>0.16666666666666666</v>
          </cell>
          <cell r="AH151">
            <v>0.16666666666666666</v>
          </cell>
          <cell r="AI151">
            <v>1.3333333333333333</v>
          </cell>
          <cell r="AJ151">
            <v>1.3333333333333333</v>
          </cell>
          <cell r="AK151">
            <v>1.3333333333333333</v>
          </cell>
          <cell r="AL151">
            <v>0.67357531405456328</v>
          </cell>
          <cell r="AM151">
            <v>0.75</v>
          </cell>
          <cell r="AN151">
            <v>0.89810041873941771</v>
          </cell>
          <cell r="AO151">
            <v>0</v>
          </cell>
          <cell r="AP151">
            <v>16.777777777777779</v>
          </cell>
          <cell r="AQ151">
            <v>50.000000000000007</v>
          </cell>
          <cell r="AR151">
            <v>0</v>
          </cell>
          <cell r="AS151">
            <v>16</v>
          </cell>
          <cell r="AT151">
            <v>16</v>
          </cell>
          <cell r="AU151">
            <v>32</v>
          </cell>
          <cell r="AV151">
            <v>0</v>
          </cell>
          <cell r="AW151">
            <v>15.5</v>
          </cell>
          <cell r="AX151">
            <v>15</v>
          </cell>
          <cell r="AY151">
            <v>11.25</v>
          </cell>
          <cell r="AZ151">
            <v>0</v>
          </cell>
          <cell r="BA151">
            <v>14.333333333333334</v>
          </cell>
          <cell r="BB151">
            <v>15</v>
          </cell>
          <cell r="BC151">
            <v>22.5</v>
          </cell>
          <cell r="BD151">
            <v>0</v>
          </cell>
          <cell r="BE151">
            <v>14.333333333333334</v>
          </cell>
          <cell r="BF151">
            <v>21.500000000000004</v>
          </cell>
          <cell r="BG151">
            <v>0</v>
          </cell>
          <cell r="BH151">
            <v>13.666666666666668</v>
          </cell>
          <cell r="BI151">
            <v>41</v>
          </cell>
          <cell r="BJ151">
            <v>30.75</v>
          </cell>
          <cell r="BK151">
            <v>0</v>
          </cell>
          <cell r="BL151">
            <v>14.666666666666666</v>
          </cell>
          <cell r="BM151">
            <v>15</v>
          </cell>
          <cell r="BN151">
            <v>52.5</v>
          </cell>
          <cell r="BO151">
            <v>0</v>
          </cell>
          <cell r="BP151">
            <v>14.714285714285714</v>
          </cell>
          <cell r="BQ151">
            <v>15</v>
          </cell>
          <cell r="BR151">
            <v>11.25</v>
          </cell>
          <cell r="BS151">
            <v>0</v>
          </cell>
          <cell r="BT151">
            <v>14.75</v>
          </cell>
          <cell r="BU151">
            <v>15</v>
          </cell>
          <cell r="BV151">
            <v>67.5</v>
          </cell>
          <cell r="BW151">
            <v>23</v>
          </cell>
          <cell r="BX151">
            <v>0</v>
          </cell>
          <cell r="BY151">
            <v>14.777777777777779</v>
          </cell>
          <cell r="BZ151">
            <v>15</v>
          </cell>
          <cell r="CA151">
            <v>75</v>
          </cell>
          <cell r="CB151">
            <v>23</v>
          </cell>
          <cell r="CC151">
            <v>0</v>
          </cell>
          <cell r="CD151">
            <v>14.8</v>
          </cell>
          <cell r="CE151">
            <v>15</v>
          </cell>
          <cell r="CF151">
            <v>82.5</v>
          </cell>
          <cell r="CG151">
            <v>23</v>
          </cell>
          <cell r="CH151">
            <v>0</v>
          </cell>
          <cell r="CI151">
            <v>37.618181818181817</v>
          </cell>
          <cell r="CJ151">
            <v>16</v>
          </cell>
          <cell r="CK151">
            <v>96</v>
          </cell>
          <cell r="CL151">
            <v>22</v>
          </cell>
          <cell r="CM151">
            <v>30</v>
          </cell>
          <cell r="CN151">
            <v>45.833333333333336</v>
          </cell>
          <cell r="CO151">
            <v>46</v>
          </cell>
          <cell r="CP151">
            <v>276</v>
          </cell>
          <cell r="CQ151">
            <v>0</v>
          </cell>
          <cell r="CR151">
            <v>0</v>
          </cell>
          <cell r="CS151">
            <v>45.833333333333336</v>
          </cell>
          <cell r="CT151">
            <v>45</v>
          </cell>
          <cell r="CU151">
            <v>90</v>
          </cell>
          <cell r="CV151">
            <v>0</v>
          </cell>
          <cell r="CW151">
            <v>0</v>
          </cell>
          <cell r="CX151">
            <v>44.5</v>
          </cell>
          <cell r="CY151">
            <v>43</v>
          </cell>
          <cell r="CZ151">
            <v>43</v>
          </cell>
          <cell r="DA151">
            <v>0</v>
          </cell>
          <cell r="DB151">
            <v>0</v>
          </cell>
          <cell r="DC151">
            <v>42</v>
          </cell>
          <cell r="DD151">
            <v>40</v>
          </cell>
          <cell r="DE151">
            <v>14</v>
          </cell>
          <cell r="DF151">
            <v>0</v>
          </cell>
          <cell r="DG151">
            <v>0</v>
          </cell>
          <cell r="DH151">
            <v>38.5</v>
          </cell>
          <cell r="DI151">
            <v>38</v>
          </cell>
          <cell r="DJ151">
            <v>13.875</v>
          </cell>
          <cell r="DK151">
            <v>0</v>
          </cell>
          <cell r="DL151">
            <v>0</v>
          </cell>
          <cell r="DM151">
            <v>36.9</v>
          </cell>
          <cell r="DN151">
            <v>41</v>
          </cell>
          <cell r="DO151">
            <v>18.5</v>
          </cell>
          <cell r="DP151">
            <v>0</v>
          </cell>
          <cell r="DQ151">
            <v>0</v>
          </cell>
          <cell r="DR151">
            <v>39.666666666666664</v>
          </cell>
          <cell r="DS151">
            <v>39.666666666666664</v>
          </cell>
          <cell r="DT151">
            <v>17.5</v>
          </cell>
          <cell r="DU151">
            <v>0</v>
          </cell>
          <cell r="DV151">
            <v>0</v>
          </cell>
          <cell r="DW151">
            <v>38.333333333333329</v>
          </cell>
          <cell r="DX151">
            <v>38.333333333333329</v>
          </cell>
          <cell r="DY151">
            <v>16.499999999999996</v>
          </cell>
          <cell r="DZ151">
            <v>0</v>
          </cell>
          <cell r="EA151">
            <v>0</v>
          </cell>
          <cell r="EB151">
            <v>36.999999999999993</v>
          </cell>
          <cell r="EC151">
            <v>36.999999999999993</v>
          </cell>
          <cell r="ED151">
            <v>15.499999999999995</v>
          </cell>
          <cell r="EE151">
            <v>0</v>
          </cell>
          <cell r="EF151">
            <v>0</v>
          </cell>
          <cell r="EG151">
            <v>35.666666666666657</v>
          </cell>
          <cell r="EH151">
            <v>35.666666666666657</v>
          </cell>
          <cell r="EI151">
            <v>14.499999999999993</v>
          </cell>
          <cell r="EJ151">
            <v>0</v>
          </cell>
          <cell r="EK151">
            <v>0</v>
          </cell>
          <cell r="EL151">
            <v>34.333333333333321</v>
          </cell>
          <cell r="EM151">
            <v>34.333333333333321</v>
          </cell>
          <cell r="EN151">
            <v>13.499999999999991</v>
          </cell>
          <cell r="EO151">
            <v>0</v>
          </cell>
          <cell r="EP151">
            <v>0</v>
          </cell>
          <cell r="EQ151">
            <v>32.999999999999986</v>
          </cell>
          <cell r="ER151">
            <v>32.999999999999986</v>
          </cell>
          <cell r="ES151">
            <v>12.499999999999989</v>
          </cell>
          <cell r="ET151">
            <v>0</v>
          </cell>
          <cell r="EU151">
            <v>0</v>
          </cell>
          <cell r="EV151">
            <v>31.666666666666654</v>
          </cell>
          <cell r="EW151">
            <v>31.666666666666654</v>
          </cell>
          <cell r="EX151">
            <v>11.499999999999991</v>
          </cell>
          <cell r="EY151">
            <v>0</v>
          </cell>
          <cell r="EZ151">
            <v>0</v>
          </cell>
          <cell r="FA151">
            <v>30.333333333333321</v>
          </cell>
          <cell r="FB151">
            <v>30.333333333333321</v>
          </cell>
          <cell r="FC151">
            <v>10.499999999999991</v>
          </cell>
          <cell r="FD151">
            <v>0</v>
          </cell>
          <cell r="FE151">
            <v>0</v>
          </cell>
          <cell r="FF151">
            <v>28.999999999999989</v>
          </cell>
          <cell r="FG151">
            <v>28.999999999999989</v>
          </cell>
          <cell r="FH151">
            <v>9.4999999999999929</v>
          </cell>
          <cell r="FI151">
            <v>0</v>
          </cell>
          <cell r="FJ151">
            <v>0</v>
          </cell>
          <cell r="FK151">
            <v>27.666666666666657</v>
          </cell>
          <cell r="FL151">
            <v>27.666666666666657</v>
          </cell>
          <cell r="FM151">
            <v>8.4999999999999929</v>
          </cell>
          <cell r="FN151">
            <v>0</v>
          </cell>
          <cell r="FO151">
            <v>0</v>
          </cell>
          <cell r="FP151">
            <v>26.333333333333325</v>
          </cell>
          <cell r="FQ151">
            <v>26.333333333333325</v>
          </cell>
          <cell r="FR151">
            <v>7.4999999999999938</v>
          </cell>
          <cell r="FS151">
            <v>0</v>
          </cell>
          <cell r="FT151">
            <v>19</v>
          </cell>
          <cell r="FU151">
            <v>2.0333333333333332</v>
          </cell>
          <cell r="FW151" t="str">
            <v>SOBRESTOCK</v>
          </cell>
          <cell r="FX151" t="str">
            <v>C</v>
          </cell>
          <cell r="FY151" t="str">
            <v>Si</v>
          </cell>
        </row>
        <row r="152">
          <cell r="B152" t="str">
            <v>REP-0157</v>
          </cell>
          <cell r="C152" t="str">
            <v>MIX</v>
          </cell>
          <cell r="D152">
            <v>0</v>
          </cell>
          <cell r="E152">
            <v>30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30</v>
          </cell>
          <cell r="AA152">
            <v>30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1</v>
          </cell>
          <cell r="AI152">
            <v>0</v>
          </cell>
          <cell r="AJ152">
            <v>0</v>
          </cell>
          <cell r="AK152">
            <v>1</v>
          </cell>
          <cell r="AL152">
            <v>0.5</v>
          </cell>
          <cell r="AM152">
            <v>0.25</v>
          </cell>
          <cell r="AN152">
            <v>2</v>
          </cell>
          <cell r="AO152">
            <v>0</v>
          </cell>
          <cell r="AP152">
            <v>12</v>
          </cell>
          <cell r="AQ152" t="str">
            <v/>
          </cell>
          <cell r="AR152">
            <v>0</v>
          </cell>
          <cell r="AS152">
            <v>12</v>
          </cell>
          <cell r="AT152">
            <v>12</v>
          </cell>
          <cell r="AU152" t="str">
            <v/>
          </cell>
          <cell r="AV152">
            <v>0</v>
          </cell>
          <cell r="AW152">
            <v>12</v>
          </cell>
          <cell r="AX152">
            <v>12</v>
          </cell>
          <cell r="AY152">
            <v>12</v>
          </cell>
          <cell r="AZ152">
            <v>0</v>
          </cell>
          <cell r="BA152">
            <v>12</v>
          </cell>
          <cell r="BB152">
            <v>12</v>
          </cell>
          <cell r="BC152" t="str">
            <v/>
          </cell>
          <cell r="BD152">
            <v>0</v>
          </cell>
          <cell r="BE152">
            <v>12</v>
          </cell>
          <cell r="BF152" t="str">
            <v/>
          </cell>
          <cell r="BG152">
            <v>0</v>
          </cell>
          <cell r="BH152">
            <v>12</v>
          </cell>
          <cell r="BI152">
            <v>30</v>
          </cell>
          <cell r="BJ152">
            <v>30</v>
          </cell>
          <cell r="BK152">
            <v>0</v>
          </cell>
          <cell r="BL152">
            <v>12</v>
          </cell>
          <cell r="BM152">
            <v>12</v>
          </cell>
          <cell r="BN152" t="str">
            <v/>
          </cell>
          <cell r="BO152">
            <v>0</v>
          </cell>
          <cell r="BP152">
            <v>12</v>
          </cell>
          <cell r="BQ152">
            <v>12</v>
          </cell>
          <cell r="BR152">
            <v>12</v>
          </cell>
          <cell r="BS152">
            <v>0</v>
          </cell>
          <cell r="BT152">
            <v>12</v>
          </cell>
          <cell r="BU152">
            <v>12</v>
          </cell>
          <cell r="BV152" t="str">
            <v/>
          </cell>
          <cell r="BW152">
            <v>0</v>
          </cell>
          <cell r="BX152">
            <v>0</v>
          </cell>
          <cell r="BY152">
            <v>12</v>
          </cell>
          <cell r="BZ152">
            <v>12</v>
          </cell>
          <cell r="CA152" t="str">
            <v/>
          </cell>
          <cell r="CB152">
            <v>0</v>
          </cell>
          <cell r="CC152">
            <v>0</v>
          </cell>
          <cell r="CD152">
            <v>12</v>
          </cell>
          <cell r="CE152">
            <v>12</v>
          </cell>
          <cell r="CF152" t="str">
            <v/>
          </cell>
          <cell r="CG152">
            <v>0</v>
          </cell>
          <cell r="CH152">
            <v>0</v>
          </cell>
          <cell r="CI152">
            <v>12</v>
          </cell>
          <cell r="CJ152">
            <v>0</v>
          </cell>
          <cell r="CK152">
            <v>0</v>
          </cell>
          <cell r="CL152">
            <v>16</v>
          </cell>
          <cell r="CM152">
            <v>0</v>
          </cell>
          <cell r="CN152">
            <v>-2</v>
          </cell>
          <cell r="CO152">
            <v>0</v>
          </cell>
          <cell r="CP152">
            <v>0</v>
          </cell>
          <cell r="CQ152">
            <v>18</v>
          </cell>
          <cell r="CR152">
            <v>0</v>
          </cell>
          <cell r="CS152">
            <v>-2</v>
          </cell>
          <cell r="CT152">
            <v>0</v>
          </cell>
          <cell r="CU152">
            <v>0</v>
          </cell>
          <cell r="CV152">
            <v>5</v>
          </cell>
          <cell r="CW152">
            <v>20</v>
          </cell>
          <cell r="CX152">
            <v>18</v>
          </cell>
          <cell r="CY152">
            <v>0</v>
          </cell>
          <cell r="CZ152">
            <v>0</v>
          </cell>
          <cell r="DA152">
            <v>0</v>
          </cell>
          <cell r="DB152">
            <v>20</v>
          </cell>
          <cell r="DC152">
            <v>19</v>
          </cell>
          <cell r="DD152">
            <v>30</v>
          </cell>
          <cell r="DE152">
            <v>27</v>
          </cell>
          <cell r="DF152">
            <v>0</v>
          </cell>
          <cell r="DG152">
            <v>0</v>
          </cell>
          <cell r="DH152">
            <v>29</v>
          </cell>
          <cell r="DI152">
            <v>30</v>
          </cell>
          <cell r="DJ152">
            <v>29</v>
          </cell>
          <cell r="DK152">
            <v>0</v>
          </cell>
          <cell r="DL152">
            <v>0</v>
          </cell>
          <cell r="DM152">
            <v>28</v>
          </cell>
          <cell r="DN152">
            <v>30</v>
          </cell>
          <cell r="DO152">
            <v>29</v>
          </cell>
          <cell r="DP152">
            <v>0</v>
          </cell>
          <cell r="DQ152">
            <v>0</v>
          </cell>
          <cell r="DR152">
            <v>29</v>
          </cell>
          <cell r="DS152">
            <v>29</v>
          </cell>
          <cell r="DT152">
            <v>28</v>
          </cell>
          <cell r="DU152">
            <v>0</v>
          </cell>
          <cell r="DV152">
            <v>0</v>
          </cell>
          <cell r="DW152">
            <v>28</v>
          </cell>
          <cell r="DX152">
            <v>28</v>
          </cell>
          <cell r="DY152">
            <v>27</v>
          </cell>
          <cell r="DZ152">
            <v>0</v>
          </cell>
          <cell r="EA152">
            <v>0</v>
          </cell>
          <cell r="EB152">
            <v>27</v>
          </cell>
          <cell r="EC152">
            <v>27</v>
          </cell>
          <cell r="ED152">
            <v>26</v>
          </cell>
          <cell r="EE152">
            <v>0</v>
          </cell>
          <cell r="EF152">
            <v>0</v>
          </cell>
          <cell r="EG152">
            <v>26</v>
          </cell>
          <cell r="EH152">
            <v>26</v>
          </cell>
          <cell r="EI152">
            <v>25</v>
          </cell>
          <cell r="EJ152">
            <v>0</v>
          </cell>
          <cell r="EK152">
            <v>0</v>
          </cell>
          <cell r="EL152">
            <v>25</v>
          </cell>
          <cell r="EM152">
            <v>25</v>
          </cell>
          <cell r="EN152">
            <v>24</v>
          </cell>
          <cell r="EO152">
            <v>0</v>
          </cell>
          <cell r="EP152">
            <v>0</v>
          </cell>
          <cell r="EQ152">
            <v>24</v>
          </cell>
          <cell r="ER152">
            <v>24</v>
          </cell>
          <cell r="ES152">
            <v>23</v>
          </cell>
          <cell r="ET152">
            <v>0</v>
          </cell>
          <cell r="EU152">
            <v>0</v>
          </cell>
          <cell r="EV152">
            <v>23</v>
          </cell>
          <cell r="EW152">
            <v>23</v>
          </cell>
          <cell r="EX152">
            <v>22</v>
          </cell>
          <cell r="EY152">
            <v>0</v>
          </cell>
          <cell r="EZ152">
            <v>0</v>
          </cell>
          <cell r="FA152">
            <v>22</v>
          </cell>
          <cell r="FB152">
            <v>22</v>
          </cell>
          <cell r="FC152">
            <v>21</v>
          </cell>
          <cell r="FD152">
            <v>0</v>
          </cell>
          <cell r="FE152">
            <v>0</v>
          </cell>
          <cell r="FF152">
            <v>21</v>
          </cell>
          <cell r="FG152">
            <v>21</v>
          </cell>
          <cell r="FH152">
            <v>20</v>
          </cell>
          <cell r="FI152">
            <v>0</v>
          </cell>
          <cell r="FJ152">
            <v>0</v>
          </cell>
          <cell r="FK152">
            <v>20</v>
          </cell>
          <cell r="FL152">
            <v>20</v>
          </cell>
          <cell r="FM152">
            <v>19</v>
          </cell>
          <cell r="FN152">
            <v>0</v>
          </cell>
          <cell r="FO152">
            <v>0</v>
          </cell>
          <cell r="FP152">
            <v>19</v>
          </cell>
          <cell r="FQ152">
            <v>19</v>
          </cell>
          <cell r="FR152">
            <v>18</v>
          </cell>
          <cell r="FS152">
            <v>0</v>
          </cell>
          <cell r="FT152">
            <v>3</v>
          </cell>
          <cell r="FU152">
            <v>2.0333333333333332</v>
          </cell>
          <cell r="FV152" t="str">
            <v>SI</v>
          </cell>
          <cell r="FW152" t="str">
            <v>SIN ROTACIÓN</v>
          </cell>
          <cell r="FX152" t="str">
            <v>STOCK MUERTO</v>
          </cell>
          <cell r="FY152" t="str">
            <v>Si</v>
          </cell>
        </row>
        <row r="153">
          <cell r="B153" t="str">
            <v>REP-0158</v>
          </cell>
          <cell r="C153" t="str">
            <v>MIX</v>
          </cell>
          <cell r="D153">
            <v>0</v>
          </cell>
          <cell r="E153">
            <v>8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2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10</v>
          </cell>
          <cell r="AA153">
            <v>10</v>
          </cell>
          <cell r="AB153">
            <v>1</v>
          </cell>
          <cell r="AC153">
            <v>0</v>
          </cell>
          <cell r="AD153">
            <v>0</v>
          </cell>
          <cell r="AE153">
            <v>0</v>
          </cell>
          <cell r="AF153">
            <v>0.16666666666666666</v>
          </cell>
          <cell r="AG153">
            <v>0</v>
          </cell>
          <cell r="AH153">
            <v>0.5</v>
          </cell>
          <cell r="AI153">
            <v>0</v>
          </cell>
          <cell r="AJ153">
            <v>0</v>
          </cell>
          <cell r="AK153">
            <v>0.5</v>
          </cell>
          <cell r="AL153">
            <v>0.25</v>
          </cell>
          <cell r="AM153">
            <v>0.125</v>
          </cell>
          <cell r="AN153">
            <v>2</v>
          </cell>
          <cell r="AO153">
            <v>0</v>
          </cell>
          <cell r="AP153">
            <v>10.333333333333334</v>
          </cell>
          <cell r="AQ153">
            <v>65.000000000000014</v>
          </cell>
          <cell r="AR153">
            <v>0</v>
          </cell>
          <cell r="AS153">
            <v>10.666666666666668</v>
          </cell>
          <cell r="AT153">
            <v>11</v>
          </cell>
          <cell r="AU153" t="str">
            <v/>
          </cell>
          <cell r="AV153">
            <v>0</v>
          </cell>
          <cell r="AW153">
            <v>11</v>
          </cell>
          <cell r="AX153">
            <v>11</v>
          </cell>
          <cell r="AY153">
            <v>22</v>
          </cell>
          <cell r="AZ153">
            <v>0</v>
          </cell>
          <cell r="BA153">
            <v>11</v>
          </cell>
          <cell r="BB153">
            <v>11</v>
          </cell>
          <cell r="BC153" t="str">
            <v/>
          </cell>
          <cell r="BD153">
            <v>0</v>
          </cell>
          <cell r="BE153">
            <v>11</v>
          </cell>
          <cell r="BF153" t="str">
            <v/>
          </cell>
          <cell r="BG153">
            <v>0</v>
          </cell>
          <cell r="BH153">
            <v>11</v>
          </cell>
          <cell r="BI153">
            <v>10</v>
          </cell>
          <cell r="BJ153">
            <v>20</v>
          </cell>
          <cell r="BK153">
            <v>0</v>
          </cell>
          <cell r="BL153">
            <v>7.5</v>
          </cell>
          <cell r="BM153">
            <v>7</v>
          </cell>
          <cell r="BN153">
            <v>10.5</v>
          </cell>
          <cell r="BO153">
            <v>0</v>
          </cell>
          <cell r="BP153">
            <v>6.333333333333333</v>
          </cell>
          <cell r="BQ153">
            <v>7</v>
          </cell>
          <cell r="BR153">
            <v>14</v>
          </cell>
          <cell r="BS153">
            <v>0</v>
          </cell>
          <cell r="BT153">
            <v>6.333333333333333</v>
          </cell>
          <cell r="BU153">
            <v>7</v>
          </cell>
          <cell r="BV153">
            <v>10.5</v>
          </cell>
          <cell r="BW153">
            <v>0</v>
          </cell>
          <cell r="BX153">
            <v>0</v>
          </cell>
          <cell r="BY153">
            <v>6.333333333333333</v>
          </cell>
          <cell r="BZ153">
            <v>7</v>
          </cell>
          <cell r="CA153">
            <v>10.5</v>
          </cell>
          <cell r="CB153">
            <v>0</v>
          </cell>
          <cell r="CC153">
            <v>0</v>
          </cell>
          <cell r="CD153">
            <v>6.333333333333333</v>
          </cell>
          <cell r="CE153">
            <v>7</v>
          </cell>
          <cell r="CF153">
            <v>10.5</v>
          </cell>
          <cell r="CG153">
            <v>0</v>
          </cell>
          <cell r="CH153">
            <v>0</v>
          </cell>
          <cell r="CI153">
            <v>5.6666666666666661</v>
          </cell>
          <cell r="CJ153">
            <v>5</v>
          </cell>
          <cell r="CK153">
            <v>10</v>
          </cell>
          <cell r="CL153">
            <v>0</v>
          </cell>
          <cell r="CM153">
            <v>5</v>
          </cell>
          <cell r="CN153">
            <v>9.5</v>
          </cell>
          <cell r="CO153">
            <v>10</v>
          </cell>
          <cell r="CP153">
            <v>20</v>
          </cell>
          <cell r="CQ153">
            <v>0</v>
          </cell>
          <cell r="CR153">
            <v>0</v>
          </cell>
          <cell r="CS153">
            <v>9.5</v>
          </cell>
          <cell r="CT153">
            <v>10</v>
          </cell>
          <cell r="CU153">
            <v>20</v>
          </cell>
          <cell r="CV153">
            <v>0</v>
          </cell>
          <cell r="CW153">
            <v>0</v>
          </cell>
          <cell r="CX153">
            <v>9.5</v>
          </cell>
          <cell r="CY153">
            <v>10</v>
          </cell>
          <cell r="CZ153">
            <v>20</v>
          </cell>
          <cell r="DA153">
            <v>0</v>
          </cell>
          <cell r="DB153">
            <v>0</v>
          </cell>
          <cell r="DC153">
            <v>9.5</v>
          </cell>
          <cell r="DD153">
            <v>10</v>
          </cell>
          <cell r="DE153">
            <v>16</v>
          </cell>
          <cell r="DF153">
            <v>0</v>
          </cell>
          <cell r="DG153">
            <v>0</v>
          </cell>
          <cell r="DH153">
            <v>9.5</v>
          </cell>
          <cell r="DI153">
            <v>10</v>
          </cell>
          <cell r="DJ153">
            <v>18</v>
          </cell>
          <cell r="DK153">
            <v>0</v>
          </cell>
          <cell r="DL153">
            <v>0</v>
          </cell>
          <cell r="DM153">
            <v>9</v>
          </cell>
          <cell r="DN153">
            <v>10</v>
          </cell>
          <cell r="DO153">
            <v>18</v>
          </cell>
          <cell r="DP153">
            <v>0</v>
          </cell>
          <cell r="DQ153">
            <v>0</v>
          </cell>
          <cell r="DR153">
            <v>9.5</v>
          </cell>
          <cell r="DS153">
            <v>9.5</v>
          </cell>
          <cell r="DT153">
            <v>17</v>
          </cell>
          <cell r="DU153">
            <v>0</v>
          </cell>
          <cell r="DV153">
            <v>0</v>
          </cell>
          <cell r="DW153">
            <v>9</v>
          </cell>
          <cell r="DX153">
            <v>9</v>
          </cell>
          <cell r="DY153">
            <v>16</v>
          </cell>
          <cell r="DZ153">
            <v>0</v>
          </cell>
          <cell r="EA153">
            <v>0</v>
          </cell>
          <cell r="EB153">
            <v>8.5</v>
          </cell>
          <cell r="EC153">
            <v>8.5</v>
          </cell>
          <cell r="ED153">
            <v>15</v>
          </cell>
          <cell r="EE153">
            <v>0</v>
          </cell>
          <cell r="EF153">
            <v>0</v>
          </cell>
          <cell r="EG153">
            <v>8</v>
          </cell>
          <cell r="EH153">
            <v>8</v>
          </cell>
          <cell r="EI153">
            <v>14</v>
          </cell>
          <cell r="EJ153">
            <v>0</v>
          </cell>
          <cell r="EK153">
            <v>0</v>
          </cell>
          <cell r="EL153">
            <v>7.5</v>
          </cell>
          <cell r="EM153">
            <v>7.5</v>
          </cell>
          <cell r="EN153">
            <v>13</v>
          </cell>
          <cell r="EO153">
            <v>0</v>
          </cell>
          <cell r="EP153">
            <v>0</v>
          </cell>
          <cell r="EQ153">
            <v>7</v>
          </cell>
          <cell r="ER153">
            <v>7</v>
          </cell>
          <cell r="ES153">
            <v>12</v>
          </cell>
          <cell r="ET153">
            <v>0</v>
          </cell>
          <cell r="EU153">
            <v>0</v>
          </cell>
          <cell r="EV153">
            <v>6.5</v>
          </cell>
          <cell r="EW153">
            <v>6.5</v>
          </cell>
          <cell r="EX153">
            <v>11</v>
          </cell>
          <cell r="EY153">
            <v>0</v>
          </cell>
          <cell r="EZ153">
            <v>0</v>
          </cell>
          <cell r="FA153">
            <v>6</v>
          </cell>
          <cell r="FB153">
            <v>6</v>
          </cell>
          <cell r="FC153">
            <v>10</v>
          </cell>
          <cell r="FD153">
            <v>0</v>
          </cell>
          <cell r="FE153">
            <v>0</v>
          </cell>
          <cell r="FF153">
            <v>5.5</v>
          </cell>
          <cell r="FG153">
            <v>5.5</v>
          </cell>
          <cell r="FH153">
            <v>9</v>
          </cell>
          <cell r="FI153">
            <v>0</v>
          </cell>
          <cell r="FJ153">
            <v>0</v>
          </cell>
          <cell r="FK153">
            <v>5</v>
          </cell>
          <cell r="FL153">
            <v>5</v>
          </cell>
          <cell r="FM153">
            <v>8</v>
          </cell>
          <cell r="FN153">
            <v>0</v>
          </cell>
          <cell r="FO153">
            <v>0</v>
          </cell>
          <cell r="FP153">
            <v>4.5</v>
          </cell>
          <cell r="FQ153">
            <v>4.5</v>
          </cell>
          <cell r="FR153">
            <v>7</v>
          </cell>
          <cell r="FS153">
            <v>0</v>
          </cell>
          <cell r="FT153">
            <v>2</v>
          </cell>
          <cell r="FU153">
            <v>2.0333333333333332</v>
          </cell>
          <cell r="FW153" t="str">
            <v>SIN ROTACIÓN</v>
          </cell>
          <cell r="FX153" t="str">
            <v>C</v>
          </cell>
          <cell r="FY153" t="str">
            <v>Si</v>
          </cell>
        </row>
        <row r="154">
          <cell r="B154" t="str">
            <v>REP-0159</v>
          </cell>
          <cell r="C154" t="str">
            <v>MIX</v>
          </cell>
          <cell r="D154">
            <v>0</v>
          </cell>
          <cell r="E154">
            <v>1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1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2</v>
          </cell>
          <cell r="AA154">
            <v>2</v>
          </cell>
          <cell r="AB154">
            <v>1</v>
          </cell>
          <cell r="AC154">
            <v>0</v>
          </cell>
          <cell r="AD154">
            <v>0</v>
          </cell>
          <cell r="AE154">
            <v>8.3333333333333329E-2</v>
          </cell>
          <cell r="AF154">
            <v>0.16666666666666666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7.4535599249992979E-2</v>
          </cell>
          <cell r="AM154">
            <v>0</v>
          </cell>
          <cell r="AN154">
            <v>0</v>
          </cell>
          <cell r="AO154">
            <v>0</v>
          </cell>
          <cell r="AP154">
            <v>3</v>
          </cell>
          <cell r="AQ154">
            <v>17.000000000000004</v>
          </cell>
          <cell r="AR154">
            <v>0</v>
          </cell>
          <cell r="AS154">
            <v>2.666666666666667</v>
          </cell>
          <cell r="AT154">
            <v>3</v>
          </cell>
          <cell r="AU154" t="str">
            <v/>
          </cell>
          <cell r="AV154">
            <v>0</v>
          </cell>
          <cell r="AW154">
            <v>3</v>
          </cell>
          <cell r="AX154">
            <v>3</v>
          </cell>
          <cell r="AY154" t="str">
            <v/>
          </cell>
          <cell r="AZ154">
            <v>0</v>
          </cell>
          <cell r="BA154">
            <v>3</v>
          </cell>
          <cell r="BB154">
            <v>3</v>
          </cell>
          <cell r="BC154" t="str">
            <v/>
          </cell>
          <cell r="BD154">
            <v>0</v>
          </cell>
          <cell r="BE154">
            <v>3</v>
          </cell>
          <cell r="BF154" t="str">
            <v/>
          </cell>
          <cell r="BG154">
            <v>0</v>
          </cell>
          <cell r="BH154">
            <v>3</v>
          </cell>
          <cell r="BI154">
            <v>2</v>
          </cell>
          <cell r="BJ154" t="str">
            <v/>
          </cell>
          <cell r="BK154">
            <v>0</v>
          </cell>
          <cell r="BL154">
            <v>3</v>
          </cell>
          <cell r="BM154">
            <v>3</v>
          </cell>
          <cell r="BN154" t="str">
            <v/>
          </cell>
          <cell r="BO154">
            <v>0</v>
          </cell>
          <cell r="BP154">
            <v>3</v>
          </cell>
          <cell r="BQ154">
            <v>3</v>
          </cell>
          <cell r="BR154" t="str">
            <v/>
          </cell>
          <cell r="BS154">
            <v>0</v>
          </cell>
          <cell r="BT154">
            <v>3</v>
          </cell>
          <cell r="BU154">
            <v>3</v>
          </cell>
          <cell r="BV154" t="str">
            <v/>
          </cell>
          <cell r="BW154">
            <v>0</v>
          </cell>
          <cell r="BX154">
            <v>0</v>
          </cell>
          <cell r="BY154">
            <v>3</v>
          </cell>
          <cell r="BZ154">
            <v>3</v>
          </cell>
          <cell r="CA154" t="str">
            <v/>
          </cell>
          <cell r="CB154">
            <v>0</v>
          </cell>
          <cell r="CC154">
            <v>0</v>
          </cell>
          <cell r="CD154">
            <v>3</v>
          </cell>
          <cell r="CE154">
            <v>3</v>
          </cell>
          <cell r="CF154" t="str">
            <v/>
          </cell>
          <cell r="CG154">
            <v>0</v>
          </cell>
          <cell r="CH154">
            <v>0</v>
          </cell>
          <cell r="CI154">
            <v>3</v>
          </cell>
          <cell r="CJ154">
            <v>3</v>
          </cell>
          <cell r="CK154" t="str">
            <v/>
          </cell>
          <cell r="CL154">
            <v>0</v>
          </cell>
          <cell r="CM154">
            <v>0</v>
          </cell>
          <cell r="CN154">
            <v>3</v>
          </cell>
          <cell r="CO154">
            <v>3</v>
          </cell>
          <cell r="CP154" t="str">
            <v/>
          </cell>
          <cell r="CQ154">
            <v>0</v>
          </cell>
          <cell r="CR154">
            <v>0</v>
          </cell>
          <cell r="CS154">
            <v>3</v>
          </cell>
          <cell r="CT154">
            <v>3</v>
          </cell>
          <cell r="CU154" t="str">
            <v/>
          </cell>
          <cell r="CV154">
            <v>0</v>
          </cell>
          <cell r="CW154">
            <v>0</v>
          </cell>
          <cell r="CX154">
            <v>3</v>
          </cell>
          <cell r="CY154">
            <v>3</v>
          </cell>
          <cell r="CZ154" t="str">
            <v/>
          </cell>
          <cell r="DA154">
            <v>0</v>
          </cell>
          <cell r="DB154">
            <v>0</v>
          </cell>
          <cell r="DC154">
            <v>3</v>
          </cell>
          <cell r="DD154">
            <v>2</v>
          </cell>
          <cell r="DE154" t="str">
            <v/>
          </cell>
          <cell r="DF154">
            <v>0</v>
          </cell>
          <cell r="DG154">
            <v>0</v>
          </cell>
          <cell r="DH154">
            <v>2</v>
          </cell>
          <cell r="DI154">
            <v>2</v>
          </cell>
          <cell r="DJ154" t="str">
            <v/>
          </cell>
          <cell r="DK154">
            <v>0</v>
          </cell>
          <cell r="DL154">
            <v>0</v>
          </cell>
          <cell r="DM154">
            <v>2</v>
          </cell>
          <cell r="DN154">
            <v>2</v>
          </cell>
          <cell r="DO154" t="str">
            <v/>
          </cell>
          <cell r="DP154">
            <v>0</v>
          </cell>
          <cell r="DQ154">
            <v>0</v>
          </cell>
          <cell r="DR154">
            <v>2</v>
          </cell>
          <cell r="DS154">
            <v>2</v>
          </cell>
          <cell r="DT154" t="str">
            <v/>
          </cell>
          <cell r="DU154">
            <v>0</v>
          </cell>
          <cell r="DV154">
            <v>0</v>
          </cell>
          <cell r="DW154">
            <v>2</v>
          </cell>
          <cell r="DX154">
            <v>2</v>
          </cell>
          <cell r="DY154" t="str">
            <v/>
          </cell>
          <cell r="DZ154">
            <v>0</v>
          </cell>
          <cell r="EA154">
            <v>0</v>
          </cell>
          <cell r="EB154">
            <v>2</v>
          </cell>
          <cell r="EC154">
            <v>2</v>
          </cell>
          <cell r="ED154" t="str">
            <v/>
          </cell>
          <cell r="EE154">
            <v>0</v>
          </cell>
          <cell r="EF154">
            <v>0</v>
          </cell>
          <cell r="EG154">
            <v>2</v>
          </cell>
          <cell r="EH154">
            <v>2</v>
          </cell>
          <cell r="EI154" t="str">
            <v/>
          </cell>
          <cell r="EJ154">
            <v>0</v>
          </cell>
          <cell r="EK154">
            <v>0</v>
          </cell>
          <cell r="EL154">
            <v>2</v>
          </cell>
          <cell r="EM154">
            <v>2</v>
          </cell>
          <cell r="EN154" t="str">
            <v/>
          </cell>
          <cell r="EO154">
            <v>0</v>
          </cell>
          <cell r="EP154">
            <v>0</v>
          </cell>
          <cell r="EQ154">
            <v>2</v>
          </cell>
          <cell r="ER154">
            <v>2</v>
          </cell>
          <cell r="ES154" t="str">
            <v/>
          </cell>
          <cell r="ET154">
            <v>0</v>
          </cell>
          <cell r="EU154">
            <v>0</v>
          </cell>
          <cell r="EV154">
            <v>2</v>
          </cell>
          <cell r="EW154">
            <v>2</v>
          </cell>
          <cell r="EX154" t="str">
            <v/>
          </cell>
          <cell r="EY154">
            <v>0</v>
          </cell>
          <cell r="EZ154">
            <v>0</v>
          </cell>
          <cell r="FA154">
            <v>2</v>
          </cell>
          <cell r="FB154">
            <v>2</v>
          </cell>
          <cell r="FC154" t="str">
            <v/>
          </cell>
          <cell r="FD154">
            <v>0</v>
          </cell>
          <cell r="FE154">
            <v>0</v>
          </cell>
          <cell r="FF154">
            <v>2</v>
          </cell>
          <cell r="FG154">
            <v>2</v>
          </cell>
          <cell r="FH154" t="str">
            <v/>
          </cell>
          <cell r="FI154">
            <v>0</v>
          </cell>
          <cell r="FJ154">
            <v>0</v>
          </cell>
          <cell r="FK154">
            <v>2</v>
          </cell>
          <cell r="FL154">
            <v>2</v>
          </cell>
          <cell r="FM154" t="str">
            <v/>
          </cell>
          <cell r="FN154">
            <v>0</v>
          </cell>
          <cell r="FO154">
            <v>0</v>
          </cell>
          <cell r="FP154">
            <v>2</v>
          </cell>
          <cell r="FQ154">
            <v>2</v>
          </cell>
          <cell r="FR154" t="str">
            <v/>
          </cell>
          <cell r="FS154">
            <v>0</v>
          </cell>
          <cell r="FT154">
            <v>0</v>
          </cell>
          <cell r="FU154">
            <v>2.0333333333333332</v>
          </cell>
          <cell r="FW154" t="str">
            <v>SIN ROTACIÓN</v>
          </cell>
          <cell r="FX154" t="str">
            <v>C</v>
          </cell>
          <cell r="FY154" t="str">
            <v>Si</v>
          </cell>
        </row>
        <row r="155">
          <cell r="B155" t="str">
            <v>REP-0160</v>
          </cell>
          <cell r="C155" t="str">
            <v>MIX</v>
          </cell>
          <cell r="D155">
            <v>0</v>
          </cell>
          <cell r="E155">
            <v>23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3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1</v>
          </cell>
          <cell r="T155">
            <v>2</v>
          </cell>
          <cell r="U155">
            <v>0</v>
          </cell>
          <cell r="V155">
            <v>0</v>
          </cell>
          <cell r="W155">
            <v>2</v>
          </cell>
          <cell r="X155">
            <v>0</v>
          </cell>
          <cell r="Y155">
            <v>34</v>
          </cell>
          <cell r="AA155">
            <v>34</v>
          </cell>
          <cell r="AB155">
            <v>0</v>
          </cell>
          <cell r="AC155">
            <v>0.16666666666666666</v>
          </cell>
          <cell r="AD155">
            <v>5.5555555555555549E-3</v>
          </cell>
          <cell r="AE155">
            <v>8.3333333333333329E-2</v>
          </cell>
          <cell r="AF155">
            <v>0.41666666666666669</v>
          </cell>
          <cell r="AG155">
            <v>0</v>
          </cell>
          <cell r="AH155">
            <v>0</v>
          </cell>
          <cell r="AI155">
            <v>0.66666666666666663</v>
          </cell>
          <cell r="AJ155">
            <v>0.66666666666666663</v>
          </cell>
          <cell r="AK155">
            <v>0.66666666666666663</v>
          </cell>
          <cell r="AL155">
            <v>0.38490017945975052</v>
          </cell>
          <cell r="AM155">
            <v>0.33333333333333331</v>
          </cell>
          <cell r="AN155">
            <v>1.1547005383792517</v>
          </cell>
          <cell r="AO155">
            <v>0</v>
          </cell>
          <cell r="AP155">
            <v>8</v>
          </cell>
          <cell r="AQ155">
            <v>18.2</v>
          </cell>
          <cell r="AR155">
            <v>0</v>
          </cell>
          <cell r="AS155">
            <v>7.1666666666666661</v>
          </cell>
          <cell r="AT155">
            <v>8</v>
          </cell>
          <cell r="AU155" t="str">
            <v/>
          </cell>
          <cell r="AV155">
            <v>0</v>
          </cell>
          <cell r="AW155">
            <v>8</v>
          </cell>
          <cell r="AX155">
            <v>8</v>
          </cell>
          <cell r="AY155">
            <v>12</v>
          </cell>
          <cell r="AZ155">
            <v>0</v>
          </cell>
          <cell r="BA155">
            <v>18</v>
          </cell>
          <cell r="BB155">
            <v>8</v>
          </cell>
          <cell r="BC155">
            <v>48</v>
          </cell>
          <cell r="BD155">
            <v>0</v>
          </cell>
          <cell r="BE155">
            <v>7.833333333333333</v>
          </cell>
          <cell r="BF155">
            <v>47</v>
          </cell>
          <cell r="BG155">
            <v>10</v>
          </cell>
          <cell r="BH155">
            <v>17.666666666666664</v>
          </cell>
          <cell r="BI155">
            <v>34</v>
          </cell>
          <cell r="BJ155">
            <v>51</v>
          </cell>
          <cell r="BK155">
            <v>0</v>
          </cell>
          <cell r="BL155">
            <v>38</v>
          </cell>
          <cell r="BM155">
            <v>38</v>
          </cell>
          <cell r="BN155" t="str">
            <v/>
          </cell>
          <cell r="BO155">
            <v>0</v>
          </cell>
          <cell r="BP155">
            <v>38</v>
          </cell>
          <cell r="BQ155">
            <v>38</v>
          </cell>
          <cell r="BR155">
            <v>57</v>
          </cell>
          <cell r="BS155">
            <v>0</v>
          </cell>
          <cell r="BT155">
            <v>38</v>
          </cell>
          <cell r="BU155">
            <v>38</v>
          </cell>
          <cell r="BV155" t="str">
            <v/>
          </cell>
          <cell r="BW155">
            <v>0</v>
          </cell>
          <cell r="BX155">
            <v>0</v>
          </cell>
          <cell r="BY155">
            <v>38</v>
          </cell>
          <cell r="BZ155">
            <v>38</v>
          </cell>
          <cell r="CA155" t="str">
            <v/>
          </cell>
          <cell r="CB155">
            <v>0</v>
          </cell>
          <cell r="CC155">
            <v>0</v>
          </cell>
          <cell r="CD155">
            <v>38</v>
          </cell>
          <cell r="CE155">
            <v>38</v>
          </cell>
          <cell r="CF155" t="str">
            <v/>
          </cell>
          <cell r="CG155">
            <v>0</v>
          </cell>
          <cell r="CH155">
            <v>0</v>
          </cell>
          <cell r="CI155">
            <v>38</v>
          </cell>
          <cell r="CJ155">
            <v>38</v>
          </cell>
          <cell r="CK155" t="str">
            <v/>
          </cell>
          <cell r="CL155">
            <v>0</v>
          </cell>
          <cell r="CM155">
            <v>0</v>
          </cell>
          <cell r="CN155">
            <v>38</v>
          </cell>
          <cell r="CO155">
            <v>40</v>
          </cell>
          <cell r="CP155" t="str">
            <v/>
          </cell>
          <cell r="CQ155">
            <v>0</v>
          </cell>
          <cell r="CR155">
            <v>0</v>
          </cell>
          <cell r="CS155">
            <v>40</v>
          </cell>
          <cell r="CT155">
            <v>40</v>
          </cell>
          <cell r="CU155" t="str">
            <v/>
          </cell>
          <cell r="CV155">
            <v>0</v>
          </cell>
          <cell r="CW155">
            <v>0</v>
          </cell>
          <cell r="CX155">
            <v>40</v>
          </cell>
          <cell r="CY155">
            <v>37</v>
          </cell>
          <cell r="CZ155">
            <v>37</v>
          </cell>
          <cell r="DA155">
            <v>0</v>
          </cell>
          <cell r="DB155">
            <v>0</v>
          </cell>
          <cell r="DC155">
            <v>36</v>
          </cell>
          <cell r="DD155">
            <v>34</v>
          </cell>
          <cell r="DE155">
            <v>32</v>
          </cell>
          <cell r="DF155">
            <v>0</v>
          </cell>
          <cell r="DG155">
            <v>0</v>
          </cell>
          <cell r="DH155">
            <v>33</v>
          </cell>
          <cell r="DI155">
            <v>34</v>
          </cell>
          <cell r="DJ155">
            <v>42</v>
          </cell>
          <cell r="DK155">
            <v>0</v>
          </cell>
          <cell r="DL155">
            <v>0</v>
          </cell>
          <cell r="DM155">
            <v>32.200000000000003</v>
          </cell>
          <cell r="DN155">
            <v>34</v>
          </cell>
          <cell r="DO155">
            <v>50</v>
          </cell>
          <cell r="DP155">
            <v>0</v>
          </cell>
          <cell r="DQ155">
            <v>0</v>
          </cell>
          <cell r="DR155">
            <v>33.333333333333336</v>
          </cell>
          <cell r="DS155">
            <v>33.333333333333336</v>
          </cell>
          <cell r="DT155">
            <v>49.000000000000007</v>
          </cell>
          <cell r="DU155">
            <v>0</v>
          </cell>
          <cell r="DV155">
            <v>0</v>
          </cell>
          <cell r="DW155">
            <v>32.666666666666671</v>
          </cell>
          <cell r="DX155">
            <v>32.666666666666671</v>
          </cell>
          <cell r="DY155">
            <v>48.000000000000007</v>
          </cell>
          <cell r="DZ155">
            <v>0</v>
          </cell>
          <cell r="EA155">
            <v>0</v>
          </cell>
          <cell r="EB155">
            <v>32.000000000000007</v>
          </cell>
          <cell r="EC155">
            <v>32.000000000000007</v>
          </cell>
          <cell r="ED155">
            <v>47.000000000000014</v>
          </cell>
          <cell r="EE155">
            <v>0</v>
          </cell>
          <cell r="EF155">
            <v>0</v>
          </cell>
          <cell r="EG155">
            <v>31.333333333333339</v>
          </cell>
          <cell r="EH155">
            <v>31.333333333333339</v>
          </cell>
          <cell r="EI155">
            <v>46.000000000000014</v>
          </cell>
          <cell r="EJ155">
            <v>0</v>
          </cell>
          <cell r="EK155">
            <v>0</v>
          </cell>
          <cell r="EL155">
            <v>30.666666666666671</v>
          </cell>
          <cell r="EM155">
            <v>30.666666666666671</v>
          </cell>
          <cell r="EN155">
            <v>45.000000000000007</v>
          </cell>
          <cell r="EO155">
            <v>0</v>
          </cell>
          <cell r="EP155">
            <v>0</v>
          </cell>
          <cell r="EQ155">
            <v>30.000000000000004</v>
          </cell>
          <cell r="ER155">
            <v>30.000000000000004</v>
          </cell>
          <cell r="ES155">
            <v>44.000000000000007</v>
          </cell>
          <cell r="ET155">
            <v>0</v>
          </cell>
          <cell r="EU155">
            <v>0</v>
          </cell>
          <cell r="EV155">
            <v>29.333333333333336</v>
          </cell>
          <cell r="EW155">
            <v>29.333333333333336</v>
          </cell>
          <cell r="EX155">
            <v>43.000000000000007</v>
          </cell>
          <cell r="EY155">
            <v>0</v>
          </cell>
          <cell r="EZ155">
            <v>0</v>
          </cell>
          <cell r="FA155">
            <v>28.666666666666668</v>
          </cell>
          <cell r="FB155">
            <v>28.666666666666668</v>
          </cell>
          <cell r="FC155">
            <v>42.000000000000007</v>
          </cell>
          <cell r="FD155">
            <v>0</v>
          </cell>
          <cell r="FE155">
            <v>0</v>
          </cell>
          <cell r="FF155">
            <v>28</v>
          </cell>
          <cell r="FG155">
            <v>28</v>
          </cell>
          <cell r="FH155">
            <v>41</v>
          </cell>
          <cell r="FI155">
            <v>0</v>
          </cell>
          <cell r="FJ155">
            <v>0</v>
          </cell>
          <cell r="FK155">
            <v>27.333333333333332</v>
          </cell>
          <cell r="FL155">
            <v>27.333333333333332</v>
          </cell>
          <cell r="FM155">
            <v>40</v>
          </cell>
          <cell r="FN155">
            <v>0</v>
          </cell>
          <cell r="FO155">
            <v>0</v>
          </cell>
          <cell r="FP155">
            <v>26.666666666666664</v>
          </cell>
          <cell r="FQ155">
            <v>26.666666666666664</v>
          </cell>
          <cell r="FR155">
            <v>39</v>
          </cell>
          <cell r="FS155">
            <v>0</v>
          </cell>
          <cell r="FT155">
            <v>2</v>
          </cell>
          <cell r="FU155">
            <v>2.0333333333333332</v>
          </cell>
          <cell r="FW155" t="str">
            <v>SOBRESTOCK</v>
          </cell>
          <cell r="FX155" t="str">
            <v>C</v>
          </cell>
          <cell r="FY155" t="str">
            <v>Si</v>
          </cell>
        </row>
        <row r="156">
          <cell r="B156" t="str">
            <v>REP-0161</v>
          </cell>
          <cell r="C156" t="str">
            <v>MIX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1</v>
          </cell>
          <cell r="AQ156" t="str">
            <v/>
          </cell>
          <cell r="AR156">
            <v>0</v>
          </cell>
          <cell r="AS156">
            <v>1</v>
          </cell>
          <cell r="AT156">
            <v>1</v>
          </cell>
          <cell r="AU156" t="str">
            <v/>
          </cell>
          <cell r="AV156">
            <v>0</v>
          </cell>
          <cell r="AW156">
            <v>1</v>
          </cell>
          <cell r="AX156">
            <v>1</v>
          </cell>
          <cell r="AY156" t="str">
            <v/>
          </cell>
          <cell r="AZ156">
            <v>0</v>
          </cell>
          <cell r="BA156">
            <v>1</v>
          </cell>
          <cell r="BB156">
            <v>1</v>
          </cell>
          <cell r="BC156" t="str">
            <v/>
          </cell>
          <cell r="BD156">
            <v>0</v>
          </cell>
          <cell r="BE156">
            <v>1</v>
          </cell>
          <cell r="BF156" t="str">
            <v/>
          </cell>
          <cell r="BG156">
            <v>0</v>
          </cell>
          <cell r="BH156">
            <v>1</v>
          </cell>
          <cell r="BI156">
            <v>0</v>
          </cell>
          <cell r="BJ156" t="str">
            <v/>
          </cell>
          <cell r="BK156">
            <v>0</v>
          </cell>
          <cell r="BL156">
            <v>1</v>
          </cell>
          <cell r="BM156">
            <v>1</v>
          </cell>
          <cell r="BN156" t="str">
            <v/>
          </cell>
          <cell r="BO156">
            <v>0</v>
          </cell>
          <cell r="BP156">
            <v>1</v>
          </cell>
          <cell r="BQ156">
            <v>1</v>
          </cell>
          <cell r="BR156" t="str">
            <v/>
          </cell>
          <cell r="BS156">
            <v>0</v>
          </cell>
          <cell r="BT156">
            <v>1</v>
          </cell>
          <cell r="BU156">
            <v>1</v>
          </cell>
          <cell r="BV156" t="str">
            <v/>
          </cell>
          <cell r="BW156">
            <v>0</v>
          </cell>
          <cell r="BX156">
            <v>0</v>
          </cell>
          <cell r="BY156">
            <v>1</v>
          </cell>
          <cell r="BZ156">
            <v>1</v>
          </cell>
          <cell r="CA156" t="str">
            <v/>
          </cell>
          <cell r="CB156">
            <v>0</v>
          </cell>
          <cell r="CC156">
            <v>0</v>
          </cell>
          <cell r="CD156">
            <v>1</v>
          </cell>
          <cell r="CE156">
            <v>1</v>
          </cell>
          <cell r="CF156" t="str">
            <v/>
          </cell>
          <cell r="CG156">
            <v>0</v>
          </cell>
          <cell r="CH156">
            <v>0</v>
          </cell>
          <cell r="CI156">
            <v>1</v>
          </cell>
          <cell r="CJ156">
            <v>1</v>
          </cell>
          <cell r="CK156" t="str">
            <v/>
          </cell>
          <cell r="CL156">
            <v>0</v>
          </cell>
          <cell r="CM156">
            <v>0</v>
          </cell>
          <cell r="CN156">
            <v>1</v>
          </cell>
          <cell r="CO156">
            <v>1</v>
          </cell>
          <cell r="CP156" t="str">
            <v/>
          </cell>
          <cell r="CQ156">
            <v>0</v>
          </cell>
          <cell r="CR156">
            <v>0</v>
          </cell>
          <cell r="CS156">
            <v>1</v>
          </cell>
          <cell r="CT156">
            <v>0</v>
          </cell>
          <cell r="CU156" t="str">
            <v/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 t="str">
            <v/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 t="str">
            <v/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 t="str">
            <v/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 t="str">
            <v/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 t="str">
            <v/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 t="str">
            <v/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 t="str">
            <v/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 t="str">
            <v/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 t="str">
            <v/>
          </cell>
          <cell r="EO156">
            <v>0</v>
          </cell>
          <cell r="EP156">
            <v>0</v>
          </cell>
          <cell r="EQ156">
            <v>0</v>
          </cell>
          <cell r="ER156">
            <v>0</v>
          </cell>
          <cell r="ES156" t="str">
            <v/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 t="str">
            <v/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 t="str">
            <v/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 t="str">
            <v/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 t="str">
            <v/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 t="str">
            <v/>
          </cell>
          <cell r="FS156">
            <v>0</v>
          </cell>
          <cell r="FT156">
            <v>0</v>
          </cell>
          <cell r="FU156">
            <v>2.0333333333333332</v>
          </cell>
          <cell r="FV156" t="str">
            <v>SI</v>
          </cell>
          <cell r="FW156" t="e">
            <v>#N/A</v>
          </cell>
          <cell r="FX156" t="str">
            <v>STOCK MUERTO</v>
          </cell>
          <cell r="FY156" t="str">
            <v>Si</v>
          </cell>
        </row>
        <row r="157">
          <cell r="B157" t="str">
            <v>REP-0162</v>
          </cell>
          <cell r="C157" t="str">
            <v>MIX</v>
          </cell>
          <cell r="D157">
            <v>0</v>
          </cell>
          <cell r="E157">
            <v>14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2</v>
          </cell>
          <cell r="L157">
            <v>3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1</v>
          </cell>
          <cell r="T157">
            <v>1</v>
          </cell>
          <cell r="U157">
            <v>0</v>
          </cell>
          <cell r="V157">
            <v>1</v>
          </cell>
          <cell r="W157">
            <v>0</v>
          </cell>
          <cell r="X157">
            <v>0</v>
          </cell>
          <cell r="Y157">
            <v>22</v>
          </cell>
          <cell r="AA157">
            <v>22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0.16666666666666666</v>
          </cell>
          <cell r="AG157">
            <v>0.58333333333333337</v>
          </cell>
          <cell r="AH157">
            <v>1.1666666666666667</v>
          </cell>
          <cell r="AI157">
            <v>1.5</v>
          </cell>
          <cell r="AJ157">
            <v>1.5</v>
          </cell>
          <cell r="AK157">
            <v>1.5</v>
          </cell>
          <cell r="AL157">
            <v>0.43234395600759407</v>
          </cell>
          <cell r="AM157">
            <v>1.1875</v>
          </cell>
          <cell r="AN157">
            <v>0.36407912084850025</v>
          </cell>
          <cell r="AO157">
            <v>0</v>
          </cell>
          <cell r="AP157">
            <v>25.833333333333332</v>
          </cell>
          <cell r="AQ157">
            <v>9.5</v>
          </cell>
          <cell r="AR157">
            <v>0</v>
          </cell>
          <cell r="AS157">
            <v>5</v>
          </cell>
          <cell r="AT157">
            <v>25</v>
          </cell>
          <cell r="AU157">
            <v>25</v>
          </cell>
          <cell r="AV157">
            <v>0</v>
          </cell>
          <cell r="AW157">
            <v>24</v>
          </cell>
          <cell r="AX157">
            <v>24</v>
          </cell>
          <cell r="AY157">
            <v>16</v>
          </cell>
          <cell r="AZ157">
            <v>0</v>
          </cell>
          <cell r="BA157">
            <v>23</v>
          </cell>
          <cell r="BB157">
            <v>24</v>
          </cell>
          <cell r="BC157">
            <v>20.571428571428569</v>
          </cell>
          <cell r="BD157">
            <v>0</v>
          </cell>
          <cell r="BE157">
            <v>22.833333333333332</v>
          </cell>
          <cell r="BF157">
            <v>19.571428571428569</v>
          </cell>
          <cell r="BG157">
            <v>0</v>
          </cell>
          <cell r="BH157">
            <v>21.666666666666664</v>
          </cell>
          <cell r="BI157">
            <v>22</v>
          </cell>
          <cell r="BJ157">
            <v>14.666666666666666</v>
          </cell>
          <cell r="BK157">
            <v>0</v>
          </cell>
          <cell r="BL157">
            <v>22.416666666666668</v>
          </cell>
          <cell r="BM157">
            <v>21</v>
          </cell>
          <cell r="BN157">
            <v>21</v>
          </cell>
          <cell r="BO157">
            <v>0</v>
          </cell>
          <cell r="BP157">
            <v>20</v>
          </cell>
          <cell r="BQ157">
            <v>18</v>
          </cell>
          <cell r="BR157">
            <v>12</v>
          </cell>
          <cell r="BS157">
            <v>0</v>
          </cell>
          <cell r="BT157">
            <v>17</v>
          </cell>
          <cell r="BU157">
            <v>16</v>
          </cell>
          <cell r="BV157">
            <v>13.714285714285714</v>
          </cell>
          <cell r="BW157">
            <v>0</v>
          </cell>
          <cell r="BX157">
            <v>0</v>
          </cell>
          <cell r="BY157">
            <v>14.833333333333334</v>
          </cell>
          <cell r="BZ157">
            <v>16</v>
          </cell>
          <cell r="CA157">
            <v>13.714285714285714</v>
          </cell>
          <cell r="CB157">
            <v>0</v>
          </cell>
          <cell r="CC157">
            <v>0</v>
          </cell>
          <cell r="CD157">
            <v>14.833333333333334</v>
          </cell>
          <cell r="CE157">
            <v>14</v>
          </cell>
          <cell r="CF157">
            <v>9.3333333333333339</v>
          </cell>
          <cell r="CG157">
            <v>0</v>
          </cell>
          <cell r="CH157">
            <v>0</v>
          </cell>
          <cell r="CI157">
            <v>13.333333333333334</v>
          </cell>
          <cell r="CJ157">
            <v>12</v>
          </cell>
          <cell r="CK157">
            <v>6.5454545454545459</v>
          </cell>
          <cell r="CL157">
            <v>2</v>
          </cell>
          <cell r="CM157">
            <v>0</v>
          </cell>
          <cell r="CN157">
            <v>10.166666666666666</v>
          </cell>
          <cell r="CO157">
            <v>16</v>
          </cell>
          <cell r="CP157">
            <v>8.7272727272727284</v>
          </cell>
          <cell r="CQ157">
            <v>3.8333333333333339</v>
          </cell>
          <cell r="CR157">
            <v>0</v>
          </cell>
          <cell r="CS157">
            <v>14.166666666666666</v>
          </cell>
          <cell r="CT157">
            <v>12</v>
          </cell>
          <cell r="CU157">
            <v>9</v>
          </cell>
          <cell r="CV157">
            <v>0</v>
          </cell>
          <cell r="CW157">
            <v>0</v>
          </cell>
          <cell r="CX157">
            <v>10.666666666666666</v>
          </cell>
          <cell r="CY157">
            <v>9</v>
          </cell>
          <cell r="CZ157">
            <v>5.3999999999999995</v>
          </cell>
          <cell r="DA157">
            <v>0</v>
          </cell>
          <cell r="DB157">
            <v>20</v>
          </cell>
          <cell r="DC157">
            <v>27.333333333333332</v>
          </cell>
          <cell r="DD157">
            <v>27</v>
          </cell>
          <cell r="DE157">
            <v>13.142857142857142</v>
          </cell>
          <cell r="DF157">
            <v>0</v>
          </cell>
          <cell r="DG157">
            <v>0</v>
          </cell>
          <cell r="DH157">
            <v>25.25</v>
          </cell>
          <cell r="DI157">
            <v>27</v>
          </cell>
          <cell r="DJ157">
            <v>17.333333333333336</v>
          </cell>
          <cell r="DK157">
            <v>0</v>
          </cell>
          <cell r="DL157">
            <v>0</v>
          </cell>
          <cell r="DM157">
            <v>23.75</v>
          </cell>
          <cell r="DN157">
            <v>22</v>
          </cell>
          <cell r="DO157">
            <v>14</v>
          </cell>
          <cell r="DP157">
            <v>0</v>
          </cell>
          <cell r="DQ157">
            <v>0</v>
          </cell>
          <cell r="DR157">
            <v>20.5</v>
          </cell>
          <cell r="DS157">
            <v>20.5</v>
          </cell>
          <cell r="DT157">
            <v>13</v>
          </cell>
          <cell r="DU157">
            <v>0</v>
          </cell>
          <cell r="DV157">
            <v>0</v>
          </cell>
          <cell r="DW157">
            <v>19</v>
          </cell>
          <cell r="DX157">
            <v>19</v>
          </cell>
          <cell r="DY157">
            <v>12</v>
          </cell>
          <cell r="DZ157">
            <v>0</v>
          </cell>
          <cell r="EA157">
            <v>0</v>
          </cell>
          <cell r="EB157">
            <v>17.5</v>
          </cell>
          <cell r="EC157">
            <v>17.5</v>
          </cell>
          <cell r="ED157">
            <v>11</v>
          </cell>
          <cell r="EE157">
            <v>0</v>
          </cell>
          <cell r="EF157">
            <v>0</v>
          </cell>
          <cell r="EG157">
            <v>16</v>
          </cell>
          <cell r="EH157">
            <v>16</v>
          </cell>
          <cell r="EI157">
            <v>10</v>
          </cell>
          <cell r="EJ157">
            <v>0</v>
          </cell>
          <cell r="EK157">
            <v>0</v>
          </cell>
          <cell r="EL157">
            <v>14.5</v>
          </cell>
          <cell r="EM157">
            <v>14.5</v>
          </cell>
          <cell r="EN157">
            <v>9</v>
          </cell>
          <cell r="EO157">
            <v>0</v>
          </cell>
          <cell r="EP157">
            <v>0</v>
          </cell>
          <cell r="EQ157">
            <v>13</v>
          </cell>
          <cell r="ER157">
            <v>13</v>
          </cell>
          <cell r="ES157">
            <v>8</v>
          </cell>
          <cell r="ET157">
            <v>0</v>
          </cell>
          <cell r="EU157">
            <v>0</v>
          </cell>
          <cell r="EV157">
            <v>11.5</v>
          </cell>
          <cell r="EW157">
            <v>11.5</v>
          </cell>
          <cell r="EX157">
            <v>7</v>
          </cell>
          <cell r="EY157">
            <v>0</v>
          </cell>
          <cell r="EZ157">
            <v>0</v>
          </cell>
          <cell r="FA157">
            <v>10</v>
          </cell>
          <cell r="FB157">
            <v>10</v>
          </cell>
          <cell r="FC157">
            <v>6</v>
          </cell>
          <cell r="FD157">
            <v>0</v>
          </cell>
          <cell r="FE157">
            <v>0</v>
          </cell>
          <cell r="FF157">
            <v>8.5</v>
          </cell>
          <cell r="FG157">
            <v>8.5</v>
          </cell>
          <cell r="FH157">
            <v>5</v>
          </cell>
          <cell r="FI157">
            <v>0</v>
          </cell>
          <cell r="FJ157">
            <v>0</v>
          </cell>
          <cell r="FK157">
            <v>7</v>
          </cell>
          <cell r="FL157">
            <v>7</v>
          </cell>
          <cell r="FM157">
            <v>4</v>
          </cell>
          <cell r="FN157">
            <v>0</v>
          </cell>
          <cell r="FO157">
            <v>0</v>
          </cell>
          <cell r="FP157">
            <v>5.5</v>
          </cell>
          <cell r="FQ157">
            <v>5.5</v>
          </cell>
          <cell r="FR157">
            <v>3</v>
          </cell>
          <cell r="FS157">
            <v>0</v>
          </cell>
          <cell r="FT157">
            <v>4</v>
          </cell>
          <cell r="FU157">
            <v>2.0333333333333332</v>
          </cell>
          <cell r="FW157" t="str">
            <v>SOBRESTOCK</v>
          </cell>
          <cell r="FX157" t="str">
            <v>B</v>
          </cell>
          <cell r="FY157" t="str">
            <v>Si</v>
          </cell>
        </row>
        <row r="158">
          <cell r="B158" t="str">
            <v>REP-0163</v>
          </cell>
          <cell r="C158" t="str">
            <v>MIX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O158">
            <v>0</v>
          </cell>
          <cell r="AP158">
            <v>0</v>
          </cell>
          <cell r="AQ158" t="str">
            <v/>
          </cell>
          <cell r="AR158">
            <v>0</v>
          </cell>
          <cell r="AS158">
            <v>0</v>
          </cell>
          <cell r="AT158">
            <v>0</v>
          </cell>
          <cell r="AU158" t="str">
            <v/>
          </cell>
          <cell r="AV158">
            <v>0</v>
          </cell>
          <cell r="AW158">
            <v>0</v>
          </cell>
          <cell r="AX158">
            <v>0</v>
          </cell>
          <cell r="AY158" t="str">
            <v/>
          </cell>
          <cell r="AZ158">
            <v>0</v>
          </cell>
          <cell r="BA158">
            <v>0</v>
          </cell>
          <cell r="BB158">
            <v>0</v>
          </cell>
          <cell r="BC158" t="str">
            <v/>
          </cell>
          <cell r="BD158">
            <v>0</v>
          </cell>
          <cell r="BE158">
            <v>0</v>
          </cell>
          <cell r="BF158" t="str">
            <v/>
          </cell>
          <cell r="BG158">
            <v>0</v>
          </cell>
          <cell r="BH158">
            <v>0</v>
          </cell>
          <cell r="BI158">
            <v>0</v>
          </cell>
          <cell r="BJ158" t="str">
            <v/>
          </cell>
          <cell r="BK158">
            <v>0</v>
          </cell>
          <cell r="BL158">
            <v>0</v>
          </cell>
          <cell r="BM158">
            <v>0</v>
          </cell>
          <cell r="BN158" t="str">
            <v/>
          </cell>
          <cell r="BO158">
            <v>0</v>
          </cell>
          <cell r="BP158">
            <v>0</v>
          </cell>
          <cell r="BQ158">
            <v>0</v>
          </cell>
          <cell r="BR158" t="str">
            <v/>
          </cell>
          <cell r="BS158">
            <v>0</v>
          </cell>
          <cell r="BT158">
            <v>0</v>
          </cell>
          <cell r="BU158">
            <v>0</v>
          </cell>
          <cell r="BV158" t="str">
            <v/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 t="str">
            <v/>
          </cell>
          <cell r="CB158">
            <v>0</v>
          </cell>
          <cell r="CD158">
            <v>0</v>
          </cell>
          <cell r="CE158">
            <v>0</v>
          </cell>
          <cell r="CF158" t="str">
            <v/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 t="str">
            <v/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 t="str">
            <v/>
          </cell>
          <cell r="CQ158">
            <v>0</v>
          </cell>
          <cell r="CS158">
            <v>0</v>
          </cell>
          <cell r="CT158">
            <v>0</v>
          </cell>
          <cell r="CU158" t="str">
            <v/>
          </cell>
          <cell r="CV158">
            <v>0</v>
          </cell>
          <cell r="CX158">
            <v>0</v>
          </cell>
          <cell r="CY158">
            <v>0</v>
          </cell>
          <cell r="CZ158" t="str">
            <v/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 t="str">
            <v/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 t="str">
            <v/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 t="str">
            <v/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 t="str">
            <v/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 t="str">
            <v/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 t="str">
            <v/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 t="str">
            <v/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 t="str">
            <v/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 t="str">
            <v/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 t="str">
            <v/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 t="str">
            <v/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 t="str">
            <v/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 t="str">
            <v/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 t="str">
            <v/>
          </cell>
          <cell r="FS158">
            <v>0</v>
          </cell>
          <cell r="FT158">
            <v>0</v>
          </cell>
          <cell r="FU158">
            <v>66.666666666666671</v>
          </cell>
          <cell r="FW158" t="str">
            <v>SIN ROTACIÓN</v>
          </cell>
          <cell r="FX158" t="str">
            <v/>
          </cell>
          <cell r="FY158" t="str">
            <v>No</v>
          </cell>
        </row>
        <row r="159">
          <cell r="B159" t="str">
            <v>REP-0164</v>
          </cell>
          <cell r="C159" t="str">
            <v>MIX</v>
          </cell>
          <cell r="D159">
            <v>0</v>
          </cell>
          <cell r="E159">
            <v>11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11</v>
          </cell>
          <cell r="AA159">
            <v>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8.3333333333333329E-2</v>
          </cell>
          <cell r="AI159">
            <v>0</v>
          </cell>
          <cell r="AJ159">
            <v>0</v>
          </cell>
          <cell r="AK159">
            <v>8.3333333333333329E-2</v>
          </cell>
          <cell r="AL159">
            <v>4.1666666666666664E-2</v>
          </cell>
          <cell r="AM159">
            <v>2.0833333333333332E-2</v>
          </cell>
          <cell r="AN159">
            <v>2</v>
          </cell>
          <cell r="AO159">
            <v>0</v>
          </cell>
          <cell r="AP159">
            <v>12</v>
          </cell>
          <cell r="AQ159" t="str">
            <v/>
          </cell>
          <cell r="AR159">
            <v>0</v>
          </cell>
          <cell r="AS159">
            <v>12</v>
          </cell>
          <cell r="AT159">
            <v>12</v>
          </cell>
          <cell r="AU159" t="str">
            <v/>
          </cell>
          <cell r="AV159">
            <v>0</v>
          </cell>
          <cell r="AW159">
            <v>12</v>
          </cell>
          <cell r="AX159">
            <v>12</v>
          </cell>
          <cell r="AY159">
            <v>144</v>
          </cell>
          <cell r="AZ159">
            <v>0</v>
          </cell>
          <cell r="BA159">
            <v>12</v>
          </cell>
          <cell r="BB159">
            <v>12</v>
          </cell>
          <cell r="BC159" t="str">
            <v/>
          </cell>
          <cell r="BD159">
            <v>0</v>
          </cell>
          <cell r="BE159">
            <v>12</v>
          </cell>
          <cell r="BF159" t="str">
            <v/>
          </cell>
          <cell r="BG159">
            <v>0</v>
          </cell>
          <cell r="BH159">
            <v>12</v>
          </cell>
          <cell r="BI159">
            <v>11</v>
          </cell>
          <cell r="BJ159">
            <v>132</v>
          </cell>
          <cell r="BK159">
            <v>0</v>
          </cell>
          <cell r="BL159">
            <v>12</v>
          </cell>
          <cell r="BM159">
            <v>12</v>
          </cell>
          <cell r="BN159" t="str">
            <v/>
          </cell>
          <cell r="BO159">
            <v>0</v>
          </cell>
          <cell r="BP159">
            <v>12</v>
          </cell>
          <cell r="BQ159">
            <v>12</v>
          </cell>
          <cell r="BR159">
            <v>144</v>
          </cell>
          <cell r="BS159">
            <v>0</v>
          </cell>
          <cell r="BT159">
            <v>12</v>
          </cell>
          <cell r="BU159">
            <v>12</v>
          </cell>
          <cell r="BV159" t="str">
            <v/>
          </cell>
          <cell r="BW159">
            <v>0</v>
          </cell>
          <cell r="BX159">
            <v>0</v>
          </cell>
          <cell r="BY159">
            <v>12</v>
          </cell>
          <cell r="BZ159">
            <v>12</v>
          </cell>
          <cell r="CA159">
            <v>72</v>
          </cell>
          <cell r="CB159">
            <v>0</v>
          </cell>
          <cell r="CC159">
            <v>0</v>
          </cell>
          <cell r="CD159">
            <v>11.833333333333334</v>
          </cell>
          <cell r="CE159">
            <v>12</v>
          </cell>
          <cell r="CF159">
            <v>72</v>
          </cell>
          <cell r="CG159">
            <v>0</v>
          </cell>
          <cell r="CH159">
            <v>0</v>
          </cell>
          <cell r="CI159">
            <v>11.666666666666668</v>
          </cell>
          <cell r="CJ159">
            <v>12</v>
          </cell>
          <cell r="CK159">
            <v>72</v>
          </cell>
          <cell r="CL159">
            <v>0</v>
          </cell>
          <cell r="CM159">
            <v>0</v>
          </cell>
          <cell r="CN159">
            <v>11.833333333333334</v>
          </cell>
          <cell r="CO159">
            <v>12</v>
          </cell>
          <cell r="CP159">
            <v>72</v>
          </cell>
          <cell r="CQ159">
            <v>0</v>
          </cell>
          <cell r="CR159">
            <v>0</v>
          </cell>
          <cell r="CS159">
            <v>11.833333333333334</v>
          </cell>
          <cell r="CT159">
            <v>12</v>
          </cell>
          <cell r="CU159">
            <v>72</v>
          </cell>
          <cell r="CV159">
            <v>0</v>
          </cell>
          <cell r="CW159">
            <v>0</v>
          </cell>
          <cell r="CX159">
            <v>11.833333333333334</v>
          </cell>
          <cell r="CY159">
            <v>12</v>
          </cell>
          <cell r="CZ159">
            <v>72</v>
          </cell>
          <cell r="DA159">
            <v>0</v>
          </cell>
          <cell r="DB159">
            <v>0</v>
          </cell>
          <cell r="DC159">
            <v>11.916666666666666</v>
          </cell>
          <cell r="DD159">
            <v>12</v>
          </cell>
          <cell r="DE159">
            <v>132</v>
          </cell>
          <cell r="DF159">
            <v>0</v>
          </cell>
          <cell r="DG159">
            <v>0</v>
          </cell>
          <cell r="DH159">
            <v>11.916666666666666</v>
          </cell>
          <cell r="DI159">
            <v>12</v>
          </cell>
          <cell r="DJ159">
            <v>134</v>
          </cell>
          <cell r="DK159">
            <v>0</v>
          </cell>
          <cell r="DL159">
            <v>0</v>
          </cell>
          <cell r="DM159">
            <v>11.833333333333332</v>
          </cell>
          <cell r="DN159">
            <v>11</v>
          </cell>
          <cell r="DO159">
            <v>122</v>
          </cell>
          <cell r="DP159">
            <v>0</v>
          </cell>
          <cell r="DQ159">
            <v>0</v>
          </cell>
          <cell r="DR159">
            <v>10.916666666666666</v>
          </cell>
          <cell r="DS159">
            <v>10.916666666666666</v>
          </cell>
          <cell r="DT159">
            <v>121</v>
          </cell>
          <cell r="DU159">
            <v>0</v>
          </cell>
          <cell r="DV159">
            <v>0</v>
          </cell>
          <cell r="DW159">
            <v>10.833333333333332</v>
          </cell>
          <cell r="DX159">
            <v>10.833333333333332</v>
          </cell>
          <cell r="DY159">
            <v>119.99999999999999</v>
          </cell>
          <cell r="DZ159">
            <v>0</v>
          </cell>
          <cell r="EA159">
            <v>0</v>
          </cell>
          <cell r="EB159">
            <v>10.749999999999998</v>
          </cell>
          <cell r="EC159">
            <v>10.749999999999998</v>
          </cell>
          <cell r="ED159">
            <v>118.99999999999999</v>
          </cell>
          <cell r="EE159">
            <v>0</v>
          </cell>
          <cell r="EF159">
            <v>0</v>
          </cell>
          <cell r="EG159">
            <v>10.666666666666664</v>
          </cell>
          <cell r="EH159">
            <v>10.666666666666664</v>
          </cell>
          <cell r="EI159">
            <v>117.99999999999997</v>
          </cell>
          <cell r="EJ159">
            <v>0</v>
          </cell>
          <cell r="EK159">
            <v>0</v>
          </cell>
          <cell r="EL159">
            <v>10.58333333333333</v>
          </cell>
          <cell r="EM159">
            <v>10.58333333333333</v>
          </cell>
          <cell r="EN159">
            <v>116.99999999999997</v>
          </cell>
          <cell r="EO159">
            <v>0</v>
          </cell>
          <cell r="EP159">
            <v>0</v>
          </cell>
          <cell r="EQ159">
            <v>10.499999999999996</v>
          </cell>
          <cell r="ER159">
            <v>10.499999999999996</v>
          </cell>
          <cell r="ES159">
            <v>115.99999999999996</v>
          </cell>
          <cell r="ET159">
            <v>0</v>
          </cell>
          <cell r="EU159">
            <v>0</v>
          </cell>
          <cell r="EV159">
            <v>10.416666666666663</v>
          </cell>
          <cell r="EW159">
            <v>10.416666666666663</v>
          </cell>
          <cell r="EX159">
            <v>114.99999999999996</v>
          </cell>
          <cell r="EY159">
            <v>0</v>
          </cell>
          <cell r="EZ159">
            <v>0</v>
          </cell>
          <cell r="FA159">
            <v>10.333333333333329</v>
          </cell>
          <cell r="FB159">
            <v>10.333333333333329</v>
          </cell>
          <cell r="FC159">
            <v>113.99999999999994</v>
          </cell>
          <cell r="FD159">
            <v>0</v>
          </cell>
          <cell r="FE159">
            <v>0</v>
          </cell>
          <cell r="FF159">
            <v>10.249999999999995</v>
          </cell>
          <cell r="FG159">
            <v>10.249999999999995</v>
          </cell>
          <cell r="FH159">
            <v>112.99999999999994</v>
          </cell>
          <cell r="FI159">
            <v>0</v>
          </cell>
          <cell r="FJ159">
            <v>0</v>
          </cell>
          <cell r="FK159">
            <v>10.166666666666661</v>
          </cell>
          <cell r="FL159">
            <v>10.166666666666661</v>
          </cell>
          <cell r="FM159">
            <v>111.99999999999993</v>
          </cell>
          <cell r="FN159">
            <v>0</v>
          </cell>
          <cell r="FO159">
            <v>0</v>
          </cell>
          <cell r="FP159">
            <v>10.083333333333327</v>
          </cell>
          <cell r="FQ159">
            <v>10.083333333333327</v>
          </cell>
          <cell r="FR159">
            <v>110.99999999999993</v>
          </cell>
          <cell r="FS159">
            <v>0</v>
          </cell>
          <cell r="FT159">
            <v>1</v>
          </cell>
          <cell r="FU159">
            <v>2.0333333333333332</v>
          </cell>
          <cell r="FV159" t="str">
            <v>SI</v>
          </cell>
          <cell r="FW159" t="str">
            <v>SIN ROTACIÓN</v>
          </cell>
          <cell r="FX159" t="str">
            <v>STOCK MUERTO</v>
          </cell>
          <cell r="FY159" t="str">
            <v>Si</v>
          </cell>
        </row>
        <row r="160">
          <cell r="B160" t="str">
            <v>REP-0165</v>
          </cell>
          <cell r="C160" t="str">
            <v>MIX</v>
          </cell>
          <cell r="D160">
            <v>0</v>
          </cell>
          <cell r="E160">
            <v>3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4</v>
          </cell>
          <cell r="AA160">
            <v>4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8.3333333333333329E-2</v>
          </cell>
          <cell r="AI160">
            <v>0</v>
          </cell>
          <cell r="AJ160">
            <v>0</v>
          </cell>
          <cell r="AK160">
            <v>8.3333333333333329E-2</v>
          </cell>
          <cell r="AL160">
            <v>4.1666666666666664E-2</v>
          </cell>
          <cell r="AM160">
            <v>2.0833333333333332E-2</v>
          </cell>
          <cell r="AN160">
            <v>2</v>
          </cell>
          <cell r="AO160">
            <v>0</v>
          </cell>
          <cell r="AP160">
            <v>1.8333333333333333</v>
          </cell>
          <cell r="AQ160" t="str">
            <v/>
          </cell>
          <cell r="AR160">
            <v>0</v>
          </cell>
          <cell r="AS160">
            <v>2</v>
          </cell>
          <cell r="AT160">
            <v>2</v>
          </cell>
          <cell r="AU160" t="str">
            <v/>
          </cell>
          <cell r="AV160">
            <v>0</v>
          </cell>
          <cell r="AW160">
            <v>2</v>
          </cell>
          <cell r="AX160">
            <v>2</v>
          </cell>
          <cell r="AY160">
            <v>24</v>
          </cell>
          <cell r="AZ160">
            <v>0</v>
          </cell>
          <cell r="BA160">
            <v>2</v>
          </cell>
          <cell r="BB160">
            <v>2</v>
          </cell>
          <cell r="BC160">
            <v>6</v>
          </cell>
          <cell r="BD160">
            <v>0</v>
          </cell>
          <cell r="BE160">
            <v>1.6666666666666667</v>
          </cell>
          <cell r="BF160">
            <v>5.0000000000000009</v>
          </cell>
          <cell r="BG160">
            <v>0</v>
          </cell>
          <cell r="BH160">
            <v>1.3333333333333335</v>
          </cell>
          <cell r="BI160">
            <v>4</v>
          </cell>
          <cell r="BJ160">
            <v>48</v>
          </cell>
          <cell r="BK160">
            <v>0</v>
          </cell>
          <cell r="BL160">
            <v>0.83333333333333337</v>
          </cell>
          <cell r="BM160">
            <v>1</v>
          </cell>
          <cell r="BN160">
            <v>6</v>
          </cell>
          <cell r="BO160">
            <v>0</v>
          </cell>
          <cell r="BP160">
            <v>0.83333333333333337</v>
          </cell>
          <cell r="BQ160">
            <v>1</v>
          </cell>
          <cell r="BR160">
            <v>12</v>
          </cell>
          <cell r="BS160">
            <v>0</v>
          </cell>
          <cell r="BT160">
            <v>0.83333333333333337</v>
          </cell>
          <cell r="BU160">
            <v>1</v>
          </cell>
          <cell r="BV160">
            <v>6</v>
          </cell>
          <cell r="BW160">
            <v>1</v>
          </cell>
          <cell r="BX160">
            <v>0</v>
          </cell>
          <cell r="BY160">
            <v>0.83333333333333337</v>
          </cell>
          <cell r="BZ160">
            <v>1</v>
          </cell>
          <cell r="CA160">
            <v>6</v>
          </cell>
          <cell r="CB160">
            <v>1</v>
          </cell>
          <cell r="CC160">
            <v>0</v>
          </cell>
          <cell r="CD160">
            <v>3.8333333333333335</v>
          </cell>
          <cell r="CE160">
            <v>1</v>
          </cell>
          <cell r="CF160">
            <v>6</v>
          </cell>
          <cell r="CG160">
            <v>1</v>
          </cell>
          <cell r="CH160">
            <v>3</v>
          </cell>
          <cell r="CI160">
            <v>4.666666666666667</v>
          </cell>
          <cell r="CJ160">
            <v>4</v>
          </cell>
          <cell r="CK160">
            <v>48</v>
          </cell>
          <cell r="CL160">
            <v>0</v>
          </cell>
          <cell r="CM160">
            <v>0</v>
          </cell>
          <cell r="CN160">
            <v>3.9166666666666665</v>
          </cell>
          <cell r="CO160">
            <v>4</v>
          </cell>
          <cell r="CP160">
            <v>48</v>
          </cell>
          <cell r="CQ160">
            <v>0</v>
          </cell>
          <cell r="CR160">
            <v>0</v>
          </cell>
          <cell r="CS160">
            <v>3.9166666666666665</v>
          </cell>
          <cell r="CT160">
            <v>4</v>
          </cell>
          <cell r="CU160">
            <v>48</v>
          </cell>
          <cell r="CV160">
            <v>0</v>
          </cell>
          <cell r="CW160">
            <v>0</v>
          </cell>
          <cell r="CX160">
            <v>3.9166666666666665</v>
          </cell>
          <cell r="CY160">
            <v>4</v>
          </cell>
          <cell r="CZ160">
            <v>48</v>
          </cell>
          <cell r="DA160">
            <v>0</v>
          </cell>
          <cell r="DB160">
            <v>0</v>
          </cell>
          <cell r="DC160">
            <v>3.9166666666666665</v>
          </cell>
          <cell r="DD160">
            <v>4</v>
          </cell>
          <cell r="DE160">
            <v>36</v>
          </cell>
          <cell r="DF160">
            <v>0</v>
          </cell>
          <cell r="DG160">
            <v>0</v>
          </cell>
          <cell r="DH160">
            <v>3.9166666666666665</v>
          </cell>
          <cell r="DI160">
            <v>4</v>
          </cell>
          <cell r="DJ160">
            <v>38</v>
          </cell>
          <cell r="DK160">
            <v>0</v>
          </cell>
          <cell r="DL160">
            <v>0</v>
          </cell>
          <cell r="DM160">
            <v>3.833333333333333</v>
          </cell>
          <cell r="DN160">
            <v>4</v>
          </cell>
          <cell r="DO160">
            <v>38</v>
          </cell>
          <cell r="DP160">
            <v>0</v>
          </cell>
          <cell r="DQ160">
            <v>0</v>
          </cell>
          <cell r="DR160">
            <v>3.9166666666666665</v>
          </cell>
          <cell r="DS160">
            <v>3.9166666666666665</v>
          </cell>
          <cell r="DT160">
            <v>37</v>
          </cell>
          <cell r="DU160">
            <v>0</v>
          </cell>
          <cell r="DV160">
            <v>0</v>
          </cell>
          <cell r="DW160">
            <v>3.833333333333333</v>
          </cell>
          <cell r="DX160">
            <v>3.833333333333333</v>
          </cell>
          <cell r="DY160">
            <v>36</v>
          </cell>
          <cell r="DZ160">
            <v>0</v>
          </cell>
          <cell r="EA160">
            <v>0</v>
          </cell>
          <cell r="EB160">
            <v>3.7499999999999996</v>
          </cell>
          <cell r="EC160">
            <v>3.7499999999999996</v>
          </cell>
          <cell r="ED160">
            <v>35</v>
          </cell>
          <cell r="EE160">
            <v>0</v>
          </cell>
          <cell r="EF160">
            <v>0</v>
          </cell>
          <cell r="EG160">
            <v>3.6666666666666661</v>
          </cell>
          <cell r="EH160">
            <v>3.6666666666666661</v>
          </cell>
          <cell r="EI160">
            <v>33.999999999999993</v>
          </cell>
          <cell r="EJ160">
            <v>0</v>
          </cell>
          <cell r="EK160">
            <v>0</v>
          </cell>
          <cell r="EL160">
            <v>3.5833333333333326</v>
          </cell>
          <cell r="EM160">
            <v>3.5833333333333326</v>
          </cell>
          <cell r="EN160">
            <v>32.999999999999993</v>
          </cell>
          <cell r="EO160">
            <v>0</v>
          </cell>
          <cell r="EP160">
            <v>0</v>
          </cell>
          <cell r="EQ160">
            <v>3.4999999999999991</v>
          </cell>
          <cell r="ER160">
            <v>3.4999999999999991</v>
          </cell>
          <cell r="ES160">
            <v>31.999999999999989</v>
          </cell>
          <cell r="ET160">
            <v>0</v>
          </cell>
          <cell r="EU160">
            <v>0</v>
          </cell>
          <cell r="EV160">
            <v>3.4166666666666656</v>
          </cell>
          <cell r="EW160">
            <v>3.4166666666666656</v>
          </cell>
          <cell r="EX160">
            <v>30.999999999999989</v>
          </cell>
          <cell r="EY160">
            <v>0</v>
          </cell>
          <cell r="EZ160">
            <v>0</v>
          </cell>
          <cell r="FA160">
            <v>3.3333333333333321</v>
          </cell>
          <cell r="FB160">
            <v>3.3333333333333321</v>
          </cell>
          <cell r="FC160">
            <v>29.999999999999986</v>
          </cell>
          <cell r="FD160">
            <v>0</v>
          </cell>
          <cell r="FE160">
            <v>0</v>
          </cell>
          <cell r="FF160">
            <v>3.2499999999999987</v>
          </cell>
          <cell r="FG160">
            <v>3.2499999999999987</v>
          </cell>
          <cell r="FH160">
            <v>28.999999999999986</v>
          </cell>
          <cell r="FI160">
            <v>0</v>
          </cell>
          <cell r="FJ160">
            <v>0</v>
          </cell>
          <cell r="FK160">
            <v>3.1666666666666652</v>
          </cell>
          <cell r="FL160">
            <v>3.1666666666666652</v>
          </cell>
          <cell r="FM160">
            <v>27.999999999999982</v>
          </cell>
          <cell r="FN160">
            <v>0</v>
          </cell>
          <cell r="FO160">
            <v>0</v>
          </cell>
          <cell r="FP160">
            <v>3.0833333333333317</v>
          </cell>
          <cell r="FQ160">
            <v>3.0833333333333317</v>
          </cell>
          <cell r="FR160">
            <v>26.999999999999982</v>
          </cell>
          <cell r="FS160">
            <v>0</v>
          </cell>
          <cell r="FT160">
            <v>1</v>
          </cell>
          <cell r="FU160">
            <v>2.0333333333333332</v>
          </cell>
          <cell r="FW160" t="str">
            <v>SIN ROTACIÓN</v>
          </cell>
          <cell r="FX160" t="str">
            <v>STOCK MUERTO</v>
          </cell>
          <cell r="FY160" t="str">
            <v>Si</v>
          </cell>
        </row>
        <row r="161">
          <cell r="B161" t="str">
            <v>REP-0166</v>
          </cell>
          <cell r="C161" t="str">
            <v>NO VIGENTE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M161">
            <v>0</v>
          </cell>
          <cell r="AO161">
            <v>0</v>
          </cell>
          <cell r="AP161">
            <v>0</v>
          </cell>
          <cell r="AQ161" t="str">
            <v/>
          </cell>
          <cell r="AR161">
            <v>0</v>
          </cell>
          <cell r="AS161">
            <v>0</v>
          </cell>
          <cell r="AT161">
            <v>0</v>
          </cell>
          <cell r="AU161" t="str">
            <v/>
          </cell>
          <cell r="AV161">
            <v>0</v>
          </cell>
          <cell r="AW161">
            <v>0</v>
          </cell>
          <cell r="AX161">
            <v>0</v>
          </cell>
          <cell r="AY161" t="str">
            <v/>
          </cell>
          <cell r="AZ161">
            <v>0</v>
          </cell>
          <cell r="BA161">
            <v>0</v>
          </cell>
          <cell r="BB161">
            <v>0</v>
          </cell>
          <cell r="BC161" t="str">
            <v/>
          </cell>
          <cell r="BD161">
            <v>0</v>
          </cell>
          <cell r="BE161">
            <v>0</v>
          </cell>
          <cell r="BF161" t="str">
            <v/>
          </cell>
          <cell r="BG161">
            <v>0</v>
          </cell>
          <cell r="BH161">
            <v>0</v>
          </cell>
          <cell r="BI161">
            <v>0</v>
          </cell>
          <cell r="BJ161" t="str">
            <v/>
          </cell>
          <cell r="BK161">
            <v>0</v>
          </cell>
          <cell r="BL161">
            <v>0</v>
          </cell>
          <cell r="BM161">
            <v>0</v>
          </cell>
          <cell r="BN161" t="str">
            <v/>
          </cell>
          <cell r="BO161">
            <v>0</v>
          </cell>
          <cell r="BP161">
            <v>0</v>
          </cell>
          <cell r="BQ161">
            <v>0</v>
          </cell>
          <cell r="BR161" t="str">
            <v/>
          </cell>
          <cell r="BS161">
            <v>0</v>
          </cell>
          <cell r="BT161">
            <v>0</v>
          </cell>
          <cell r="BU161">
            <v>0</v>
          </cell>
          <cell r="BV161" t="str">
            <v/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 t="str">
            <v/>
          </cell>
          <cell r="CB161">
            <v>0</v>
          </cell>
          <cell r="CD161">
            <v>0</v>
          </cell>
          <cell r="CE161">
            <v>0</v>
          </cell>
          <cell r="CF161" t="str">
            <v/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 t="str">
            <v/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 t="str">
            <v/>
          </cell>
          <cell r="CQ161">
            <v>0</v>
          </cell>
          <cell r="CS161">
            <v>0</v>
          </cell>
          <cell r="CT161">
            <v>0</v>
          </cell>
          <cell r="CU161" t="str">
            <v/>
          </cell>
          <cell r="CV161">
            <v>0</v>
          </cell>
          <cell r="CX161">
            <v>0</v>
          </cell>
          <cell r="CY161">
            <v>0</v>
          </cell>
          <cell r="CZ161" t="str">
            <v/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 t="str">
            <v/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 t="str">
            <v/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 t="str">
            <v/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 t="str">
            <v/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 t="str">
            <v/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 t="str">
            <v/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 t="str">
            <v/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 t="str">
            <v/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 t="str">
            <v/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 t="str">
            <v/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 t="str">
            <v/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 t="str">
            <v/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 t="str">
            <v/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 t="str">
            <v/>
          </cell>
          <cell r="FS161">
            <v>0</v>
          </cell>
          <cell r="FT161">
            <v>0</v>
          </cell>
          <cell r="FU161">
            <v>66.666666666666671</v>
          </cell>
          <cell r="FW161" t="str">
            <v>SIN ROTACIÓN</v>
          </cell>
          <cell r="FX161">
            <v>0</v>
          </cell>
          <cell r="FY161" t="str">
            <v>No</v>
          </cell>
        </row>
        <row r="162">
          <cell r="B162" t="str">
            <v>REP-0167</v>
          </cell>
          <cell r="C162" t="str">
            <v>NO VIGENTE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O162">
            <v>0</v>
          </cell>
          <cell r="AP162">
            <v>0</v>
          </cell>
          <cell r="AQ162" t="str">
            <v/>
          </cell>
          <cell r="AR162">
            <v>0</v>
          </cell>
          <cell r="AS162">
            <v>0</v>
          </cell>
          <cell r="AT162">
            <v>0</v>
          </cell>
          <cell r="AU162" t="str">
            <v/>
          </cell>
          <cell r="AV162">
            <v>0</v>
          </cell>
          <cell r="AW162">
            <v>0</v>
          </cell>
          <cell r="AX162">
            <v>0</v>
          </cell>
          <cell r="AY162" t="str">
            <v/>
          </cell>
          <cell r="AZ162">
            <v>0</v>
          </cell>
          <cell r="BA162">
            <v>0</v>
          </cell>
          <cell r="BB162">
            <v>0</v>
          </cell>
          <cell r="BC162" t="str">
            <v/>
          </cell>
          <cell r="BD162">
            <v>0</v>
          </cell>
          <cell r="BE162">
            <v>0</v>
          </cell>
          <cell r="BF162" t="str">
            <v/>
          </cell>
          <cell r="BG162">
            <v>0</v>
          </cell>
          <cell r="BH162">
            <v>0</v>
          </cell>
          <cell r="BI162">
            <v>0</v>
          </cell>
          <cell r="BJ162" t="str">
            <v/>
          </cell>
          <cell r="BK162">
            <v>0</v>
          </cell>
          <cell r="BL162">
            <v>0</v>
          </cell>
          <cell r="BM162">
            <v>0</v>
          </cell>
          <cell r="BN162" t="str">
            <v/>
          </cell>
          <cell r="BO162">
            <v>0</v>
          </cell>
          <cell r="BP162">
            <v>0</v>
          </cell>
          <cell r="BQ162">
            <v>0</v>
          </cell>
          <cell r="BR162" t="str">
            <v/>
          </cell>
          <cell r="BS162">
            <v>0</v>
          </cell>
          <cell r="BT162">
            <v>0</v>
          </cell>
          <cell r="BU162">
            <v>0</v>
          </cell>
          <cell r="BV162" t="str">
            <v/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 t="str">
            <v/>
          </cell>
          <cell r="CB162">
            <v>0</v>
          </cell>
          <cell r="CD162">
            <v>0</v>
          </cell>
          <cell r="CE162">
            <v>0</v>
          </cell>
          <cell r="CF162" t="str">
            <v/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 t="str">
            <v/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 t="str">
            <v/>
          </cell>
          <cell r="CQ162">
            <v>0</v>
          </cell>
          <cell r="CS162">
            <v>0</v>
          </cell>
          <cell r="CT162">
            <v>0</v>
          </cell>
          <cell r="CU162" t="str">
            <v/>
          </cell>
          <cell r="CV162">
            <v>0</v>
          </cell>
          <cell r="CX162">
            <v>0</v>
          </cell>
          <cell r="CY162">
            <v>0</v>
          </cell>
          <cell r="CZ162" t="str">
            <v/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 t="str">
            <v/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 t="str">
            <v/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 t="str">
            <v/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 t="str">
            <v/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 t="str">
            <v/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 t="str">
            <v/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 t="str">
            <v/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 t="str">
            <v/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 t="str">
            <v/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 t="str">
            <v/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 t="str">
            <v/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 t="str">
            <v/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 t="str">
            <v/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 t="str">
            <v/>
          </cell>
          <cell r="FS162">
            <v>0</v>
          </cell>
          <cell r="FT162">
            <v>0</v>
          </cell>
          <cell r="FU162">
            <v>66.666666666666671</v>
          </cell>
          <cell r="FW162" t="str">
            <v>SIN ROTACIÓN</v>
          </cell>
          <cell r="FX162">
            <v>0</v>
          </cell>
          <cell r="FY162" t="str">
            <v>No</v>
          </cell>
        </row>
        <row r="163">
          <cell r="B163" t="str">
            <v>REP-0168</v>
          </cell>
          <cell r="C163" t="str">
            <v>MIX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10</v>
          </cell>
          <cell r="I163">
            <v>10</v>
          </cell>
          <cell r="J163">
            <v>0</v>
          </cell>
          <cell r="K163">
            <v>10</v>
          </cell>
          <cell r="L163">
            <v>0</v>
          </cell>
          <cell r="M163">
            <v>4</v>
          </cell>
          <cell r="N163">
            <v>2</v>
          </cell>
          <cell r="O163">
            <v>0</v>
          </cell>
          <cell r="P163">
            <v>2</v>
          </cell>
          <cell r="Q163">
            <v>0</v>
          </cell>
          <cell r="R163">
            <v>2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3</v>
          </cell>
          <cell r="Y163">
            <v>43</v>
          </cell>
          <cell r="AA163">
            <v>43</v>
          </cell>
          <cell r="AB163">
            <v>36</v>
          </cell>
          <cell r="AC163">
            <v>7.333333333333333</v>
          </cell>
          <cell r="AD163">
            <v>0.24444444444444444</v>
          </cell>
          <cell r="AE163">
            <v>6</v>
          </cell>
          <cell r="AF163">
            <v>4</v>
          </cell>
          <cell r="AG163">
            <v>3.0833333333333335</v>
          </cell>
          <cell r="AH163">
            <v>3.4166666666666665</v>
          </cell>
          <cell r="AI163">
            <v>3.5</v>
          </cell>
          <cell r="AJ163">
            <v>3.5</v>
          </cell>
          <cell r="AK163">
            <v>3.5</v>
          </cell>
          <cell r="AL163">
            <v>0.32808366141715878</v>
          </cell>
          <cell r="AM163">
            <v>3.375</v>
          </cell>
          <cell r="AN163">
            <v>9.7209973753232232E-2</v>
          </cell>
          <cell r="AO163">
            <v>0</v>
          </cell>
          <cell r="AP163">
            <v>52.666666666666664</v>
          </cell>
          <cell r="AQ163">
            <v>13</v>
          </cell>
          <cell r="AR163">
            <v>0</v>
          </cell>
          <cell r="AS163">
            <v>48</v>
          </cell>
          <cell r="AT163">
            <v>56</v>
          </cell>
          <cell r="AU163">
            <v>16.8</v>
          </cell>
          <cell r="AV163">
            <v>0</v>
          </cell>
          <cell r="AW163">
            <v>52.666666666666664</v>
          </cell>
          <cell r="AX163">
            <v>49</v>
          </cell>
          <cell r="AY163">
            <v>14</v>
          </cell>
          <cell r="AZ163">
            <v>0</v>
          </cell>
          <cell r="BA163">
            <v>55.666666666666664</v>
          </cell>
          <cell r="BB163">
            <v>48</v>
          </cell>
          <cell r="BC163">
            <v>8.2285714285714295</v>
          </cell>
          <cell r="BD163">
            <v>0</v>
          </cell>
          <cell r="BE163">
            <v>42.166666666666664</v>
          </cell>
          <cell r="BF163">
            <v>7.2285714285714286</v>
          </cell>
          <cell r="BG163">
            <v>10</v>
          </cell>
          <cell r="BH163">
            <v>46.333333333333329</v>
          </cell>
          <cell r="BI163">
            <v>43</v>
          </cell>
          <cell r="BJ163">
            <v>12.285714285714286</v>
          </cell>
          <cell r="BK163">
            <v>0</v>
          </cell>
          <cell r="BL163">
            <v>70.333333333333329</v>
          </cell>
          <cell r="BM163">
            <v>78</v>
          </cell>
          <cell r="BN163">
            <v>20.34782608695652</v>
          </cell>
          <cell r="BO163">
            <v>0</v>
          </cell>
          <cell r="BP163">
            <v>74.166666666666671</v>
          </cell>
          <cell r="BQ163">
            <v>69</v>
          </cell>
          <cell r="BR163">
            <v>19.714285714285715</v>
          </cell>
          <cell r="BS163">
            <v>0</v>
          </cell>
          <cell r="BT163">
            <v>64.833333333333329</v>
          </cell>
          <cell r="BU163">
            <v>69</v>
          </cell>
          <cell r="BV163">
            <v>20.7</v>
          </cell>
          <cell r="BW163">
            <v>0</v>
          </cell>
          <cell r="BX163">
            <v>0</v>
          </cell>
          <cell r="BY163">
            <v>65.666666666666671</v>
          </cell>
          <cell r="BZ163">
            <v>68</v>
          </cell>
          <cell r="CA163">
            <v>22.054054054054053</v>
          </cell>
          <cell r="CB163">
            <v>0</v>
          </cell>
          <cell r="CC163">
            <v>0</v>
          </cell>
          <cell r="CD163">
            <v>64.916666666666671</v>
          </cell>
          <cell r="CE163">
            <v>58</v>
          </cell>
          <cell r="CF163">
            <v>13.919999999999998</v>
          </cell>
          <cell r="CG163">
            <v>0</v>
          </cell>
          <cell r="CH163">
            <v>0</v>
          </cell>
          <cell r="CI163">
            <v>60.750000000000007</v>
          </cell>
          <cell r="CJ163">
            <v>53</v>
          </cell>
          <cell r="CK163">
            <v>15.512195121951221</v>
          </cell>
          <cell r="CL163">
            <v>0</v>
          </cell>
          <cell r="CM163">
            <v>0</v>
          </cell>
          <cell r="CN163">
            <v>49.583333333333336</v>
          </cell>
          <cell r="CO163">
            <v>49</v>
          </cell>
          <cell r="CP163">
            <v>14.341463414634147</v>
          </cell>
          <cell r="CQ163">
            <v>0</v>
          </cell>
          <cell r="CR163">
            <v>0</v>
          </cell>
          <cell r="CS163">
            <v>45.583333333333336</v>
          </cell>
          <cell r="CT163">
            <v>51</v>
          </cell>
          <cell r="CU163">
            <v>14.926829268292684</v>
          </cell>
          <cell r="CV163">
            <v>0</v>
          </cell>
          <cell r="CW163">
            <v>0</v>
          </cell>
          <cell r="CX163">
            <v>47.583333333333336</v>
          </cell>
          <cell r="CY163">
            <v>46</v>
          </cell>
          <cell r="CZ163">
            <v>13.463414634146343</v>
          </cell>
          <cell r="DA163">
            <v>0</v>
          </cell>
          <cell r="DB163">
            <v>0</v>
          </cell>
          <cell r="DC163">
            <v>42.583333333333336</v>
          </cell>
          <cell r="DD163">
            <v>37</v>
          </cell>
          <cell r="DE163">
            <v>5.419354838709677</v>
          </cell>
          <cell r="DF163">
            <v>0</v>
          </cell>
          <cell r="DG163">
            <v>0</v>
          </cell>
          <cell r="DH163">
            <v>31.833333333333332</v>
          </cell>
          <cell r="DI163">
            <v>36</v>
          </cell>
          <cell r="DJ163">
            <v>8.75</v>
          </cell>
          <cell r="DK163">
            <v>0</v>
          </cell>
          <cell r="DL163">
            <v>0</v>
          </cell>
          <cell r="DM163">
            <v>27.833333333333332</v>
          </cell>
          <cell r="DN163">
            <v>43</v>
          </cell>
          <cell r="DO163">
            <v>12</v>
          </cell>
          <cell r="DP163">
            <v>0</v>
          </cell>
          <cell r="DQ163">
            <v>0</v>
          </cell>
          <cell r="DR163">
            <v>39.5</v>
          </cell>
          <cell r="DS163">
            <v>39.5</v>
          </cell>
          <cell r="DT163">
            <v>11</v>
          </cell>
          <cell r="DU163">
            <v>0</v>
          </cell>
          <cell r="DV163">
            <v>0</v>
          </cell>
          <cell r="DW163">
            <v>36</v>
          </cell>
          <cell r="DX163">
            <v>36</v>
          </cell>
          <cell r="DY163">
            <v>10</v>
          </cell>
          <cell r="DZ163">
            <v>0</v>
          </cell>
          <cell r="EA163">
            <v>0</v>
          </cell>
          <cell r="EB163">
            <v>32.5</v>
          </cell>
          <cell r="EC163">
            <v>32.5</v>
          </cell>
          <cell r="ED163">
            <v>9</v>
          </cell>
          <cell r="EE163">
            <v>0</v>
          </cell>
          <cell r="EF163">
            <v>0</v>
          </cell>
          <cell r="EG163">
            <v>29</v>
          </cell>
          <cell r="EH163">
            <v>29</v>
          </cell>
          <cell r="EI163">
            <v>8</v>
          </cell>
          <cell r="EJ163">
            <v>0</v>
          </cell>
          <cell r="EK163">
            <v>10</v>
          </cell>
          <cell r="EL163">
            <v>35.5</v>
          </cell>
          <cell r="EM163">
            <v>35.5</v>
          </cell>
          <cell r="EN163">
            <v>9.8571428571428577</v>
          </cell>
          <cell r="EO163">
            <v>0</v>
          </cell>
          <cell r="EP163">
            <v>0</v>
          </cell>
          <cell r="EQ163">
            <v>32</v>
          </cell>
          <cell r="ER163">
            <v>32</v>
          </cell>
          <cell r="ES163">
            <v>8.8571428571428577</v>
          </cell>
          <cell r="ET163">
            <v>0</v>
          </cell>
          <cell r="EU163">
            <v>0</v>
          </cell>
          <cell r="EV163">
            <v>28.5</v>
          </cell>
          <cell r="EW163">
            <v>28.5</v>
          </cell>
          <cell r="EX163">
            <v>7.8571428571428568</v>
          </cell>
          <cell r="EY163">
            <v>0</v>
          </cell>
          <cell r="EZ163">
            <v>0</v>
          </cell>
          <cell r="FA163">
            <v>25</v>
          </cell>
          <cell r="FB163">
            <v>25</v>
          </cell>
          <cell r="FC163">
            <v>6.8571428571428568</v>
          </cell>
          <cell r="FD163">
            <v>0</v>
          </cell>
          <cell r="FE163">
            <v>15</v>
          </cell>
          <cell r="FF163">
            <v>36.5</v>
          </cell>
          <cell r="FG163">
            <v>36.5</v>
          </cell>
          <cell r="FH163">
            <v>10.142857142857142</v>
          </cell>
          <cell r="FI163">
            <v>0</v>
          </cell>
          <cell r="FJ163">
            <v>0</v>
          </cell>
          <cell r="FK163">
            <v>33</v>
          </cell>
          <cell r="FL163">
            <v>33</v>
          </cell>
          <cell r="FM163">
            <v>9.1428571428571423</v>
          </cell>
          <cell r="FN163">
            <v>0</v>
          </cell>
          <cell r="FO163">
            <v>0</v>
          </cell>
          <cell r="FP163">
            <v>29.5</v>
          </cell>
          <cell r="FQ163">
            <v>29.5</v>
          </cell>
          <cell r="FR163">
            <v>8.1428571428571423</v>
          </cell>
          <cell r="FS163">
            <v>0</v>
          </cell>
          <cell r="FT163">
            <v>8</v>
          </cell>
          <cell r="FU163">
            <v>2.0333333333333332</v>
          </cell>
          <cell r="FW163" t="str">
            <v>SOBRESTOCK</v>
          </cell>
          <cell r="FX163" t="str">
            <v>B</v>
          </cell>
          <cell r="FY163" t="str">
            <v>Si</v>
          </cell>
        </row>
        <row r="164">
          <cell r="B164" t="str">
            <v>REP-0169</v>
          </cell>
          <cell r="C164" t="str">
            <v>MIX</v>
          </cell>
          <cell r="D164">
            <v>0</v>
          </cell>
          <cell r="E164">
            <v>7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</v>
          </cell>
          <cell r="Y164">
            <v>11</v>
          </cell>
          <cell r="AA164">
            <v>11</v>
          </cell>
          <cell r="AB164">
            <v>1</v>
          </cell>
          <cell r="AC164">
            <v>0</v>
          </cell>
          <cell r="AD164">
            <v>0</v>
          </cell>
          <cell r="AE164">
            <v>8.3333333333333329E-2</v>
          </cell>
          <cell r="AF164">
            <v>0</v>
          </cell>
          <cell r="AG164">
            <v>0</v>
          </cell>
          <cell r="AH164">
            <v>0.25</v>
          </cell>
          <cell r="AI164">
            <v>0</v>
          </cell>
          <cell r="AJ164">
            <v>0</v>
          </cell>
          <cell r="AK164">
            <v>0.25</v>
          </cell>
          <cell r="AL164">
            <v>0.125</v>
          </cell>
          <cell r="AM164">
            <v>6.25E-2</v>
          </cell>
          <cell r="AN164">
            <v>2</v>
          </cell>
          <cell r="AO164">
            <v>0</v>
          </cell>
          <cell r="AP164">
            <v>15.5</v>
          </cell>
          <cell r="AQ164" t="str">
            <v/>
          </cell>
          <cell r="AR164">
            <v>0</v>
          </cell>
          <cell r="AS164">
            <v>16</v>
          </cell>
          <cell r="AT164">
            <v>16</v>
          </cell>
          <cell r="AU164" t="str">
            <v/>
          </cell>
          <cell r="AV164">
            <v>0</v>
          </cell>
          <cell r="AW164">
            <v>16</v>
          </cell>
          <cell r="AX164">
            <v>16</v>
          </cell>
          <cell r="AY164">
            <v>64</v>
          </cell>
          <cell r="AZ164">
            <v>0</v>
          </cell>
          <cell r="BA164">
            <v>16</v>
          </cell>
          <cell r="BB164">
            <v>16</v>
          </cell>
          <cell r="BC164" t="str">
            <v/>
          </cell>
          <cell r="BD164">
            <v>0</v>
          </cell>
          <cell r="BE164">
            <v>16</v>
          </cell>
          <cell r="BF164" t="str">
            <v/>
          </cell>
          <cell r="BG164">
            <v>0</v>
          </cell>
          <cell r="BH164">
            <v>16</v>
          </cell>
          <cell r="BI164">
            <v>11</v>
          </cell>
          <cell r="BJ164">
            <v>44</v>
          </cell>
          <cell r="BK164">
            <v>0</v>
          </cell>
          <cell r="BL164">
            <v>12.5</v>
          </cell>
          <cell r="BM164">
            <v>13</v>
          </cell>
          <cell r="BN164">
            <v>26</v>
          </cell>
          <cell r="BO164">
            <v>0</v>
          </cell>
          <cell r="BP164">
            <v>12.5</v>
          </cell>
          <cell r="BQ164">
            <v>13</v>
          </cell>
          <cell r="BR164">
            <v>52</v>
          </cell>
          <cell r="BS164">
            <v>0</v>
          </cell>
          <cell r="BT164">
            <v>12.5</v>
          </cell>
          <cell r="BU164">
            <v>13</v>
          </cell>
          <cell r="BV164">
            <v>26</v>
          </cell>
          <cell r="BW164">
            <v>0</v>
          </cell>
          <cell r="BX164">
            <v>0</v>
          </cell>
          <cell r="BY164">
            <v>12.5</v>
          </cell>
          <cell r="BZ164">
            <v>13</v>
          </cell>
          <cell r="CA164">
            <v>26</v>
          </cell>
          <cell r="CB164">
            <v>0</v>
          </cell>
          <cell r="CC164">
            <v>0</v>
          </cell>
          <cell r="CD164">
            <v>12.5</v>
          </cell>
          <cell r="CE164">
            <v>13</v>
          </cell>
          <cell r="CF164">
            <v>47.666666666666671</v>
          </cell>
          <cell r="CG164">
            <v>0</v>
          </cell>
          <cell r="CH164">
            <v>0</v>
          </cell>
          <cell r="CI164">
            <v>12.227272727272727</v>
          </cell>
          <cell r="CJ164">
            <v>13</v>
          </cell>
          <cell r="CK164">
            <v>52</v>
          </cell>
          <cell r="CL164">
            <v>0</v>
          </cell>
          <cell r="CM164">
            <v>0</v>
          </cell>
          <cell r="CN164">
            <v>12.75</v>
          </cell>
          <cell r="CO164">
            <v>13</v>
          </cell>
          <cell r="CP164">
            <v>52</v>
          </cell>
          <cell r="CQ164">
            <v>0</v>
          </cell>
          <cell r="CR164">
            <v>0</v>
          </cell>
          <cell r="CS164">
            <v>12.75</v>
          </cell>
          <cell r="CT164">
            <v>13</v>
          </cell>
          <cell r="CU164">
            <v>52</v>
          </cell>
          <cell r="CV164">
            <v>0</v>
          </cell>
          <cell r="CW164">
            <v>0</v>
          </cell>
          <cell r="CX164">
            <v>12.75</v>
          </cell>
          <cell r="CY164">
            <v>11</v>
          </cell>
          <cell r="CZ164">
            <v>44</v>
          </cell>
          <cell r="DA164">
            <v>0</v>
          </cell>
          <cell r="DB164">
            <v>0</v>
          </cell>
          <cell r="DC164">
            <v>10.75</v>
          </cell>
          <cell r="DD164">
            <v>11</v>
          </cell>
          <cell r="DE164">
            <v>40</v>
          </cell>
          <cell r="DF164">
            <v>0</v>
          </cell>
          <cell r="DG164">
            <v>0</v>
          </cell>
          <cell r="DH164">
            <v>10.75</v>
          </cell>
          <cell r="DI164">
            <v>11</v>
          </cell>
          <cell r="DJ164">
            <v>42</v>
          </cell>
          <cell r="DK164">
            <v>0</v>
          </cell>
          <cell r="DL164">
            <v>0</v>
          </cell>
          <cell r="DM164">
            <v>10.5</v>
          </cell>
          <cell r="DN164">
            <v>11</v>
          </cell>
          <cell r="DO164">
            <v>42</v>
          </cell>
          <cell r="DP164">
            <v>0</v>
          </cell>
          <cell r="DQ164">
            <v>0</v>
          </cell>
          <cell r="DR164">
            <v>10.75</v>
          </cell>
          <cell r="DS164">
            <v>10.75</v>
          </cell>
          <cell r="DT164">
            <v>41</v>
          </cell>
          <cell r="DU164">
            <v>0</v>
          </cell>
          <cell r="DV164">
            <v>0</v>
          </cell>
          <cell r="DW164">
            <v>10.5</v>
          </cell>
          <cell r="DX164">
            <v>10.5</v>
          </cell>
          <cell r="DY164">
            <v>40</v>
          </cell>
          <cell r="DZ164">
            <v>0</v>
          </cell>
          <cell r="EA164">
            <v>0</v>
          </cell>
          <cell r="EB164">
            <v>10.25</v>
          </cell>
          <cell r="EC164">
            <v>10.25</v>
          </cell>
          <cell r="ED164">
            <v>39</v>
          </cell>
          <cell r="EE164">
            <v>0</v>
          </cell>
          <cell r="EF164">
            <v>0</v>
          </cell>
          <cell r="EG164">
            <v>10</v>
          </cell>
          <cell r="EH164">
            <v>10</v>
          </cell>
          <cell r="EI164">
            <v>38</v>
          </cell>
          <cell r="EJ164">
            <v>0</v>
          </cell>
          <cell r="EK164">
            <v>0</v>
          </cell>
          <cell r="EL164">
            <v>9.75</v>
          </cell>
          <cell r="EM164">
            <v>9.75</v>
          </cell>
          <cell r="EN164">
            <v>37</v>
          </cell>
          <cell r="EO164">
            <v>0</v>
          </cell>
          <cell r="EP164">
            <v>0</v>
          </cell>
          <cell r="EQ164">
            <v>9.5</v>
          </cell>
          <cell r="ER164">
            <v>9.5</v>
          </cell>
          <cell r="ES164">
            <v>36</v>
          </cell>
          <cell r="ET164">
            <v>0</v>
          </cell>
          <cell r="EU164">
            <v>0</v>
          </cell>
          <cell r="EV164">
            <v>9.25</v>
          </cell>
          <cell r="EW164">
            <v>9.25</v>
          </cell>
          <cell r="EX164">
            <v>35</v>
          </cell>
          <cell r="EY164">
            <v>0</v>
          </cell>
          <cell r="EZ164">
            <v>0</v>
          </cell>
          <cell r="FA164">
            <v>9</v>
          </cell>
          <cell r="FB164">
            <v>9</v>
          </cell>
          <cell r="FC164">
            <v>34</v>
          </cell>
          <cell r="FD164">
            <v>0</v>
          </cell>
          <cell r="FE164">
            <v>0</v>
          </cell>
          <cell r="FF164">
            <v>8.75</v>
          </cell>
          <cell r="FG164">
            <v>8.75</v>
          </cell>
          <cell r="FH164">
            <v>33</v>
          </cell>
          <cell r="FI164">
            <v>0</v>
          </cell>
          <cell r="FJ164">
            <v>0</v>
          </cell>
          <cell r="FK164">
            <v>8.5</v>
          </cell>
          <cell r="FL164">
            <v>8.5</v>
          </cell>
          <cell r="FM164">
            <v>32</v>
          </cell>
          <cell r="FN164">
            <v>0</v>
          </cell>
          <cell r="FO164">
            <v>0</v>
          </cell>
          <cell r="FP164">
            <v>8.25</v>
          </cell>
          <cell r="FQ164">
            <v>8.25</v>
          </cell>
          <cell r="FR164">
            <v>31</v>
          </cell>
          <cell r="FS164">
            <v>0</v>
          </cell>
          <cell r="FT164">
            <v>1</v>
          </cell>
          <cell r="FU164">
            <v>2.0333333333333332</v>
          </cell>
          <cell r="FW164" t="str">
            <v>SIN ROTACIÓN</v>
          </cell>
          <cell r="FX164" t="str">
            <v>STOCK MUERTO</v>
          </cell>
          <cell r="FY164" t="str">
            <v>Si</v>
          </cell>
        </row>
        <row r="165">
          <cell r="B165" t="str">
            <v>REP-0171</v>
          </cell>
          <cell r="C165" t="str">
            <v>NO VIGENTE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O165">
            <v>0</v>
          </cell>
          <cell r="AP165">
            <v>0</v>
          </cell>
          <cell r="AQ165" t="str">
            <v/>
          </cell>
          <cell r="AR165">
            <v>0</v>
          </cell>
          <cell r="AS165">
            <v>0</v>
          </cell>
          <cell r="AT165">
            <v>0</v>
          </cell>
          <cell r="AU165" t="str">
            <v/>
          </cell>
          <cell r="AV165">
            <v>0</v>
          </cell>
          <cell r="AW165">
            <v>0</v>
          </cell>
          <cell r="AX165">
            <v>0</v>
          </cell>
          <cell r="AY165" t="str">
            <v/>
          </cell>
          <cell r="AZ165">
            <v>0</v>
          </cell>
          <cell r="BA165">
            <v>0</v>
          </cell>
          <cell r="BB165">
            <v>0</v>
          </cell>
          <cell r="BC165" t="str">
            <v/>
          </cell>
          <cell r="BD165">
            <v>0</v>
          </cell>
          <cell r="BE165">
            <v>0</v>
          </cell>
          <cell r="BF165" t="str">
            <v/>
          </cell>
          <cell r="BG165">
            <v>0</v>
          </cell>
          <cell r="BH165">
            <v>0</v>
          </cell>
          <cell r="BI165">
            <v>0</v>
          </cell>
          <cell r="BJ165" t="str">
            <v/>
          </cell>
          <cell r="BK165">
            <v>0</v>
          </cell>
          <cell r="BL165">
            <v>0</v>
          </cell>
          <cell r="BM165">
            <v>0</v>
          </cell>
          <cell r="BN165" t="str">
            <v/>
          </cell>
          <cell r="BO165">
            <v>0</v>
          </cell>
          <cell r="BP165">
            <v>0</v>
          </cell>
          <cell r="BQ165">
            <v>0</v>
          </cell>
          <cell r="BR165" t="str">
            <v/>
          </cell>
          <cell r="BS165">
            <v>0</v>
          </cell>
          <cell r="BT165">
            <v>0</v>
          </cell>
          <cell r="BU165">
            <v>0</v>
          </cell>
          <cell r="BV165" t="str">
            <v/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 t="str">
            <v/>
          </cell>
          <cell r="CB165">
            <v>0</v>
          </cell>
          <cell r="CD165">
            <v>0</v>
          </cell>
          <cell r="CE165">
            <v>0</v>
          </cell>
          <cell r="CF165" t="str">
            <v/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 t="str">
            <v/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 t="str">
            <v/>
          </cell>
          <cell r="CQ165">
            <v>0</v>
          </cell>
          <cell r="CS165">
            <v>0</v>
          </cell>
          <cell r="CT165">
            <v>0</v>
          </cell>
          <cell r="CU165" t="str">
            <v/>
          </cell>
          <cell r="CV165">
            <v>0</v>
          </cell>
          <cell r="CX165">
            <v>0</v>
          </cell>
          <cell r="CY165">
            <v>0</v>
          </cell>
          <cell r="CZ165" t="str">
            <v/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 t="str">
            <v/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 t="str">
            <v/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 t="str">
            <v/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 t="str">
            <v/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 t="str">
            <v/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 t="str">
            <v/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 t="str">
            <v/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 t="str">
            <v/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 t="str">
            <v/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 t="str">
            <v/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 t="str">
            <v/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 t="str">
            <v/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 t="str">
            <v/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 t="str">
            <v/>
          </cell>
          <cell r="FS165">
            <v>0</v>
          </cell>
          <cell r="FT165">
            <v>0</v>
          </cell>
          <cell r="FU165">
            <v>66.666666666666671</v>
          </cell>
          <cell r="FW165" t="str">
            <v>SIN ROTACIÓN</v>
          </cell>
          <cell r="FX165">
            <v>0</v>
          </cell>
          <cell r="FY165" t="str">
            <v>No</v>
          </cell>
        </row>
        <row r="166">
          <cell r="B166" t="str">
            <v>REP-0172</v>
          </cell>
          <cell r="C166" t="str">
            <v>MIX</v>
          </cell>
          <cell r="D166">
            <v>0</v>
          </cell>
          <cell r="E166">
            <v>19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5</v>
          </cell>
          <cell r="L166">
            <v>3</v>
          </cell>
          <cell r="M166">
            <v>1</v>
          </cell>
          <cell r="N166">
            <v>0</v>
          </cell>
          <cell r="O166">
            <v>0</v>
          </cell>
          <cell r="P166">
            <v>0</v>
          </cell>
          <cell r="Q166">
            <v>1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1</v>
          </cell>
          <cell r="W166">
            <v>0</v>
          </cell>
          <cell r="X166">
            <v>0</v>
          </cell>
          <cell r="Y166">
            <v>30</v>
          </cell>
          <cell r="AA166">
            <v>30</v>
          </cell>
          <cell r="AB166">
            <v>0</v>
          </cell>
          <cell r="AC166">
            <v>0</v>
          </cell>
          <cell r="AD166">
            <v>0</v>
          </cell>
          <cell r="AE166">
            <v>0.25</v>
          </cell>
          <cell r="AF166">
            <v>0.33333333333333331</v>
          </cell>
          <cell r="AG166">
            <v>0.25</v>
          </cell>
          <cell r="AH166">
            <v>0.83333333333333337</v>
          </cell>
          <cell r="AI166">
            <v>0</v>
          </cell>
          <cell r="AJ166">
            <v>0</v>
          </cell>
          <cell r="AK166">
            <v>0.83333333333333337</v>
          </cell>
          <cell r="AL166">
            <v>0.39308254716902519</v>
          </cell>
          <cell r="AM166">
            <v>0.27083333333333337</v>
          </cell>
          <cell r="AN166">
            <v>1.4513817126240929</v>
          </cell>
          <cell r="AO166">
            <v>0</v>
          </cell>
          <cell r="AP166">
            <v>13.333333333333334</v>
          </cell>
          <cell r="AQ166">
            <v>44</v>
          </cell>
          <cell r="AR166">
            <v>0</v>
          </cell>
          <cell r="AS166">
            <v>14.333333333333332</v>
          </cell>
          <cell r="AT166">
            <v>15</v>
          </cell>
          <cell r="AU166">
            <v>60</v>
          </cell>
          <cell r="AV166">
            <v>0</v>
          </cell>
          <cell r="AW166">
            <v>14.75</v>
          </cell>
          <cell r="AX166">
            <v>15</v>
          </cell>
          <cell r="AY166">
            <v>18</v>
          </cell>
          <cell r="AZ166">
            <v>0</v>
          </cell>
          <cell r="BA166">
            <v>14.75</v>
          </cell>
          <cell r="BB166">
            <v>15</v>
          </cell>
          <cell r="BC166">
            <v>60</v>
          </cell>
          <cell r="BD166">
            <v>0</v>
          </cell>
          <cell r="BE166">
            <v>14.75</v>
          </cell>
          <cell r="BF166">
            <v>59</v>
          </cell>
          <cell r="BG166">
            <v>0</v>
          </cell>
          <cell r="BH166">
            <v>14.5</v>
          </cell>
          <cell r="BI166">
            <v>30</v>
          </cell>
          <cell r="BJ166">
            <v>36</v>
          </cell>
          <cell r="BK166">
            <v>0</v>
          </cell>
          <cell r="BL166">
            <v>6.833333333333333</v>
          </cell>
          <cell r="BM166">
            <v>8</v>
          </cell>
          <cell r="BN166">
            <v>6</v>
          </cell>
          <cell r="BO166">
            <v>0</v>
          </cell>
          <cell r="BP166">
            <v>6.666666666666667</v>
          </cell>
          <cell r="BQ166">
            <v>5</v>
          </cell>
          <cell r="BR166">
            <v>6</v>
          </cell>
          <cell r="BS166">
            <v>0</v>
          </cell>
          <cell r="BT166">
            <v>3.333333333333333</v>
          </cell>
          <cell r="BU166">
            <v>5</v>
          </cell>
          <cell r="BV166">
            <v>3</v>
          </cell>
          <cell r="BW166">
            <v>9</v>
          </cell>
          <cell r="BX166">
            <v>0</v>
          </cell>
          <cell r="BY166">
            <v>3.333333333333333</v>
          </cell>
          <cell r="BZ166">
            <v>5</v>
          </cell>
          <cell r="CA166">
            <v>3</v>
          </cell>
          <cell r="CB166">
            <v>9</v>
          </cell>
          <cell r="CC166">
            <v>0</v>
          </cell>
          <cell r="CD166">
            <v>23.333333333333332</v>
          </cell>
          <cell r="CE166">
            <v>5</v>
          </cell>
          <cell r="CF166">
            <v>3</v>
          </cell>
          <cell r="CG166">
            <v>9</v>
          </cell>
          <cell r="CH166">
            <v>20</v>
          </cell>
          <cell r="CI166">
            <v>30.666666666666661</v>
          </cell>
          <cell r="CJ166">
            <v>25</v>
          </cell>
          <cell r="CK166">
            <v>30</v>
          </cell>
          <cell r="CL166">
            <v>0</v>
          </cell>
          <cell r="CM166">
            <v>0</v>
          </cell>
          <cell r="CN166">
            <v>24.166666666666668</v>
          </cell>
          <cell r="CO166">
            <v>30</v>
          </cell>
          <cell r="CP166">
            <v>36</v>
          </cell>
          <cell r="CQ166">
            <v>0</v>
          </cell>
          <cell r="CR166">
            <v>0</v>
          </cell>
          <cell r="CS166">
            <v>29.166666666666668</v>
          </cell>
          <cell r="CT166">
            <v>30</v>
          </cell>
          <cell r="CU166">
            <v>36</v>
          </cell>
          <cell r="CV166">
            <v>0</v>
          </cell>
          <cell r="CW166">
            <v>0</v>
          </cell>
          <cell r="CX166">
            <v>29.166666666666668</v>
          </cell>
          <cell r="CY166">
            <v>30</v>
          </cell>
          <cell r="CZ166">
            <v>36</v>
          </cell>
          <cell r="DA166">
            <v>0</v>
          </cell>
          <cell r="DB166">
            <v>0</v>
          </cell>
          <cell r="DC166">
            <v>29.166666666666668</v>
          </cell>
          <cell r="DD166">
            <v>31</v>
          </cell>
          <cell r="DE166">
            <v>34.799999999999997</v>
          </cell>
          <cell r="DF166">
            <v>0</v>
          </cell>
          <cell r="DG166">
            <v>0</v>
          </cell>
          <cell r="DH166">
            <v>30.166666666666668</v>
          </cell>
          <cell r="DI166">
            <v>30</v>
          </cell>
          <cell r="DJ166">
            <v>35.6</v>
          </cell>
          <cell r="DK166">
            <v>0</v>
          </cell>
          <cell r="DL166">
            <v>0</v>
          </cell>
          <cell r="DM166">
            <v>29.333333333333336</v>
          </cell>
          <cell r="DN166">
            <v>30</v>
          </cell>
          <cell r="DO166">
            <v>35.6</v>
          </cell>
          <cell r="DP166">
            <v>0</v>
          </cell>
          <cell r="DQ166">
            <v>0</v>
          </cell>
          <cell r="DR166">
            <v>29.166666666666668</v>
          </cell>
          <cell r="DS166">
            <v>29.166666666666668</v>
          </cell>
          <cell r="DT166">
            <v>34.6</v>
          </cell>
          <cell r="DU166">
            <v>0</v>
          </cell>
          <cell r="DV166">
            <v>0</v>
          </cell>
          <cell r="DW166">
            <v>28.333333333333336</v>
          </cell>
          <cell r="DX166">
            <v>28.333333333333336</v>
          </cell>
          <cell r="DY166">
            <v>33.6</v>
          </cell>
          <cell r="DZ166">
            <v>0</v>
          </cell>
          <cell r="EA166">
            <v>0</v>
          </cell>
          <cell r="EB166">
            <v>27.500000000000004</v>
          </cell>
          <cell r="EC166">
            <v>27.500000000000004</v>
          </cell>
          <cell r="ED166">
            <v>32.6</v>
          </cell>
          <cell r="EE166">
            <v>0</v>
          </cell>
          <cell r="EF166">
            <v>0</v>
          </cell>
          <cell r="EG166">
            <v>26.666666666666671</v>
          </cell>
          <cell r="EH166">
            <v>26.666666666666671</v>
          </cell>
          <cell r="EI166">
            <v>31.600000000000005</v>
          </cell>
          <cell r="EJ166">
            <v>0</v>
          </cell>
          <cell r="EK166">
            <v>0</v>
          </cell>
          <cell r="EL166">
            <v>25.833333333333339</v>
          </cell>
          <cell r="EM166">
            <v>25.833333333333339</v>
          </cell>
          <cell r="EN166">
            <v>30.600000000000005</v>
          </cell>
          <cell r="EO166">
            <v>0</v>
          </cell>
          <cell r="EP166">
            <v>0</v>
          </cell>
          <cell r="EQ166">
            <v>25.000000000000007</v>
          </cell>
          <cell r="ER166">
            <v>25.000000000000007</v>
          </cell>
          <cell r="ES166">
            <v>29.600000000000009</v>
          </cell>
          <cell r="ET166">
            <v>0</v>
          </cell>
          <cell r="EU166">
            <v>0</v>
          </cell>
          <cell r="EV166">
            <v>24.166666666666675</v>
          </cell>
          <cell r="EW166">
            <v>24.166666666666675</v>
          </cell>
          <cell r="EX166">
            <v>28.600000000000009</v>
          </cell>
          <cell r="EY166">
            <v>0</v>
          </cell>
          <cell r="EZ166">
            <v>0</v>
          </cell>
          <cell r="FA166">
            <v>23.333333333333343</v>
          </cell>
          <cell r="FB166">
            <v>23.333333333333343</v>
          </cell>
          <cell r="FC166">
            <v>27.600000000000009</v>
          </cell>
          <cell r="FD166">
            <v>0</v>
          </cell>
          <cell r="FE166">
            <v>0</v>
          </cell>
          <cell r="FF166">
            <v>22.500000000000011</v>
          </cell>
          <cell r="FG166">
            <v>22.500000000000011</v>
          </cell>
          <cell r="FH166">
            <v>26.600000000000012</v>
          </cell>
          <cell r="FI166">
            <v>0</v>
          </cell>
          <cell r="FJ166">
            <v>0</v>
          </cell>
          <cell r="FK166">
            <v>21.666666666666679</v>
          </cell>
          <cell r="FL166">
            <v>21.666666666666679</v>
          </cell>
          <cell r="FM166">
            <v>25.600000000000012</v>
          </cell>
          <cell r="FN166">
            <v>0</v>
          </cell>
          <cell r="FO166">
            <v>0</v>
          </cell>
          <cell r="FP166">
            <v>20.833333333333346</v>
          </cell>
          <cell r="FQ166">
            <v>20.833333333333346</v>
          </cell>
          <cell r="FR166">
            <v>24.600000000000016</v>
          </cell>
          <cell r="FS166">
            <v>0</v>
          </cell>
          <cell r="FT166">
            <v>2</v>
          </cell>
          <cell r="FU166">
            <v>2.0333333333333332</v>
          </cell>
          <cell r="FW166" t="str">
            <v>SIN ROTACIÓN</v>
          </cell>
          <cell r="FX166" t="str">
            <v>C</v>
          </cell>
          <cell r="FY166" t="str">
            <v>Si</v>
          </cell>
        </row>
        <row r="167">
          <cell r="B167" t="str">
            <v>REP-0173</v>
          </cell>
          <cell r="C167" t="str">
            <v>MIX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8.3333333333333329E-2</v>
          </cell>
          <cell r="AI167">
            <v>0</v>
          </cell>
          <cell r="AJ167">
            <v>0</v>
          </cell>
          <cell r="AK167">
            <v>2.7777777777777776E-2</v>
          </cell>
          <cell r="AL167">
            <v>4.1666666666666664E-2</v>
          </cell>
          <cell r="AM167">
            <v>2.0833333333333332E-2</v>
          </cell>
          <cell r="AN167">
            <v>2</v>
          </cell>
          <cell r="AO167">
            <v>0</v>
          </cell>
          <cell r="AP167">
            <v>1</v>
          </cell>
          <cell r="AQ167" t="str">
            <v/>
          </cell>
          <cell r="AR167">
            <v>0</v>
          </cell>
          <cell r="AS167">
            <v>1</v>
          </cell>
          <cell r="AT167">
            <v>1</v>
          </cell>
          <cell r="AU167" t="str">
            <v/>
          </cell>
          <cell r="AV167">
            <v>0</v>
          </cell>
          <cell r="AW167">
            <v>1</v>
          </cell>
          <cell r="AX167">
            <v>1</v>
          </cell>
          <cell r="AY167">
            <v>36</v>
          </cell>
          <cell r="AZ167">
            <v>0</v>
          </cell>
          <cell r="BA167">
            <v>1</v>
          </cell>
          <cell r="BB167">
            <v>1</v>
          </cell>
          <cell r="BC167" t="str">
            <v/>
          </cell>
          <cell r="BD167">
            <v>0</v>
          </cell>
          <cell r="BE167">
            <v>1</v>
          </cell>
          <cell r="BF167" t="str">
            <v/>
          </cell>
          <cell r="BG167">
            <v>0</v>
          </cell>
          <cell r="BH167">
            <v>1</v>
          </cell>
          <cell r="BI167">
            <v>0</v>
          </cell>
          <cell r="BJ167">
            <v>0</v>
          </cell>
          <cell r="BK167">
            <v>0</v>
          </cell>
          <cell r="BL167">
            <v>1</v>
          </cell>
          <cell r="BM167">
            <v>1</v>
          </cell>
          <cell r="BN167" t="str">
            <v/>
          </cell>
          <cell r="BO167">
            <v>0</v>
          </cell>
          <cell r="BP167">
            <v>1</v>
          </cell>
          <cell r="BQ167">
            <v>1</v>
          </cell>
          <cell r="BR167">
            <v>36</v>
          </cell>
          <cell r="BS167">
            <v>0</v>
          </cell>
          <cell r="BT167">
            <v>1</v>
          </cell>
          <cell r="BU167">
            <v>1</v>
          </cell>
          <cell r="BV167" t="str">
            <v/>
          </cell>
          <cell r="BW167">
            <v>0</v>
          </cell>
          <cell r="BX167">
            <v>0</v>
          </cell>
          <cell r="BY167">
            <v>1</v>
          </cell>
          <cell r="BZ167">
            <v>1</v>
          </cell>
          <cell r="CA167" t="str">
            <v/>
          </cell>
          <cell r="CB167">
            <v>0</v>
          </cell>
          <cell r="CC167">
            <v>0</v>
          </cell>
          <cell r="CD167">
            <v>1</v>
          </cell>
          <cell r="CE167">
            <v>1</v>
          </cell>
          <cell r="CF167" t="str">
            <v/>
          </cell>
          <cell r="CG167">
            <v>0</v>
          </cell>
          <cell r="CH167">
            <v>0</v>
          </cell>
          <cell r="CI167">
            <v>1</v>
          </cell>
          <cell r="CJ167">
            <v>0</v>
          </cell>
          <cell r="CK167">
            <v>0</v>
          </cell>
          <cell r="CL167">
            <v>2</v>
          </cell>
          <cell r="CM167">
            <v>0</v>
          </cell>
          <cell r="CN167">
            <v>-0.16666666666666666</v>
          </cell>
          <cell r="CO167">
            <v>0</v>
          </cell>
          <cell r="CP167">
            <v>0</v>
          </cell>
          <cell r="CQ167">
            <v>2.1666666666666665</v>
          </cell>
          <cell r="CR167">
            <v>0</v>
          </cell>
          <cell r="CS167">
            <v>-0.16666666666666666</v>
          </cell>
          <cell r="CT167">
            <v>0</v>
          </cell>
          <cell r="CU167">
            <v>0</v>
          </cell>
          <cell r="CV167">
            <v>1</v>
          </cell>
          <cell r="CW167">
            <v>0</v>
          </cell>
          <cell r="CX167">
            <v>-0.16666666666666666</v>
          </cell>
          <cell r="CY167">
            <v>0</v>
          </cell>
          <cell r="CZ167">
            <v>0</v>
          </cell>
          <cell r="DA167">
            <v>1.1666666666666667</v>
          </cell>
          <cell r="DB167">
            <v>0</v>
          </cell>
          <cell r="DC167">
            <v>-2.7777777777777776E-2</v>
          </cell>
          <cell r="DD167">
            <v>0</v>
          </cell>
          <cell r="DE167">
            <v>-12</v>
          </cell>
          <cell r="DF167">
            <v>1.0277777777777777</v>
          </cell>
          <cell r="DG167">
            <v>0</v>
          </cell>
          <cell r="DH167">
            <v>-8.3333333333333329E-2</v>
          </cell>
          <cell r="DI167">
            <v>0</v>
          </cell>
          <cell r="DJ167">
            <v>-10</v>
          </cell>
          <cell r="DK167">
            <v>1.0833333333333333</v>
          </cell>
          <cell r="DL167">
            <v>0</v>
          </cell>
          <cell r="DM167">
            <v>0.91666666666666652</v>
          </cell>
          <cell r="DN167">
            <v>0</v>
          </cell>
          <cell r="DO167">
            <v>-34</v>
          </cell>
          <cell r="DP167">
            <v>1</v>
          </cell>
          <cell r="DQ167">
            <v>0</v>
          </cell>
          <cell r="DR167">
            <v>-2.7777777777777776E-2</v>
          </cell>
          <cell r="DS167">
            <v>-2.7777777777777776E-2</v>
          </cell>
          <cell r="DT167">
            <v>-35</v>
          </cell>
          <cell r="DU167">
            <v>1.0277777777777777</v>
          </cell>
          <cell r="DV167">
            <v>0</v>
          </cell>
          <cell r="DW167">
            <v>-5.5555555555555552E-2</v>
          </cell>
          <cell r="DX167">
            <v>-5.5555555555555552E-2</v>
          </cell>
          <cell r="DY167">
            <v>-36</v>
          </cell>
          <cell r="DZ167">
            <v>1.0555555555555556</v>
          </cell>
          <cell r="EA167">
            <v>0</v>
          </cell>
          <cell r="EB167">
            <v>-8.3333333333333329E-2</v>
          </cell>
          <cell r="EC167">
            <v>-8.3333333333333329E-2</v>
          </cell>
          <cell r="ED167">
            <v>-37</v>
          </cell>
          <cell r="EE167">
            <v>1.0833333333333333</v>
          </cell>
          <cell r="EF167">
            <v>0</v>
          </cell>
          <cell r="EG167">
            <v>-0.1111111111111111</v>
          </cell>
          <cell r="EH167">
            <v>-0.1111111111111111</v>
          </cell>
          <cell r="EI167">
            <v>-38.000000000000007</v>
          </cell>
          <cell r="EJ167">
            <v>1.1111111111111112</v>
          </cell>
          <cell r="EK167">
            <v>0</v>
          </cell>
          <cell r="EL167">
            <v>-0.1388888888888889</v>
          </cell>
          <cell r="EM167">
            <v>-0.1388888888888889</v>
          </cell>
          <cell r="EN167">
            <v>-39</v>
          </cell>
          <cell r="EO167">
            <v>1.1388888888888888</v>
          </cell>
          <cell r="EP167">
            <v>0</v>
          </cell>
          <cell r="EQ167">
            <v>-0.16666666666666669</v>
          </cell>
          <cell r="ER167">
            <v>-0.16666666666666669</v>
          </cell>
          <cell r="ES167">
            <v>-40.000000000000007</v>
          </cell>
          <cell r="ET167">
            <v>1.1666666666666667</v>
          </cell>
          <cell r="EU167">
            <v>0</v>
          </cell>
          <cell r="EV167">
            <v>-0.19444444444444448</v>
          </cell>
          <cell r="EW167">
            <v>-0.19444444444444448</v>
          </cell>
          <cell r="EX167">
            <v>-41</v>
          </cell>
          <cell r="EY167">
            <v>1.1944444444444444</v>
          </cell>
          <cell r="EZ167">
            <v>0</v>
          </cell>
          <cell r="FA167">
            <v>-0.22222222222222227</v>
          </cell>
          <cell r="FB167">
            <v>-0.22222222222222227</v>
          </cell>
          <cell r="FC167">
            <v>-42.000000000000007</v>
          </cell>
          <cell r="FD167">
            <v>1.2222222222222223</v>
          </cell>
          <cell r="FE167">
            <v>0</v>
          </cell>
          <cell r="FF167">
            <v>-0.25000000000000006</v>
          </cell>
          <cell r="FG167">
            <v>-0.25000000000000006</v>
          </cell>
          <cell r="FH167">
            <v>-43</v>
          </cell>
          <cell r="FI167">
            <v>1.25</v>
          </cell>
          <cell r="FJ167">
            <v>0</v>
          </cell>
          <cell r="FK167">
            <v>-0.27777777777777785</v>
          </cell>
          <cell r="FL167">
            <v>-0.27777777777777785</v>
          </cell>
          <cell r="FM167">
            <v>-44.000000000000007</v>
          </cell>
          <cell r="FN167">
            <v>1.2777777777777779</v>
          </cell>
          <cell r="FO167">
            <v>0</v>
          </cell>
          <cell r="FP167">
            <v>-0.30555555555555564</v>
          </cell>
          <cell r="FQ167">
            <v>-0.30555555555555564</v>
          </cell>
          <cell r="FR167">
            <v>-45</v>
          </cell>
          <cell r="FS167">
            <v>1.3055555555555556</v>
          </cell>
          <cell r="FT167">
            <v>1</v>
          </cell>
          <cell r="FU167">
            <v>2.0333333333333332</v>
          </cell>
          <cell r="FV167" t="str">
            <v>DAR DE BAJA</v>
          </cell>
          <cell r="FW167" t="e">
            <v>#N/A</v>
          </cell>
          <cell r="FX167" t="str">
            <v>C</v>
          </cell>
          <cell r="FY167" t="str">
            <v>Si</v>
          </cell>
        </row>
        <row r="168">
          <cell r="B168" t="str">
            <v>REP-0174</v>
          </cell>
          <cell r="C168" t="str">
            <v>MIX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AA168">
            <v>0</v>
          </cell>
          <cell r="AB168">
            <v>2</v>
          </cell>
          <cell r="AC168">
            <v>0.16666666666666666</v>
          </cell>
          <cell r="AD168">
            <v>5.5555555555555549E-3</v>
          </cell>
          <cell r="AE168">
            <v>0.25</v>
          </cell>
          <cell r="AF168">
            <v>0.16666666666666666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M168">
            <v>0</v>
          </cell>
          <cell r="AO168">
            <v>0</v>
          </cell>
          <cell r="AP168">
            <v>0</v>
          </cell>
          <cell r="AQ168">
            <v>-1</v>
          </cell>
          <cell r="AR168">
            <v>0</v>
          </cell>
          <cell r="AS168">
            <v>-0.33333333333333331</v>
          </cell>
          <cell r="AT168">
            <v>0</v>
          </cell>
          <cell r="AU168" t="str">
            <v/>
          </cell>
          <cell r="AV168">
            <v>0</v>
          </cell>
          <cell r="AW168">
            <v>0</v>
          </cell>
          <cell r="AX168">
            <v>0</v>
          </cell>
          <cell r="AY168" t="str">
            <v/>
          </cell>
          <cell r="AZ168">
            <v>0</v>
          </cell>
          <cell r="BA168">
            <v>0</v>
          </cell>
          <cell r="BB168">
            <v>0</v>
          </cell>
          <cell r="BC168" t="str">
            <v/>
          </cell>
          <cell r="BD168">
            <v>0</v>
          </cell>
          <cell r="BE168">
            <v>0</v>
          </cell>
          <cell r="BF168" t="str">
            <v/>
          </cell>
          <cell r="BG168">
            <v>0</v>
          </cell>
          <cell r="BH168">
            <v>0</v>
          </cell>
          <cell r="BI168">
            <v>0</v>
          </cell>
          <cell r="BJ168" t="str">
            <v/>
          </cell>
          <cell r="BK168">
            <v>0</v>
          </cell>
          <cell r="BL168">
            <v>0</v>
          </cell>
          <cell r="BM168">
            <v>0</v>
          </cell>
          <cell r="BN168" t="str">
            <v/>
          </cell>
          <cell r="BO168">
            <v>0</v>
          </cell>
          <cell r="BP168">
            <v>0</v>
          </cell>
          <cell r="BQ168">
            <v>0</v>
          </cell>
          <cell r="BR168" t="str">
            <v/>
          </cell>
          <cell r="BS168">
            <v>0</v>
          </cell>
          <cell r="BT168">
            <v>0</v>
          </cell>
          <cell r="BU168">
            <v>0</v>
          </cell>
          <cell r="BV168" t="str">
            <v/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 t="str">
            <v/>
          </cell>
          <cell r="CB168">
            <v>0</v>
          </cell>
          <cell r="CD168">
            <v>0</v>
          </cell>
          <cell r="CE168">
            <v>0</v>
          </cell>
          <cell r="CF168" t="str">
            <v/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 t="str">
            <v/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 t="str">
            <v/>
          </cell>
          <cell r="CQ168">
            <v>0</v>
          </cell>
          <cell r="CS168">
            <v>0</v>
          </cell>
          <cell r="CT168">
            <v>0</v>
          </cell>
          <cell r="CU168" t="str">
            <v/>
          </cell>
          <cell r="CV168">
            <v>0</v>
          </cell>
          <cell r="CX168">
            <v>0</v>
          </cell>
          <cell r="CY168">
            <v>0</v>
          </cell>
          <cell r="CZ168" t="str">
            <v/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 t="str">
            <v/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 t="str">
            <v/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 t="str">
            <v/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 t="str">
            <v/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 t="str">
            <v/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 t="str">
            <v/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 t="str">
            <v/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 t="str">
            <v/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 t="str">
            <v/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 t="str">
            <v/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 t="str">
            <v/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 t="str">
            <v/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 t="str">
            <v/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 t="str">
            <v/>
          </cell>
          <cell r="FS168">
            <v>0</v>
          </cell>
          <cell r="FT168">
            <v>0</v>
          </cell>
          <cell r="FU168">
            <v>66.666666666666671</v>
          </cell>
          <cell r="FW168" t="str">
            <v>SIN ROTACIÓN</v>
          </cell>
          <cell r="FX168" t="str">
            <v/>
          </cell>
          <cell r="FY168" t="str">
            <v>No</v>
          </cell>
        </row>
        <row r="169">
          <cell r="B169" t="str">
            <v>REP-0175</v>
          </cell>
          <cell r="C169" t="str">
            <v>MIX</v>
          </cell>
          <cell r="D169">
            <v>0</v>
          </cell>
          <cell r="E169">
            <v>4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4</v>
          </cell>
          <cell r="AA169">
            <v>4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4</v>
          </cell>
          <cell r="AQ169" t="str">
            <v/>
          </cell>
          <cell r="AR169">
            <v>0</v>
          </cell>
          <cell r="AS169">
            <v>4</v>
          </cell>
          <cell r="AT169">
            <v>4</v>
          </cell>
          <cell r="AU169" t="str">
            <v/>
          </cell>
          <cell r="AV169">
            <v>0</v>
          </cell>
          <cell r="AW169">
            <v>4</v>
          </cell>
          <cell r="AX169">
            <v>4</v>
          </cell>
          <cell r="AY169" t="str">
            <v/>
          </cell>
          <cell r="AZ169">
            <v>0</v>
          </cell>
          <cell r="BA169">
            <v>4</v>
          </cell>
          <cell r="BB169">
            <v>4</v>
          </cell>
          <cell r="BC169">
            <v>24</v>
          </cell>
          <cell r="BD169">
            <v>0</v>
          </cell>
          <cell r="BE169">
            <v>3.8333333333333335</v>
          </cell>
          <cell r="BF169">
            <v>23.000000000000004</v>
          </cell>
          <cell r="BG169">
            <v>0</v>
          </cell>
          <cell r="BH169">
            <v>3.666666666666667</v>
          </cell>
          <cell r="BI169">
            <v>4</v>
          </cell>
          <cell r="BJ169" t="str">
            <v/>
          </cell>
          <cell r="BK169">
            <v>0</v>
          </cell>
          <cell r="BL169">
            <v>4</v>
          </cell>
          <cell r="BM169">
            <v>4</v>
          </cell>
          <cell r="BN169" t="str">
            <v/>
          </cell>
          <cell r="BO169">
            <v>0</v>
          </cell>
          <cell r="BP169">
            <v>4</v>
          </cell>
          <cell r="BQ169">
            <v>4</v>
          </cell>
          <cell r="BR169" t="str">
            <v/>
          </cell>
          <cell r="BS169">
            <v>0</v>
          </cell>
          <cell r="BT169">
            <v>4</v>
          </cell>
          <cell r="BU169">
            <v>4</v>
          </cell>
          <cell r="BV169" t="str">
            <v/>
          </cell>
          <cell r="BW169">
            <v>0</v>
          </cell>
          <cell r="BX169">
            <v>0</v>
          </cell>
          <cell r="BY169">
            <v>4</v>
          </cell>
          <cell r="BZ169">
            <v>4</v>
          </cell>
          <cell r="CA169" t="str">
            <v/>
          </cell>
          <cell r="CB169">
            <v>0</v>
          </cell>
          <cell r="CC169">
            <v>0</v>
          </cell>
          <cell r="CD169">
            <v>4</v>
          </cell>
          <cell r="CE169">
            <v>4</v>
          </cell>
          <cell r="CF169" t="str">
            <v/>
          </cell>
          <cell r="CG169">
            <v>0</v>
          </cell>
          <cell r="CH169">
            <v>0</v>
          </cell>
          <cell r="CI169">
            <v>4</v>
          </cell>
          <cell r="CJ169">
            <v>4</v>
          </cell>
          <cell r="CK169" t="str">
            <v/>
          </cell>
          <cell r="CL169">
            <v>0</v>
          </cell>
          <cell r="CM169">
            <v>0</v>
          </cell>
          <cell r="CN169">
            <v>4</v>
          </cell>
          <cell r="CO169">
            <v>4</v>
          </cell>
          <cell r="CP169" t="str">
            <v/>
          </cell>
          <cell r="CQ169">
            <v>0</v>
          </cell>
          <cell r="CR169">
            <v>0</v>
          </cell>
          <cell r="CS169">
            <v>4</v>
          </cell>
          <cell r="CT169">
            <v>4</v>
          </cell>
          <cell r="CU169" t="str">
            <v/>
          </cell>
          <cell r="CV169">
            <v>0</v>
          </cell>
          <cell r="CW169">
            <v>0</v>
          </cell>
          <cell r="CX169">
            <v>4</v>
          </cell>
          <cell r="CY169">
            <v>4</v>
          </cell>
          <cell r="CZ169" t="str">
            <v/>
          </cell>
          <cell r="DA169">
            <v>0</v>
          </cell>
          <cell r="DB169">
            <v>0</v>
          </cell>
          <cell r="DC169">
            <v>4</v>
          </cell>
          <cell r="DD169">
            <v>4</v>
          </cell>
          <cell r="DE169" t="str">
            <v/>
          </cell>
          <cell r="DF169">
            <v>0</v>
          </cell>
          <cell r="DG169">
            <v>0</v>
          </cell>
          <cell r="DH169">
            <v>4</v>
          </cell>
          <cell r="DI169">
            <v>4</v>
          </cell>
          <cell r="DJ169" t="str">
            <v/>
          </cell>
          <cell r="DK169">
            <v>0</v>
          </cell>
          <cell r="DL169">
            <v>0</v>
          </cell>
          <cell r="DM169">
            <v>4</v>
          </cell>
          <cell r="DN169">
            <v>4</v>
          </cell>
          <cell r="DO169" t="str">
            <v/>
          </cell>
          <cell r="DP169">
            <v>0</v>
          </cell>
          <cell r="DQ169">
            <v>0</v>
          </cell>
          <cell r="DR169">
            <v>4</v>
          </cell>
          <cell r="DS169">
            <v>4</v>
          </cell>
          <cell r="DT169" t="str">
            <v/>
          </cell>
          <cell r="DU169">
            <v>0</v>
          </cell>
          <cell r="DV169">
            <v>0</v>
          </cell>
          <cell r="DW169">
            <v>4</v>
          </cell>
          <cell r="DX169">
            <v>4</v>
          </cell>
          <cell r="DY169" t="str">
            <v/>
          </cell>
          <cell r="DZ169">
            <v>0</v>
          </cell>
          <cell r="EA169">
            <v>0</v>
          </cell>
          <cell r="EB169">
            <v>4</v>
          </cell>
          <cell r="EC169">
            <v>4</v>
          </cell>
          <cell r="ED169" t="str">
            <v/>
          </cell>
          <cell r="EE169">
            <v>0</v>
          </cell>
          <cell r="EF169">
            <v>0</v>
          </cell>
          <cell r="EG169">
            <v>4</v>
          </cell>
          <cell r="EH169">
            <v>4</v>
          </cell>
          <cell r="EI169" t="str">
            <v/>
          </cell>
          <cell r="EJ169">
            <v>0</v>
          </cell>
          <cell r="EK169">
            <v>0</v>
          </cell>
          <cell r="EL169">
            <v>4</v>
          </cell>
          <cell r="EM169">
            <v>4</v>
          </cell>
          <cell r="EN169" t="str">
            <v/>
          </cell>
          <cell r="EO169">
            <v>0</v>
          </cell>
          <cell r="EP169">
            <v>0</v>
          </cell>
          <cell r="EQ169">
            <v>4</v>
          </cell>
          <cell r="ER169">
            <v>4</v>
          </cell>
          <cell r="ES169" t="str">
            <v/>
          </cell>
          <cell r="ET169">
            <v>0</v>
          </cell>
          <cell r="EU169">
            <v>0</v>
          </cell>
          <cell r="EV169">
            <v>4</v>
          </cell>
          <cell r="EW169">
            <v>4</v>
          </cell>
          <cell r="EX169" t="str">
            <v/>
          </cell>
          <cell r="EY169">
            <v>0</v>
          </cell>
          <cell r="EZ169">
            <v>0</v>
          </cell>
          <cell r="FA169">
            <v>4</v>
          </cell>
          <cell r="FB169">
            <v>4</v>
          </cell>
          <cell r="FC169" t="str">
            <v/>
          </cell>
          <cell r="FD169">
            <v>0</v>
          </cell>
          <cell r="FE169">
            <v>0</v>
          </cell>
          <cell r="FF169">
            <v>4</v>
          </cell>
          <cell r="FG169">
            <v>4</v>
          </cell>
          <cell r="FH169" t="str">
            <v/>
          </cell>
          <cell r="FI169">
            <v>0</v>
          </cell>
          <cell r="FJ169">
            <v>0</v>
          </cell>
          <cell r="FK169">
            <v>4</v>
          </cell>
          <cell r="FL169">
            <v>4</v>
          </cell>
          <cell r="FM169" t="str">
            <v/>
          </cell>
          <cell r="FN169">
            <v>0</v>
          </cell>
          <cell r="FO169">
            <v>0</v>
          </cell>
          <cell r="FP169">
            <v>4</v>
          </cell>
          <cell r="FQ169">
            <v>4</v>
          </cell>
          <cell r="FR169" t="str">
            <v/>
          </cell>
          <cell r="FS169">
            <v>0</v>
          </cell>
          <cell r="FT169">
            <v>0</v>
          </cell>
          <cell r="FU169">
            <v>2.0333333333333332</v>
          </cell>
          <cell r="FV169" t="str">
            <v>SI</v>
          </cell>
          <cell r="FW169" t="str">
            <v>SIN ROTACIÓN</v>
          </cell>
          <cell r="FX169" t="str">
            <v>STOCK MUERTO</v>
          </cell>
          <cell r="FY169" t="str">
            <v>Si</v>
          </cell>
        </row>
        <row r="170">
          <cell r="B170" t="str">
            <v>REP-0176</v>
          </cell>
          <cell r="C170" t="str">
            <v>MIX</v>
          </cell>
          <cell r="D170">
            <v>0</v>
          </cell>
          <cell r="E170">
            <v>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3</v>
          </cell>
          <cell r="AA170">
            <v>3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3</v>
          </cell>
          <cell r="AQ170" t="str">
            <v/>
          </cell>
          <cell r="AR170">
            <v>0</v>
          </cell>
          <cell r="AS170">
            <v>3</v>
          </cell>
          <cell r="AT170">
            <v>3</v>
          </cell>
          <cell r="AU170" t="str">
            <v/>
          </cell>
          <cell r="AV170">
            <v>0</v>
          </cell>
          <cell r="AW170">
            <v>3</v>
          </cell>
          <cell r="AX170">
            <v>3</v>
          </cell>
          <cell r="AY170" t="str">
            <v/>
          </cell>
          <cell r="AZ170">
            <v>0</v>
          </cell>
          <cell r="BA170">
            <v>3</v>
          </cell>
          <cell r="BB170">
            <v>3</v>
          </cell>
          <cell r="BC170" t="str">
            <v/>
          </cell>
          <cell r="BD170">
            <v>0</v>
          </cell>
          <cell r="BE170">
            <v>3</v>
          </cell>
          <cell r="BF170" t="str">
            <v/>
          </cell>
          <cell r="BG170">
            <v>0</v>
          </cell>
          <cell r="BH170">
            <v>3</v>
          </cell>
          <cell r="BI170">
            <v>3</v>
          </cell>
          <cell r="BJ170" t="str">
            <v/>
          </cell>
          <cell r="BK170">
            <v>0</v>
          </cell>
          <cell r="BL170">
            <v>3</v>
          </cell>
          <cell r="BM170">
            <v>3</v>
          </cell>
          <cell r="BN170" t="str">
            <v/>
          </cell>
          <cell r="BO170">
            <v>0</v>
          </cell>
          <cell r="BP170">
            <v>3</v>
          </cell>
          <cell r="BQ170">
            <v>3</v>
          </cell>
          <cell r="BR170" t="str">
            <v/>
          </cell>
          <cell r="BS170">
            <v>0</v>
          </cell>
          <cell r="BT170">
            <v>3</v>
          </cell>
          <cell r="BU170">
            <v>3</v>
          </cell>
          <cell r="BV170" t="str">
            <v/>
          </cell>
          <cell r="BW170">
            <v>0</v>
          </cell>
          <cell r="BX170">
            <v>0</v>
          </cell>
          <cell r="BY170">
            <v>3</v>
          </cell>
          <cell r="BZ170">
            <v>3</v>
          </cell>
          <cell r="CA170" t="str">
            <v/>
          </cell>
          <cell r="CB170">
            <v>0</v>
          </cell>
          <cell r="CC170">
            <v>0</v>
          </cell>
          <cell r="CD170">
            <v>3</v>
          </cell>
          <cell r="CE170">
            <v>3</v>
          </cell>
          <cell r="CF170" t="str">
            <v/>
          </cell>
          <cell r="CG170">
            <v>0</v>
          </cell>
          <cell r="CH170">
            <v>0</v>
          </cell>
          <cell r="CI170">
            <v>3</v>
          </cell>
          <cell r="CJ170">
            <v>3</v>
          </cell>
          <cell r="CK170" t="str">
            <v/>
          </cell>
          <cell r="CL170">
            <v>0</v>
          </cell>
          <cell r="CM170">
            <v>0</v>
          </cell>
          <cell r="CN170">
            <v>3</v>
          </cell>
          <cell r="CO170">
            <v>3</v>
          </cell>
          <cell r="CP170" t="str">
            <v/>
          </cell>
          <cell r="CQ170">
            <v>0</v>
          </cell>
          <cell r="CR170">
            <v>0</v>
          </cell>
          <cell r="CS170">
            <v>3</v>
          </cell>
          <cell r="CT170">
            <v>3</v>
          </cell>
          <cell r="CU170" t="str">
            <v/>
          </cell>
          <cell r="CV170">
            <v>0</v>
          </cell>
          <cell r="CW170">
            <v>0</v>
          </cell>
          <cell r="CX170">
            <v>3</v>
          </cell>
          <cell r="CY170">
            <v>3</v>
          </cell>
          <cell r="CZ170" t="str">
            <v/>
          </cell>
          <cell r="DA170">
            <v>0</v>
          </cell>
          <cell r="DB170">
            <v>0</v>
          </cell>
          <cell r="DC170">
            <v>3</v>
          </cell>
          <cell r="DD170">
            <v>3</v>
          </cell>
          <cell r="DE170" t="str">
            <v/>
          </cell>
          <cell r="DF170">
            <v>0</v>
          </cell>
          <cell r="DG170">
            <v>0</v>
          </cell>
          <cell r="DH170">
            <v>3</v>
          </cell>
          <cell r="DI170">
            <v>3</v>
          </cell>
          <cell r="DJ170" t="str">
            <v/>
          </cell>
          <cell r="DK170">
            <v>0</v>
          </cell>
          <cell r="DL170">
            <v>0</v>
          </cell>
          <cell r="DM170">
            <v>3</v>
          </cell>
          <cell r="DN170">
            <v>3</v>
          </cell>
          <cell r="DO170" t="str">
            <v/>
          </cell>
          <cell r="DP170">
            <v>0</v>
          </cell>
          <cell r="DQ170">
            <v>0</v>
          </cell>
          <cell r="DR170">
            <v>3</v>
          </cell>
          <cell r="DS170">
            <v>3</v>
          </cell>
          <cell r="DT170" t="str">
            <v/>
          </cell>
          <cell r="DU170">
            <v>0</v>
          </cell>
          <cell r="DV170">
            <v>0</v>
          </cell>
          <cell r="DW170">
            <v>3</v>
          </cell>
          <cell r="DX170">
            <v>3</v>
          </cell>
          <cell r="DY170" t="str">
            <v/>
          </cell>
          <cell r="DZ170">
            <v>0</v>
          </cell>
          <cell r="EA170">
            <v>0</v>
          </cell>
          <cell r="EB170">
            <v>3</v>
          </cell>
          <cell r="EC170">
            <v>3</v>
          </cell>
          <cell r="ED170" t="str">
            <v/>
          </cell>
          <cell r="EE170">
            <v>0</v>
          </cell>
          <cell r="EF170">
            <v>0</v>
          </cell>
          <cell r="EG170">
            <v>3</v>
          </cell>
          <cell r="EH170">
            <v>3</v>
          </cell>
          <cell r="EI170" t="str">
            <v/>
          </cell>
          <cell r="EJ170">
            <v>0</v>
          </cell>
          <cell r="EK170">
            <v>0</v>
          </cell>
          <cell r="EL170">
            <v>3</v>
          </cell>
          <cell r="EM170">
            <v>3</v>
          </cell>
          <cell r="EN170" t="str">
            <v/>
          </cell>
          <cell r="EO170">
            <v>0</v>
          </cell>
          <cell r="EP170">
            <v>0</v>
          </cell>
          <cell r="EQ170">
            <v>3</v>
          </cell>
          <cell r="ER170">
            <v>3</v>
          </cell>
          <cell r="ES170" t="str">
            <v/>
          </cell>
          <cell r="ET170">
            <v>0</v>
          </cell>
          <cell r="EU170">
            <v>0</v>
          </cell>
          <cell r="EV170">
            <v>3</v>
          </cell>
          <cell r="EW170">
            <v>3</v>
          </cell>
          <cell r="EX170" t="str">
            <v/>
          </cell>
          <cell r="EY170">
            <v>0</v>
          </cell>
          <cell r="EZ170">
            <v>0</v>
          </cell>
          <cell r="FA170">
            <v>3</v>
          </cell>
          <cell r="FB170">
            <v>3</v>
          </cell>
          <cell r="FC170" t="str">
            <v/>
          </cell>
          <cell r="FD170">
            <v>0</v>
          </cell>
          <cell r="FE170">
            <v>0</v>
          </cell>
          <cell r="FF170">
            <v>3</v>
          </cell>
          <cell r="FG170">
            <v>3</v>
          </cell>
          <cell r="FH170" t="str">
            <v/>
          </cell>
          <cell r="FI170">
            <v>0</v>
          </cell>
          <cell r="FJ170">
            <v>0</v>
          </cell>
          <cell r="FK170">
            <v>3</v>
          </cell>
          <cell r="FL170">
            <v>3</v>
          </cell>
          <cell r="FM170" t="str">
            <v/>
          </cell>
          <cell r="FN170">
            <v>0</v>
          </cell>
          <cell r="FO170">
            <v>0</v>
          </cell>
          <cell r="FP170">
            <v>3</v>
          </cell>
          <cell r="FQ170">
            <v>3</v>
          </cell>
          <cell r="FR170" t="str">
            <v/>
          </cell>
          <cell r="FS170">
            <v>0</v>
          </cell>
          <cell r="FT170">
            <v>0</v>
          </cell>
          <cell r="FU170">
            <v>2.0333333333333332</v>
          </cell>
          <cell r="FV170" t="str">
            <v>SI</v>
          </cell>
          <cell r="FW170" t="str">
            <v>SIN ROTACIÓN</v>
          </cell>
          <cell r="FX170" t="str">
            <v>STOCK MUERTO</v>
          </cell>
          <cell r="FY170" t="str">
            <v>Si</v>
          </cell>
        </row>
        <row r="171">
          <cell r="B171" t="str">
            <v>REP-0177</v>
          </cell>
          <cell r="C171" t="str">
            <v>MIX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O171">
            <v>0</v>
          </cell>
          <cell r="AP171">
            <v>0</v>
          </cell>
          <cell r="AQ171" t="str">
            <v/>
          </cell>
          <cell r="AR171">
            <v>0</v>
          </cell>
          <cell r="AS171">
            <v>0</v>
          </cell>
          <cell r="AT171">
            <v>0</v>
          </cell>
          <cell r="AU171" t="str">
            <v/>
          </cell>
          <cell r="AV171">
            <v>0</v>
          </cell>
          <cell r="AW171">
            <v>0</v>
          </cell>
          <cell r="AX171">
            <v>0</v>
          </cell>
          <cell r="AY171" t="str">
            <v/>
          </cell>
          <cell r="AZ171">
            <v>0</v>
          </cell>
          <cell r="BA171">
            <v>0</v>
          </cell>
          <cell r="BB171">
            <v>0</v>
          </cell>
          <cell r="BC171" t="str">
            <v/>
          </cell>
          <cell r="BD171">
            <v>0</v>
          </cell>
          <cell r="BE171">
            <v>0</v>
          </cell>
          <cell r="BF171" t="str">
            <v/>
          </cell>
          <cell r="BG171">
            <v>0</v>
          </cell>
          <cell r="BH171">
            <v>0</v>
          </cell>
          <cell r="BI171">
            <v>0</v>
          </cell>
          <cell r="BJ171" t="str">
            <v/>
          </cell>
          <cell r="BK171">
            <v>0</v>
          </cell>
          <cell r="BL171">
            <v>0</v>
          </cell>
          <cell r="BM171">
            <v>0</v>
          </cell>
          <cell r="BN171" t="str">
            <v/>
          </cell>
          <cell r="BO171">
            <v>0</v>
          </cell>
          <cell r="BP171">
            <v>0</v>
          </cell>
          <cell r="BQ171">
            <v>0</v>
          </cell>
          <cell r="BR171" t="str">
            <v/>
          </cell>
          <cell r="BS171">
            <v>0</v>
          </cell>
          <cell r="BT171">
            <v>0</v>
          </cell>
          <cell r="BU171">
            <v>0</v>
          </cell>
          <cell r="BV171" t="str">
            <v/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 t="str">
            <v/>
          </cell>
          <cell r="CB171">
            <v>0</v>
          </cell>
          <cell r="CD171">
            <v>0</v>
          </cell>
          <cell r="CE171">
            <v>0</v>
          </cell>
          <cell r="CF171" t="str">
            <v/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 t="str">
            <v/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 t="str">
            <v/>
          </cell>
          <cell r="CQ171">
            <v>0</v>
          </cell>
          <cell r="CS171">
            <v>0</v>
          </cell>
          <cell r="CT171">
            <v>0</v>
          </cell>
          <cell r="CU171" t="str">
            <v/>
          </cell>
          <cell r="CV171">
            <v>0</v>
          </cell>
          <cell r="CX171">
            <v>0</v>
          </cell>
          <cell r="CY171">
            <v>0</v>
          </cell>
          <cell r="CZ171" t="str">
            <v/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 t="str">
            <v/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 t="str">
            <v/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 t="str">
            <v/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 t="str">
            <v/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 t="str">
            <v/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 t="str">
            <v/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 t="str">
            <v/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 t="str">
            <v/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 t="str">
            <v/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 t="str">
            <v/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 t="str">
            <v/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 t="str">
            <v/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 t="str">
            <v/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 t="str">
            <v/>
          </cell>
          <cell r="FS171">
            <v>0</v>
          </cell>
          <cell r="FT171">
            <v>0</v>
          </cell>
          <cell r="FU171">
            <v>66.666666666666671</v>
          </cell>
          <cell r="FW171" t="str">
            <v>SIN ROTACIÓN</v>
          </cell>
          <cell r="FX171" t="str">
            <v/>
          </cell>
          <cell r="FY171" t="str">
            <v>No</v>
          </cell>
        </row>
        <row r="172">
          <cell r="B172" t="str">
            <v>REP-0178</v>
          </cell>
          <cell r="C172" t="str">
            <v>MIX</v>
          </cell>
          <cell r="D172">
            <v>0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1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2</v>
          </cell>
          <cell r="AA172">
            <v>2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0.66666666666666663</v>
          </cell>
          <cell r="AJ172">
            <v>0.66666666666666663</v>
          </cell>
          <cell r="AK172">
            <v>0.66666666666666663</v>
          </cell>
          <cell r="AL172">
            <v>0.36514837167011072</v>
          </cell>
          <cell r="AM172">
            <v>0.33333333333333331</v>
          </cell>
          <cell r="AN172">
            <v>1.0954451150103321</v>
          </cell>
          <cell r="AO172">
            <v>0</v>
          </cell>
          <cell r="AP172">
            <v>8</v>
          </cell>
          <cell r="AQ172" t="str">
            <v/>
          </cell>
          <cell r="AR172">
            <v>0</v>
          </cell>
          <cell r="AS172">
            <v>8</v>
          </cell>
          <cell r="AT172">
            <v>8</v>
          </cell>
          <cell r="AU172" t="str">
            <v/>
          </cell>
          <cell r="AV172">
            <v>0</v>
          </cell>
          <cell r="AW172">
            <v>8</v>
          </cell>
          <cell r="AX172">
            <v>8</v>
          </cell>
          <cell r="AY172">
            <v>12</v>
          </cell>
          <cell r="AZ172">
            <v>0</v>
          </cell>
          <cell r="BA172">
            <v>8</v>
          </cell>
          <cell r="BB172">
            <v>8</v>
          </cell>
          <cell r="BC172" t="str">
            <v/>
          </cell>
          <cell r="BD172">
            <v>0</v>
          </cell>
          <cell r="BE172">
            <v>8</v>
          </cell>
          <cell r="BF172" t="str">
            <v/>
          </cell>
          <cell r="BG172">
            <v>0</v>
          </cell>
          <cell r="BH172">
            <v>8</v>
          </cell>
          <cell r="BI172">
            <v>2</v>
          </cell>
          <cell r="BJ172">
            <v>3</v>
          </cell>
          <cell r="BK172">
            <v>0</v>
          </cell>
          <cell r="BL172">
            <v>8</v>
          </cell>
          <cell r="BM172">
            <v>8</v>
          </cell>
          <cell r="BN172" t="str">
            <v/>
          </cell>
          <cell r="BO172">
            <v>0</v>
          </cell>
          <cell r="BP172">
            <v>8</v>
          </cell>
          <cell r="BQ172">
            <v>6</v>
          </cell>
          <cell r="BR172">
            <v>9</v>
          </cell>
          <cell r="BS172">
            <v>0</v>
          </cell>
          <cell r="BT172">
            <v>6</v>
          </cell>
          <cell r="BU172">
            <v>6</v>
          </cell>
          <cell r="BV172" t="str">
            <v/>
          </cell>
          <cell r="BW172">
            <v>0</v>
          </cell>
          <cell r="BX172">
            <v>0</v>
          </cell>
          <cell r="BY172">
            <v>6</v>
          </cell>
          <cell r="BZ172">
            <v>6</v>
          </cell>
          <cell r="CA172" t="str">
            <v/>
          </cell>
          <cell r="CB172">
            <v>0</v>
          </cell>
          <cell r="CC172">
            <v>0</v>
          </cell>
          <cell r="CD172">
            <v>6</v>
          </cell>
          <cell r="CE172">
            <v>6</v>
          </cell>
          <cell r="CF172" t="str">
            <v/>
          </cell>
          <cell r="CG172">
            <v>0</v>
          </cell>
          <cell r="CH172">
            <v>0</v>
          </cell>
          <cell r="CI172">
            <v>6</v>
          </cell>
          <cell r="CJ172">
            <v>6</v>
          </cell>
          <cell r="CK172" t="str">
            <v/>
          </cell>
          <cell r="CL172">
            <v>0</v>
          </cell>
          <cell r="CM172">
            <v>0</v>
          </cell>
          <cell r="CN172">
            <v>6</v>
          </cell>
          <cell r="CO172">
            <v>6</v>
          </cell>
          <cell r="CP172" t="str">
            <v/>
          </cell>
          <cell r="CQ172">
            <v>0</v>
          </cell>
          <cell r="CR172">
            <v>0</v>
          </cell>
          <cell r="CS172">
            <v>6</v>
          </cell>
          <cell r="CT172">
            <v>6</v>
          </cell>
          <cell r="CU172" t="str">
            <v/>
          </cell>
          <cell r="CV172">
            <v>0</v>
          </cell>
          <cell r="CW172">
            <v>0</v>
          </cell>
          <cell r="CX172">
            <v>6</v>
          </cell>
          <cell r="CY172">
            <v>6</v>
          </cell>
          <cell r="CZ172" t="str">
            <v/>
          </cell>
          <cell r="DA172">
            <v>0</v>
          </cell>
          <cell r="DB172">
            <v>0</v>
          </cell>
          <cell r="DC172">
            <v>6</v>
          </cell>
          <cell r="DD172">
            <v>2</v>
          </cell>
          <cell r="DE172">
            <v>0</v>
          </cell>
          <cell r="DF172">
            <v>0</v>
          </cell>
          <cell r="DG172">
            <v>0</v>
          </cell>
          <cell r="DH172">
            <v>1</v>
          </cell>
          <cell r="DI172">
            <v>2</v>
          </cell>
          <cell r="DJ172">
            <v>2</v>
          </cell>
          <cell r="DK172">
            <v>0</v>
          </cell>
          <cell r="DL172">
            <v>0</v>
          </cell>
          <cell r="DM172">
            <v>0.19999999999999996</v>
          </cell>
          <cell r="DN172">
            <v>2</v>
          </cell>
          <cell r="DO172">
            <v>2</v>
          </cell>
          <cell r="DP172">
            <v>0</v>
          </cell>
          <cell r="DQ172">
            <v>0</v>
          </cell>
          <cell r="DR172">
            <v>1.3333333333333335</v>
          </cell>
          <cell r="DS172">
            <v>1.3333333333333335</v>
          </cell>
          <cell r="DT172">
            <v>1.0000000000000002</v>
          </cell>
          <cell r="DU172">
            <v>0.66666666666666652</v>
          </cell>
          <cell r="DV172">
            <v>6</v>
          </cell>
          <cell r="DW172">
            <v>6.666666666666667</v>
          </cell>
          <cell r="DX172">
            <v>6.666666666666667</v>
          </cell>
          <cell r="DY172">
            <v>9</v>
          </cell>
          <cell r="DZ172">
            <v>0</v>
          </cell>
          <cell r="EA172">
            <v>0</v>
          </cell>
          <cell r="EB172">
            <v>6</v>
          </cell>
          <cell r="EC172">
            <v>6</v>
          </cell>
          <cell r="ED172">
            <v>8</v>
          </cell>
          <cell r="EE172">
            <v>0</v>
          </cell>
          <cell r="EF172">
            <v>0</v>
          </cell>
          <cell r="EG172">
            <v>5.333333333333333</v>
          </cell>
          <cell r="EH172">
            <v>5.333333333333333</v>
          </cell>
          <cell r="EI172">
            <v>7</v>
          </cell>
          <cell r="EJ172">
            <v>0</v>
          </cell>
          <cell r="EK172">
            <v>0</v>
          </cell>
          <cell r="EL172">
            <v>4.6666666666666661</v>
          </cell>
          <cell r="EM172">
            <v>4.6666666666666661</v>
          </cell>
          <cell r="EN172">
            <v>5.9999999999999991</v>
          </cell>
          <cell r="EO172">
            <v>0</v>
          </cell>
          <cell r="EP172">
            <v>0</v>
          </cell>
          <cell r="EQ172">
            <v>3.9999999999999996</v>
          </cell>
          <cell r="ER172">
            <v>3.9999999999999996</v>
          </cell>
          <cell r="ES172">
            <v>5</v>
          </cell>
          <cell r="ET172">
            <v>0</v>
          </cell>
          <cell r="EU172">
            <v>0</v>
          </cell>
          <cell r="EV172">
            <v>3.333333333333333</v>
          </cell>
          <cell r="EW172">
            <v>3.333333333333333</v>
          </cell>
          <cell r="EX172">
            <v>3.9999999999999996</v>
          </cell>
          <cell r="EY172">
            <v>0</v>
          </cell>
          <cell r="EZ172">
            <v>0</v>
          </cell>
          <cell r="FA172">
            <v>2.6666666666666665</v>
          </cell>
          <cell r="FB172">
            <v>2.6666666666666665</v>
          </cell>
          <cell r="FC172">
            <v>3</v>
          </cell>
          <cell r="FD172">
            <v>0</v>
          </cell>
          <cell r="FE172">
            <v>6</v>
          </cell>
          <cell r="FF172">
            <v>7.9999999999999991</v>
          </cell>
          <cell r="FG172">
            <v>7.9999999999999991</v>
          </cell>
          <cell r="FH172">
            <v>11</v>
          </cell>
          <cell r="FI172">
            <v>0</v>
          </cell>
          <cell r="FJ172">
            <v>0</v>
          </cell>
          <cell r="FK172">
            <v>7.3333333333333321</v>
          </cell>
          <cell r="FL172">
            <v>7.3333333333333321</v>
          </cell>
          <cell r="FM172">
            <v>9.9999999999999982</v>
          </cell>
          <cell r="FN172">
            <v>0</v>
          </cell>
          <cell r="FO172">
            <v>0</v>
          </cell>
          <cell r="FP172">
            <v>6.6666666666666652</v>
          </cell>
          <cell r="FQ172">
            <v>6.6666666666666652</v>
          </cell>
          <cell r="FR172">
            <v>8.9999999999999982</v>
          </cell>
          <cell r="FS172">
            <v>0</v>
          </cell>
          <cell r="FT172">
            <v>2</v>
          </cell>
          <cell r="FU172">
            <v>2.0333333333333332</v>
          </cell>
          <cell r="FV172" t="str">
            <v>SI</v>
          </cell>
          <cell r="FW172" t="str">
            <v>STOCK OK</v>
          </cell>
          <cell r="FX172" t="str">
            <v>C</v>
          </cell>
          <cell r="FY172" t="str">
            <v>Si</v>
          </cell>
        </row>
        <row r="173">
          <cell r="B173" t="str">
            <v>REP-0179</v>
          </cell>
          <cell r="C173" t="str">
            <v>MIX</v>
          </cell>
          <cell r="D173">
            <v>0</v>
          </cell>
          <cell r="E173">
            <v>7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7</v>
          </cell>
          <cell r="AA173">
            <v>7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0.16666666666666666</v>
          </cell>
          <cell r="AJ173">
            <v>0.16666666666666666</v>
          </cell>
          <cell r="AK173">
            <v>0.16666666666666666</v>
          </cell>
          <cell r="AL173">
            <v>9.6225044864937631E-2</v>
          </cell>
          <cell r="AM173">
            <v>8.3333333333333329E-2</v>
          </cell>
          <cell r="AN173">
            <v>1.1547005383792517</v>
          </cell>
          <cell r="AO173">
            <v>0</v>
          </cell>
          <cell r="AP173">
            <v>8</v>
          </cell>
          <cell r="AQ173" t="str">
            <v/>
          </cell>
          <cell r="AR173">
            <v>0</v>
          </cell>
          <cell r="AS173">
            <v>8</v>
          </cell>
          <cell r="AT173">
            <v>8</v>
          </cell>
          <cell r="AU173" t="str">
            <v/>
          </cell>
          <cell r="AV173">
            <v>0</v>
          </cell>
          <cell r="AW173">
            <v>8</v>
          </cell>
          <cell r="AX173">
            <v>8</v>
          </cell>
          <cell r="AY173">
            <v>48</v>
          </cell>
          <cell r="AZ173">
            <v>0</v>
          </cell>
          <cell r="BA173">
            <v>8</v>
          </cell>
          <cell r="BB173">
            <v>8</v>
          </cell>
          <cell r="BC173" t="str">
            <v/>
          </cell>
          <cell r="BD173">
            <v>0</v>
          </cell>
          <cell r="BE173">
            <v>8</v>
          </cell>
          <cell r="BF173" t="str">
            <v/>
          </cell>
          <cell r="BG173">
            <v>0</v>
          </cell>
          <cell r="BH173">
            <v>8</v>
          </cell>
          <cell r="BI173">
            <v>7</v>
          </cell>
          <cell r="BJ173">
            <v>42</v>
          </cell>
          <cell r="BK173">
            <v>0</v>
          </cell>
          <cell r="BL173">
            <v>8</v>
          </cell>
          <cell r="BM173">
            <v>8</v>
          </cell>
          <cell r="BN173" t="str">
            <v/>
          </cell>
          <cell r="BO173">
            <v>0</v>
          </cell>
          <cell r="BP173">
            <v>8</v>
          </cell>
          <cell r="BQ173">
            <v>8</v>
          </cell>
          <cell r="BR173">
            <v>48</v>
          </cell>
          <cell r="BS173">
            <v>0</v>
          </cell>
          <cell r="BT173">
            <v>8</v>
          </cell>
          <cell r="BU173">
            <v>8</v>
          </cell>
          <cell r="BV173" t="str">
            <v/>
          </cell>
          <cell r="BW173">
            <v>0</v>
          </cell>
          <cell r="BX173">
            <v>0</v>
          </cell>
          <cell r="BY173">
            <v>8</v>
          </cell>
          <cell r="BZ173">
            <v>8</v>
          </cell>
          <cell r="CA173" t="str">
            <v/>
          </cell>
          <cell r="CB173">
            <v>0</v>
          </cell>
          <cell r="CC173">
            <v>0</v>
          </cell>
          <cell r="CD173">
            <v>8</v>
          </cell>
          <cell r="CE173">
            <v>8</v>
          </cell>
          <cell r="CF173" t="str">
            <v/>
          </cell>
          <cell r="CG173">
            <v>0</v>
          </cell>
          <cell r="CH173">
            <v>0</v>
          </cell>
          <cell r="CI173">
            <v>8</v>
          </cell>
          <cell r="CJ173">
            <v>8</v>
          </cell>
          <cell r="CK173" t="str">
            <v/>
          </cell>
          <cell r="CL173">
            <v>0</v>
          </cell>
          <cell r="CM173">
            <v>0</v>
          </cell>
          <cell r="CN173">
            <v>8</v>
          </cell>
          <cell r="CO173">
            <v>8</v>
          </cell>
          <cell r="CP173" t="str">
            <v/>
          </cell>
          <cell r="CQ173">
            <v>0</v>
          </cell>
          <cell r="CR173">
            <v>0</v>
          </cell>
          <cell r="CS173">
            <v>8</v>
          </cell>
          <cell r="CT173">
            <v>8</v>
          </cell>
          <cell r="CU173" t="str">
            <v/>
          </cell>
          <cell r="CV173">
            <v>0</v>
          </cell>
          <cell r="CW173">
            <v>0</v>
          </cell>
          <cell r="CX173">
            <v>8</v>
          </cell>
          <cell r="CY173">
            <v>7</v>
          </cell>
          <cell r="CZ173">
            <v>21</v>
          </cell>
          <cell r="DA173">
            <v>0</v>
          </cell>
          <cell r="DB173">
            <v>0</v>
          </cell>
          <cell r="DC173">
            <v>6.75</v>
          </cell>
          <cell r="DD173">
            <v>7</v>
          </cell>
          <cell r="DE173">
            <v>24</v>
          </cell>
          <cell r="DF173">
            <v>0</v>
          </cell>
          <cell r="DG173">
            <v>0</v>
          </cell>
          <cell r="DH173">
            <v>6.75</v>
          </cell>
          <cell r="DI173">
            <v>7</v>
          </cell>
          <cell r="DJ173">
            <v>32</v>
          </cell>
          <cell r="DK173">
            <v>0</v>
          </cell>
          <cell r="DL173">
            <v>0</v>
          </cell>
          <cell r="DM173">
            <v>6.55</v>
          </cell>
          <cell r="DN173">
            <v>7</v>
          </cell>
          <cell r="DO173">
            <v>38</v>
          </cell>
          <cell r="DP173">
            <v>0</v>
          </cell>
          <cell r="DQ173">
            <v>0</v>
          </cell>
          <cell r="DR173">
            <v>6.833333333333333</v>
          </cell>
          <cell r="DS173">
            <v>6.833333333333333</v>
          </cell>
          <cell r="DT173">
            <v>37</v>
          </cell>
          <cell r="DU173">
            <v>0</v>
          </cell>
          <cell r="DV173">
            <v>0</v>
          </cell>
          <cell r="DW173">
            <v>6.6666666666666661</v>
          </cell>
          <cell r="DX173">
            <v>6.6666666666666661</v>
          </cell>
          <cell r="DY173">
            <v>36</v>
          </cell>
          <cell r="DZ173">
            <v>0</v>
          </cell>
          <cell r="EA173">
            <v>0</v>
          </cell>
          <cell r="EB173">
            <v>6.4999999999999991</v>
          </cell>
          <cell r="EC173">
            <v>6.4999999999999991</v>
          </cell>
          <cell r="ED173">
            <v>35</v>
          </cell>
          <cell r="EE173">
            <v>0</v>
          </cell>
          <cell r="EF173">
            <v>0</v>
          </cell>
          <cell r="EG173">
            <v>6.3333333333333321</v>
          </cell>
          <cell r="EH173">
            <v>6.3333333333333321</v>
          </cell>
          <cell r="EI173">
            <v>33.999999999999993</v>
          </cell>
          <cell r="EJ173">
            <v>0</v>
          </cell>
          <cell r="EK173">
            <v>0</v>
          </cell>
          <cell r="EL173">
            <v>6.1666666666666652</v>
          </cell>
          <cell r="EM173">
            <v>6.1666666666666652</v>
          </cell>
          <cell r="EN173">
            <v>32.999999999999993</v>
          </cell>
          <cell r="EO173">
            <v>0</v>
          </cell>
          <cell r="EP173">
            <v>0</v>
          </cell>
          <cell r="EQ173">
            <v>5.9999999999999982</v>
          </cell>
          <cell r="ER173">
            <v>5.9999999999999982</v>
          </cell>
          <cell r="ES173">
            <v>31.999999999999989</v>
          </cell>
          <cell r="ET173">
            <v>0</v>
          </cell>
          <cell r="EU173">
            <v>0</v>
          </cell>
          <cell r="EV173">
            <v>5.8333333333333313</v>
          </cell>
          <cell r="EW173">
            <v>5.8333333333333313</v>
          </cell>
          <cell r="EX173">
            <v>30.999999999999989</v>
          </cell>
          <cell r="EY173">
            <v>0</v>
          </cell>
          <cell r="EZ173">
            <v>0</v>
          </cell>
          <cell r="FA173">
            <v>5.6666666666666643</v>
          </cell>
          <cell r="FB173">
            <v>5.6666666666666643</v>
          </cell>
          <cell r="FC173">
            <v>29.999999999999986</v>
          </cell>
          <cell r="FD173">
            <v>0</v>
          </cell>
          <cell r="FE173">
            <v>0</v>
          </cell>
          <cell r="FF173">
            <v>5.4999999999999973</v>
          </cell>
          <cell r="FG173">
            <v>5.4999999999999973</v>
          </cell>
          <cell r="FH173">
            <v>28.999999999999986</v>
          </cell>
          <cell r="FI173">
            <v>0</v>
          </cell>
          <cell r="FJ173">
            <v>0</v>
          </cell>
          <cell r="FK173">
            <v>5.3333333333333304</v>
          </cell>
          <cell r="FL173">
            <v>5.3333333333333304</v>
          </cell>
          <cell r="FM173">
            <v>27.999999999999982</v>
          </cell>
          <cell r="FN173">
            <v>0</v>
          </cell>
          <cell r="FO173">
            <v>0</v>
          </cell>
          <cell r="FP173">
            <v>5.1666666666666634</v>
          </cell>
          <cell r="FQ173">
            <v>5.1666666666666634</v>
          </cell>
          <cell r="FR173">
            <v>26.999999999999982</v>
          </cell>
          <cell r="FS173">
            <v>0</v>
          </cell>
          <cell r="FT173">
            <v>1</v>
          </cell>
          <cell r="FU173">
            <v>2.0333333333333332</v>
          </cell>
          <cell r="FV173" t="str">
            <v>SI</v>
          </cell>
          <cell r="FW173" t="str">
            <v>SOBRESTOCK</v>
          </cell>
          <cell r="FX173" t="str">
            <v>C</v>
          </cell>
          <cell r="FY173" t="str">
            <v>Si</v>
          </cell>
        </row>
        <row r="174">
          <cell r="B174" t="str">
            <v>REP-0180</v>
          </cell>
          <cell r="C174" t="str">
            <v>MIX</v>
          </cell>
          <cell r="D174">
            <v>0</v>
          </cell>
          <cell r="E174">
            <v>2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2</v>
          </cell>
          <cell r="AA174">
            <v>2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8.3333333333333329E-2</v>
          </cell>
          <cell r="AI174">
            <v>0</v>
          </cell>
          <cell r="AJ174">
            <v>0</v>
          </cell>
          <cell r="AK174">
            <v>8.3333333333333329E-2</v>
          </cell>
          <cell r="AL174">
            <v>4.1666666666666664E-2</v>
          </cell>
          <cell r="AM174">
            <v>2.0833333333333332E-2</v>
          </cell>
          <cell r="AN174">
            <v>2</v>
          </cell>
          <cell r="AO174">
            <v>0</v>
          </cell>
          <cell r="AP174">
            <v>3</v>
          </cell>
          <cell r="AQ174" t="str">
            <v/>
          </cell>
          <cell r="AR174">
            <v>0</v>
          </cell>
          <cell r="AS174">
            <v>3</v>
          </cell>
          <cell r="AT174">
            <v>3</v>
          </cell>
          <cell r="AU174" t="str">
            <v/>
          </cell>
          <cell r="AV174">
            <v>0</v>
          </cell>
          <cell r="AW174">
            <v>3</v>
          </cell>
          <cell r="AX174">
            <v>3</v>
          </cell>
          <cell r="AY174">
            <v>36</v>
          </cell>
          <cell r="AZ174">
            <v>0</v>
          </cell>
          <cell r="BA174">
            <v>3</v>
          </cell>
          <cell r="BB174">
            <v>3</v>
          </cell>
          <cell r="BC174" t="str">
            <v/>
          </cell>
          <cell r="BD174">
            <v>0</v>
          </cell>
          <cell r="BE174">
            <v>3</v>
          </cell>
          <cell r="BF174" t="str">
            <v/>
          </cell>
          <cell r="BG174">
            <v>0</v>
          </cell>
          <cell r="BH174">
            <v>3</v>
          </cell>
          <cell r="BI174">
            <v>2</v>
          </cell>
          <cell r="BJ174">
            <v>24</v>
          </cell>
          <cell r="BK174">
            <v>0</v>
          </cell>
          <cell r="BL174">
            <v>3</v>
          </cell>
          <cell r="BM174">
            <v>3</v>
          </cell>
          <cell r="BN174" t="str">
            <v/>
          </cell>
          <cell r="BO174">
            <v>0</v>
          </cell>
          <cell r="BP174">
            <v>3</v>
          </cell>
          <cell r="BQ174">
            <v>3</v>
          </cell>
          <cell r="BR174">
            <v>36</v>
          </cell>
          <cell r="BS174">
            <v>0</v>
          </cell>
          <cell r="BT174">
            <v>3</v>
          </cell>
          <cell r="BU174">
            <v>3</v>
          </cell>
          <cell r="BV174" t="str">
            <v/>
          </cell>
          <cell r="BW174">
            <v>0</v>
          </cell>
          <cell r="BX174">
            <v>0</v>
          </cell>
          <cell r="BY174">
            <v>3</v>
          </cell>
          <cell r="BZ174">
            <v>3</v>
          </cell>
          <cell r="CA174" t="str">
            <v/>
          </cell>
          <cell r="CB174">
            <v>0</v>
          </cell>
          <cell r="CC174">
            <v>0</v>
          </cell>
          <cell r="CD174">
            <v>3</v>
          </cell>
          <cell r="CE174">
            <v>3</v>
          </cell>
          <cell r="CF174" t="str">
            <v/>
          </cell>
          <cell r="CG174">
            <v>0</v>
          </cell>
          <cell r="CH174">
            <v>0</v>
          </cell>
          <cell r="CI174">
            <v>3</v>
          </cell>
          <cell r="CJ174">
            <v>2</v>
          </cell>
          <cell r="CK174">
            <v>12</v>
          </cell>
          <cell r="CL174">
            <v>0</v>
          </cell>
          <cell r="CM174">
            <v>0</v>
          </cell>
          <cell r="CN174">
            <v>1.8333333333333333</v>
          </cell>
          <cell r="CO174">
            <v>2</v>
          </cell>
          <cell r="CP174">
            <v>12</v>
          </cell>
          <cell r="CQ174">
            <v>0.16666666666666674</v>
          </cell>
          <cell r="CR174">
            <v>0</v>
          </cell>
          <cell r="CS174">
            <v>1.8333333333333333</v>
          </cell>
          <cell r="CT174">
            <v>2</v>
          </cell>
          <cell r="CU174">
            <v>12</v>
          </cell>
          <cell r="CV174">
            <v>0</v>
          </cell>
          <cell r="CW174">
            <v>0</v>
          </cell>
          <cell r="CX174">
            <v>1.8333333333333333</v>
          </cell>
          <cell r="CY174">
            <v>2</v>
          </cell>
          <cell r="CZ174">
            <v>24</v>
          </cell>
          <cell r="DA174">
            <v>0</v>
          </cell>
          <cell r="DB174">
            <v>0</v>
          </cell>
          <cell r="DC174">
            <v>1.9166666666666667</v>
          </cell>
          <cell r="DD174">
            <v>2</v>
          </cell>
          <cell r="DE174">
            <v>6</v>
          </cell>
          <cell r="DF174">
            <v>0</v>
          </cell>
          <cell r="DG174">
            <v>0</v>
          </cell>
          <cell r="DH174">
            <v>1.8333333333333333</v>
          </cell>
          <cell r="DI174">
            <v>2</v>
          </cell>
          <cell r="DJ174">
            <v>8</v>
          </cell>
          <cell r="DK174">
            <v>0</v>
          </cell>
          <cell r="DL174">
            <v>0</v>
          </cell>
          <cell r="DM174">
            <v>1.6666666666666665</v>
          </cell>
          <cell r="DN174">
            <v>2</v>
          </cell>
          <cell r="DO174">
            <v>14</v>
          </cell>
          <cell r="DP174">
            <v>0</v>
          </cell>
          <cell r="DQ174">
            <v>0</v>
          </cell>
          <cell r="DR174">
            <v>1.9166666666666667</v>
          </cell>
          <cell r="DS174">
            <v>1.9166666666666667</v>
          </cell>
          <cell r="DT174">
            <v>13.000000000000002</v>
          </cell>
          <cell r="DU174">
            <v>0</v>
          </cell>
          <cell r="DV174">
            <v>0</v>
          </cell>
          <cell r="DW174">
            <v>1.8333333333333335</v>
          </cell>
          <cell r="DX174">
            <v>1.8333333333333335</v>
          </cell>
          <cell r="DY174">
            <v>12.000000000000002</v>
          </cell>
          <cell r="DZ174">
            <v>0</v>
          </cell>
          <cell r="EA174">
            <v>0</v>
          </cell>
          <cell r="EB174">
            <v>1.7500000000000002</v>
          </cell>
          <cell r="EC174">
            <v>1.7500000000000002</v>
          </cell>
          <cell r="ED174">
            <v>11.000000000000004</v>
          </cell>
          <cell r="EE174">
            <v>0</v>
          </cell>
          <cell r="EF174">
            <v>0</v>
          </cell>
          <cell r="EG174">
            <v>1.666666666666667</v>
          </cell>
          <cell r="EH174">
            <v>1.666666666666667</v>
          </cell>
          <cell r="EI174">
            <v>10.000000000000004</v>
          </cell>
          <cell r="EJ174">
            <v>0</v>
          </cell>
          <cell r="EK174">
            <v>0</v>
          </cell>
          <cell r="EL174">
            <v>1.5833333333333337</v>
          </cell>
          <cell r="EM174">
            <v>1.5833333333333337</v>
          </cell>
          <cell r="EN174">
            <v>9.0000000000000036</v>
          </cell>
          <cell r="EO174">
            <v>0</v>
          </cell>
          <cell r="EP174">
            <v>0</v>
          </cell>
          <cell r="EQ174">
            <v>1.5000000000000004</v>
          </cell>
          <cell r="ER174">
            <v>1.5000000000000004</v>
          </cell>
          <cell r="ES174">
            <v>8.0000000000000053</v>
          </cell>
          <cell r="ET174">
            <v>0</v>
          </cell>
          <cell r="EU174">
            <v>0</v>
          </cell>
          <cell r="EV174">
            <v>1.4166666666666672</v>
          </cell>
          <cell r="EW174">
            <v>1.4166666666666672</v>
          </cell>
          <cell r="EX174">
            <v>7.0000000000000062</v>
          </cell>
          <cell r="EY174">
            <v>0</v>
          </cell>
          <cell r="EZ174">
            <v>0</v>
          </cell>
          <cell r="FA174">
            <v>1.3333333333333339</v>
          </cell>
          <cell r="FB174">
            <v>1.3333333333333339</v>
          </cell>
          <cell r="FC174">
            <v>6.0000000000000071</v>
          </cell>
          <cell r="FD174">
            <v>0</v>
          </cell>
          <cell r="FE174">
            <v>0</v>
          </cell>
          <cell r="FF174">
            <v>1.2500000000000007</v>
          </cell>
          <cell r="FG174">
            <v>1.2500000000000007</v>
          </cell>
          <cell r="FH174">
            <v>5.000000000000008</v>
          </cell>
          <cell r="FI174">
            <v>0</v>
          </cell>
          <cell r="FJ174">
            <v>0</v>
          </cell>
          <cell r="FK174">
            <v>1.1666666666666674</v>
          </cell>
          <cell r="FL174">
            <v>1.1666666666666674</v>
          </cell>
          <cell r="FM174">
            <v>4.0000000000000089</v>
          </cell>
          <cell r="FN174">
            <v>0</v>
          </cell>
          <cell r="FO174">
            <v>0</v>
          </cell>
          <cell r="FP174">
            <v>1.0833333333333341</v>
          </cell>
          <cell r="FQ174">
            <v>1.0833333333333341</v>
          </cell>
          <cell r="FR174">
            <v>3.0000000000000098</v>
          </cell>
          <cell r="FS174">
            <v>0</v>
          </cell>
          <cell r="FT174">
            <v>1</v>
          </cell>
          <cell r="FU174">
            <v>2.0333333333333332</v>
          </cell>
          <cell r="FV174" t="str">
            <v>SI</v>
          </cell>
          <cell r="FW174" t="str">
            <v>SIN ROTACIÓN</v>
          </cell>
          <cell r="FX174" t="str">
            <v>C</v>
          </cell>
          <cell r="FY174" t="str">
            <v>Si</v>
          </cell>
        </row>
        <row r="175">
          <cell r="B175" t="str">
            <v>REP-0181</v>
          </cell>
          <cell r="C175" t="str">
            <v>MIX</v>
          </cell>
          <cell r="D175">
            <v>0</v>
          </cell>
          <cell r="E175">
            <v>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9</v>
          </cell>
          <cell r="AA175">
            <v>9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0.25</v>
          </cell>
          <cell r="AI175">
            <v>0</v>
          </cell>
          <cell r="AJ175">
            <v>0</v>
          </cell>
          <cell r="AK175">
            <v>0.25</v>
          </cell>
          <cell r="AL175">
            <v>0.125</v>
          </cell>
          <cell r="AM175">
            <v>6.25E-2</v>
          </cell>
          <cell r="AN175">
            <v>2</v>
          </cell>
          <cell r="AO175">
            <v>0</v>
          </cell>
          <cell r="AP175">
            <v>8.8333333333333339</v>
          </cell>
          <cell r="AQ175" t="str">
            <v/>
          </cell>
          <cell r="AR175">
            <v>0</v>
          </cell>
          <cell r="AS175">
            <v>9</v>
          </cell>
          <cell r="AT175">
            <v>9</v>
          </cell>
          <cell r="AU175" t="str">
            <v/>
          </cell>
          <cell r="AV175">
            <v>0</v>
          </cell>
          <cell r="AW175">
            <v>9</v>
          </cell>
          <cell r="AX175">
            <v>9</v>
          </cell>
          <cell r="AY175">
            <v>36</v>
          </cell>
          <cell r="AZ175">
            <v>0</v>
          </cell>
          <cell r="BA175">
            <v>9</v>
          </cell>
          <cell r="BB175">
            <v>9</v>
          </cell>
          <cell r="BC175" t="str">
            <v/>
          </cell>
          <cell r="BD175">
            <v>0</v>
          </cell>
          <cell r="BE175">
            <v>9</v>
          </cell>
          <cell r="BF175" t="str">
            <v/>
          </cell>
          <cell r="BG175">
            <v>0</v>
          </cell>
          <cell r="BH175">
            <v>9</v>
          </cell>
          <cell r="BI175">
            <v>9</v>
          </cell>
          <cell r="BJ175">
            <v>36</v>
          </cell>
          <cell r="BK175">
            <v>0</v>
          </cell>
          <cell r="BL175">
            <v>8</v>
          </cell>
          <cell r="BM175">
            <v>9</v>
          </cell>
          <cell r="BN175" t="str">
            <v/>
          </cell>
          <cell r="BO175">
            <v>0</v>
          </cell>
          <cell r="BP175">
            <v>9</v>
          </cell>
          <cell r="BQ175">
            <v>9</v>
          </cell>
          <cell r="BR175">
            <v>36</v>
          </cell>
          <cell r="BS175">
            <v>0</v>
          </cell>
          <cell r="BT175">
            <v>9</v>
          </cell>
          <cell r="BU175">
            <v>8</v>
          </cell>
          <cell r="BV175">
            <v>48</v>
          </cell>
          <cell r="BW175">
            <v>0</v>
          </cell>
          <cell r="BX175">
            <v>0</v>
          </cell>
          <cell r="BY175">
            <v>7.833333333333333</v>
          </cell>
          <cell r="BZ175">
            <v>7</v>
          </cell>
          <cell r="CA175">
            <v>21</v>
          </cell>
          <cell r="CB175">
            <v>0</v>
          </cell>
          <cell r="CC175">
            <v>0</v>
          </cell>
          <cell r="CD175">
            <v>6.666666666666667</v>
          </cell>
          <cell r="CE175">
            <v>6</v>
          </cell>
          <cell r="CF175">
            <v>12</v>
          </cell>
          <cell r="CG175">
            <v>0</v>
          </cell>
          <cell r="CH175">
            <v>0</v>
          </cell>
          <cell r="CI175">
            <v>6.166666666666667</v>
          </cell>
          <cell r="CJ175">
            <v>6</v>
          </cell>
          <cell r="CK175">
            <v>12</v>
          </cell>
          <cell r="CL175">
            <v>0</v>
          </cell>
          <cell r="CM175">
            <v>0</v>
          </cell>
          <cell r="CN175">
            <v>5.5</v>
          </cell>
          <cell r="CO175">
            <v>6</v>
          </cell>
          <cell r="CP175">
            <v>12</v>
          </cell>
          <cell r="CQ175">
            <v>0</v>
          </cell>
          <cell r="CR175">
            <v>0</v>
          </cell>
          <cell r="CS175">
            <v>5.5</v>
          </cell>
          <cell r="CT175">
            <v>6</v>
          </cell>
          <cell r="CU175">
            <v>12</v>
          </cell>
          <cell r="CV175">
            <v>0</v>
          </cell>
          <cell r="CW175">
            <v>0</v>
          </cell>
          <cell r="CX175">
            <v>5.5</v>
          </cell>
          <cell r="CY175">
            <v>6</v>
          </cell>
          <cell r="CZ175">
            <v>24</v>
          </cell>
          <cell r="DA175">
            <v>0</v>
          </cell>
          <cell r="DB175">
            <v>2</v>
          </cell>
          <cell r="DC175">
            <v>7.75</v>
          </cell>
          <cell r="DD175">
            <v>9</v>
          </cell>
          <cell r="DE175">
            <v>32</v>
          </cell>
          <cell r="DF175">
            <v>0</v>
          </cell>
          <cell r="DG175">
            <v>0</v>
          </cell>
          <cell r="DH175">
            <v>8.75</v>
          </cell>
          <cell r="DI175">
            <v>9</v>
          </cell>
          <cell r="DJ175">
            <v>34</v>
          </cell>
          <cell r="DK175">
            <v>0</v>
          </cell>
          <cell r="DL175">
            <v>0</v>
          </cell>
          <cell r="DM175">
            <v>8.5</v>
          </cell>
          <cell r="DN175">
            <v>9</v>
          </cell>
          <cell r="DO175">
            <v>34</v>
          </cell>
          <cell r="DP175">
            <v>0</v>
          </cell>
          <cell r="DQ175">
            <v>0</v>
          </cell>
          <cell r="DR175">
            <v>8.75</v>
          </cell>
          <cell r="DS175">
            <v>8.75</v>
          </cell>
          <cell r="DT175">
            <v>33</v>
          </cell>
          <cell r="DU175">
            <v>0</v>
          </cell>
          <cell r="DV175">
            <v>0</v>
          </cell>
          <cell r="DW175">
            <v>8.5</v>
          </cell>
          <cell r="DX175">
            <v>8.5</v>
          </cell>
          <cell r="DY175">
            <v>32</v>
          </cell>
          <cell r="DZ175">
            <v>0</v>
          </cell>
          <cell r="EA175">
            <v>0</v>
          </cell>
          <cell r="EB175">
            <v>8.25</v>
          </cell>
          <cell r="EC175">
            <v>8.25</v>
          </cell>
          <cell r="ED175">
            <v>31</v>
          </cell>
          <cell r="EE175">
            <v>0</v>
          </cell>
          <cell r="EF175">
            <v>0</v>
          </cell>
          <cell r="EG175">
            <v>8</v>
          </cell>
          <cell r="EH175">
            <v>8</v>
          </cell>
          <cell r="EI175">
            <v>30</v>
          </cell>
          <cell r="EJ175">
            <v>0</v>
          </cell>
          <cell r="EK175">
            <v>0</v>
          </cell>
          <cell r="EL175">
            <v>7.75</v>
          </cell>
          <cell r="EM175">
            <v>7.75</v>
          </cell>
          <cell r="EN175">
            <v>29</v>
          </cell>
          <cell r="EO175">
            <v>0</v>
          </cell>
          <cell r="EP175">
            <v>0</v>
          </cell>
          <cell r="EQ175">
            <v>7.5</v>
          </cell>
          <cell r="ER175">
            <v>7.5</v>
          </cell>
          <cell r="ES175">
            <v>28</v>
          </cell>
          <cell r="ET175">
            <v>0</v>
          </cell>
          <cell r="EU175">
            <v>0</v>
          </cell>
          <cell r="EV175">
            <v>7.25</v>
          </cell>
          <cell r="EW175">
            <v>7.25</v>
          </cell>
          <cell r="EX175">
            <v>27</v>
          </cell>
          <cell r="EY175">
            <v>0</v>
          </cell>
          <cell r="EZ175">
            <v>0</v>
          </cell>
          <cell r="FA175">
            <v>7</v>
          </cell>
          <cell r="FB175">
            <v>7</v>
          </cell>
          <cell r="FC175">
            <v>26</v>
          </cell>
          <cell r="FD175">
            <v>0</v>
          </cell>
          <cell r="FE175">
            <v>0</v>
          </cell>
          <cell r="FF175">
            <v>6.75</v>
          </cell>
          <cell r="FG175">
            <v>6.75</v>
          </cell>
          <cell r="FH175">
            <v>25</v>
          </cell>
          <cell r="FI175">
            <v>0</v>
          </cell>
          <cell r="FJ175">
            <v>0</v>
          </cell>
          <cell r="FK175">
            <v>6.5</v>
          </cell>
          <cell r="FL175">
            <v>6.5</v>
          </cell>
          <cell r="FM175">
            <v>24</v>
          </cell>
          <cell r="FN175">
            <v>0</v>
          </cell>
          <cell r="FO175">
            <v>0</v>
          </cell>
          <cell r="FP175">
            <v>6.25</v>
          </cell>
          <cell r="FQ175">
            <v>6.25</v>
          </cell>
          <cell r="FR175">
            <v>23</v>
          </cell>
          <cell r="FS175">
            <v>0</v>
          </cell>
          <cell r="FT175">
            <v>1</v>
          </cell>
          <cell r="FU175">
            <v>2.0333333333333332</v>
          </cell>
          <cell r="FW175" t="str">
            <v>SIN ROTACIÓN</v>
          </cell>
          <cell r="FX175" t="str">
            <v>STOCK MUERTO</v>
          </cell>
          <cell r="FY175" t="str">
            <v>Si</v>
          </cell>
        </row>
        <row r="176">
          <cell r="B176" t="str">
            <v>REP-0182</v>
          </cell>
          <cell r="C176" t="str">
            <v>MIX</v>
          </cell>
          <cell r="D176">
            <v>0</v>
          </cell>
          <cell r="E176">
            <v>6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6</v>
          </cell>
          <cell r="AA176">
            <v>6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6</v>
          </cell>
          <cell r="AQ176" t="str">
            <v/>
          </cell>
          <cell r="AR176">
            <v>0</v>
          </cell>
          <cell r="AS176">
            <v>6</v>
          </cell>
          <cell r="AT176">
            <v>6</v>
          </cell>
          <cell r="AU176" t="str">
            <v/>
          </cell>
          <cell r="AV176">
            <v>0</v>
          </cell>
          <cell r="AW176">
            <v>6</v>
          </cell>
          <cell r="AX176">
            <v>6</v>
          </cell>
          <cell r="AY176" t="str">
            <v/>
          </cell>
          <cell r="AZ176">
            <v>0</v>
          </cell>
          <cell r="BA176">
            <v>6</v>
          </cell>
          <cell r="BB176">
            <v>6</v>
          </cell>
          <cell r="BC176">
            <v>36</v>
          </cell>
          <cell r="BD176">
            <v>0</v>
          </cell>
          <cell r="BE176">
            <v>5.833333333333333</v>
          </cell>
          <cell r="BF176">
            <v>35</v>
          </cell>
          <cell r="BG176">
            <v>0</v>
          </cell>
          <cell r="BH176">
            <v>5.6666666666666661</v>
          </cell>
          <cell r="BI176">
            <v>6</v>
          </cell>
          <cell r="BJ176" t="str">
            <v/>
          </cell>
          <cell r="BK176">
            <v>0</v>
          </cell>
          <cell r="BL176">
            <v>6</v>
          </cell>
          <cell r="BM176">
            <v>6</v>
          </cell>
          <cell r="BN176" t="str">
            <v/>
          </cell>
          <cell r="BO176">
            <v>0</v>
          </cell>
          <cell r="BP176">
            <v>6</v>
          </cell>
          <cell r="BQ176">
            <v>6</v>
          </cell>
          <cell r="BR176" t="str">
            <v/>
          </cell>
          <cell r="BS176">
            <v>0</v>
          </cell>
          <cell r="BT176">
            <v>6</v>
          </cell>
          <cell r="BU176">
            <v>6</v>
          </cell>
          <cell r="BV176" t="str">
            <v/>
          </cell>
          <cell r="BW176">
            <v>0</v>
          </cell>
          <cell r="BX176">
            <v>0</v>
          </cell>
          <cell r="BY176">
            <v>6</v>
          </cell>
          <cell r="BZ176">
            <v>6</v>
          </cell>
          <cell r="CA176" t="str">
            <v/>
          </cell>
          <cell r="CB176">
            <v>0</v>
          </cell>
          <cell r="CC176">
            <v>0</v>
          </cell>
          <cell r="CD176">
            <v>6</v>
          </cell>
          <cell r="CE176">
            <v>6</v>
          </cell>
          <cell r="CF176" t="str">
            <v/>
          </cell>
          <cell r="CG176">
            <v>0</v>
          </cell>
          <cell r="CH176">
            <v>0</v>
          </cell>
          <cell r="CI176">
            <v>6</v>
          </cell>
          <cell r="CJ176">
            <v>6</v>
          </cell>
          <cell r="CK176" t="str">
            <v/>
          </cell>
          <cell r="CL176">
            <v>0</v>
          </cell>
          <cell r="CM176">
            <v>0</v>
          </cell>
          <cell r="CN176">
            <v>6</v>
          </cell>
          <cell r="CO176">
            <v>6</v>
          </cell>
          <cell r="CP176" t="str">
            <v/>
          </cell>
          <cell r="CQ176">
            <v>0</v>
          </cell>
          <cell r="CR176">
            <v>0</v>
          </cell>
          <cell r="CS176">
            <v>6</v>
          </cell>
          <cell r="CT176">
            <v>6</v>
          </cell>
          <cell r="CU176" t="str">
            <v/>
          </cell>
          <cell r="CV176">
            <v>0</v>
          </cell>
          <cell r="CW176">
            <v>0</v>
          </cell>
          <cell r="CX176">
            <v>6</v>
          </cell>
          <cell r="CY176">
            <v>6</v>
          </cell>
          <cell r="CZ176" t="str">
            <v/>
          </cell>
          <cell r="DA176">
            <v>0</v>
          </cell>
          <cell r="DB176">
            <v>0</v>
          </cell>
          <cell r="DC176">
            <v>6</v>
          </cell>
          <cell r="DD176">
            <v>6</v>
          </cell>
          <cell r="DE176" t="str">
            <v/>
          </cell>
          <cell r="DF176">
            <v>0</v>
          </cell>
          <cell r="DG176">
            <v>0</v>
          </cell>
          <cell r="DH176">
            <v>6</v>
          </cell>
          <cell r="DI176">
            <v>6</v>
          </cell>
          <cell r="DJ176" t="str">
            <v/>
          </cell>
          <cell r="DK176">
            <v>0</v>
          </cell>
          <cell r="DL176">
            <v>0</v>
          </cell>
          <cell r="DM176">
            <v>6</v>
          </cell>
          <cell r="DN176">
            <v>6</v>
          </cell>
          <cell r="DO176" t="str">
            <v/>
          </cell>
          <cell r="DP176">
            <v>0</v>
          </cell>
          <cell r="DQ176">
            <v>0</v>
          </cell>
          <cell r="DR176">
            <v>6</v>
          </cell>
          <cell r="DS176">
            <v>6</v>
          </cell>
          <cell r="DT176" t="str">
            <v/>
          </cell>
          <cell r="DU176">
            <v>0</v>
          </cell>
          <cell r="DV176">
            <v>0</v>
          </cell>
          <cell r="DW176">
            <v>6</v>
          </cell>
          <cell r="DX176">
            <v>6</v>
          </cell>
          <cell r="DY176" t="str">
            <v/>
          </cell>
          <cell r="DZ176">
            <v>0</v>
          </cell>
          <cell r="EA176">
            <v>0</v>
          </cell>
          <cell r="EB176">
            <v>6</v>
          </cell>
          <cell r="EC176">
            <v>6</v>
          </cell>
          <cell r="ED176" t="str">
            <v/>
          </cell>
          <cell r="EE176">
            <v>0</v>
          </cell>
          <cell r="EF176">
            <v>0</v>
          </cell>
          <cell r="EG176">
            <v>6</v>
          </cell>
          <cell r="EH176">
            <v>6</v>
          </cell>
          <cell r="EI176" t="str">
            <v/>
          </cell>
          <cell r="EJ176">
            <v>0</v>
          </cell>
          <cell r="EK176">
            <v>0</v>
          </cell>
          <cell r="EL176">
            <v>6</v>
          </cell>
          <cell r="EM176">
            <v>6</v>
          </cell>
          <cell r="EN176" t="str">
            <v/>
          </cell>
          <cell r="EO176">
            <v>0</v>
          </cell>
          <cell r="EP176">
            <v>0</v>
          </cell>
          <cell r="EQ176">
            <v>6</v>
          </cell>
          <cell r="ER176">
            <v>6</v>
          </cell>
          <cell r="ES176" t="str">
            <v/>
          </cell>
          <cell r="ET176">
            <v>0</v>
          </cell>
          <cell r="EU176">
            <v>0</v>
          </cell>
          <cell r="EV176">
            <v>6</v>
          </cell>
          <cell r="EW176">
            <v>6</v>
          </cell>
          <cell r="EX176" t="str">
            <v/>
          </cell>
          <cell r="EY176">
            <v>0</v>
          </cell>
          <cell r="EZ176">
            <v>0</v>
          </cell>
          <cell r="FA176">
            <v>6</v>
          </cell>
          <cell r="FB176">
            <v>6</v>
          </cell>
          <cell r="FC176" t="str">
            <v/>
          </cell>
          <cell r="FD176">
            <v>0</v>
          </cell>
          <cell r="FE176">
            <v>0</v>
          </cell>
          <cell r="FF176">
            <v>6</v>
          </cell>
          <cell r="FG176">
            <v>6</v>
          </cell>
          <cell r="FH176" t="str">
            <v/>
          </cell>
          <cell r="FI176">
            <v>0</v>
          </cell>
          <cell r="FJ176">
            <v>0</v>
          </cell>
          <cell r="FK176">
            <v>6</v>
          </cell>
          <cell r="FL176">
            <v>6</v>
          </cell>
          <cell r="FM176" t="str">
            <v/>
          </cell>
          <cell r="FN176">
            <v>0</v>
          </cell>
          <cell r="FO176">
            <v>0</v>
          </cell>
          <cell r="FP176">
            <v>6</v>
          </cell>
          <cell r="FQ176">
            <v>6</v>
          </cell>
          <cell r="FR176" t="str">
            <v/>
          </cell>
          <cell r="FS176">
            <v>0</v>
          </cell>
          <cell r="FT176">
            <v>0</v>
          </cell>
          <cell r="FU176">
            <v>2.0333333333333332</v>
          </cell>
          <cell r="FV176" t="str">
            <v>SI</v>
          </cell>
          <cell r="FW176" t="str">
            <v>SIN ROTACIÓN</v>
          </cell>
          <cell r="FX176" t="str">
            <v>STOCK MUERTO</v>
          </cell>
          <cell r="FY176" t="str">
            <v>Si</v>
          </cell>
        </row>
        <row r="177">
          <cell r="B177" t="str">
            <v>REP-0183</v>
          </cell>
          <cell r="C177" t="str">
            <v>MIX</v>
          </cell>
          <cell r="D177">
            <v>0</v>
          </cell>
          <cell r="E177">
            <v>4</v>
          </cell>
          <cell r="F177">
            <v>0</v>
          </cell>
          <cell r="G177">
            <v>0</v>
          </cell>
          <cell r="H177">
            <v>4</v>
          </cell>
          <cell r="I177">
            <v>4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1</v>
          </cell>
          <cell r="Y177">
            <v>14</v>
          </cell>
          <cell r="AA177">
            <v>14</v>
          </cell>
          <cell r="AB177">
            <v>2</v>
          </cell>
          <cell r="AC177">
            <v>0.16666666666666666</v>
          </cell>
          <cell r="AD177">
            <v>5.5555555555555549E-3</v>
          </cell>
          <cell r="AE177">
            <v>0.25</v>
          </cell>
          <cell r="AF177">
            <v>0.25</v>
          </cell>
          <cell r="AG177">
            <v>0.33333333333333331</v>
          </cell>
          <cell r="AH177">
            <v>0.5</v>
          </cell>
          <cell r="AI177">
            <v>0.33333333333333331</v>
          </cell>
          <cell r="AJ177">
            <v>0.33333333333333331</v>
          </cell>
          <cell r="AK177">
            <v>0.5</v>
          </cell>
          <cell r="AL177">
            <v>9.1287092917527832E-2</v>
          </cell>
          <cell r="AM177">
            <v>0.37499999999999994</v>
          </cell>
          <cell r="AN177">
            <v>0.24343224778007425</v>
          </cell>
          <cell r="AO177">
            <v>0</v>
          </cell>
          <cell r="AP177">
            <v>11.666666666666666</v>
          </cell>
          <cell r="AQ177">
            <v>35</v>
          </cell>
          <cell r="AR177">
            <v>0</v>
          </cell>
          <cell r="AS177">
            <v>10</v>
          </cell>
          <cell r="AT177">
            <v>10</v>
          </cell>
          <cell r="AU177">
            <v>10</v>
          </cell>
          <cell r="AV177">
            <v>0</v>
          </cell>
          <cell r="AW177">
            <v>9</v>
          </cell>
          <cell r="AX177">
            <v>10</v>
          </cell>
          <cell r="AY177">
            <v>20</v>
          </cell>
          <cell r="AZ177">
            <v>0</v>
          </cell>
          <cell r="BA177">
            <v>14.333333333333334</v>
          </cell>
          <cell r="BB177">
            <v>10</v>
          </cell>
          <cell r="BC177">
            <v>15</v>
          </cell>
          <cell r="BD177">
            <v>0</v>
          </cell>
          <cell r="BE177">
            <v>9.3333333333333339</v>
          </cell>
          <cell r="BF177">
            <v>14.000000000000002</v>
          </cell>
          <cell r="BG177">
            <v>0</v>
          </cell>
          <cell r="BH177">
            <v>8.6666666666666679</v>
          </cell>
          <cell r="BI177">
            <v>14</v>
          </cell>
          <cell r="BJ177">
            <v>28</v>
          </cell>
          <cell r="BK177">
            <v>0</v>
          </cell>
          <cell r="BL177">
            <v>13.666666666666666</v>
          </cell>
          <cell r="BM177">
            <v>15</v>
          </cell>
          <cell r="BN177">
            <v>45</v>
          </cell>
          <cell r="BO177">
            <v>0</v>
          </cell>
          <cell r="BP177">
            <v>14.666666666666666</v>
          </cell>
          <cell r="BQ177">
            <v>15</v>
          </cell>
          <cell r="BR177">
            <v>30</v>
          </cell>
          <cell r="BS177">
            <v>0</v>
          </cell>
          <cell r="BT177">
            <v>14.666666666666666</v>
          </cell>
          <cell r="BU177">
            <v>15</v>
          </cell>
          <cell r="BV177">
            <v>45</v>
          </cell>
          <cell r="BW177">
            <v>0</v>
          </cell>
          <cell r="BX177">
            <v>0</v>
          </cell>
          <cell r="BY177">
            <v>14.666666666666666</v>
          </cell>
          <cell r="BZ177">
            <v>12</v>
          </cell>
          <cell r="CA177">
            <v>24</v>
          </cell>
          <cell r="CB177">
            <v>0</v>
          </cell>
          <cell r="CC177">
            <v>0</v>
          </cell>
          <cell r="CD177">
            <v>11.5</v>
          </cell>
          <cell r="CE177">
            <v>12</v>
          </cell>
          <cell r="CF177">
            <v>24</v>
          </cell>
          <cell r="CG177">
            <v>0</v>
          </cell>
          <cell r="CH177">
            <v>0</v>
          </cell>
          <cell r="CI177">
            <v>11</v>
          </cell>
          <cell r="CJ177">
            <v>11</v>
          </cell>
          <cell r="CK177">
            <v>16.5</v>
          </cell>
          <cell r="CL177">
            <v>0</v>
          </cell>
          <cell r="CM177">
            <v>0</v>
          </cell>
          <cell r="CN177">
            <v>10.333333333333334</v>
          </cell>
          <cell r="CO177">
            <v>10</v>
          </cell>
          <cell r="CP177">
            <v>10</v>
          </cell>
          <cell r="CQ177">
            <v>0</v>
          </cell>
          <cell r="CR177">
            <v>0</v>
          </cell>
          <cell r="CS177">
            <v>9</v>
          </cell>
          <cell r="CT177">
            <v>9</v>
          </cell>
          <cell r="CU177">
            <v>9</v>
          </cell>
          <cell r="CV177">
            <v>0</v>
          </cell>
          <cell r="CW177">
            <v>0</v>
          </cell>
          <cell r="CX177">
            <v>8</v>
          </cell>
          <cell r="CY177">
            <v>9</v>
          </cell>
          <cell r="CZ177">
            <v>10.799999999999999</v>
          </cell>
          <cell r="DA177">
            <v>0</v>
          </cell>
          <cell r="DB177">
            <v>0</v>
          </cell>
          <cell r="DC177">
            <v>8.5</v>
          </cell>
          <cell r="DD177">
            <v>10</v>
          </cell>
          <cell r="DE177">
            <v>16</v>
          </cell>
          <cell r="DF177">
            <v>0</v>
          </cell>
          <cell r="DG177">
            <v>0</v>
          </cell>
          <cell r="DH177">
            <v>9.5</v>
          </cell>
          <cell r="DI177">
            <v>10</v>
          </cell>
          <cell r="DJ177">
            <v>18</v>
          </cell>
          <cell r="DK177">
            <v>0</v>
          </cell>
          <cell r="DL177">
            <v>0</v>
          </cell>
          <cell r="DM177">
            <v>9</v>
          </cell>
          <cell r="DN177">
            <v>14</v>
          </cell>
          <cell r="DO177">
            <v>26</v>
          </cell>
          <cell r="DP177">
            <v>0</v>
          </cell>
          <cell r="DQ177">
            <v>0</v>
          </cell>
          <cell r="DR177">
            <v>13.5</v>
          </cell>
          <cell r="DS177">
            <v>13.5</v>
          </cell>
          <cell r="DT177">
            <v>25</v>
          </cell>
          <cell r="DU177">
            <v>0</v>
          </cell>
          <cell r="DV177">
            <v>0</v>
          </cell>
          <cell r="DW177">
            <v>13</v>
          </cell>
          <cell r="DX177">
            <v>13</v>
          </cell>
          <cell r="DY177">
            <v>24</v>
          </cell>
          <cell r="DZ177">
            <v>0</v>
          </cell>
          <cell r="EA177">
            <v>0</v>
          </cell>
          <cell r="EB177">
            <v>12.5</v>
          </cell>
          <cell r="EC177">
            <v>12.5</v>
          </cell>
          <cell r="ED177">
            <v>23</v>
          </cell>
          <cell r="EE177">
            <v>0</v>
          </cell>
          <cell r="EF177">
            <v>0</v>
          </cell>
          <cell r="EG177">
            <v>12</v>
          </cell>
          <cell r="EH177">
            <v>12</v>
          </cell>
          <cell r="EI177">
            <v>22</v>
          </cell>
          <cell r="EJ177">
            <v>0</v>
          </cell>
          <cell r="EK177">
            <v>0</v>
          </cell>
          <cell r="EL177">
            <v>11.5</v>
          </cell>
          <cell r="EM177">
            <v>11.5</v>
          </cell>
          <cell r="EN177">
            <v>21</v>
          </cell>
          <cell r="EO177">
            <v>0</v>
          </cell>
          <cell r="EP177">
            <v>0</v>
          </cell>
          <cell r="EQ177">
            <v>11</v>
          </cell>
          <cell r="ER177">
            <v>11</v>
          </cell>
          <cell r="ES177">
            <v>20</v>
          </cell>
          <cell r="ET177">
            <v>0</v>
          </cell>
          <cell r="EU177">
            <v>0</v>
          </cell>
          <cell r="EV177">
            <v>10.5</v>
          </cell>
          <cell r="EW177">
            <v>10.5</v>
          </cell>
          <cell r="EX177">
            <v>19</v>
          </cell>
          <cell r="EY177">
            <v>0</v>
          </cell>
          <cell r="EZ177">
            <v>0</v>
          </cell>
          <cell r="FA177">
            <v>10</v>
          </cell>
          <cell r="FB177">
            <v>10</v>
          </cell>
          <cell r="FC177">
            <v>18</v>
          </cell>
          <cell r="FD177">
            <v>0</v>
          </cell>
          <cell r="FE177">
            <v>0</v>
          </cell>
          <cell r="FF177">
            <v>9.5</v>
          </cell>
          <cell r="FG177">
            <v>9.5</v>
          </cell>
          <cell r="FH177">
            <v>17</v>
          </cell>
          <cell r="FI177">
            <v>0</v>
          </cell>
          <cell r="FJ177">
            <v>0</v>
          </cell>
          <cell r="FK177">
            <v>9</v>
          </cell>
          <cell r="FL177">
            <v>9</v>
          </cell>
          <cell r="FM177">
            <v>16</v>
          </cell>
          <cell r="FN177">
            <v>0</v>
          </cell>
          <cell r="FO177">
            <v>0</v>
          </cell>
          <cell r="FP177">
            <v>8.5</v>
          </cell>
          <cell r="FQ177">
            <v>8.5</v>
          </cell>
          <cell r="FR177">
            <v>15</v>
          </cell>
          <cell r="FS177">
            <v>0</v>
          </cell>
          <cell r="FT177">
            <v>2</v>
          </cell>
          <cell r="FU177">
            <v>2.0333333333333332</v>
          </cell>
          <cell r="FW177" t="str">
            <v>SOBRESTOCK</v>
          </cell>
          <cell r="FX177" t="str">
            <v>C</v>
          </cell>
          <cell r="FY177" t="str">
            <v>Si</v>
          </cell>
        </row>
        <row r="178">
          <cell r="B178" t="str">
            <v>REP-0184</v>
          </cell>
          <cell r="C178" t="str">
            <v>MIX</v>
          </cell>
          <cell r="D178">
            <v>0</v>
          </cell>
          <cell r="E178">
            <v>1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AA178">
            <v>1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1</v>
          </cell>
          <cell r="AQ178" t="str">
            <v/>
          </cell>
          <cell r="AR178">
            <v>0</v>
          </cell>
          <cell r="AS178">
            <v>1</v>
          </cell>
          <cell r="AT178">
            <v>1</v>
          </cell>
          <cell r="AU178" t="str">
            <v/>
          </cell>
          <cell r="AV178">
            <v>0</v>
          </cell>
          <cell r="AW178">
            <v>1</v>
          </cell>
          <cell r="AX178">
            <v>1</v>
          </cell>
          <cell r="AY178" t="str">
            <v/>
          </cell>
          <cell r="AZ178">
            <v>0</v>
          </cell>
          <cell r="BA178">
            <v>1</v>
          </cell>
          <cell r="BB178">
            <v>1</v>
          </cell>
          <cell r="BC178">
            <v>3</v>
          </cell>
          <cell r="BD178">
            <v>0</v>
          </cell>
          <cell r="BE178">
            <v>0.66666666666666674</v>
          </cell>
          <cell r="BF178">
            <v>2.0000000000000004</v>
          </cell>
          <cell r="BG178">
            <v>0</v>
          </cell>
          <cell r="BH178">
            <v>0.33333333333333343</v>
          </cell>
          <cell r="BI178">
            <v>1</v>
          </cell>
          <cell r="BJ178" t="str">
            <v/>
          </cell>
          <cell r="BK178">
            <v>0</v>
          </cell>
          <cell r="BL178">
            <v>1</v>
          </cell>
          <cell r="BM178">
            <v>1</v>
          </cell>
          <cell r="BN178" t="str">
            <v/>
          </cell>
          <cell r="BO178">
            <v>0</v>
          </cell>
          <cell r="BP178">
            <v>1</v>
          </cell>
          <cell r="BQ178">
            <v>1</v>
          </cell>
          <cell r="BR178" t="str">
            <v/>
          </cell>
          <cell r="BS178">
            <v>0</v>
          </cell>
          <cell r="BT178">
            <v>1</v>
          </cell>
          <cell r="BU178">
            <v>1</v>
          </cell>
          <cell r="BV178" t="str">
            <v/>
          </cell>
          <cell r="BW178">
            <v>0</v>
          </cell>
          <cell r="BX178">
            <v>0</v>
          </cell>
          <cell r="BY178">
            <v>1</v>
          </cell>
          <cell r="BZ178">
            <v>1</v>
          </cell>
          <cell r="CA178" t="str">
            <v/>
          </cell>
          <cell r="CB178">
            <v>0</v>
          </cell>
          <cell r="CC178">
            <v>0</v>
          </cell>
          <cell r="CD178">
            <v>1</v>
          </cell>
          <cell r="CE178">
            <v>1</v>
          </cell>
          <cell r="CF178" t="str">
            <v/>
          </cell>
          <cell r="CG178">
            <v>0</v>
          </cell>
          <cell r="CH178">
            <v>0</v>
          </cell>
          <cell r="CI178">
            <v>1</v>
          </cell>
          <cell r="CJ178">
            <v>1</v>
          </cell>
          <cell r="CK178" t="str">
            <v/>
          </cell>
          <cell r="CL178">
            <v>0</v>
          </cell>
          <cell r="CM178">
            <v>0</v>
          </cell>
          <cell r="CN178">
            <v>1</v>
          </cell>
          <cell r="CO178">
            <v>1</v>
          </cell>
          <cell r="CP178" t="str">
            <v/>
          </cell>
          <cell r="CQ178">
            <v>0</v>
          </cell>
          <cell r="CR178">
            <v>0</v>
          </cell>
          <cell r="CS178">
            <v>1</v>
          </cell>
          <cell r="CT178">
            <v>1</v>
          </cell>
          <cell r="CU178" t="str">
            <v/>
          </cell>
          <cell r="CV178">
            <v>0</v>
          </cell>
          <cell r="CW178">
            <v>0</v>
          </cell>
          <cell r="CX178">
            <v>1</v>
          </cell>
          <cell r="CY178">
            <v>1</v>
          </cell>
          <cell r="CZ178" t="str">
            <v/>
          </cell>
          <cell r="DA178">
            <v>0</v>
          </cell>
          <cell r="DB178">
            <v>0</v>
          </cell>
          <cell r="DC178">
            <v>1</v>
          </cell>
          <cell r="DD178">
            <v>1</v>
          </cell>
          <cell r="DE178" t="str">
            <v/>
          </cell>
          <cell r="DF178">
            <v>0</v>
          </cell>
          <cell r="DG178">
            <v>0</v>
          </cell>
          <cell r="DH178">
            <v>1</v>
          </cell>
          <cell r="DI178">
            <v>1</v>
          </cell>
          <cell r="DJ178" t="str">
            <v/>
          </cell>
          <cell r="DK178">
            <v>0</v>
          </cell>
          <cell r="DL178">
            <v>0</v>
          </cell>
          <cell r="DM178">
            <v>1</v>
          </cell>
          <cell r="DN178">
            <v>1</v>
          </cell>
          <cell r="DO178" t="str">
            <v/>
          </cell>
          <cell r="DP178">
            <v>0</v>
          </cell>
          <cell r="DQ178">
            <v>0</v>
          </cell>
          <cell r="DR178">
            <v>1</v>
          </cell>
          <cell r="DS178">
            <v>1</v>
          </cell>
          <cell r="DT178" t="str">
            <v/>
          </cell>
          <cell r="DU178">
            <v>0</v>
          </cell>
          <cell r="DV178">
            <v>0</v>
          </cell>
          <cell r="DW178">
            <v>1</v>
          </cell>
          <cell r="DX178">
            <v>1</v>
          </cell>
          <cell r="DY178" t="str">
            <v/>
          </cell>
          <cell r="DZ178">
            <v>0</v>
          </cell>
          <cell r="EA178">
            <v>0</v>
          </cell>
          <cell r="EB178">
            <v>1</v>
          </cell>
          <cell r="EC178">
            <v>1</v>
          </cell>
          <cell r="ED178" t="str">
            <v/>
          </cell>
          <cell r="EE178">
            <v>0</v>
          </cell>
          <cell r="EF178">
            <v>0</v>
          </cell>
          <cell r="EG178">
            <v>1</v>
          </cell>
          <cell r="EH178">
            <v>1</v>
          </cell>
          <cell r="EI178" t="str">
            <v/>
          </cell>
          <cell r="EJ178">
            <v>0</v>
          </cell>
          <cell r="EK178">
            <v>0</v>
          </cell>
          <cell r="EL178">
            <v>1</v>
          </cell>
          <cell r="EM178">
            <v>1</v>
          </cell>
          <cell r="EN178" t="str">
            <v/>
          </cell>
          <cell r="EO178">
            <v>0</v>
          </cell>
          <cell r="EP178">
            <v>0</v>
          </cell>
          <cell r="EQ178">
            <v>1</v>
          </cell>
          <cell r="ER178">
            <v>1</v>
          </cell>
          <cell r="ES178" t="str">
            <v/>
          </cell>
          <cell r="ET178">
            <v>0</v>
          </cell>
          <cell r="EU178">
            <v>0</v>
          </cell>
          <cell r="EV178">
            <v>1</v>
          </cell>
          <cell r="EW178">
            <v>1</v>
          </cell>
          <cell r="EX178" t="str">
            <v/>
          </cell>
          <cell r="EY178">
            <v>0</v>
          </cell>
          <cell r="EZ178">
            <v>0</v>
          </cell>
          <cell r="FA178">
            <v>1</v>
          </cell>
          <cell r="FB178">
            <v>1</v>
          </cell>
          <cell r="FC178" t="str">
            <v/>
          </cell>
          <cell r="FD178">
            <v>0</v>
          </cell>
          <cell r="FE178">
            <v>0</v>
          </cell>
          <cell r="FF178">
            <v>1</v>
          </cell>
          <cell r="FG178">
            <v>1</v>
          </cell>
          <cell r="FH178" t="str">
            <v/>
          </cell>
          <cell r="FI178">
            <v>0</v>
          </cell>
          <cell r="FJ178">
            <v>0</v>
          </cell>
          <cell r="FK178">
            <v>1</v>
          </cell>
          <cell r="FL178">
            <v>1</v>
          </cell>
          <cell r="FM178" t="str">
            <v/>
          </cell>
          <cell r="FN178">
            <v>0</v>
          </cell>
          <cell r="FO178">
            <v>0</v>
          </cell>
          <cell r="FP178">
            <v>1</v>
          </cell>
          <cell r="FQ178">
            <v>1</v>
          </cell>
          <cell r="FR178" t="str">
            <v/>
          </cell>
          <cell r="FS178">
            <v>0</v>
          </cell>
          <cell r="FT178">
            <v>0</v>
          </cell>
          <cell r="FU178">
            <v>2.0333333333333332</v>
          </cell>
          <cell r="FV178" t="str">
            <v>SI</v>
          </cell>
          <cell r="FW178" t="str">
            <v>SIN ROTACIÓN</v>
          </cell>
          <cell r="FX178" t="str">
            <v>STOCK MUERTO</v>
          </cell>
          <cell r="FY178" t="str">
            <v>Si</v>
          </cell>
        </row>
        <row r="179">
          <cell r="B179" t="str">
            <v>REP-0185</v>
          </cell>
          <cell r="C179" t="str">
            <v>MIX</v>
          </cell>
          <cell r="D179">
            <v>0</v>
          </cell>
          <cell r="E179">
            <v>4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4</v>
          </cell>
          <cell r="AA179">
            <v>4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4</v>
          </cell>
          <cell r="AQ179" t="str">
            <v/>
          </cell>
          <cell r="AR179">
            <v>0</v>
          </cell>
          <cell r="AS179">
            <v>4</v>
          </cell>
          <cell r="AT179">
            <v>4</v>
          </cell>
          <cell r="AU179" t="str">
            <v/>
          </cell>
          <cell r="AV179">
            <v>0</v>
          </cell>
          <cell r="AW179">
            <v>4</v>
          </cell>
          <cell r="AX179">
            <v>4</v>
          </cell>
          <cell r="AY179" t="str">
            <v/>
          </cell>
          <cell r="AZ179">
            <v>0</v>
          </cell>
          <cell r="BA179">
            <v>4</v>
          </cell>
          <cell r="BB179">
            <v>4</v>
          </cell>
          <cell r="BC179" t="str">
            <v/>
          </cell>
          <cell r="BD179">
            <v>0</v>
          </cell>
          <cell r="BE179">
            <v>4</v>
          </cell>
          <cell r="BF179" t="str">
            <v/>
          </cell>
          <cell r="BG179">
            <v>0</v>
          </cell>
          <cell r="BH179">
            <v>4</v>
          </cell>
          <cell r="BI179">
            <v>4</v>
          </cell>
          <cell r="BJ179" t="str">
            <v/>
          </cell>
          <cell r="BK179">
            <v>0</v>
          </cell>
          <cell r="BL179">
            <v>4</v>
          </cell>
          <cell r="BM179">
            <v>4</v>
          </cell>
          <cell r="BN179" t="str">
            <v/>
          </cell>
          <cell r="BO179">
            <v>0</v>
          </cell>
          <cell r="BP179">
            <v>4</v>
          </cell>
          <cell r="BQ179">
            <v>4</v>
          </cell>
          <cell r="BR179" t="str">
            <v/>
          </cell>
          <cell r="BS179">
            <v>0</v>
          </cell>
          <cell r="BT179">
            <v>4</v>
          </cell>
          <cell r="BU179">
            <v>4</v>
          </cell>
          <cell r="BV179" t="str">
            <v/>
          </cell>
          <cell r="BW179">
            <v>0</v>
          </cell>
          <cell r="BX179">
            <v>0</v>
          </cell>
          <cell r="BY179">
            <v>4</v>
          </cell>
          <cell r="BZ179">
            <v>4</v>
          </cell>
          <cell r="CA179" t="str">
            <v/>
          </cell>
          <cell r="CB179">
            <v>0</v>
          </cell>
          <cell r="CC179">
            <v>0</v>
          </cell>
          <cell r="CD179">
            <v>4</v>
          </cell>
          <cell r="CE179">
            <v>4</v>
          </cell>
          <cell r="CF179" t="str">
            <v/>
          </cell>
          <cell r="CG179">
            <v>0</v>
          </cell>
          <cell r="CH179">
            <v>0</v>
          </cell>
          <cell r="CI179">
            <v>4</v>
          </cell>
          <cell r="CJ179">
            <v>4</v>
          </cell>
          <cell r="CK179" t="str">
            <v/>
          </cell>
          <cell r="CL179">
            <v>0</v>
          </cell>
          <cell r="CM179">
            <v>0</v>
          </cell>
          <cell r="CN179">
            <v>4</v>
          </cell>
          <cell r="CO179">
            <v>4</v>
          </cell>
          <cell r="CP179" t="str">
            <v/>
          </cell>
          <cell r="CQ179">
            <v>0</v>
          </cell>
          <cell r="CR179">
            <v>0</v>
          </cell>
          <cell r="CS179">
            <v>4</v>
          </cell>
          <cell r="CT179">
            <v>4</v>
          </cell>
          <cell r="CU179" t="str">
            <v/>
          </cell>
          <cell r="CV179">
            <v>0</v>
          </cell>
          <cell r="CW179">
            <v>0</v>
          </cell>
          <cell r="CX179">
            <v>4</v>
          </cell>
          <cell r="CY179">
            <v>4</v>
          </cell>
          <cell r="CZ179" t="str">
            <v/>
          </cell>
          <cell r="DA179">
            <v>0</v>
          </cell>
          <cell r="DB179">
            <v>0</v>
          </cell>
          <cell r="DC179">
            <v>4</v>
          </cell>
          <cell r="DD179">
            <v>4</v>
          </cell>
          <cell r="DE179" t="str">
            <v/>
          </cell>
          <cell r="DF179">
            <v>0</v>
          </cell>
          <cell r="DG179">
            <v>0</v>
          </cell>
          <cell r="DH179">
            <v>4</v>
          </cell>
          <cell r="DI179">
            <v>4</v>
          </cell>
          <cell r="DJ179" t="str">
            <v/>
          </cell>
          <cell r="DK179">
            <v>0</v>
          </cell>
          <cell r="DL179">
            <v>0</v>
          </cell>
          <cell r="DM179">
            <v>4</v>
          </cell>
          <cell r="DN179">
            <v>4</v>
          </cell>
          <cell r="DO179" t="str">
            <v/>
          </cell>
          <cell r="DP179">
            <v>0</v>
          </cell>
          <cell r="DQ179">
            <v>0</v>
          </cell>
          <cell r="DR179">
            <v>4</v>
          </cell>
          <cell r="DS179">
            <v>4</v>
          </cell>
          <cell r="DT179" t="str">
            <v/>
          </cell>
          <cell r="DU179">
            <v>0</v>
          </cell>
          <cell r="DV179">
            <v>0</v>
          </cell>
          <cell r="DW179">
            <v>4</v>
          </cell>
          <cell r="DX179">
            <v>4</v>
          </cell>
          <cell r="DY179" t="str">
            <v/>
          </cell>
          <cell r="DZ179">
            <v>0</v>
          </cell>
          <cell r="EA179">
            <v>0</v>
          </cell>
          <cell r="EB179">
            <v>4</v>
          </cell>
          <cell r="EC179">
            <v>4</v>
          </cell>
          <cell r="ED179" t="str">
            <v/>
          </cell>
          <cell r="EE179">
            <v>0</v>
          </cell>
          <cell r="EF179">
            <v>0</v>
          </cell>
          <cell r="EG179">
            <v>4</v>
          </cell>
          <cell r="EH179">
            <v>4</v>
          </cell>
          <cell r="EI179" t="str">
            <v/>
          </cell>
          <cell r="EJ179">
            <v>0</v>
          </cell>
          <cell r="EK179">
            <v>0</v>
          </cell>
          <cell r="EL179">
            <v>4</v>
          </cell>
          <cell r="EM179">
            <v>4</v>
          </cell>
          <cell r="EN179" t="str">
            <v/>
          </cell>
          <cell r="EO179">
            <v>0</v>
          </cell>
          <cell r="EP179">
            <v>0</v>
          </cell>
          <cell r="EQ179">
            <v>4</v>
          </cell>
          <cell r="ER179">
            <v>4</v>
          </cell>
          <cell r="ES179" t="str">
            <v/>
          </cell>
          <cell r="ET179">
            <v>0</v>
          </cell>
          <cell r="EU179">
            <v>0</v>
          </cell>
          <cell r="EV179">
            <v>4</v>
          </cell>
          <cell r="EW179">
            <v>4</v>
          </cell>
          <cell r="EX179" t="str">
            <v/>
          </cell>
          <cell r="EY179">
            <v>0</v>
          </cell>
          <cell r="EZ179">
            <v>0</v>
          </cell>
          <cell r="FA179">
            <v>4</v>
          </cell>
          <cell r="FB179">
            <v>4</v>
          </cell>
          <cell r="FC179" t="str">
            <v/>
          </cell>
          <cell r="FD179">
            <v>0</v>
          </cell>
          <cell r="FE179">
            <v>0</v>
          </cell>
          <cell r="FF179">
            <v>4</v>
          </cell>
          <cell r="FG179">
            <v>4</v>
          </cell>
          <cell r="FH179" t="str">
            <v/>
          </cell>
          <cell r="FI179">
            <v>0</v>
          </cell>
          <cell r="FJ179">
            <v>0</v>
          </cell>
          <cell r="FK179">
            <v>4</v>
          </cell>
          <cell r="FL179">
            <v>4</v>
          </cell>
          <cell r="FM179" t="str">
            <v/>
          </cell>
          <cell r="FN179">
            <v>0</v>
          </cell>
          <cell r="FO179">
            <v>0</v>
          </cell>
          <cell r="FP179">
            <v>4</v>
          </cell>
          <cell r="FQ179">
            <v>4</v>
          </cell>
          <cell r="FR179" t="str">
            <v/>
          </cell>
          <cell r="FS179">
            <v>0</v>
          </cell>
          <cell r="FT179">
            <v>0</v>
          </cell>
          <cell r="FU179">
            <v>2.0333333333333332</v>
          </cell>
          <cell r="FV179" t="str">
            <v>SI</v>
          </cell>
          <cell r="FW179" t="str">
            <v>SIN ROTACIÓN</v>
          </cell>
          <cell r="FX179" t="str">
            <v>STOCK MUERTO</v>
          </cell>
          <cell r="FY179" t="str">
            <v>Si</v>
          </cell>
        </row>
        <row r="180">
          <cell r="B180" t="str">
            <v>REP-0186</v>
          </cell>
          <cell r="C180" t="str">
            <v>NO VIGENTE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O180">
            <v>0</v>
          </cell>
          <cell r="AP180">
            <v>0</v>
          </cell>
          <cell r="AQ180" t="str">
            <v/>
          </cell>
          <cell r="AR180">
            <v>0</v>
          </cell>
          <cell r="AS180">
            <v>0</v>
          </cell>
          <cell r="AT180">
            <v>0</v>
          </cell>
          <cell r="AU180" t="str">
            <v/>
          </cell>
          <cell r="AV180">
            <v>0</v>
          </cell>
          <cell r="AW180">
            <v>0</v>
          </cell>
          <cell r="AX180">
            <v>0</v>
          </cell>
          <cell r="AY180" t="str">
            <v/>
          </cell>
          <cell r="AZ180">
            <v>0</v>
          </cell>
          <cell r="BA180">
            <v>0</v>
          </cell>
          <cell r="BB180">
            <v>0</v>
          </cell>
          <cell r="BC180" t="str">
            <v/>
          </cell>
          <cell r="BD180">
            <v>0</v>
          </cell>
          <cell r="BE180">
            <v>0</v>
          </cell>
          <cell r="BF180" t="str">
            <v/>
          </cell>
          <cell r="BG180">
            <v>0</v>
          </cell>
          <cell r="BH180">
            <v>0</v>
          </cell>
          <cell r="BI180">
            <v>0</v>
          </cell>
          <cell r="BJ180" t="str">
            <v/>
          </cell>
          <cell r="BK180">
            <v>0</v>
          </cell>
          <cell r="BL180">
            <v>0</v>
          </cell>
          <cell r="BM180">
            <v>0</v>
          </cell>
          <cell r="BN180" t="str">
            <v/>
          </cell>
          <cell r="BO180">
            <v>0</v>
          </cell>
          <cell r="BP180">
            <v>0</v>
          </cell>
          <cell r="BQ180">
            <v>0</v>
          </cell>
          <cell r="BR180" t="str">
            <v/>
          </cell>
          <cell r="BS180">
            <v>0</v>
          </cell>
          <cell r="BT180">
            <v>0</v>
          </cell>
          <cell r="BU180">
            <v>0</v>
          </cell>
          <cell r="BV180" t="str">
            <v/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 t="str">
            <v/>
          </cell>
          <cell r="CB180">
            <v>0</v>
          </cell>
          <cell r="CD180">
            <v>0</v>
          </cell>
          <cell r="CE180">
            <v>0</v>
          </cell>
          <cell r="CF180" t="str">
            <v/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 t="str">
            <v/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 t="str">
            <v/>
          </cell>
          <cell r="CQ180">
            <v>0</v>
          </cell>
          <cell r="CS180">
            <v>0</v>
          </cell>
          <cell r="CT180">
            <v>0</v>
          </cell>
          <cell r="CU180" t="str">
            <v/>
          </cell>
          <cell r="CV180">
            <v>0</v>
          </cell>
          <cell r="CX180">
            <v>0</v>
          </cell>
          <cell r="CY180">
            <v>0</v>
          </cell>
          <cell r="CZ180" t="str">
            <v/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 t="str">
            <v/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 t="str">
            <v/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 t="str">
            <v/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 t="str">
            <v/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 t="str">
            <v/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 t="str">
            <v/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 t="str">
            <v/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 t="str">
            <v/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 t="str">
            <v/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 t="str">
            <v/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 t="str">
            <v/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 t="str">
            <v/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 t="str">
            <v/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 t="str">
            <v/>
          </cell>
          <cell r="FS180">
            <v>0</v>
          </cell>
          <cell r="FT180">
            <v>0</v>
          </cell>
          <cell r="FU180">
            <v>66.666666666666671</v>
          </cell>
          <cell r="FW180" t="str">
            <v>SIN ROTACIÓN</v>
          </cell>
          <cell r="FX180">
            <v>0</v>
          </cell>
          <cell r="FY180" t="str">
            <v>No</v>
          </cell>
        </row>
        <row r="181">
          <cell r="B181" t="str">
            <v>REP-0187</v>
          </cell>
          <cell r="C181" t="str">
            <v>MIX</v>
          </cell>
          <cell r="D181">
            <v>0</v>
          </cell>
          <cell r="E181">
            <v>7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7</v>
          </cell>
          <cell r="AA181">
            <v>7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8</v>
          </cell>
          <cell r="AQ181" t="str">
            <v/>
          </cell>
          <cell r="AR181">
            <v>0</v>
          </cell>
          <cell r="AS181">
            <v>8</v>
          </cell>
          <cell r="AT181">
            <v>8</v>
          </cell>
          <cell r="AU181" t="str">
            <v/>
          </cell>
          <cell r="AV181">
            <v>0</v>
          </cell>
          <cell r="AW181">
            <v>8</v>
          </cell>
          <cell r="AX181">
            <v>8</v>
          </cell>
          <cell r="AY181" t="str">
            <v/>
          </cell>
          <cell r="AZ181">
            <v>0</v>
          </cell>
          <cell r="BA181">
            <v>8</v>
          </cell>
          <cell r="BB181">
            <v>8</v>
          </cell>
          <cell r="BC181" t="str">
            <v/>
          </cell>
          <cell r="BD181">
            <v>0</v>
          </cell>
          <cell r="BE181">
            <v>8</v>
          </cell>
          <cell r="BF181" t="str">
            <v/>
          </cell>
          <cell r="BG181">
            <v>0</v>
          </cell>
          <cell r="BH181">
            <v>8</v>
          </cell>
          <cell r="BI181">
            <v>7</v>
          </cell>
          <cell r="BJ181" t="str">
            <v/>
          </cell>
          <cell r="BK181">
            <v>0</v>
          </cell>
          <cell r="BL181">
            <v>8</v>
          </cell>
          <cell r="BM181">
            <v>7</v>
          </cell>
          <cell r="BN181" t="str">
            <v/>
          </cell>
          <cell r="BO181">
            <v>0</v>
          </cell>
          <cell r="BP181">
            <v>7</v>
          </cell>
          <cell r="BQ181">
            <v>8</v>
          </cell>
          <cell r="BR181" t="str">
            <v/>
          </cell>
          <cell r="BS181">
            <v>0</v>
          </cell>
          <cell r="BT181">
            <v>8</v>
          </cell>
          <cell r="BU181">
            <v>8</v>
          </cell>
          <cell r="BV181" t="str">
            <v/>
          </cell>
          <cell r="BW181">
            <v>0</v>
          </cell>
          <cell r="BX181">
            <v>0</v>
          </cell>
          <cell r="BY181">
            <v>8</v>
          </cell>
          <cell r="BZ181">
            <v>8</v>
          </cell>
          <cell r="CA181" t="str">
            <v/>
          </cell>
          <cell r="CB181">
            <v>0</v>
          </cell>
          <cell r="CC181">
            <v>0</v>
          </cell>
          <cell r="CD181">
            <v>8</v>
          </cell>
          <cell r="CE181">
            <v>8</v>
          </cell>
          <cell r="CF181" t="str">
            <v/>
          </cell>
          <cell r="CG181">
            <v>0</v>
          </cell>
          <cell r="CH181">
            <v>0</v>
          </cell>
          <cell r="CI181">
            <v>8</v>
          </cell>
          <cell r="CJ181">
            <v>8</v>
          </cell>
          <cell r="CK181" t="str">
            <v/>
          </cell>
          <cell r="CL181">
            <v>0</v>
          </cell>
          <cell r="CM181">
            <v>0</v>
          </cell>
          <cell r="CN181">
            <v>8</v>
          </cell>
          <cell r="CO181">
            <v>7</v>
          </cell>
          <cell r="CP181" t="str">
            <v/>
          </cell>
          <cell r="CQ181">
            <v>0</v>
          </cell>
          <cell r="CR181">
            <v>0</v>
          </cell>
          <cell r="CS181">
            <v>7</v>
          </cell>
          <cell r="CT181">
            <v>7</v>
          </cell>
          <cell r="CU181" t="str">
            <v/>
          </cell>
          <cell r="CV181">
            <v>0</v>
          </cell>
          <cell r="CW181">
            <v>0</v>
          </cell>
          <cell r="CX181">
            <v>7</v>
          </cell>
          <cell r="CY181">
            <v>7</v>
          </cell>
          <cell r="CZ181" t="str">
            <v/>
          </cell>
          <cell r="DA181">
            <v>0</v>
          </cell>
          <cell r="DB181">
            <v>0</v>
          </cell>
          <cell r="DC181">
            <v>7</v>
          </cell>
          <cell r="DD181">
            <v>7</v>
          </cell>
          <cell r="DE181" t="str">
            <v/>
          </cell>
          <cell r="DF181">
            <v>0</v>
          </cell>
          <cell r="DG181">
            <v>0</v>
          </cell>
          <cell r="DH181">
            <v>7</v>
          </cell>
          <cell r="DI181">
            <v>7</v>
          </cell>
          <cell r="DJ181" t="str">
            <v/>
          </cell>
          <cell r="DK181">
            <v>0</v>
          </cell>
          <cell r="DL181">
            <v>0</v>
          </cell>
          <cell r="DM181">
            <v>7</v>
          </cell>
          <cell r="DN181">
            <v>7</v>
          </cell>
          <cell r="DO181" t="str">
            <v/>
          </cell>
          <cell r="DP181">
            <v>0</v>
          </cell>
          <cell r="DQ181">
            <v>0</v>
          </cell>
          <cell r="DR181">
            <v>7</v>
          </cell>
          <cell r="DS181">
            <v>7</v>
          </cell>
          <cell r="DT181" t="str">
            <v/>
          </cell>
          <cell r="DU181">
            <v>0</v>
          </cell>
          <cell r="DV181">
            <v>0</v>
          </cell>
          <cell r="DW181">
            <v>7</v>
          </cell>
          <cell r="DX181">
            <v>7</v>
          </cell>
          <cell r="DY181" t="str">
            <v/>
          </cell>
          <cell r="DZ181">
            <v>0</v>
          </cell>
          <cell r="EA181">
            <v>0</v>
          </cell>
          <cell r="EB181">
            <v>7</v>
          </cell>
          <cell r="EC181">
            <v>7</v>
          </cell>
          <cell r="ED181" t="str">
            <v/>
          </cell>
          <cell r="EE181">
            <v>0</v>
          </cell>
          <cell r="EF181">
            <v>0</v>
          </cell>
          <cell r="EG181">
            <v>7</v>
          </cell>
          <cell r="EH181">
            <v>7</v>
          </cell>
          <cell r="EI181" t="str">
            <v/>
          </cell>
          <cell r="EJ181">
            <v>0</v>
          </cell>
          <cell r="EK181">
            <v>0</v>
          </cell>
          <cell r="EL181">
            <v>7</v>
          </cell>
          <cell r="EM181">
            <v>7</v>
          </cell>
          <cell r="EN181" t="str">
            <v/>
          </cell>
          <cell r="EO181">
            <v>0</v>
          </cell>
          <cell r="EP181">
            <v>0</v>
          </cell>
          <cell r="EQ181">
            <v>7</v>
          </cell>
          <cell r="ER181">
            <v>7</v>
          </cell>
          <cell r="ES181" t="str">
            <v/>
          </cell>
          <cell r="ET181">
            <v>0</v>
          </cell>
          <cell r="EU181">
            <v>0</v>
          </cell>
          <cell r="EV181">
            <v>7</v>
          </cell>
          <cell r="EW181">
            <v>7</v>
          </cell>
          <cell r="EX181" t="str">
            <v/>
          </cell>
          <cell r="EY181">
            <v>0</v>
          </cell>
          <cell r="EZ181">
            <v>0</v>
          </cell>
          <cell r="FA181">
            <v>7</v>
          </cell>
          <cell r="FB181">
            <v>7</v>
          </cell>
          <cell r="FC181" t="str">
            <v/>
          </cell>
          <cell r="FD181">
            <v>0</v>
          </cell>
          <cell r="FE181">
            <v>0</v>
          </cell>
          <cell r="FF181">
            <v>7</v>
          </cell>
          <cell r="FG181">
            <v>7</v>
          </cell>
          <cell r="FH181" t="str">
            <v/>
          </cell>
          <cell r="FI181">
            <v>0</v>
          </cell>
          <cell r="FJ181">
            <v>0</v>
          </cell>
          <cell r="FK181">
            <v>7</v>
          </cell>
          <cell r="FL181">
            <v>7</v>
          </cell>
          <cell r="FM181" t="str">
            <v/>
          </cell>
          <cell r="FN181">
            <v>0</v>
          </cell>
          <cell r="FO181">
            <v>0</v>
          </cell>
          <cell r="FP181">
            <v>7</v>
          </cell>
          <cell r="FQ181">
            <v>7</v>
          </cell>
          <cell r="FR181" t="str">
            <v/>
          </cell>
          <cell r="FS181">
            <v>0</v>
          </cell>
          <cell r="FT181">
            <v>0</v>
          </cell>
          <cell r="FU181">
            <v>2.0333333333333332</v>
          </cell>
          <cell r="FV181" t="str">
            <v>SI</v>
          </cell>
          <cell r="FW181" t="str">
            <v>SIN ROTACIÓN</v>
          </cell>
          <cell r="FX181" t="str">
            <v>STOCK MUERTO</v>
          </cell>
          <cell r="FY181" t="str">
            <v>Si</v>
          </cell>
        </row>
        <row r="182">
          <cell r="B182" t="str">
            <v>REP-0188</v>
          </cell>
          <cell r="C182" t="str">
            <v>NO VIGENTE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O182">
            <v>0</v>
          </cell>
          <cell r="AP182">
            <v>0</v>
          </cell>
          <cell r="AQ182" t="str">
            <v/>
          </cell>
          <cell r="AR182">
            <v>0</v>
          </cell>
          <cell r="AS182">
            <v>0</v>
          </cell>
          <cell r="AT182">
            <v>0</v>
          </cell>
          <cell r="AU182" t="str">
            <v/>
          </cell>
          <cell r="AV182">
            <v>0</v>
          </cell>
          <cell r="AW182">
            <v>0</v>
          </cell>
          <cell r="AX182">
            <v>0</v>
          </cell>
          <cell r="AY182" t="str">
            <v/>
          </cell>
          <cell r="AZ182">
            <v>0</v>
          </cell>
          <cell r="BA182">
            <v>0</v>
          </cell>
          <cell r="BB182">
            <v>0</v>
          </cell>
          <cell r="BC182" t="str">
            <v/>
          </cell>
          <cell r="BD182">
            <v>0</v>
          </cell>
          <cell r="BE182">
            <v>0</v>
          </cell>
          <cell r="BF182" t="str">
            <v/>
          </cell>
          <cell r="BG182">
            <v>0</v>
          </cell>
          <cell r="BH182">
            <v>0</v>
          </cell>
          <cell r="BI182">
            <v>0</v>
          </cell>
          <cell r="BJ182" t="str">
            <v/>
          </cell>
          <cell r="BK182">
            <v>0</v>
          </cell>
          <cell r="BL182">
            <v>0</v>
          </cell>
          <cell r="BM182">
            <v>0</v>
          </cell>
          <cell r="BN182" t="str">
            <v/>
          </cell>
          <cell r="BO182">
            <v>0</v>
          </cell>
          <cell r="BP182">
            <v>0</v>
          </cell>
          <cell r="BQ182">
            <v>0</v>
          </cell>
          <cell r="BR182" t="str">
            <v/>
          </cell>
          <cell r="BS182">
            <v>0</v>
          </cell>
          <cell r="BT182">
            <v>0</v>
          </cell>
          <cell r="BU182">
            <v>0</v>
          </cell>
          <cell r="BV182" t="str">
            <v/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 t="str">
            <v/>
          </cell>
          <cell r="CB182">
            <v>0</v>
          </cell>
          <cell r="CD182">
            <v>0</v>
          </cell>
          <cell r="CE182">
            <v>0</v>
          </cell>
          <cell r="CF182" t="str">
            <v/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 t="str">
            <v/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 t="str">
            <v/>
          </cell>
          <cell r="CQ182">
            <v>0</v>
          </cell>
          <cell r="CS182">
            <v>0</v>
          </cell>
          <cell r="CT182">
            <v>0</v>
          </cell>
          <cell r="CU182" t="str">
            <v/>
          </cell>
          <cell r="CV182">
            <v>0</v>
          </cell>
          <cell r="CX182">
            <v>0</v>
          </cell>
          <cell r="CY182">
            <v>0</v>
          </cell>
          <cell r="CZ182" t="str">
            <v/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 t="str">
            <v/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 t="str">
            <v/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 t="str">
            <v/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 t="str">
            <v/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 t="str">
            <v/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 t="str">
            <v/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 t="str">
            <v/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 t="str">
            <v/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 t="str">
            <v/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 t="str">
            <v/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 t="str">
            <v/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 t="str">
            <v/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 t="str">
            <v/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 t="str">
            <v/>
          </cell>
          <cell r="FS182">
            <v>0</v>
          </cell>
          <cell r="FT182">
            <v>0</v>
          </cell>
          <cell r="FU182">
            <v>66.666666666666671</v>
          </cell>
          <cell r="FW182" t="str">
            <v>SIN ROTACIÓN</v>
          </cell>
          <cell r="FX182">
            <v>0</v>
          </cell>
          <cell r="FY182" t="str">
            <v>No</v>
          </cell>
        </row>
        <row r="183">
          <cell r="B183" t="str">
            <v>REP-0189</v>
          </cell>
          <cell r="C183" t="str">
            <v>MIX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O183">
            <v>0</v>
          </cell>
          <cell r="AP183">
            <v>0</v>
          </cell>
          <cell r="AQ183" t="str">
            <v/>
          </cell>
          <cell r="AR183">
            <v>0</v>
          </cell>
          <cell r="AS183">
            <v>0</v>
          </cell>
          <cell r="AT183">
            <v>0</v>
          </cell>
          <cell r="AU183" t="str">
            <v/>
          </cell>
          <cell r="AV183">
            <v>0</v>
          </cell>
          <cell r="AW183">
            <v>0</v>
          </cell>
          <cell r="AX183">
            <v>0</v>
          </cell>
          <cell r="AY183" t="str">
            <v/>
          </cell>
          <cell r="AZ183">
            <v>0</v>
          </cell>
          <cell r="BA183">
            <v>0</v>
          </cell>
          <cell r="BB183">
            <v>0</v>
          </cell>
          <cell r="BC183" t="str">
            <v/>
          </cell>
          <cell r="BD183">
            <v>0</v>
          </cell>
          <cell r="BE183">
            <v>0</v>
          </cell>
          <cell r="BF183" t="str">
            <v/>
          </cell>
          <cell r="BG183">
            <v>0</v>
          </cell>
          <cell r="BH183">
            <v>0</v>
          </cell>
          <cell r="BI183">
            <v>0</v>
          </cell>
          <cell r="BJ183" t="str">
            <v/>
          </cell>
          <cell r="BK183">
            <v>0</v>
          </cell>
          <cell r="BL183">
            <v>0</v>
          </cell>
          <cell r="BM183">
            <v>0</v>
          </cell>
          <cell r="BN183" t="str">
            <v/>
          </cell>
          <cell r="BO183">
            <v>0</v>
          </cell>
          <cell r="BP183">
            <v>0</v>
          </cell>
          <cell r="BQ183">
            <v>0</v>
          </cell>
          <cell r="BR183" t="str">
            <v/>
          </cell>
          <cell r="BS183">
            <v>0</v>
          </cell>
          <cell r="BT183">
            <v>0</v>
          </cell>
          <cell r="BU183">
            <v>0</v>
          </cell>
          <cell r="BV183" t="str">
            <v/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 t="str">
            <v/>
          </cell>
          <cell r="CB183">
            <v>0</v>
          </cell>
          <cell r="CD183">
            <v>0</v>
          </cell>
          <cell r="CE183">
            <v>0</v>
          </cell>
          <cell r="CF183" t="str">
            <v/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 t="str">
            <v/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 t="str">
            <v/>
          </cell>
          <cell r="CQ183">
            <v>0</v>
          </cell>
          <cell r="CS183">
            <v>0</v>
          </cell>
          <cell r="CT183">
            <v>0</v>
          </cell>
          <cell r="CU183" t="str">
            <v/>
          </cell>
          <cell r="CV183">
            <v>0</v>
          </cell>
          <cell r="CX183">
            <v>0</v>
          </cell>
          <cell r="CY183">
            <v>0</v>
          </cell>
          <cell r="CZ183" t="str">
            <v/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 t="str">
            <v/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 t="str">
            <v/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 t="str">
            <v/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 t="str">
            <v/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 t="str">
            <v/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 t="str">
            <v/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 t="str">
            <v/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 t="str">
            <v/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 t="str">
            <v/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 t="str">
            <v/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 t="str">
            <v/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 t="str">
            <v/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 t="str">
            <v/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 t="str">
            <v/>
          </cell>
          <cell r="FS183">
            <v>0</v>
          </cell>
          <cell r="FT183">
            <v>0</v>
          </cell>
          <cell r="FU183">
            <v>66.666666666666671</v>
          </cell>
          <cell r="FW183" t="str">
            <v>SIN ROTACIÓN</v>
          </cell>
          <cell r="FX183" t="str">
            <v/>
          </cell>
          <cell r="FY183" t="str">
            <v>No</v>
          </cell>
        </row>
        <row r="184">
          <cell r="B184" t="str">
            <v>REP-0190</v>
          </cell>
          <cell r="C184" t="str">
            <v>MIX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M184">
            <v>0</v>
          </cell>
          <cell r="AO184">
            <v>0</v>
          </cell>
          <cell r="AP184">
            <v>0</v>
          </cell>
          <cell r="AQ184" t="str">
            <v/>
          </cell>
          <cell r="AR184">
            <v>0</v>
          </cell>
          <cell r="AS184">
            <v>0</v>
          </cell>
          <cell r="AT184">
            <v>0</v>
          </cell>
          <cell r="AU184" t="str">
            <v/>
          </cell>
          <cell r="AV184">
            <v>0</v>
          </cell>
          <cell r="AW184">
            <v>0</v>
          </cell>
          <cell r="AX184">
            <v>0</v>
          </cell>
          <cell r="AY184" t="str">
            <v/>
          </cell>
          <cell r="AZ184">
            <v>0</v>
          </cell>
          <cell r="BA184">
            <v>0</v>
          </cell>
          <cell r="BB184">
            <v>0</v>
          </cell>
          <cell r="BC184" t="str">
            <v/>
          </cell>
          <cell r="BD184">
            <v>0</v>
          </cell>
          <cell r="BE184">
            <v>0</v>
          </cell>
          <cell r="BF184" t="str">
            <v/>
          </cell>
          <cell r="BG184">
            <v>0</v>
          </cell>
          <cell r="BH184">
            <v>0</v>
          </cell>
          <cell r="BI184">
            <v>0</v>
          </cell>
          <cell r="BJ184" t="str">
            <v/>
          </cell>
          <cell r="BK184">
            <v>0</v>
          </cell>
          <cell r="BL184">
            <v>0</v>
          </cell>
          <cell r="BM184">
            <v>0</v>
          </cell>
          <cell r="BN184" t="str">
            <v/>
          </cell>
          <cell r="BO184">
            <v>0</v>
          </cell>
          <cell r="BP184">
            <v>0</v>
          </cell>
          <cell r="BQ184">
            <v>0</v>
          </cell>
          <cell r="BR184" t="str">
            <v/>
          </cell>
          <cell r="BS184">
            <v>0</v>
          </cell>
          <cell r="BT184">
            <v>0</v>
          </cell>
          <cell r="BU184">
            <v>0</v>
          </cell>
          <cell r="BV184" t="str">
            <v/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 t="str">
            <v/>
          </cell>
          <cell r="CB184">
            <v>0</v>
          </cell>
          <cell r="CD184">
            <v>0</v>
          </cell>
          <cell r="CE184">
            <v>0</v>
          </cell>
          <cell r="CF184" t="str">
            <v/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 t="str">
            <v/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 t="str">
            <v/>
          </cell>
          <cell r="CQ184">
            <v>0</v>
          </cell>
          <cell r="CS184">
            <v>0</v>
          </cell>
          <cell r="CT184">
            <v>0</v>
          </cell>
          <cell r="CU184" t="str">
            <v/>
          </cell>
          <cell r="CV184">
            <v>0</v>
          </cell>
          <cell r="CX184">
            <v>0</v>
          </cell>
          <cell r="CY184">
            <v>0</v>
          </cell>
          <cell r="CZ184" t="str">
            <v/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 t="str">
            <v/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 t="str">
            <v/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 t="str">
            <v/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 t="str">
            <v/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 t="str">
            <v/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 t="str">
            <v/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 t="str">
            <v/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 t="str">
            <v/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 t="str">
            <v/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 t="str">
            <v/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 t="str">
            <v/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 t="str">
            <v/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 t="str">
            <v/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 t="str">
            <v/>
          </cell>
          <cell r="FS184">
            <v>0</v>
          </cell>
          <cell r="FT184">
            <v>0</v>
          </cell>
          <cell r="FU184">
            <v>66.666666666666671</v>
          </cell>
          <cell r="FW184" t="str">
            <v>SIN ROTACIÓN</v>
          </cell>
          <cell r="FX184" t="str">
            <v/>
          </cell>
          <cell r="FY184" t="str">
            <v>No</v>
          </cell>
        </row>
        <row r="185">
          <cell r="B185" t="str">
            <v>REP-0191</v>
          </cell>
          <cell r="C185" t="str">
            <v>MIX</v>
          </cell>
          <cell r="D185">
            <v>0</v>
          </cell>
          <cell r="E185">
            <v>10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10</v>
          </cell>
          <cell r="AA185">
            <v>10</v>
          </cell>
          <cell r="AB185">
            <v>0</v>
          </cell>
          <cell r="AC185">
            <v>0.16666666666666666</v>
          </cell>
          <cell r="AD185">
            <v>5.5555555555555549E-3</v>
          </cell>
          <cell r="AE185">
            <v>8.3333333333333329E-2</v>
          </cell>
          <cell r="AF185">
            <v>0</v>
          </cell>
          <cell r="AG185">
            <v>0</v>
          </cell>
          <cell r="AH185">
            <v>0.41666666666666669</v>
          </cell>
          <cell r="AI185">
            <v>0.5</v>
          </cell>
          <cell r="AJ185">
            <v>0.5</v>
          </cell>
          <cell r="AK185">
            <v>0.5</v>
          </cell>
          <cell r="AL185">
            <v>0.23935677693908453</v>
          </cell>
          <cell r="AM185">
            <v>0.35416666666666669</v>
          </cell>
          <cell r="AN185">
            <v>0.67583089959270926</v>
          </cell>
          <cell r="AO185">
            <v>0</v>
          </cell>
          <cell r="AP185">
            <v>3.5</v>
          </cell>
          <cell r="AQ185" t="str">
            <v/>
          </cell>
          <cell r="AR185">
            <v>0</v>
          </cell>
          <cell r="AS185">
            <v>4</v>
          </cell>
          <cell r="AT185">
            <v>4</v>
          </cell>
          <cell r="AU185" t="str">
            <v/>
          </cell>
          <cell r="AV185">
            <v>0</v>
          </cell>
          <cell r="AW185">
            <v>4</v>
          </cell>
          <cell r="AX185">
            <v>4</v>
          </cell>
          <cell r="AY185">
            <v>8</v>
          </cell>
          <cell r="AZ185">
            <v>0</v>
          </cell>
          <cell r="BA185">
            <v>4</v>
          </cell>
          <cell r="BB185">
            <v>4</v>
          </cell>
          <cell r="BC185">
            <v>24</v>
          </cell>
          <cell r="BD185">
            <v>0</v>
          </cell>
          <cell r="BE185">
            <v>3.8333333333333335</v>
          </cell>
          <cell r="BF185">
            <v>23.000000000000004</v>
          </cell>
          <cell r="BG185">
            <v>0</v>
          </cell>
          <cell r="BH185">
            <v>3.666666666666667</v>
          </cell>
          <cell r="BI185">
            <v>10</v>
          </cell>
          <cell r="BJ185">
            <v>20</v>
          </cell>
          <cell r="BK185">
            <v>0</v>
          </cell>
          <cell r="BL185">
            <v>1.8333333333333333</v>
          </cell>
          <cell r="BM185">
            <v>1</v>
          </cell>
          <cell r="BN185">
            <v>2</v>
          </cell>
          <cell r="BO185">
            <v>0</v>
          </cell>
          <cell r="BP185">
            <v>0.5</v>
          </cell>
          <cell r="BQ185">
            <v>1</v>
          </cell>
          <cell r="BR185">
            <v>2</v>
          </cell>
          <cell r="BS185">
            <v>0</v>
          </cell>
          <cell r="BT185">
            <v>0.5</v>
          </cell>
          <cell r="BU185">
            <v>1</v>
          </cell>
          <cell r="BV185">
            <v>2</v>
          </cell>
          <cell r="BW185">
            <v>3</v>
          </cell>
          <cell r="BX185">
            <v>0</v>
          </cell>
          <cell r="BY185">
            <v>0.5</v>
          </cell>
          <cell r="BZ185">
            <v>1</v>
          </cell>
          <cell r="CA185">
            <v>2</v>
          </cell>
          <cell r="CB185">
            <v>3</v>
          </cell>
          <cell r="CC185">
            <v>0</v>
          </cell>
          <cell r="CD185">
            <v>2.5</v>
          </cell>
          <cell r="CE185">
            <v>0</v>
          </cell>
          <cell r="CF185">
            <v>0</v>
          </cell>
          <cell r="CG185">
            <v>6</v>
          </cell>
          <cell r="CH185">
            <v>2</v>
          </cell>
          <cell r="CI185">
            <v>7.833333333333333</v>
          </cell>
          <cell r="CJ185">
            <v>1</v>
          </cell>
          <cell r="CK185">
            <v>1.5</v>
          </cell>
          <cell r="CL185">
            <v>5</v>
          </cell>
          <cell r="CM185">
            <v>5</v>
          </cell>
          <cell r="CN185">
            <v>5.333333333333333</v>
          </cell>
          <cell r="CO185">
            <v>6</v>
          </cell>
          <cell r="CP185">
            <v>9</v>
          </cell>
          <cell r="CQ185">
            <v>0.66666666666666696</v>
          </cell>
          <cell r="CR185">
            <v>0</v>
          </cell>
          <cell r="CS185">
            <v>5.333333333333333</v>
          </cell>
          <cell r="CT185">
            <v>6</v>
          </cell>
          <cell r="CU185">
            <v>14.399999999999999</v>
          </cell>
          <cell r="CV185">
            <v>0</v>
          </cell>
          <cell r="CW185">
            <v>0</v>
          </cell>
          <cell r="CX185">
            <v>5.583333333333333</v>
          </cell>
          <cell r="CY185">
            <v>5</v>
          </cell>
          <cell r="CZ185">
            <v>10</v>
          </cell>
          <cell r="DA185">
            <v>0</v>
          </cell>
          <cell r="DB185">
            <v>5</v>
          </cell>
          <cell r="DC185">
            <v>9.5</v>
          </cell>
          <cell r="DD185">
            <v>10</v>
          </cell>
          <cell r="DE185">
            <v>10.666666666666666</v>
          </cell>
          <cell r="DF185">
            <v>0</v>
          </cell>
          <cell r="DG185">
            <v>0</v>
          </cell>
          <cell r="DH185">
            <v>9.25</v>
          </cell>
          <cell r="DI185">
            <v>10</v>
          </cell>
          <cell r="DJ185">
            <v>15.333333333333334</v>
          </cell>
          <cell r="DK185">
            <v>0</v>
          </cell>
          <cell r="DL185">
            <v>0</v>
          </cell>
          <cell r="DM185">
            <v>8.65</v>
          </cell>
          <cell r="DN185">
            <v>10</v>
          </cell>
          <cell r="DO185">
            <v>18</v>
          </cell>
          <cell r="DP185">
            <v>0</v>
          </cell>
          <cell r="DQ185">
            <v>0</v>
          </cell>
          <cell r="DR185">
            <v>9.5</v>
          </cell>
          <cell r="DS185">
            <v>9.5</v>
          </cell>
          <cell r="DT185">
            <v>17</v>
          </cell>
          <cell r="DU185">
            <v>0</v>
          </cell>
          <cell r="DV185">
            <v>0</v>
          </cell>
          <cell r="DW185">
            <v>9</v>
          </cell>
          <cell r="DX185">
            <v>9</v>
          </cell>
          <cell r="DY185">
            <v>16</v>
          </cell>
          <cell r="DZ185">
            <v>0</v>
          </cell>
          <cell r="EA185">
            <v>0</v>
          </cell>
          <cell r="EB185">
            <v>8.5</v>
          </cell>
          <cell r="EC185">
            <v>8.5</v>
          </cell>
          <cell r="ED185">
            <v>15</v>
          </cell>
          <cell r="EE185">
            <v>0</v>
          </cell>
          <cell r="EF185">
            <v>0</v>
          </cell>
          <cell r="EG185">
            <v>8</v>
          </cell>
          <cell r="EH185">
            <v>8</v>
          </cell>
          <cell r="EI185">
            <v>14</v>
          </cell>
          <cell r="EJ185">
            <v>0</v>
          </cell>
          <cell r="EK185">
            <v>0</v>
          </cell>
          <cell r="EL185">
            <v>7.5</v>
          </cell>
          <cell r="EM185">
            <v>7.5</v>
          </cell>
          <cell r="EN185">
            <v>13</v>
          </cell>
          <cell r="EO185">
            <v>0</v>
          </cell>
          <cell r="EP185">
            <v>0</v>
          </cell>
          <cell r="EQ185">
            <v>7</v>
          </cell>
          <cell r="ER185">
            <v>7</v>
          </cell>
          <cell r="ES185">
            <v>12</v>
          </cell>
          <cell r="ET185">
            <v>0</v>
          </cell>
          <cell r="EU185">
            <v>0</v>
          </cell>
          <cell r="EV185">
            <v>6.5</v>
          </cell>
          <cell r="EW185">
            <v>6.5</v>
          </cell>
          <cell r="EX185">
            <v>11</v>
          </cell>
          <cell r="EY185">
            <v>0</v>
          </cell>
          <cell r="EZ185">
            <v>0</v>
          </cell>
          <cell r="FA185">
            <v>6</v>
          </cell>
          <cell r="FB185">
            <v>6</v>
          </cell>
          <cell r="FC185">
            <v>10</v>
          </cell>
          <cell r="FD185">
            <v>0</v>
          </cell>
          <cell r="FE185">
            <v>0</v>
          </cell>
          <cell r="FF185">
            <v>5.5</v>
          </cell>
          <cell r="FG185">
            <v>5.5</v>
          </cell>
          <cell r="FH185">
            <v>9</v>
          </cell>
          <cell r="FI185">
            <v>0</v>
          </cell>
          <cell r="FJ185">
            <v>0</v>
          </cell>
          <cell r="FK185">
            <v>5</v>
          </cell>
          <cell r="FL185">
            <v>5</v>
          </cell>
          <cell r="FM185">
            <v>8</v>
          </cell>
          <cell r="FN185">
            <v>0</v>
          </cell>
          <cell r="FO185">
            <v>0</v>
          </cell>
          <cell r="FP185">
            <v>4.5</v>
          </cell>
          <cell r="FQ185">
            <v>4.5</v>
          </cell>
          <cell r="FR185">
            <v>7</v>
          </cell>
          <cell r="FS185">
            <v>0</v>
          </cell>
          <cell r="FT185">
            <v>2</v>
          </cell>
          <cell r="FU185">
            <v>2.0333333333333332</v>
          </cell>
          <cell r="FW185" t="str">
            <v>SOBRESTOCK</v>
          </cell>
          <cell r="FX185" t="str">
            <v>C</v>
          </cell>
          <cell r="FY185" t="str">
            <v>Si</v>
          </cell>
        </row>
        <row r="186">
          <cell r="B186" t="str">
            <v>REP-0192</v>
          </cell>
          <cell r="C186" t="str">
            <v>MIX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1</v>
          </cell>
          <cell r="AQ186" t="str">
            <v/>
          </cell>
          <cell r="AR186">
            <v>0</v>
          </cell>
          <cell r="AS186">
            <v>1</v>
          </cell>
          <cell r="AT186">
            <v>1</v>
          </cell>
          <cell r="AU186" t="str">
            <v/>
          </cell>
          <cell r="AV186">
            <v>0</v>
          </cell>
          <cell r="AW186">
            <v>1</v>
          </cell>
          <cell r="AX186">
            <v>1</v>
          </cell>
          <cell r="AY186" t="str">
            <v/>
          </cell>
          <cell r="AZ186">
            <v>0</v>
          </cell>
          <cell r="BA186">
            <v>1</v>
          </cell>
          <cell r="BB186">
            <v>1</v>
          </cell>
          <cell r="BC186" t="str">
            <v/>
          </cell>
          <cell r="BD186">
            <v>0</v>
          </cell>
          <cell r="BE186">
            <v>1</v>
          </cell>
          <cell r="BF186" t="str">
            <v/>
          </cell>
          <cell r="BG186">
            <v>0</v>
          </cell>
          <cell r="BH186">
            <v>1</v>
          </cell>
          <cell r="BI186">
            <v>0</v>
          </cell>
          <cell r="BJ186" t="str">
            <v/>
          </cell>
          <cell r="BK186">
            <v>0</v>
          </cell>
          <cell r="BL186">
            <v>1</v>
          </cell>
          <cell r="BM186">
            <v>1</v>
          </cell>
          <cell r="BN186" t="str">
            <v/>
          </cell>
          <cell r="BO186">
            <v>0</v>
          </cell>
          <cell r="BP186">
            <v>1</v>
          </cell>
          <cell r="BQ186">
            <v>1</v>
          </cell>
          <cell r="BR186" t="str">
            <v/>
          </cell>
          <cell r="BS186">
            <v>0</v>
          </cell>
          <cell r="BT186">
            <v>1</v>
          </cell>
          <cell r="BU186">
            <v>1</v>
          </cell>
          <cell r="BV186" t="str">
            <v/>
          </cell>
          <cell r="BW186">
            <v>0</v>
          </cell>
          <cell r="BX186">
            <v>0</v>
          </cell>
          <cell r="BY186">
            <v>1</v>
          </cell>
          <cell r="BZ186">
            <v>1</v>
          </cell>
          <cell r="CA186" t="str">
            <v/>
          </cell>
          <cell r="CB186">
            <v>0</v>
          </cell>
          <cell r="CC186">
            <v>0</v>
          </cell>
          <cell r="CD186">
            <v>1</v>
          </cell>
          <cell r="CE186">
            <v>1</v>
          </cell>
          <cell r="CF186" t="str">
            <v/>
          </cell>
          <cell r="CG186">
            <v>0</v>
          </cell>
          <cell r="CH186">
            <v>0</v>
          </cell>
          <cell r="CI186">
            <v>1</v>
          </cell>
          <cell r="CJ186">
            <v>1</v>
          </cell>
          <cell r="CK186" t="str">
            <v/>
          </cell>
          <cell r="CL186">
            <v>0</v>
          </cell>
          <cell r="CM186">
            <v>0</v>
          </cell>
          <cell r="CN186">
            <v>1</v>
          </cell>
          <cell r="CO186">
            <v>1</v>
          </cell>
          <cell r="CP186" t="str">
            <v/>
          </cell>
          <cell r="CQ186">
            <v>0</v>
          </cell>
          <cell r="CR186">
            <v>0</v>
          </cell>
          <cell r="CS186">
            <v>1</v>
          </cell>
          <cell r="CT186">
            <v>1</v>
          </cell>
          <cell r="CU186" t="str">
            <v/>
          </cell>
          <cell r="CV186">
            <v>0</v>
          </cell>
          <cell r="CW186">
            <v>0</v>
          </cell>
          <cell r="CX186">
            <v>1</v>
          </cell>
          <cell r="CY186">
            <v>1</v>
          </cell>
          <cell r="CZ186" t="str">
            <v/>
          </cell>
          <cell r="DA186">
            <v>0</v>
          </cell>
          <cell r="DB186">
            <v>0</v>
          </cell>
          <cell r="DC186">
            <v>1</v>
          </cell>
          <cell r="DD186">
            <v>1</v>
          </cell>
          <cell r="DE186" t="str">
            <v/>
          </cell>
          <cell r="DF186">
            <v>0</v>
          </cell>
          <cell r="DG186">
            <v>0</v>
          </cell>
          <cell r="DH186">
            <v>1</v>
          </cell>
          <cell r="DI186">
            <v>1</v>
          </cell>
          <cell r="DJ186" t="str">
            <v/>
          </cell>
          <cell r="DK186">
            <v>0</v>
          </cell>
          <cell r="DL186">
            <v>0</v>
          </cell>
          <cell r="DM186">
            <v>1</v>
          </cell>
          <cell r="DN186">
            <v>0</v>
          </cell>
          <cell r="DO186" t="str">
            <v/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 t="str">
            <v/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 t="str">
            <v/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 t="str">
            <v/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 t="str">
            <v/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 t="str">
            <v/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 t="str">
            <v/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 t="str">
            <v/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 t="str">
            <v/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 t="str">
            <v/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 t="str">
            <v/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 t="str">
            <v/>
          </cell>
          <cell r="FS186">
            <v>0</v>
          </cell>
          <cell r="FT186">
            <v>0</v>
          </cell>
          <cell r="FU186">
            <v>2.0333333333333332</v>
          </cell>
          <cell r="FV186" t="str">
            <v>SI</v>
          </cell>
          <cell r="FW186" t="str">
            <v>SIN ROTACIÓN</v>
          </cell>
          <cell r="FX186" t="str">
            <v>STOCK MUERTO</v>
          </cell>
          <cell r="FY186" t="str">
            <v>Si</v>
          </cell>
        </row>
        <row r="187">
          <cell r="B187" t="str">
            <v>REP-0193</v>
          </cell>
          <cell r="C187" t="str">
            <v>NO VIGENTE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M187">
            <v>0</v>
          </cell>
          <cell r="AO187">
            <v>0</v>
          </cell>
          <cell r="AP187">
            <v>0</v>
          </cell>
          <cell r="AQ187" t="str">
            <v/>
          </cell>
          <cell r="AR187">
            <v>0</v>
          </cell>
          <cell r="AS187">
            <v>0</v>
          </cell>
          <cell r="AT187">
            <v>0</v>
          </cell>
          <cell r="AU187" t="str">
            <v/>
          </cell>
          <cell r="AV187">
            <v>0</v>
          </cell>
          <cell r="AW187">
            <v>0</v>
          </cell>
          <cell r="AX187">
            <v>0</v>
          </cell>
          <cell r="AY187" t="str">
            <v/>
          </cell>
          <cell r="AZ187">
            <v>0</v>
          </cell>
          <cell r="BA187">
            <v>0</v>
          </cell>
          <cell r="BB187">
            <v>0</v>
          </cell>
          <cell r="BC187" t="str">
            <v/>
          </cell>
          <cell r="BD187">
            <v>0</v>
          </cell>
          <cell r="BE187">
            <v>0</v>
          </cell>
          <cell r="BF187" t="str">
            <v/>
          </cell>
          <cell r="BG187">
            <v>0</v>
          </cell>
          <cell r="BH187">
            <v>0</v>
          </cell>
          <cell r="BI187">
            <v>0</v>
          </cell>
          <cell r="BJ187" t="str">
            <v/>
          </cell>
          <cell r="BK187">
            <v>0</v>
          </cell>
          <cell r="BL187">
            <v>0</v>
          </cell>
          <cell r="BM187">
            <v>0</v>
          </cell>
          <cell r="BN187" t="str">
            <v/>
          </cell>
          <cell r="BO187">
            <v>0</v>
          </cell>
          <cell r="BP187">
            <v>0</v>
          </cell>
          <cell r="BQ187">
            <v>0</v>
          </cell>
          <cell r="BR187" t="str">
            <v/>
          </cell>
          <cell r="BS187">
            <v>0</v>
          </cell>
          <cell r="BT187">
            <v>0</v>
          </cell>
          <cell r="BU187">
            <v>0</v>
          </cell>
          <cell r="BV187" t="str">
            <v/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 t="str">
            <v/>
          </cell>
          <cell r="CB187">
            <v>0</v>
          </cell>
          <cell r="CD187">
            <v>0</v>
          </cell>
          <cell r="CE187">
            <v>0</v>
          </cell>
          <cell r="CF187" t="str">
            <v/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 t="str">
            <v/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 t="str">
            <v/>
          </cell>
          <cell r="CQ187">
            <v>0</v>
          </cell>
          <cell r="CS187">
            <v>0</v>
          </cell>
          <cell r="CT187">
            <v>0</v>
          </cell>
          <cell r="CU187" t="str">
            <v/>
          </cell>
          <cell r="CV187">
            <v>0</v>
          </cell>
          <cell r="CX187">
            <v>0</v>
          </cell>
          <cell r="CY187">
            <v>0</v>
          </cell>
          <cell r="CZ187" t="str">
            <v/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 t="str">
            <v/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 t="str">
            <v/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 t="str">
            <v/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 t="str">
            <v/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 t="str">
            <v/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 t="str">
            <v/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 t="str">
            <v/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 t="str">
            <v/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 t="str">
            <v/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 t="str">
            <v/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 t="str">
            <v/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 t="str">
            <v/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 t="str">
            <v/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 t="str">
            <v/>
          </cell>
          <cell r="FS187">
            <v>0</v>
          </cell>
          <cell r="FT187">
            <v>0</v>
          </cell>
          <cell r="FU187">
            <v>66.666666666666671</v>
          </cell>
          <cell r="FW187" t="str">
            <v>SIN ROTACIÓN</v>
          </cell>
          <cell r="FX187">
            <v>0</v>
          </cell>
          <cell r="FY187" t="str">
            <v>No</v>
          </cell>
        </row>
        <row r="188">
          <cell r="B188" t="str">
            <v>REP-0194</v>
          </cell>
          <cell r="C188" t="str">
            <v>NO VIGENTE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O188">
            <v>0</v>
          </cell>
          <cell r="AP188">
            <v>0</v>
          </cell>
          <cell r="AQ188" t="str">
            <v/>
          </cell>
          <cell r="AR188">
            <v>0</v>
          </cell>
          <cell r="AS188">
            <v>0</v>
          </cell>
          <cell r="AT188">
            <v>0</v>
          </cell>
          <cell r="AU188" t="str">
            <v/>
          </cell>
          <cell r="AV188">
            <v>0</v>
          </cell>
          <cell r="AW188">
            <v>0</v>
          </cell>
          <cell r="AX188">
            <v>0</v>
          </cell>
          <cell r="AY188" t="str">
            <v/>
          </cell>
          <cell r="AZ188">
            <v>0</v>
          </cell>
          <cell r="BA188">
            <v>0</v>
          </cell>
          <cell r="BB188">
            <v>0</v>
          </cell>
          <cell r="BC188" t="str">
            <v/>
          </cell>
          <cell r="BD188">
            <v>0</v>
          </cell>
          <cell r="BE188">
            <v>0</v>
          </cell>
          <cell r="BF188" t="str">
            <v/>
          </cell>
          <cell r="BG188">
            <v>0</v>
          </cell>
          <cell r="BH188">
            <v>0</v>
          </cell>
          <cell r="BI188">
            <v>0</v>
          </cell>
          <cell r="BJ188" t="str">
            <v/>
          </cell>
          <cell r="BK188">
            <v>0</v>
          </cell>
          <cell r="BL188">
            <v>0</v>
          </cell>
          <cell r="BM188">
            <v>0</v>
          </cell>
          <cell r="BN188" t="str">
            <v/>
          </cell>
          <cell r="BO188">
            <v>0</v>
          </cell>
          <cell r="BP188">
            <v>0</v>
          </cell>
          <cell r="BQ188">
            <v>0</v>
          </cell>
          <cell r="BR188" t="str">
            <v/>
          </cell>
          <cell r="BS188">
            <v>0</v>
          </cell>
          <cell r="BT188">
            <v>0</v>
          </cell>
          <cell r="BU188">
            <v>0</v>
          </cell>
          <cell r="BV188" t="str">
            <v/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 t="str">
            <v/>
          </cell>
          <cell r="CB188">
            <v>0</v>
          </cell>
          <cell r="CD188">
            <v>0</v>
          </cell>
          <cell r="CE188">
            <v>0</v>
          </cell>
          <cell r="CF188" t="str">
            <v/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 t="str">
            <v/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 t="str">
            <v/>
          </cell>
          <cell r="CQ188">
            <v>0</v>
          </cell>
          <cell r="CS188">
            <v>0</v>
          </cell>
          <cell r="CT188">
            <v>0</v>
          </cell>
          <cell r="CU188" t="str">
            <v/>
          </cell>
          <cell r="CV188">
            <v>0</v>
          </cell>
          <cell r="CX188">
            <v>0</v>
          </cell>
          <cell r="CY188">
            <v>0</v>
          </cell>
          <cell r="CZ188" t="str">
            <v/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 t="str">
            <v/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 t="str">
            <v/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 t="str">
            <v/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 t="str">
            <v/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 t="str">
            <v/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 t="str">
            <v/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 t="str">
            <v/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 t="str">
            <v/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 t="str">
            <v/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 t="str">
            <v/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 t="str">
            <v/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 t="str">
            <v/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 t="str">
            <v/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 t="str">
            <v/>
          </cell>
          <cell r="FS188">
            <v>0</v>
          </cell>
          <cell r="FT188">
            <v>0</v>
          </cell>
          <cell r="FU188">
            <v>66.666666666666671</v>
          </cell>
          <cell r="FW188" t="str">
            <v>SIN ROTACIÓN</v>
          </cell>
          <cell r="FX188">
            <v>0</v>
          </cell>
          <cell r="FY188" t="str">
            <v>No</v>
          </cell>
        </row>
        <row r="189">
          <cell r="B189" t="str">
            <v>REP-0195</v>
          </cell>
          <cell r="C189" t="str">
            <v>NO VIGENTE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O189">
            <v>0</v>
          </cell>
          <cell r="AP189">
            <v>0</v>
          </cell>
          <cell r="AQ189" t="str">
            <v/>
          </cell>
          <cell r="AR189">
            <v>0</v>
          </cell>
          <cell r="AS189">
            <v>0</v>
          </cell>
          <cell r="AT189">
            <v>0</v>
          </cell>
          <cell r="AU189" t="str">
            <v/>
          </cell>
          <cell r="AV189">
            <v>0</v>
          </cell>
          <cell r="AW189">
            <v>0</v>
          </cell>
          <cell r="AX189">
            <v>0</v>
          </cell>
          <cell r="AY189" t="str">
            <v/>
          </cell>
          <cell r="AZ189">
            <v>0</v>
          </cell>
          <cell r="BA189">
            <v>0</v>
          </cell>
          <cell r="BB189">
            <v>0</v>
          </cell>
          <cell r="BC189" t="str">
            <v/>
          </cell>
          <cell r="BD189">
            <v>0</v>
          </cell>
          <cell r="BE189">
            <v>0</v>
          </cell>
          <cell r="BF189" t="str">
            <v/>
          </cell>
          <cell r="BG189">
            <v>0</v>
          </cell>
          <cell r="BH189">
            <v>0</v>
          </cell>
          <cell r="BI189">
            <v>0</v>
          </cell>
          <cell r="BJ189" t="str">
            <v/>
          </cell>
          <cell r="BK189">
            <v>0</v>
          </cell>
          <cell r="BL189">
            <v>0</v>
          </cell>
          <cell r="BM189">
            <v>0</v>
          </cell>
          <cell r="BN189" t="str">
            <v/>
          </cell>
          <cell r="BO189">
            <v>0</v>
          </cell>
          <cell r="BP189">
            <v>0</v>
          </cell>
          <cell r="BQ189">
            <v>0</v>
          </cell>
          <cell r="BR189" t="str">
            <v/>
          </cell>
          <cell r="BS189">
            <v>0</v>
          </cell>
          <cell r="BT189">
            <v>0</v>
          </cell>
          <cell r="BU189">
            <v>0</v>
          </cell>
          <cell r="BV189" t="str">
            <v/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 t="str">
            <v/>
          </cell>
          <cell r="CB189">
            <v>0</v>
          </cell>
          <cell r="CD189">
            <v>0</v>
          </cell>
          <cell r="CE189">
            <v>0</v>
          </cell>
          <cell r="CF189" t="str">
            <v/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 t="str">
            <v/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 t="str">
            <v/>
          </cell>
          <cell r="CQ189">
            <v>0</v>
          </cell>
          <cell r="CS189">
            <v>0</v>
          </cell>
          <cell r="CT189">
            <v>0</v>
          </cell>
          <cell r="CU189" t="str">
            <v/>
          </cell>
          <cell r="CV189">
            <v>0</v>
          </cell>
          <cell r="CX189">
            <v>0</v>
          </cell>
          <cell r="CY189">
            <v>0</v>
          </cell>
          <cell r="CZ189" t="str">
            <v/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 t="str">
            <v/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 t="str">
            <v/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 t="str">
            <v/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 t="str">
            <v/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 t="str">
            <v/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 t="str">
            <v/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 t="str">
            <v/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 t="str">
            <v/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 t="str">
            <v/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 t="str">
            <v/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 t="str">
            <v/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 t="str">
            <v/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 t="str">
            <v/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 t="str">
            <v/>
          </cell>
          <cell r="FS189">
            <v>0</v>
          </cell>
          <cell r="FT189">
            <v>0</v>
          </cell>
          <cell r="FU189">
            <v>66.666666666666671</v>
          </cell>
          <cell r="FW189" t="str">
            <v>SIN ROTACIÓN</v>
          </cell>
          <cell r="FX189">
            <v>0</v>
          </cell>
          <cell r="FY189" t="str">
            <v>No</v>
          </cell>
        </row>
        <row r="190">
          <cell r="B190" t="str">
            <v>REP-0196</v>
          </cell>
          <cell r="C190" t="str">
            <v>NO VIGENTE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O190">
            <v>0</v>
          </cell>
          <cell r="AP190">
            <v>0</v>
          </cell>
          <cell r="AQ190" t="str">
            <v/>
          </cell>
          <cell r="AR190">
            <v>0</v>
          </cell>
          <cell r="AS190">
            <v>0</v>
          </cell>
          <cell r="AT190">
            <v>0</v>
          </cell>
          <cell r="AU190" t="str">
            <v/>
          </cell>
          <cell r="AV190">
            <v>0</v>
          </cell>
          <cell r="AW190">
            <v>0</v>
          </cell>
          <cell r="AX190">
            <v>0</v>
          </cell>
          <cell r="AY190" t="str">
            <v/>
          </cell>
          <cell r="AZ190">
            <v>0</v>
          </cell>
          <cell r="BA190">
            <v>0</v>
          </cell>
          <cell r="BB190">
            <v>0</v>
          </cell>
          <cell r="BC190" t="str">
            <v/>
          </cell>
          <cell r="BD190">
            <v>0</v>
          </cell>
          <cell r="BE190">
            <v>0</v>
          </cell>
          <cell r="BF190" t="str">
            <v/>
          </cell>
          <cell r="BG190">
            <v>0</v>
          </cell>
          <cell r="BH190">
            <v>0</v>
          </cell>
          <cell r="BI190">
            <v>0</v>
          </cell>
          <cell r="BJ190" t="str">
            <v/>
          </cell>
          <cell r="BK190">
            <v>0</v>
          </cell>
          <cell r="BL190">
            <v>0</v>
          </cell>
          <cell r="BM190">
            <v>0</v>
          </cell>
          <cell r="BN190" t="str">
            <v/>
          </cell>
          <cell r="BO190">
            <v>0</v>
          </cell>
          <cell r="BP190">
            <v>0</v>
          </cell>
          <cell r="BQ190">
            <v>0</v>
          </cell>
          <cell r="BR190" t="str">
            <v/>
          </cell>
          <cell r="BS190">
            <v>0</v>
          </cell>
          <cell r="BT190">
            <v>0</v>
          </cell>
          <cell r="BU190">
            <v>0</v>
          </cell>
          <cell r="BV190" t="str">
            <v/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 t="str">
            <v/>
          </cell>
          <cell r="CB190">
            <v>0</v>
          </cell>
          <cell r="CD190">
            <v>0</v>
          </cell>
          <cell r="CE190">
            <v>0</v>
          </cell>
          <cell r="CF190" t="str">
            <v/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 t="str">
            <v/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 t="str">
            <v/>
          </cell>
          <cell r="CQ190">
            <v>0</v>
          </cell>
          <cell r="CS190">
            <v>0</v>
          </cell>
          <cell r="CT190">
            <v>0</v>
          </cell>
          <cell r="CU190" t="str">
            <v/>
          </cell>
          <cell r="CV190">
            <v>0</v>
          </cell>
          <cell r="CX190">
            <v>0</v>
          </cell>
          <cell r="CY190">
            <v>0</v>
          </cell>
          <cell r="CZ190" t="str">
            <v/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 t="str">
            <v/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 t="str">
            <v/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 t="str">
            <v/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 t="str">
            <v/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 t="str">
            <v/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 t="str">
            <v/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 t="str">
            <v/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 t="str">
            <v/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 t="str">
            <v/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 t="str">
            <v/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 t="str">
            <v/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 t="str">
            <v/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 t="str">
            <v/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 t="str">
            <v/>
          </cell>
          <cell r="FS190">
            <v>0</v>
          </cell>
          <cell r="FT190">
            <v>0</v>
          </cell>
          <cell r="FU190">
            <v>66.666666666666671</v>
          </cell>
          <cell r="FW190" t="str">
            <v>SIN ROTACIÓN</v>
          </cell>
          <cell r="FX190">
            <v>0</v>
          </cell>
          <cell r="FY190" t="str">
            <v>No</v>
          </cell>
        </row>
        <row r="191">
          <cell r="B191" t="str">
            <v>REP-0197</v>
          </cell>
          <cell r="C191" t="str">
            <v>MIX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O191">
            <v>0</v>
          </cell>
          <cell r="AP191">
            <v>0</v>
          </cell>
          <cell r="AQ191" t="str">
            <v/>
          </cell>
          <cell r="AR191">
            <v>0</v>
          </cell>
          <cell r="AS191">
            <v>0</v>
          </cell>
          <cell r="AT191">
            <v>0</v>
          </cell>
          <cell r="AU191" t="str">
            <v/>
          </cell>
          <cell r="AV191">
            <v>0</v>
          </cell>
          <cell r="AW191">
            <v>0</v>
          </cell>
          <cell r="AX191">
            <v>0</v>
          </cell>
          <cell r="AY191" t="str">
            <v/>
          </cell>
          <cell r="AZ191">
            <v>0</v>
          </cell>
          <cell r="BA191">
            <v>0</v>
          </cell>
          <cell r="BB191">
            <v>0</v>
          </cell>
          <cell r="BC191" t="str">
            <v/>
          </cell>
          <cell r="BD191">
            <v>0</v>
          </cell>
          <cell r="BE191">
            <v>0</v>
          </cell>
          <cell r="BF191" t="str">
            <v/>
          </cell>
          <cell r="BG191">
            <v>0</v>
          </cell>
          <cell r="BH191">
            <v>0</v>
          </cell>
          <cell r="BI191">
            <v>0</v>
          </cell>
          <cell r="BJ191" t="str">
            <v/>
          </cell>
          <cell r="BK191">
            <v>0</v>
          </cell>
          <cell r="BL191">
            <v>0</v>
          </cell>
          <cell r="BM191">
            <v>0</v>
          </cell>
          <cell r="BN191" t="str">
            <v/>
          </cell>
          <cell r="BO191">
            <v>0</v>
          </cell>
          <cell r="BP191">
            <v>0</v>
          </cell>
          <cell r="BQ191">
            <v>0</v>
          </cell>
          <cell r="BR191" t="str">
            <v/>
          </cell>
          <cell r="BS191">
            <v>0</v>
          </cell>
          <cell r="BT191">
            <v>0</v>
          </cell>
          <cell r="BU191">
            <v>0</v>
          </cell>
          <cell r="BV191" t="str">
            <v/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 t="str">
            <v/>
          </cell>
          <cell r="CB191">
            <v>0</v>
          </cell>
          <cell r="CD191">
            <v>0</v>
          </cell>
          <cell r="CE191">
            <v>0</v>
          </cell>
          <cell r="CF191" t="str">
            <v/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 t="str">
            <v/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 t="str">
            <v/>
          </cell>
          <cell r="CQ191">
            <v>0</v>
          </cell>
          <cell r="CS191">
            <v>0</v>
          </cell>
          <cell r="CT191">
            <v>0</v>
          </cell>
          <cell r="CU191" t="str">
            <v/>
          </cell>
          <cell r="CV191">
            <v>0</v>
          </cell>
          <cell r="CX191">
            <v>0</v>
          </cell>
          <cell r="CY191">
            <v>0</v>
          </cell>
          <cell r="CZ191" t="str">
            <v/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 t="str">
            <v/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 t="str">
            <v/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 t="str">
            <v/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 t="str">
            <v/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 t="str">
            <v/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 t="str">
            <v/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 t="str">
            <v/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 t="str">
            <v/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 t="str">
            <v/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 t="str">
            <v/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 t="str">
            <v/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 t="str">
            <v/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 t="str">
            <v/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 t="str">
            <v/>
          </cell>
          <cell r="FS191">
            <v>0</v>
          </cell>
          <cell r="FT191">
            <v>0</v>
          </cell>
          <cell r="FU191">
            <v>66.666666666666671</v>
          </cell>
          <cell r="FW191" t="str">
            <v>SIN ROTACIÓN</v>
          </cell>
          <cell r="FX191" t="str">
            <v/>
          </cell>
          <cell r="FY191" t="str">
            <v>No</v>
          </cell>
        </row>
        <row r="192">
          <cell r="B192" t="str">
            <v>REP-0198</v>
          </cell>
          <cell r="C192" t="str">
            <v>MIX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1</v>
          </cell>
          <cell r="AQ192" t="str">
            <v/>
          </cell>
          <cell r="AR192">
            <v>0</v>
          </cell>
          <cell r="AS192">
            <v>1</v>
          </cell>
          <cell r="AT192">
            <v>1</v>
          </cell>
          <cell r="AU192" t="str">
            <v/>
          </cell>
          <cell r="AV192">
            <v>0</v>
          </cell>
          <cell r="AW192">
            <v>1</v>
          </cell>
          <cell r="AX192">
            <v>1</v>
          </cell>
          <cell r="AY192" t="str">
            <v/>
          </cell>
          <cell r="AZ192">
            <v>0</v>
          </cell>
          <cell r="BA192">
            <v>1</v>
          </cell>
          <cell r="BB192">
            <v>1</v>
          </cell>
          <cell r="BC192" t="str">
            <v/>
          </cell>
          <cell r="BD192">
            <v>0</v>
          </cell>
          <cell r="BE192">
            <v>1</v>
          </cell>
          <cell r="BF192" t="str">
            <v/>
          </cell>
          <cell r="BG192">
            <v>0</v>
          </cell>
          <cell r="BH192">
            <v>1</v>
          </cell>
          <cell r="BI192">
            <v>0</v>
          </cell>
          <cell r="BJ192" t="str">
            <v/>
          </cell>
          <cell r="BK192">
            <v>0</v>
          </cell>
          <cell r="BL192">
            <v>1</v>
          </cell>
          <cell r="BM192">
            <v>1</v>
          </cell>
          <cell r="BN192" t="str">
            <v/>
          </cell>
          <cell r="BO192">
            <v>0</v>
          </cell>
          <cell r="BP192">
            <v>1</v>
          </cell>
          <cell r="BQ192">
            <v>1</v>
          </cell>
          <cell r="BR192" t="str">
            <v/>
          </cell>
          <cell r="BS192">
            <v>0</v>
          </cell>
          <cell r="BT192">
            <v>1</v>
          </cell>
          <cell r="BU192">
            <v>1</v>
          </cell>
          <cell r="BV192" t="str">
            <v/>
          </cell>
          <cell r="BW192">
            <v>0</v>
          </cell>
          <cell r="BX192">
            <v>0</v>
          </cell>
          <cell r="BY192">
            <v>1</v>
          </cell>
          <cell r="BZ192">
            <v>1</v>
          </cell>
          <cell r="CA192" t="str">
            <v/>
          </cell>
          <cell r="CB192">
            <v>0</v>
          </cell>
          <cell r="CC192">
            <v>0</v>
          </cell>
          <cell r="CD192">
            <v>1</v>
          </cell>
          <cell r="CE192">
            <v>1</v>
          </cell>
          <cell r="CF192" t="str">
            <v/>
          </cell>
          <cell r="CG192">
            <v>0</v>
          </cell>
          <cell r="CH192">
            <v>0</v>
          </cell>
          <cell r="CI192">
            <v>1</v>
          </cell>
          <cell r="CJ192">
            <v>1</v>
          </cell>
          <cell r="CK192" t="str">
            <v/>
          </cell>
          <cell r="CL192">
            <v>0</v>
          </cell>
          <cell r="CM192">
            <v>0</v>
          </cell>
          <cell r="CN192">
            <v>1</v>
          </cell>
          <cell r="CO192">
            <v>1</v>
          </cell>
          <cell r="CP192" t="str">
            <v/>
          </cell>
          <cell r="CQ192">
            <v>0</v>
          </cell>
          <cell r="CR192">
            <v>0</v>
          </cell>
          <cell r="CS192">
            <v>1</v>
          </cell>
          <cell r="CT192">
            <v>1</v>
          </cell>
          <cell r="CU192" t="str">
            <v/>
          </cell>
          <cell r="CV192">
            <v>0</v>
          </cell>
          <cell r="CW192">
            <v>0</v>
          </cell>
          <cell r="CX192">
            <v>1</v>
          </cell>
          <cell r="CY192">
            <v>1</v>
          </cell>
          <cell r="CZ192" t="str">
            <v/>
          </cell>
          <cell r="DA192">
            <v>0</v>
          </cell>
          <cell r="DB192">
            <v>0</v>
          </cell>
          <cell r="DC192">
            <v>1</v>
          </cell>
          <cell r="DD192">
            <v>1</v>
          </cell>
          <cell r="DE192" t="str">
            <v/>
          </cell>
          <cell r="DF192">
            <v>0</v>
          </cell>
          <cell r="DG192">
            <v>0</v>
          </cell>
          <cell r="DH192">
            <v>1</v>
          </cell>
          <cell r="DI192">
            <v>1</v>
          </cell>
          <cell r="DJ192" t="str">
            <v/>
          </cell>
          <cell r="DK192">
            <v>0</v>
          </cell>
          <cell r="DL192">
            <v>0</v>
          </cell>
          <cell r="DM192">
            <v>1</v>
          </cell>
          <cell r="DN192">
            <v>0</v>
          </cell>
          <cell r="DO192" t="str">
            <v/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 t="str">
            <v/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 t="str">
            <v/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 t="str">
            <v/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 t="str">
            <v/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 t="str">
            <v/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 t="str">
            <v/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 t="str">
            <v/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 t="str">
            <v/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 t="str">
            <v/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 t="str">
            <v/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 t="str">
            <v/>
          </cell>
          <cell r="FS192">
            <v>0</v>
          </cell>
          <cell r="FT192">
            <v>0</v>
          </cell>
          <cell r="FU192">
            <v>2.0333333333333332</v>
          </cell>
          <cell r="FV192" t="str">
            <v>SI</v>
          </cell>
          <cell r="FW192" t="str">
            <v>SIN ROTACIÓN</v>
          </cell>
          <cell r="FX192" t="str">
            <v>STOCK MUERTO</v>
          </cell>
          <cell r="FY192" t="str">
            <v>Si</v>
          </cell>
        </row>
        <row r="193">
          <cell r="B193" t="str">
            <v>REP-0199</v>
          </cell>
          <cell r="C193" t="str">
            <v>NO VIGENTE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M193">
            <v>0</v>
          </cell>
          <cell r="AO193">
            <v>0</v>
          </cell>
          <cell r="AP193">
            <v>0</v>
          </cell>
          <cell r="AQ193" t="str">
            <v/>
          </cell>
          <cell r="AR193">
            <v>0</v>
          </cell>
          <cell r="AS193">
            <v>0</v>
          </cell>
          <cell r="AT193">
            <v>0</v>
          </cell>
          <cell r="AU193" t="str">
            <v/>
          </cell>
          <cell r="AV193">
            <v>0</v>
          </cell>
          <cell r="AW193">
            <v>0</v>
          </cell>
          <cell r="AX193">
            <v>0</v>
          </cell>
          <cell r="AY193" t="str">
            <v/>
          </cell>
          <cell r="AZ193">
            <v>0</v>
          </cell>
          <cell r="BA193">
            <v>0</v>
          </cell>
          <cell r="BB193">
            <v>0</v>
          </cell>
          <cell r="BC193" t="str">
            <v/>
          </cell>
          <cell r="BD193">
            <v>0</v>
          </cell>
          <cell r="BE193">
            <v>0</v>
          </cell>
          <cell r="BF193" t="str">
            <v/>
          </cell>
          <cell r="BG193">
            <v>0</v>
          </cell>
          <cell r="BH193">
            <v>0</v>
          </cell>
          <cell r="BI193">
            <v>0</v>
          </cell>
          <cell r="BJ193" t="str">
            <v/>
          </cell>
          <cell r="BK193">
            <v>0</v>
          </cell>
          <cell r="BL193">
            <v>0</v>
          </cell>
          <cell r="BM193">
            <v>0</v>
          </cell>
          <cell r="BN193" t="str">
            <v/>
          </cell>
          <cell r="BO193">
            <v>0</v>
          </cell>
          <cell r="BP193">
            <v>0</v>
          </cell>
          <cell r="BQ193">
            <v>0</v>
          </cell>
          <cell r="BR193" t="str">
            <v/>
          </cell>
          <cell r="BS193">
            <v>0</v>
          </cell>
          <cell r="BT193">
            <v>0</v>
          </cell>
          <cell r="BU193">
            <v>0</v>
          </cell>
          <cell r="BV193" t="str">
            <v/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 t="str">
            <v/>
          </cell>
          <cell r="CB193">
            <v>0</v>
          </cell>
          <cell r="CD193">
            <v>0</v>
          </cell>
          <cell r="CE193">
            <v>0</v>
          </cell>
          <cell r="CF193" t="str">
            <v/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 t="str">
            <v/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 t="str">
            <v/>
          </cell>
          <cell r="CQ193">
            <v>0</v>
          </cell>
          <cell r="CS193">
            <v>0</v>
          </cell>
          <cell r="CT193">
            <v>0</v>
          </cell>
          <cell r="CU193" t="str">
            <v/>
          </cell>
          <cell r="CV193">
            <v>0</v>
          </cell>
          <cell r="CX193">
            <v>0</v>
          </cell>
          <cell r="CY193">
            <v>0</v>
          </cell>
          <cell r="CZ193" t="str">
            <v/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 t="str">
            <v/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 t="str">
            <v/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 t="str">
            <v/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 t="str">
            <v/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 t="str">
            <v/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 t="str">
            <v/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 t="str">
            <v/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 t="str">
            <v/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 t="str">
            <v/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 t="str">
            <v/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 t="str">
            <v/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 t="str">
            <v/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 t="str">
            <v/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 t="str">
            <v/>
          </cell>
          <cell r="FS193">
            <v>0</v>
          </cell>
          <cell r="FT193">
            <v>0</v>
          </cell>
          <cell r="FU193">
            <v>66.666666666666671</v>
          </cell>
          <cell r="FW193" t="str">
            <v>SIN ROTACIÓN</v>
          </cell>
          <cell r="FX193">
            <v>0</v>
          </cell>
          <cell r="FY193" t="str">
            <v>No</v>
          </cell>
        </row>
        <row r="194">
          <cell r="B194" t="str">
            <v>REP-0202</v>
          </cell>
          <cell r="C194" t="str">
            <v>MIX</v>
          </cell>
          <cell r="D194">
            <v>0</v>
          </cell>
          <cell r="E194">
            <v>3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3</v>
          </cell>
          <cell r="AA194">
            <v>3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8.3333333333333329E-2</v>
          </cell>
          <cell r="AG194">
            <v>0</v>
          </cell>
          <cell r="AH194">
            <v>8.3333333333333329E-2</v>
          </cell>
          <cell r="AI194">
            <v>0</v>
          </cell>
          <cell r="AJ194">
            <v>0</v>
          </cell>
          <cell r="AK194">
            <v>8.3333333333333329E-2</v>
          </cell>
          <cell r="AL194">
            <v>4.1666666666666664E-2</v>
          </cell>
          <cell r="AM194">
            <v>2.0833333333333332E-2</v>
          </cell>
          <cell r="AN194">
            <v>2</v>
          </cell>
          <cell r="AO194">
            <v>0</v>
          </cell>
          <cell r="AP194">
            <v>4.833333333333333</v>
          </cell>
          <cell r="AQ194">
            <v>59.000000000000007</v>
          </cell>
          <cell r="AR194">
            <v>0</v>
          </cell>
          <cell r="AS194">
            <v>4.8333333333333339</v>
          </cell>
          <cell r="AT194">
            <v>5</v>
          </cell>
          <cell r="AU194" t="str">
            <v/>
          </cell>
          <cell r="AV194">
            <v>0</v>
          </cell>
          <cell r="AW194">
            <v>5</v>
          </cell>
          <cell r="AX194">
            <v>5</v>
          </cell>
          <cell r="AY194">
            <v>60</v>
          </cell>
          <cell r="AZ194">
            <v>0</v>
          </cell>
          <cell r="BA194">
            <v>5</v>
          </cell>
          <cell r="BB194">
            <v>5</v>
          </cell>
          <cell r="BC194" t="str">
            <v/>
          </cell>
          <cell r="BD194">
            <v>0</v>
          </cell>
          <cell r="BE194">
            <v>5</v>
          </cell>
          <cell r="BF194" t="str">
            <v/>
          </cell>
          <cell r="BG194">
            <v>0</v>
          </cell>
          <cell r="BH194">
            <v>5</v>
          </cell>
          <cell r="BI194">
            <v>3</v>
          </cell>
          <cell r="BJ194">
            <v>36</v>
          </cell>
          <cell r="BK194">
            <v>0</v>
          </cell>
          <cell r="BL194">
            <v>3.8333333333333335</v>
          </cell>
          <cell r="BM194">
            <v>4</v>
          </cell>
          <cell r="BN194">
            <v>24</v>
          </cell>
          <cell r="BO194">
            <v>0</v>
          </cell>
          <cell r="BP194">
            <v>3.8333333333333335</v>
          </cell>
          <cell r="BQ194">
            <v>4</v>
          </cell>
          <cell r="BR194">
            <v>48</v>
          </cell>
          <cell r="BS194">
            <v>0</v>
          </cell>
          <cell r="BT194">
            <v>3.8333333333333335</v>
          </cell>
          <cell r="BU194">
            <v>4</v>
          </cell>
          <cell r="BV194">
            <v>24</v>
          </cell>
          <cell r="BW194">
            <v>0</v>
          </cell>
          <cell r="BX194">
            <v>0</v>
          </cell>
          <cell r="BY194">
            <v>3.8333333333333335</v>
          </cell>
          <cell r="BZ194">
            <v>4</v>
          </cell>
          <cell r="CA194">
            <v>24</v>
          </cell>
          <cell r="CB194">
            <v>0</v>
          </cell>
          <cell r="CC194">
            <v>0</v>
          </cell>
          <cell r="CD194">
            <v>3.8333333333333335</v>
          </cell>
          <cell r="CE194">
            <v>4</v>
          </cell>
          <cell r="CF194">
            <v>24</v>
          </cell>
          <cell r="CG194">
            <v>0</v>
          </cell>
          <cell r="CH194">
            <v>0</v>
          </cell>
          <cell r="CI194">
            <v>3.666666666666667</v>
          </cell>
          <cell r="CJ194">
            <v>4</v>
          </cell>
          <cell r="CK194">
            <v>48</v>
          </cell>
          <cell r="CL194">
            <v>0</v>
          </cell>
          <cell r="CM194">
            <v>0</v>
          </cell>
          <cell r="CN194">
            <v>3.9166666666666665</v>
          </cell>
          <cell r="CO194">
            <v>4</v>
          </cell>
          <cell r="CP194">
            <v>48</v>
          </cell>
          <cell r="CQ194">
            <v>0</v>
          </cell>
          <cell r="CR194">
            <v>0</v>
          </cell>
          <cell r="CS194">
            <v>3.9166666666666665</v>
          </cell>
          <cell r="CT194">
            <v>4</v>
          </cell>
          <cell r="CU194">
            <v>48</v>
          </cell>
          <cell r="CV194">
            <v>0</v>
          </cell>
          <cell r="CW194">
            <v>0</v>
          </cell>
          <cell r="CX194">
            <v>3.9166666666666665</v>
          </cell>
          <cell r="CY194">
            <v>4</v>
          </cell>
          <cell r="CZ194">
            <v>48</v>
          </cell>
          <cell r="DA194">
            <v>0</v>
          </cell>
          <cell r="DB194">
            <v>0</v>
          </cell>
          <cell r="DC194">
            <v>3.9166666666666665</v>
          </cell>
          <cell r="DD194">
            <v>4</v>
          </cell>
          <cell r="DE194">
            <v>36</v>
          </cell>
          <cell r="DF194">
            <v>0</v>
          </cell>
          <cell r="DG194">
            <v>0</v>
          </cell>
          <cell r="DH194">
            <v>3.9166666666666665</v>
          </cell>
          <cell r="DI194">
            <v>4</v>
          </cell>
          <cell r="DJ194">
            <v>38</v>
          </cell>
          <cell r="DK194">
            <v>0</v>
          </cell>
          <cell r="DL194">
            <v>0</v>
          </cell>
          <cell r="DM194">
            <v>3.833333333333333</v>
          </cell>
          <cell r="DN194">
            <v>3</v>
          </cell>
          <cell r="DO194">
            <v>26</v>
          </cell>
          <cell r="DP194">
            <v>0</v>
          </cell>
          <cell r="DQ194">
            <v>0</v>
          </cell>
          <cell r="DR194">
            <v>2.9166666666666665</v>
          </cell>
          <cell r="DS194">
            <v>2.9166666666666665</v>
          </cell>
          <cell r="DT194">
            <v>25</v>
          </cell>
          <cell r="DU194">
            <v>0</v>
          </cell>
          <cell r="DV194">
            <v>0</v>
          </cell>
          <cell r="DW194">
            <v>2.833333333333333</v>
          </cell>
          <cell r="DX194">
            <v>2.833333333333333</v>
          </cell>
          <cell r="DY194">
            <v>23.999999999999996</v>
          </cell>
          <cell r="DZ194">
            <v>0</v>
          </cell>
          <cell r="EA194">
            <v>0</v>
          </cell>
          <cell r="EB194">
            <v>2.7499999999999996</v>
          </cell>
          <cell r="EC194">
            <v>2.7499999999999996</v>
          </cell>
          <cell r="ED194">
            <v>22.999999999999996</v>
          </cell>
          <cell r="EE194">
            <v>0</v>
          </cell>
          <cell r="EF194">
            <v>0</v>
          </cell>
          <cell r="EG194">
            <v>2.6666666666666661</v>
          </cell>
          <cell r="EH194">
            <v>2.6666666666666661</v>
          </cell>
          <cell r="EI194">
            <v>21.999999999999993</v>
          </cell>
          <cell r="EJ194">
            <v>0</v>
          </cell>
          <cell r="EK194">
            <v>0</v>
          </cell>
          <cell r="EL194">
            <v>2.5833333333333326</v>
          </cell>
          <cell r="EM194">
            <v>2.5833333333333326</v>
          </cell>
          <cell r="EN194">
            <v>20.999999999999993</v>
          </cell>
          <cell r="EO194">
            <v>0</v>
          </cell>
          <cell r="EP194">
            <v>0</v>
          </cell>
          <cell r="EQ194">
            <v>2.4999999999999991</v>
          </cell>
          <cell r="ER194">
            <v>2.4999999999999991</v>
          </cell>
          <cell r="ES194">
            <v>19.999999999999989</v>
          </cell>
          <cell r="ET194">
            <v>0</v>
          </cell>
          <cell r="EU194">
            <v>0</v>
          </cell>
          <cell r="EV194">
            <v>2.4166666666666656</v>
          </cell>
          <cell r="EW194">
            <v>2.4166666666666656</v>
          </cell>
          <cell r="EX194">
            <v>18.999999999999989</v>
          </cell>
          <cell r="EY194">
            <v>0</v>
          </cell>
          <cell r="EZ194">
            <v>0</v>
          </cell>
          <cell r="FA194">
            <v>2.3333333333333321</v>
          </cell>
          <cell r="FB194">
            <v>2.3333333333333321</v>
          </cell>
          <cell r="FC194">
            <v>17.999999999999986</v>
          </cell>
          <cell r="FD194">
            <v>0</v>
          </cell>
          <cell r="FE194">
            <v>0</v>
          </cell>
          <cell r="FF194">
            <v>2.2499999999999987</v>
          </cell>
          <cell r="FG194">
            <v>2.2499999999999987</v>
          </cell>
          <cell r="FH194">
            <v>16.999999999999986</v>
          </cell>
          <cell r="FI194">
            <v>0</v>
          </cell>
          <cell r="FJ194">
            <v>0</v>
          </cell>
          <cell r="FK194">
            <v>2.1666666666666652</v>
          </cell>
          <cell r="FL194">
            <v>2.1666666666666652</v>
          </cell>
          <cell r="FM194">
            <v>15.999999999999982</v>
          </cell>
          <cell r="FN194">
            <v>0</v>
          </cell>
          <cell r="FO194">
            <v>0</v>
          </cell>
          <cell r="FP194">
            <v>2.0833333333333317</v>
          </cell>
          <cell r="FQ194">
            <v>2.0833333333333317</v>
          </cell>
          <cell r="FR194">
            <v>14.99999999999998</v>
          </cell>
          <cell r="FS194">
            <v>0</v>
          </cell>
          <cell r="FT194">
            <v>1</v>
          </cell>
          <cell r="FU194">
            <v>2.0333333333333332</v>
          </cell>
          <cell r="FW194" t="str">
            <v>SIN ROTACIÓN</v>
          </cell>
          <cell r="FX194" t="str">
            <v>C</v>
          </cell>
          <cell r="FY194" t="str">
            <v>Si</v>
          </cell>
        </row>
        <row r="195">
          <cell r="B195" t="str">
            <v>REP-0203</v>
          </cell>
          <cell r="C195" t="str">
            <v>MIX</v>
          </cell>
          <cell r="D195">
            <v>0</v>
          </cell>
          <cell r="E195">
            <v>10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10</v>
          </cell>
          <cell r="AA195">
            <v>10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10</v>
          </cell>
          <cell r="AQ195" t="str">
            <v/>
          </cell>
          <cell r="AR195">
            <v>0</v>
          </cell>
          <cell r="AS195">
            <v>10</v>
          </cell>
          <cell r="AT195">
            <v>10</v>
          </cell>
          <cell r="AU195" t="str">
            <v/>
          </cell>
          <cell r="AV195">
            <v>0</v>
          </cell>
          <cell r="AW195">
            <v>10</v>
          </cell>
          <cell r="AX195">
            <v>10</v>
          </cell>
          <cell r="AY195" t="str">
            <v/>
          </cell>
          <cell r="AZ195">
            <v>0</v>
          </cell>
          <cell r="BA195">
            <v>10</v>
          </cell>
          <cell r="BB195">
            <v>10</v>
          </cell>
          <cell r="BC195" t="str">
            <v/>
          </cell>
          <cell r="BD195">
            <v>0</v>
          </cell>
          <cell r="BE195">
            <v>10</v>
          </cell>
          <cell r="BF195" t="str">
            <v/>
          </cell>
          <cell r="BG195">
            <v>0</v>
          </cell>
          <cell r="BH195">
            <v>10</v>
          </cell>
          <cell r="BI195">
            <v>10</v>
          </cell>
          <cell r="BJ195" t="str">
            <v/>
          </cell>
          <cell r="BK195">
            <v>0</v>
          </cell>
          <cell r="BL195">
            <v>10</v>
          </cell>
          <cell r="BM195">
            <v>10</v>
          </cell>
          <cell r="BN195" t="str">
            <v/>
          </cell>
          <cell r="BO195">
            <v>0</v>
          </cell>
          <cell r="BP195">
            <v>10</v>
          </cell>
          <cell r="BQ195">
            <v>10</v>
          </cell>
          <cell r="BR195" t="str">
            <v/>
          </cell>
          <cell r="BS195">
            <v>0</v>
          </cell>
          <cell r="BT195">
            <v>10</v>
          </cell>
          <cell r="BU195">
            <v>10</v>
          </cell>
          <cell r="BV195" t="str">
            <v/>
          </cell>
          <cell r="BW195">
            <v>0</v>
          </cell>
          <cell r="BX195">
            <v>0</v>
          </cell>
          <cell r="BY195">
            <v>10</v>
          </cell>
          <cell r="BZ195">
            <v>10</v>
          </cell>
          <cell r="CA195" t="str">
            <v/>
          </cell>
          <cell r="CB195">
            <v>0</v>
          </cell>
          <cell r="CC195">
            <v>0</v>
          </cell>
          <cell r="CD195">
            <v>10</v>
          </cell>
          <cell r="CE195">
            <v>10</v>
          </cell>
          <cell r="CF195" t="str">
            <v/>
          </cell>
          <cell r="CG195">
            <v>0</v>
          </cell>
          <cell r="CH195">
            <v>0</v>
          </cell>
          <cell r="CI195">
            <v>10</v>
          </cell>
          <cell r="CJ195">
            <v>10</v>
          </cell>
          <cell r="CK195" t="str">
            <v/>
          </cell>
          <cell r="CL195">
            <v>0</v>
          </cell>
          <cell r="CM195">
            <v>0</v>
          </cell>
          <cell r="CN195">
            <v>10</v>
          </cell>
          <cell r="CO195">
            <v>10</v>
          </cell>
          <cell r="CP195" t="str">
            <v/>
          </cell>
          <cell r="CQ195">
            <v>0</v>
          </cell>
          <cell r="CR195">
            <v>0</v>
          </cell>
          <cell r="CS195">
            <v>10</v>
          </cell>
          <cell r="CT195">
            <v>10</v>
          </cell>
          <cell r="CU195" t="str">
            <v/>
          </cell>
          <cell r="CV195">
            <v>0</v>
          </cell>
          <cell r="CW195">
            <v>0</v>
          </cell>
          <cell r="CX195">
            <v>10</v>
          </cell>
          <cell r="CY195">
            <v>10</v>
          </cell>
          <cell r="CZ195" t="str">
            <v/>
          </cell>
          <cell r="DA195">
            <v>0</v>
          </cell>
          <cell r="DB195">
            <v>0</v>
          </cell>
          <cell r="DC195">
            <v>10</v>
          </cell>
          <cell r="DD195">
            <v>10</v>
          </cell>
          <cell r="DE195" t="str">
            <v/>
          </cell>
          <cell r="DF195">
            <v>0</v>
          </cell>
          <cell r="DG195">
            <v>0</v>
          </cell>
          <cell r="DH195">
            <v>10</v>
          </cell>
          <cell r="DI195">
            <v>10</v>
          </cell>
          <cell r="DJ195" t="str">
            <v/>
          </cell>
          <cell r="DK195">
            <v>0</v>
          </cell>
          <cell r="DL195">
            <v>0</v>
          </cell>
          <cell r="DM195">
            <v>10</v>
          </cell>
          <cell r="DN195">
            <v>10</v>
          </cell>
          <cell r="DO195" t="str">
            <v/>
          </cell>
          <cell r="DP195">
            <v>0</v>
          </cell>
          <cell r="DQ195">
            <v>0</v>
          </cell>
          <cell r="DR195">
            <v>10</v>
          </cell>
          <cell r="DS195">
            <v>10</v>
          </cell>
          <cell r="DT195" t="str">
            <v/>
          </cell>
          <cell r="DU195">
            <v>0</v>
          </cell>
          <cell r="DV195">
            <v>0</v>
          </cell>
          <cell r="DW195">
            <v>10</v>
          </cell>
          <cell r="DX195">
            <v>10</v>
          </cell>
          <cell r="DY195" t="str">
            <v/>
          </cell>
          <cell r="DZ195">
            <v>0</v>
          </cell>
          <cell r="EA195">
            <v>0</v>
          </cell>
          <cell r="EB195">
            <v>10</v>
          </cell>
          <cell r="EC195">
            <v>10</v>
          </cell>
          <cell r="ED195" t="str">
            <v/>
          </cell>
          <cell r="EE195">
            <v>0</v>
          </cell>
          <cell r="EF195">
            <v>0</v>
          </cell>
          <cell r="EG195">
            <v>10</v>
          </cell>
          <cell r="EH195">
            <v>10</v>
          </cell>
          <cell r="EI195" t="str">
            <v/>
          </cell>
          <cell r="EJ195">
            <v>0</v>
          </cell>
          <cell r="EK195">
            <v>0</v>
          </cell>
          <cell r="EL195">
            <v>10</v>
          </cell>
          <cell r="EM195">
            <v>10</v>
          </cell>
          <cell r="EN195" t="str">
            <v/>
          </cell>
          <cell r="EO195">
            <v>0</v>
          </cell>
          <cell r="EP195">
            <v>0</v>
          </cell>
          <cell r="EQ195">
            <v>10</v>
          </cell>
          <cell r="ER195">
            <v>10</v>
          </cell>
          <cell r="ES195" t="str">
            <v/>
          </cell>
          <cell r="ET195">
            <v>0</v>
          </cell>
          <cell r="EU195">
            <v>0</v>
          </cell>
          <cell r="EV195">
            <v>10</v>
          </cell>
          <cell r="EW195">
            <v>10</v>
          </cell>
          <cell r="EX195" t="str">
            <v/>
          </cell>
          <cell r="EY195">
            <v>0</v>
          </cell>
          <cell r="EZ195">
            <v>0</v>
          </cell>
          <cell r="FA195">
            <v>10</v>
          </cell>
          <cell r="FB195">
            <v>10</v>
          </cell>
          <cell r="FC195" t="str">
            <v/>
          </cell>
          <cell r="FD195">
            <v>0</v>
          </cell>
          <cell r="FE195">
            <v>0</v>
          </cell>
          <cell r="FF195">
            <v>10</v>
          </cell>
          <cell r="FG195">
            <v>10</v>
          </cell>
          <cell r="FH195" t="str">
            <v/>
          </cell>
          <cell r="FI195">
            <v>0</v>
          </cell>
          <cell r="FJ195">
            <v>0</v>
          </cell>
          <cell r="FK195">
            <v>10</v>
          </cell>
          <cell r="FL195">
            <v>10</v>
          </cell>
          <cell r="FM195" t="str">
            <v/>
          </cell>
          <cell r="FN195">
            <v>0</v>
          </cell>
          <cell r="FO195">
            <v>0</v>
          </cell>
          <cell r="FP195">
            <v>10</v>
          </cell>
          <cell r="FQ195">
            <v>10</v>
          </cell>
          <cell r="FR195" t="str">
            <v/>
          </cell>
          <cell r="FS195">
            <v>0</v>
          </cell>
          <cell r="FT195">
            <v>0</v>
          </cell>
          <cell r="FU195">
            <v>2.0333333333333332</v>
          </cell>
          <cell r="FV195" t="str">
            <v>SI</v>
          </cell>
          <cell r="FW195" t="str">
            <v>SIN ROTACIÓN</v>
          </cell>
          <cell r="FX195" t="str">
            <v>STOCK MUERTO</v>
          </cell>
          <cell r="FY195" t="str">
            <v>Si</v>
          </cell>
        </row>
        <row r="196">
          <cell r="B196" t="str">
            <v>REP-0204</v>
          </cell>
          <cell r="C196" t="str">
            <v>MIX</v>
          </cell>
          <cell r="D196">
            <v>0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</v>
          </cell>
          <cell r="AA196">
            <v>1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0.16666666666666666</v>
          </cell>
          <cell r="AI196">
            <v>0</v>
          </cell>
          <cell r="AJ196">
            <v>0</v>
          </cell>
          <cell r="AK196">
            <v>0.16666666666666666</v>
          </cell>
          <cell r="AL196">
            <v>8.3333333333333329E-2</v>
          </cell>
          <cell r="AM196">
            <v>4.1666666666666664E-2</v>
          </cell>
          <cell r="AN196">
            <v>2</v>
          </cell>
          <cell r="AO196">
            <v>0</v>
          </cell>
          <cell r="AP196">
            <v>3</v>
          </cell>
          <cell r="AQ196" t="str">
            <v/>
          </cell>
          <cell r="AR196">
            <v>0</v>
          </cell>
          <cell r="AS196">
            <v>3</v>
          </cell>
          <cell r="AT196">
            <v>3</v>
          </cell>
          <cell r="AU196" t="str">
            <v/>
          </cell>
          <cell r="AV196">
            <v>0</v>
          </cell>
          <cell r="AW196">
            <v>3</v>
          </cell>
          <cell r="AX196">
            <v>3</v>
          </cell>
          <cell r="AY196">
            <v>18</v>
          </cell>
          <cell r="AZ196">
            <v>0</v>
          </cell>
          <cell r="BA196">
            <v>3</v>
          </cell>
          <cell r="BB196">
            <v>3</v>
          </cell>
          <cell r="BC196" t="str">
            <v/>
          </cell>
          <cell r="BD196">
            <v>0</v>
          </cell>
          <cell r="BE196">
            <v>3</v>
          </cell>
          <cell r="BF196" t="str">
            <v/>
          </cell>
          <cell r="BG196">
            <v>0</v>
          </cell>
          <cell r="BH196">
            <v>3</v>
          </cell>
          <cell r="BI196">
            <v>1</v>
          </cell>
          <cell r="BJ196">
            <v>6</v>
          </cell>
          <cell r="BK196">
            <v>0</v>
          </cell>
          <cell r="BL196">
            <v>3</v>
          </cell>
          <cell r="BM196">
            <v>3</v>
          </cell>
          <cell r="BN196" t="str">
            <v/>
          </cell>
          <cell r="BO196">
            <v>0</v>
          </cell>
          <cell r="BP196">
            <v>3</v>
          </cell>
          <cell r="BQ196">
            <v>3</v>
          </cell>
          <cell r="BR196">
            <v>18</v>
          </cell>
          <cell r="BS196">
            <v>0</v>
          </cell>
          <cell r="BT196">
            <v>3</v>
          </cell>
          <cell r="BU196">
            <v>3</v>
          </cell>
          <cell r="BV196" t="str">
            <v/>
          </cell>
          <cell r="BW196">
            <v>0</v>
          </cell>
          <cell r="BX196">
            <v>0</v>
          </cell>
          <cell r="BY196">
            <v>3</v>
          </cell>
          <cell r="BZ196">
            <v>3</v>
          </cell>
          <cell r="CA196" t="str">
            <v/>
          </cell>
          <cell r="CB196">
            <v>0</v>
          </cell>
          <cell r="CC196">
            <v>0</v>
          </cell>
          <cell r="CD196">
            <v>3</v>
          </cell>
          <cell r="CE196">
            <v>3</v>
          </cell>
          <cell r="CF196" t="str">
            <v/>
          </cell>
          <cell r="CG196">
            <v>0</v>
          </cell>
          <cell r="CH196">
            <v>0</v>
          </cell>
          <cell r="CI196">
            <v>3</v>
          </cell>
          <cell r="CJ196">
            <v>1</v>
          </cell>
          <cell r="CK196">
            <v>3</v>
          </cell>
          <cell r="CL196">
            <v>1</v>
          </cell>
          <cell r="CM196">
            <v>0</v>
          </cell>
          <cell r="CN196">
            <v>0.66666666666666674</v>
          </cell>
          <cell r="CO196">
            <v>1</v>
          </cell>
          <cell r="CP196">
            <v>3</v>
          </cell>
          <cell r="CQ196">
            <v>1.3333333333333333</v>
          </cell>
          <cell r="CR196">
            <v>0</v>
          </cell>
          <cell r="CS196">
            <v>0.66666666666666674</v>
          </cell>
          <cell r="CT196">
            <v>1</v>
          </cell>
          <cell r="CU196">
            <v>3</v>
          </cell>
          <cell r="CV196">
            <v>0</v>
          </cell>
          <cell r="CW196">
            <v>0</v>
          </cell>
          <cell r="CX196">
            <v>0.66666666666666674</v>
          </cell>
          <cell r="CY196">
            <v>1</v>
          </cell>
          <cell r="CZ196">
            <v>6</v>
          </cell>
          <cell r="DA196">
            <v>0.33333333333333326</v>
          </cell>
          <cell r="DB196">
            <v>0</v>
          </cell>
          <cell r="DC196">
            <v>0.83333333333333337</v>
          </cell>
          <cell r="DD196">
            <v>1</v>
          </cell>
          <cell r="DE196">
            <v>0</v>
          </cell>
          <cell r="DF196">
            <v>0</v>
          </cell>
          <cell r="DG196">
            <v>0</v>
          </cell>
          <cell r="DH196">
            <v>0.66666666666666674</v>
          </cell>
          <cell r="DI196">
            <v>1</v>
          </cell>
          <cell r="DJ196">
            <v>2</v>
          </cell>
          <cell r="DK196">
            <v>0</v>
          </cell>
          <cell r="DL196">
            <v>0</v>
          </cell>
          <cell r="DM196">
            <v>0.33333333333333343</v>
          </cell>
          <cell r="DN196">
            <v>1</v>
          </cell>
          <cell r="DO196">
            <v>2</v>
          </cell>
          <cell r="DP196">
            <v>0</v>
          </cell>
          <cell r="DQ196">
            <v>0</v>
          </cell>
          <cell r="DR196">
            <v>0.83333333333333337</v>
          </cell>
          <cell r="DS196">
            <v>0.83333333333333337</v>
          </cell>
          <cell r="DT196">
            <v>1.0000000000000002</v>
          </cell>
          <cell r="DU196">
            <v>0.16666666666666663</v>
          </cell>
          <cell r="DV196">
            <v>0</v>
          </cell>
          <cell r="DW196">
            <v>0.66666666666666674</v>
          </cell>
          <cell r="DX196">
            <v>0.66666666666666674</v>
          </cell>
          <cell r="DY196">
            <v>4.4408920985006262E-16</v>
          </cell>
          <cell r="DZ196">
            <v>0.33333333333333326</v>
          </cell>
          <cell r="EA196">
            <v>0</v>
          </cell>
          <cell r="EB196">
            <v>0.50000000000000011</v>
          </cell>
          <cell r="EC196">
            <v>0.50000000000000011</v>
          </cell>
          <cell r="ED196">
            <v>-0.99999999999999956</v>
          </cell>
          <cell r="EE196">
            <v>0.49999999999999989</v>
          </cell>
          <cell r="EF196">
            <v>0</v>
          </cell>
          <cell r="EG196">
            <v>0.33333333333333348</v>
          </cell>
          <cell r="EH196">
            <v>0.33333333333333348</v>
          </cell>
          <cell r="EI196">
            <v>-1.9999999999999991</v>
          </cell>
          <cell r="EJ196">
            <v>0.66666666666666652</v>
          </cell>
          <cell r="EK196">
            <v>0</v>
          </cell>
          <cell r="EL196">
            <v>0.16666666666666682</v>
          </cell>
          <cell r="EM196">
            <v>0.16666666666666682</v>
          </cell>
          <cell r="EN196">
            <v>-2.9999999999999991</v>
          </cell>
          <cell r="EO196">
            <v>0.83333333333333315</v>
          </cell>
          <cell r="EP196">
            <v>0</v>
          </cell>
          <cell r="EQ196">
            <v>0</v>
          </cell>
          <cell r="ER196">
            <v>0</v>
          </cell>
          <cell r="ES196">
            <v>-4</v>
          </cell>
          <cell r="ET196">
            <v>1</v>
          </cell>
          <cell r="EU196">
            <v>0</v>
          </cell>
          <cell r="EV196">
            <v>-0.16666666666666666</v>
          </cell>
          <cell r="EW196">
            <v>-0.16666666666666666</v>
          </cell>
          <cell r="EX196">
            <v>-5.0000000000000009</v>
          </cell>
          <cell r="EY196">
            <v>1.1666666666666667</v>
          </cell>
          <cell r="EZ196">
            <v>0</v>
          </cell>
          <cell r="FA196">
            <v>-0.33333333333333331</v>
          </cell>
          <cell r="FB196">
            <v>-0.33333333333333331</v>
          </cell>
          <cell r="FC196">
            <v>-6</v>
          </cell>
          <cell r="FD196">
            <v>1.3333333333333333</v>
          </cell>
          <cell r="FE196">
            <v>0</v>
          </cell>
          <cell r="FF196">
            <v>-0.5</v>
          </cell>
          <cell r="FG196">
            <v>-0.5</v>
          </cell>
          <cell r="FH196">
            <v>-7</v>
          </cell>
          <cell r="FI196">
            <v>1.5</v>
          </cell>
          <cell r="FJ196">
            <v>0</v>
          </cell>
          <cell r="FK196">
            <v>-0.66666666666666663</v>
          </cell>
          <cell r="FL196">
            <v>-0.66666666666666663</v>
          </cell>
          <cell r="FM196">
            <v>-8</v>
          </cell>
          <cell r="FN196">
            <v>1.6666666666666665</v>
          </cell>
          <cell r="FO196">
            <v>0</v>
          </cell>
          <cell r="FP196">
            <v>-0.83333333333333326</v>
          </cell>
          <cell r="FQ196">
            <v>-0.83333333333333326</v>
          </cell>
          <cell r="FR196">
            <v>-9</v>
          </cell>
          <cell r="FS196">
            <v>1.8333333333333333</v>
          </cell>
          <cell r="FT196">
            <v>1</v>
          </cell>
          <cell r="FU196">
            <v>2.0333333333333332</v>
          </cell>
          <cell r="FV196" t="str">
            <v>SI</v>
          </cell>
          <cell r="FW196" t="str">
            <v>SIN ROTACIÓN</v>
          </cell>
          <cell r="FX196" t="str">
            <v>C</v>
          </cell>
          <cell r="FY196" t="str">
            <v>Si</v>
          </cell>
        </row>
        <row r="197">
          <cell r="B197" t="str">
            <v>REP-0205</v>
          </cell>
          <cell r="C197" t="str">
            <v>MIX</v>
          </cell>
          <cell r="D197">
            <v>0</v>
          </cell>
          <cell r="E197">
            <v>2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2</v>
          </cell>
          <cell r="AA197">
            <v>2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2</v>
          </cell>
          <cell r="AQ197" t="str">
            <v/>
          </cell>
          <cell r="AR197">
            <v>0</v>
          </cell>
          <cell r="AS197">
            <v>2</v>
          </cell>
          <cell r="AT197">
            <v>2</v>
          </cell>
          <cell r="AU197" t="str">
            <v/>
          </cell>
          <cell r="AV197">
            <v>0</v>
          </cell>
          <cell r="AW197">
            <v>2</v>
          </cell>
          <cell r="AX197">
            <v>2</v>
          </cell>
          <cell r="AY197" t="str">
            <v/>
          </cell>
          <cell r="AZ197">
            <v>0</v>
          </cell>
          <cell r="BA197">
            <v>2</v>
          </cell>
          <cell r="BB197">
            <v>2</v>
          </cell>
          <cell r="BC197" t="str">
            <v/>
          </cell>
          <cell r="BD197">
            <v>0</v>
          </cell>
          <cell r="BE197">
            <v>2</v>
          </cell>
          <cell r="BF197" t="str">
            <v/>
          </cell>
          <cell r="BG197">
            <v>0</v>
          </cell>
          <cell r="BH197">
            <v>2</v>
          </cell>
          <cell r="BI197">
            <v>2</v>
          </cell>
          <cell r="BJ197" t="str">
            <v/>
          </cell>
          <cell r="BK197">
            <v>0</v>
          </cell>
          <cell r="BL197">
            <v>2</v>
          </cell>
          <cell r="BM197">
            <v>2</v>
          </cell>
          <cell r="BN197" t="str">
            <v/>
          </cell>
          <cell r="BO197">
            <v>0</v>
          </cell>
          <cell r="BP197">
            <v>2</v>
          </cell>
          <cell r="BQ197">
            <v>2</v>
          </cell>
          <cell r="BR197" t="str">
            <v/>
          </cell>
          <cell r="BS197">
            <v>0</v>
          </cell>
          <cell r="BT197">
            <v>2</v>
          </cell>
          <cell r="BU197">
            <v>2</v>
          </cell>
          <cell r="BV197" t="str">
            <v/>
          </cell>
          <cell r="BW197">
            <v>0</v>
          </cell>
          <cell r="BX197">
            <v>0</v>
          </cell>
          <cell r="BY197">
            <v>2</v>
          </cell>
          <cell r="BZ197">
            <v>2</v>
          </cell>
          <cell r="CA197" t="str">
            <v/>
          </cell>
          <cell r="CB197">
            <v>0</v>
          </cell>
          <cell r="CC197">
            <v>0</v>
          </cell>
          <cell r="CD197">
            <v>2</v>
          </cell>
          <cell r="CE197">
            <v>2</v>
          </cell>
          <cell r="CF197" t="str">
            <v/>
          </cell>
          <cell r="CG197">
            <v>0</v>
          </cell>
          <cell r="CH197">
            <v>0</v>
          </cell>
          <cell r="CI197">
            <v>2</v>
          </cell>
          <cell r="CJ197">
            <v>2</v>
          </cell>
          <cell r="CK197" t="str">
            <v/>
          </cell>
          <cell r="CL197">
            <v>0</v>
          </cell>
          <cell r="CM197">
            <v>0</v>
          </cell>
          <cell r="CN197">
            <v>2</v>
          </cell>
          <cell r="CO197">
            <v>2</v>
          </cell>
          <cell r="CP197" t="str">
            <v/>
          </cell>
          <cell r="CQ197">
            <v>0</v>
          </cell>
          <cell r="CR197">
            <v>0</v>
          </cell>
          <cell r="CS197">
            <v>2</v>
          </cell>
          <cell r="CT197">
            <v>2</v>
          </cell>
          <cell r="CU197" t="str">
            <v/>
          </cell>
          <cell r="CV197">
            <v>0</v>
          </cell>
          <cell r="CW197">
            <v>0</v>
          </cell>
          <cell r="CX197">
            <v>2</v>
          </cell>
          <cell r="CY197">
            <v>2</v>
          </cell>
          <cell r="CZ197" t="str">
            <v/>
          </cell>
          <cell r="DA197">
            <v>0</v>
          </cell>
          <cell r="DB197">
            <v>0</v>
          </cell>
          <cell r="DC197">
            <v>2</v>
          </cell>
          <cell r="DD197">
            <v>2</v>
          </cell>
          <cell r="DE197" t="str">
            <v/>
          </cell>
          <cell r="DF197">
            <v>0</v>
          </cell>
          <cell r="DG197">
            <v>0</v>
          </cell>
          <cell r="DH197">
            <v>2</v>
          </cell>
          <cell r="DI197">
            <v>2</v>
          </cell>
          <cell r="DJ197" t="str">
            <v/>
          </cell>
          <cell r="DK197">
            <v>0</v>
          </cell>
          <cell r="DL197">
            <v>0</v>
          </cell>
          <cell r="DM197">
            <v>2</v>
          </cell>
          <cell r="DN197">
            <v>2</v>
          </cell>
          <cell r="DO197" t="str">
            <v/>
          </cell>
          <cell r="DP197">
            <v>0</v>
          </cell>
          <cell r="DQ197">
            <v>0</v>
          </cell>
          <cell r="DR197">
            <v>2</v>
          </cell>
          <cell r="DS197">
            <v>2</v>
          </cell>
          <cell r="DT197" t="str">
            <v/>
          </cell>
          <cell r="DU197">
            <v>0</v>
          </cell>
          <cell r="DV197">
            <v>0</v>
          </cell>
          <cell r="DW197">
            <v>2</v>
          </cell>
          <cell r="DX197">
            <v>2</v>
          </cell>
          <cell r="DY197" t="str">
            <v/>
          </cell>
          <cell r="DZ197">
            <v>0</v>
          </cell>
          <cell r="EA197">
            <v>0</v>
          </cell>
          <cell r="EB197">
            <v>2</v>
          </cell>
          <cell r="EC197">
            <v>2</v>
          </cell>
          <cell r="ED197" t="str">
            <v/>
          </cell>
          <cell r="EE197">
            <v>0</v>
          </cell>
          <cell r="EF197">
            <v>0</v>
          </cell>
          <cell r="EG197">
            <v>2</v>
          </cell>
          <cell r="EH197">
            <v>2</v>
          </cell>
          <cell r="EI197" t="str">
            <v/>
          </cell>
          <cell r="EJ197">
            <v>0</v>
          </cell>
          <cell r="EK197">
            <v>0</v>
          </cell>
          <cell r="EL197">
            <v>2</v>
          </cell>
          <cell r="EM197">
            <v>2</v>
          </cell>
          <cell r="EN197" t="str">
            <v/>
          </cell>
          <cell r="EO197">
            <v>0</v>
          </cell>
          <cell r="EP197">
            <v>0</v>
          </cell>
          <cell r="EQ197">
            <v>2</v>
          </cell>
          <cell r="ER197">
            <v>2</v>
          </cell>
          <cell r="ES197" t="str">
            <v/>
          </cell>
          <cell r="ET197">
            <v>0</v>
          </cell>
          <cell r="EU197">
            <v>0</v>
          </cell>
          <cell r="EV197">
            <v>2</v>
          </cell>
          <cell r="EW197">
            <v>2</v>
          </cell>
          <cell r="EX197" t="str">
            <v/>
          </cell>
          <cell r="EY197">
            <v>0</v>
          </cell>
          <cell r="EZ197">
            <v>0</v>
          </cell>
          <cell r="FA197">
            <v>2</v>
          </cell>
          <cell r="FB197">
            <v>2</v>
          </cell>
          <cell r="FC197" t="str">
            <v/>
          </cell>
          <cell r="FD197">
            <v>0</v>
          </cell>
          <cell r="FE197">
            <v>0</v>
          </cell>
          <cell r="FF197">
            <v>2</v>
          </cell>
          <cell r="FG197">
            <v>2</v>
          </cell>
          <cell r="FH197" t="str">
            <v/>
          </cell>
          <cell r="FI197">
            <v>0</v>
          </cell>
          <cell r="FJ197">
            <v>0</v>
          </cell>
          <cell r="FK197">
            <v>2</v>
          </cell>
          <cell r="FL197">
            <v>2</v>
          </cell>
          <cell r="FM197" t="str">
            <v/>
          </cell>
          <cell r="FN197">
            <v>0</v>
          </cell>
          <cell r="FO197">
            <v>0</v>
          </cell>
          <cell r="FP197">
            <v>2</v>
          </cell>
          <cell r="FQ197">
            <v>2</v>
          </cell>
          <cell r="FR197" t="str">
            <v/>
          </cell>
          <cell r="FS197">
            <v>0</v>
          </cell>
          <cell r="FT197">
            <v>0</v>
          </cell>
          <cell r="FU197">
            <v>2.0333333333333332</v>
          </cell>
          <cell r="FV197" t="str">
            <v>SI</v>
          </cell>
          <cell r="FW197" t="str">
            <v>SIN ROTACIÓN</v>
          </cell>
          <cell r="FX197" t="str">
            <v>STOCK MUERTO</v>
          </cell>
          <cell r="FY197" t="str">
            <v>Si</v>
          </cell>
        </row>
        <row r="198">
          <cell r="B198" t="str">
            <v>REP-0206</v>
          </cell>
          <cell r="C198" t="str">
            <v>MIX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O198">
            <v>0</v>
          </cell>
          <cell r="AP198">
            <v>0</v>
          </cell>
          <cell r="AQ198" t="str">
            <v/>
          </cell>
          <cell r="AR198">
            <v>0</v>
          </cell>
          <cell r="AS198">
            <v>0</v>
          </cell>
          <cell r="AT198">
            <v>0</v>
          </cell>
          <cell r="AU198" t="str">
            <v/>
          </cell>
          <cell r="AV198">
            <v>0</v>
          </cell>
          <cell r="AW198">
            <v>0</v>
          </cell>
          <cell r="AX198">
            <v>0</v>
          </cell>
          <cell r="AY198" t="str">
            <v/>
          </cell>
          <cell r="AZ198">
            <v>0</v>
          </cell>
          <cell r="BA198">
            <v>0</v>
          </cell>
          <cell r="BB198">
            <v>0</v>
          </cell>
          <cell r="BC198" t="str">
            <v/>
          </cell>
          <cell r="BD198">
            <v>0</v>
          </cell>
          <cell r="BE198">
            <v>0</v>
          </cell>
          <cell r="BF198" t="str">
            <v/>
          </cell>
          <cell r="BG198">
            <v>0</v>
          </cell>
          <cell r="BH198">
            <v>0</v>
          </cell>
          <cell r="BI198">
            <v>0</v>
          </cell>
          <cell r="BJ198" t="str">
            <v/>
          </cell>
          <cell r="BK198">
            <v>0</v>
          </cell>
          <cell r="BL198">
            <v>0</v>
          </cell>
          <cell r="BM198">
            <v>0</v>
          </cell>
          <cell r="BN198" t="str">
            <v/>
          </cell>
          <cell r="BO198">
            <v>0</v>
          </cell>
          <cell r="BP198">
            <v>0</v>
          </cell>
          <cell r="BQ198">
            <v>0</v>
          </cell>
          <cell r="BR198" t="str">
            <v/>
          </cell>
          <cell r="BS198">
            <v>0</v>
          </cell>
          <cell r="BT198">
            <v>0</v>
          </cell>
          <cell r="BU198">
            <v>0</v>
          </cell>
          <cell r="BV198" t="str">
            <v/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 t="str">
            <v/>
          </cell>
          <cell r="CB198">
            <v>0</v>
          </cell>
          <cell r="CD198">
            <v>0</v>
          </cell>
          <cell r="CE198">
            <v>0</v>
          </cell>
          <cell r="CF198" t="str">
            <v/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 t="str">
            <v/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 t="str">
            <v/>
          </cell>
          <cell r="CQ198">
            <v>0</v>
          </cell>
          <cell r="CS198">
            <v>0</v>
          </cell>
          <cell r="CT198">
            <v>0</v>
          </cell>
          <cell r="CU198" t="str">
            <v/>
          </cell>
          <cell r="CV198">
            <v>0</v>
          </cell>
          <cell r="CX198">
            <v>0</v>
          </cell>
          <cell r="CY198">
            <v>0</v>
          </cell>
          <cell r="CZ198" t="str">
            <v/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 t="str">
            <v/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 t="str">
            <v/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 t="str">
            <v/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 t="str">
            <v/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 t="str">
            <v/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 t="str">
            <v/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 t="str">
            <v/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 t="str">
            <v/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 t="str">
            <v/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 t="str">
            <v/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 t="str">
            <v/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 t="str">
            <v/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 t="str">
            <v/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 t="str">
            <v/>
          </cell>
          <cell r="FS198">
            <v>0</v>
          </cell>
          <cell r="FT198">
            <v>0</v>
          </cell>
          <cell r="FU198">
            <v>66.666666666666671</v>
          </cell>
          <cell r="FW198" t="str">
            <v>SIN ROTACIÓN</v>
          </cell>
          <cell r="FX198" t="str">
            <v/>
          </cell>
          <cell r="FY198" t="str">
            <v>No</v>
          </cell>
        </row>
        <row r="199">
          <cell r="B199" t="str">
            <v>REP-0207</v>
          </cell>
          <cell r="C199" t="str">
            <v>NO VIGENTE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O199">
            <v>0</v>
          </cell>
          <cell r="AP199">
            <v>0</v>
          </cell>
          <cell r="AQ199" t="str">
            <v/>
          </cell>
          <cell r="AR199">
            <v>0</v>
          </cell>
          <cell r="AS199">
            <v>0</v>
          </cell>
          <cell r="AT199">
            <v>0</v>
          </cell>
          <cell r="AU199" t="str">
            <v/>
          </cell>
          <cell r="AV199">
            <v>0</v>
          </cell>
          <cell r="AW199">
            <v>0</v>
          </cell>
          <cell r="AX199">
            <v>0</v>
          </cell>
          <cell r="AY199" t="str">
            <v/>
          </cell>
          <cell r="AZ199">
            <v>0</v>
          </cell>
          <cell r="BA199">
            <v>0</v>
          </cell>
          <cell r="BB199">
            <v>0</v>
          </cell>
          <cell r="BC199" t="str">
            <v/>
          </cell>
          <cell r="BD199">
            <v>0</v>
          </cell>
          <cell r="BE199">
            <v>0</v>
          </cell>
          <cell r="BF199" t="str">
            <v/>
          </cell>
          <cell r="BG199">
            <v>0</v>
          </cell>
          <cell r="BH199">
            <v>0</v>
          </cell>
          <cell r="BI199">
            <v>0</v>
          </cell>
          <cell r="BJ199" t="str">
            <v/>
          </cell>
          <cell r="BK199">
            <v>0</v>
          </cell>
          <cell r="BL199">
            <v>0</v>
          </cell>
          <cell r="BM199">
            <v>0</v>
          </cell>
          <cell r="BN199" t="str">
            <v/>
          </cell>
          <cell r="BO199">
            <v>0</v>
          </cell>
          <cell r="BP199">
            <v>0</v>
          </cell>
          <cell r="BQ199">
            <v>0</v>
          </cell>
          <cell r="BR199" t="str">
            <v/>
          </cell>
          <cell r="BS199">
            <v>0</v>
          </cell>
          <cell r="BT199">
            <v>0</v>
          </cell>
          <cell r="BU199">
            <v>0</v>
          </cell>
          <cell r="BV199" t="str">
            <v/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 t="str">
            <v/>
          </cell>
          <cell r="CB199">
            <v>0</v>
          </cell>
          <cell r="CD199">
            <v>0</v>
          </cell>
          <cell r="CE199">
            <v>0</v>
          </cell>
          <cell r="CF199" t="str">
            <v/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 t="str">
            <v/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 t="str">
            <v/>
          </cell>
          <cell r="CQ199">
            <v>0</v>
          </cell>
          <cell r="CS199">
            <v>0</v>
          </cell>
          <cell r="CT199">
            <v>0</v>
          </cell>
          <cell r="CU199" t="str">
            <v/>
          </cell>
          <cell r="CV199">
            <v>0</v>
          </cell>
          <cell r="CX199">
            <v>0</v>
          </cell>
          <cell r="CY199">
            <v>0</v>
          </cell>
          <cell r="CZ199" t="str">
            <v/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 t="str">
            <v/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 t="str">
            <v/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 t="str">
            <v/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 t="str">
            <v/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 t="str">
            <v/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 t="str">
            <v/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 t="str">
            <v/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 t="str">
            <v/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 t="str">
            <v/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 t="str">
            <v/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 t="str">
            <v/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 t="str">
            <v/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 t="str">
            <v/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 t="str">
            <v/>
          </cell>
          <cell r="FS199">
            <v>0</v>
          </cell>
          <cell r="FT199">
            <v>0</v>
          </cell>
          <cell r="FU199">
            <v>66.666666666666671</v>
          </cell>
          <cell r="FW199" t="str">
            <v>SIN ROTACIÓN</v>
          </cell>
          <cell r="FX199">
            <v>0</v>
          </cell>
          <cell r="FY199" t="str">
            <v>No</v>
          </cell>
        </row>
        <row r="200">
          <cell r="B200" t="str">
            <v>REP-0208</v>
          </cell>
          <cell r="C200" t="str">
            <v>MIX</v>
          </cell>
          <cell r="D200">
            <v>0</v>
          </cell>
          <cell r="E200">
            <v>6</v>
          </cell>
          <cell r="F200">
            <v>0</v>
          </cell>
          <cell r="G200">
            <v>0</v>
          </cell>
          <cell r="H200">
            <v>4</v>
          </cell>
          <cell r="I200">
            <v>4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16</v>
          </cell>
          <cell r="AA200">
            <v>16</v>
          </cell>
          <cell r="AB200">
            <v>1</v>
          </cell>
          <cell r="AC200">
            <v>0.16666666666666666</v>
          </cell>
          <cell r="AD200">
            <v>5.5555555555555549E-3</v>
          </cell>
          <cell r="AE200">
            <v>0.16666666666666666</v>
          </cell>
          <cell r="AF200">
            <v>0.25</v>
          </cell>
          <cell r="AG200">
            <v>0.16666666666666666</v>
          </cell>
          <cell r="AH200">
            <v>0.33333333333333331</v>
          </cell>
          <cell r="AI200">
            <v>0.16666666666666666</v>
          </cell>
          <cell r="AJ200">
            <v>0.16666666666666666</v>
          </cell>
          <cell r="AK200">
            <v>0.33333333333333331</v>
          </cell>
          <cell r="AL200">
            <v>8.3333333333333467E-2</v>
          </cell>
          <cell r="AM200">
            <v>0.20833333333333331</v>
          </cell>
          <cell r="AN200">
            <v>0.40000000000000069</v>
          </cell>
          <cell r="AO200">
            <v>0</v>
          </cell>
          <cell r="AP200">
            <v>11.833333333333334</v>
          </cell>
          <cell r="AQ200">
            <v>47</v>
          </cell>
          <cell r="AR200">
            <v>0</v>
          </cell>
          <cell r="AS200">
            <v>11.5</v>
          </cell>
          <cell r="AT200">
            <v>12</v>
          </cell>
          <cell r="AU200">
            <v>72</v>
          </cell>
          <cell r="AV200">
            <v>0</v>
          </cell>
          <cell r="AW200">
            <v>11.833333333333334</v>
          </cell>
          <cell r="AX200">
            <v>12</v>
          </cell>
          <cell r="AY200">
            <v>36</v>
          </cell>
          <cell r="AZ200">
            <v>0</v>
          </cell>
          <cell r="BA200">
            <v>11.833333333333334</v>
          </cell>
          <cell r="BB200">
            <v>12</v>
          </cell>
          <cell r="BC200">
            <v>36</v>
          </cell>
          <cell r="BD200">
            <v>0</v>
          </cell>
          <cell r="BE200">
            <v>11.666666666666666</v>
          </cell>
          <cell r="BF200">
            <v>35</v>
          </cell>
          <cell r="BG200">
            <v>0</v>
          </cell>
          <cell r="BH200">
            <v>11.333333333333332</v>
          </cell>
          <cell r="BI200">
            <v>16</v>
          </cell>
          <cell r="BJ200">
            <v>48</v>
          </cell>
          <cell r="BK200">
            <v>0</v>
          </cell>
          <cell r="BL200">
            <v>11.833333333333334</v>
          </cell>
          <cell r="BM200">
            <v>12</v>
          </cell>
          <cell r="BN200">
            <v>72</v>
          </cell>
          <cell r="BO200">
            <v>0</v>
          </cell>
          <cell r="BP200">
            <v>11.833333333333334</v>
          </cell>
          <cell r="BQ200">
            <v>13</v>
          </cell>
          <cell r="BR200">
            <v>39</v>
          </cell>
          <cell r="BS200">
            <v>0</v>
          </cell>
          <cell r="BT200">
            <v>12.833333333333334</v>
          </cell>
          <cell r="BU200">
            <v>12</v>
          </cell>
          <cell r="BV200">
            <v>72</v>
          </cell>
          <cell r="BW200">
            <v>0</v>
          </cell>
          <cell r="BX200">
            <v>0</v>
          </cell>
          <cell r="BY200">
            <v>11.833333333333334</v>
          </cell>
          <cell r="BZ200">
            <v>11</v>
          </cell>
          <cell r="CA200">
            <v>66</v>
          </cell>
          <cell r="CB200">
            <v>0</v>
          </cell>
          <cell r="CC200">
            <v>0</v>
          </cell>
          <cell r="CD200">
            <v>10.833333333333334</v>
          </cell>
          <cell r="CE200">
            <v>8</v>
          </cell>
          <cell r="CF200">
            <v>12</v>
          </cell>
          <cell r="CG200">
            <v>0</v>
          </cell>
          <cell r="CH200">
            <v>0</v>
          </cell>
          <cell r="CI200">
            <v>10.166666666666668</v>
          </cell>
          <cell r="CJ200">
            <v>11</v>
          </cell>
          <cell r="CK200">
            <v>16.5</v>
          </cell>
          <cell r="CL200">
            <v>0</v>
          </cell>
          <cell r="CM200">
            <v>0</v>
          </cell>
          <cell r="CN200">
            <v>10.333333333333334</v>
          </cell>
          <cell r="CO200">
            <v>11</v>
          </cell>
          <cell r="CP200">
            <v>16.5</v>
          </cell>
          <cell r="CQ200">
            <v>0</v>
          </cell>
          <cell r="CR200">
            <v>0</v>
          </cell>
          <cell r="CS200">
            <v>10.333333333333334</v>
          </cell>
          <cell r="CT200">
            <v>11</v>
          </cell>
          <cell r="CU200">
            <v>16.5</v>
          </cell>
          <cell r="CV200">
            <v>0</v>
          </cell>
          <cell r="CW200">
            <v>0</v>
          </cell>
          <cell r="CX200">
            <v>10.333333333333334</v>
          </cell>
          <cell r="CY200">
            <v>9</v>
          </cell>
          <cell r="CZ200">
            <v>13.5</v>
          </cell>
          <cell r="DA200">
            <v>0</v>
          </cell>
          <cell r="DB200">
            <v>0</v>
          </cell>
          <cell r="DC200">
            <v>8.5</v>
          </cell>
          <cell r="DD200">
            <v>13</v>
          </cell>
          <cell r="DE200">
            <v>24</v>
          </cell>
          <cell r="DF200">
            <v>0</v>
          </cell>
          <cell r="DG200">
            <v>0</v>
          </cell>
          <cell r="DH200">
            <v>12.5</v>
          </cell>
          <cell r="DI200">
            <v>13</v>
          </cell>
          <cell r="DJ200">
            <v>38</v>
          </cell>
          <cell r="DK200">
            <v>0</v>
          </cell>
          <cell r="DL200">
            <v>0</v>
          </cell>
          <cell r="DM200">
            <v>12.166666666666666</v>
          </cell>
          <cell r="DN200">
            <v>16</v>
          </cell>
          <cell r="DO200">
            <v>47</v>
          </cell>
          <cell r="DP200">
            <v>0</v>
          </cell>
          <cell r="DQ200">
            <v>0</v>
          </cell>
          <cell r="DR200">
            <v>15.666666666666666</v>
          </cell>
          <cell r="DS200">
            <v>15.666666666666666</v>
          </cell>
          <cell r="DT200">
            <v>46</v>
          </cell>
          <cell r="DU200">
            <v>0</v>
          </cell>
          <cell r="DV200">
            <v>0</v>
          </cell>
          <cell r="DW200">
            <v>15.333333333333332</v>
          </cell>
          <cell r="DX200">
            <v>15.333333333333332</v>
          </cell>
          <cell r="DY200">
            <v>45</v>
          </cell>
          <cell r="DZ200">
            <v>0</v>
          </cell>
          <cell r="EA200">
            <v>0</v>
          </cell>
          <cell r="EB200">
            <v>14.999999999999998</v>
          </cell>
          <cell r="EC200">
            <v>14.999999999999998</v>
          </cell>
          <cell r="ED200">
            <v>44</v>
          </cell>
          <cell r="EE200">
            <v>0</v>
          </cell>
          <cell r="EF200">
            <v>0</v>
          </cell>
          <cell r="EG200">
            <v>14.666666666666664</v>
          </cell>
          <cell r="EH200">
            <v>14.666666666666664</v>
          </cell>
          <cell r="EI200">
            <v>42.999999999999993</v>
          </cell>
          <cell r="EJ200">
            <v>0</v>
          </cell>
          <cell r="EK200">
            <v>0</v>
          </cell>
          <cell r="EL200">
            <v>14.33333333333333</v>
          </cell>
          <cell r="EM200">
            <v>14.33333333333333</v>
          </cell>
          <cell r="EN200">
            <v>41.999999999999993</v>
          </cell>
          <cell r="EO200">
            <v>0</v>
          </cell>
          <cell r="EP200">
            <v>0</v>
          </cell>
          <cell r="EQ200">
            <v>13.999999999999996</v>
          </cell>
          <cell r="ER200">
            <v>13.999999999999996</v>
          </cell>
          <cell r="ES200">
            <v>40.999999999999993</v>
          </cell>
          <cell r="ET200">
            <v>0</v>
          </cell>
          <cell r="EU200">
            <v>0</v>
          </cell>
          <cell r="EV200">
            <v>13.666666666666663</v>
          </cell>
          <cell r="EW200">
            <v>13.666666666666663</v>
          </cell>
          <cell r="EX200">
            <v>39.999999999999993</v>
          </cell>
          <cell r="EY200">
            <v>0</v>
          </cell>
          <cell r="EZ200">
            <v>0</v>
          </cell>
          <cell r="FA200">
            <v>13.333333333333329</v>
          </cell>
          <cell r="FB200">
            <v>13.333333333333329</v>
          </cell>
          <cell r="FC200">
            <v>38.999999999999986</v>
          </cell>
          <cell r="FD200">
            <v>0</v>
          </cell>
          <cell r="FE200">
            <v>0</v>
          </cell>
          <cell r="FF200">
            <v>12.999999999999995</v>
          </cell>
          <cell r="FG200">
            <v>12.999999999999995</v>
          </cell>
          <cell r="FH200">
            <v>37.999999999999986</v>
          </cell>
          <cell r="FI200">
            <v>0</v>
          </cell>
          <cell r="FJ200">
            <v>0</v>
          </cell>
          <cell r="FK200">
            <v>12.666666666666661</v>
          </cell>
          <cell r="FL200">
            <v>12.666666666666661</v>
          </cell>
          <cell r="FM200">
            <v>36.999999999999986</v>
          </cell>
          <cell r="FN200">
            <v>0</v>
          </cell>
          <cell r="FO200">
            <v>0</v>
          </cell>
          <cell r="FP200">
            <v>12.333333333333327</v>
          </cell>
          <cell r="FQ200">
            <v>12.333333333333327</v>
          </cell>
          <cell r="FR200">
            <v>35.999999999999986</v>
          </cell>
          <cell r="FS200">
            <v>0</v>
          </cell>
          <cell r="FT200">
            <v>1</v>
          </cell>
          <cell r="FU200">
            <v>2.0333333333333332</v>
          </cell>
          <cell r="FV200" t="str">
            <v>SI</v>
          </cell>
          <cell r="FW200" t="str">
            <v>SOBRESTOCK</v>
          </cell>
          <cell r="FX200" t="str">
            <v>C</v>
          </cell>
          <cell r="FY200" t="str">
            <v>Si</v>
          </cell>
        </row>
        <row r="201">
          <cell r="B201" t="str">
            <v>REP-0209</v>
          </cell>
          <cell r="C201" t="str">
            <v>MIX</v>
          </cell>
          <cell r="D201">
            <v>0</v>
          </cell>
          <cell r="E201">
            <v>1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1</v>
          </cell>
          <cell r="AA201">
            <v>1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1</v>
          </cell>
          <cell r="AQ201" t="str">
            <v/>
          </cell>
          <cell r="AR201">
            <v>0</v>
          </cell>
          <cell r="AS201">
            <v>1</v>
          </cell>
          <cell r="AT201">
            <v>1</v>
          </cell>
          <cell r="AU201" t="str">
            <v/>
          </cell>
          <cell r="AV201">
            <v>0</v>
          </cell>
          <cell r="AW201">
            <v>1</v>
          </cell>
          <cell r="AX201">
            <v>1</v>
          </cell>
          <cell r="AY201" t="str">
            <v/>
          </cell>
          <cell r="AZ201">
            <v>0</v>
          </cell>
          <cell r="BA201">
            <v>1</v>
          </cell>
          <cell r="BB201">
            <v>1</v>
          </cell>
          <cell r="BC201" t="str">
            <v/>
          </cell>
          <cell r="BD201">
            <v>0</v>
          </cell>
          <cell r="BE201">
            <v>1</v>
          </cell>
          <cell r="BF201" t="str">
            <v/>
          </cell>
          <cell r="BG201">
            <v>0</v>
          </cell>
          <cell r="BH201">
            <v>1</v>
          </cell>
          <cell r="BI201">
            <v>1</v>
          </cell>
          <cell r="BJ201" t="str">
            <v/>
          </cell>
          <cell r="BK201">
            <v>0</v>
          </cell>
          <cell r="BL201">
            <v>1</v>
          </cell>
          <cell r="BM201">
            <v>1</v>
          </cell>
          <cell r="BN201" t="str">
            <v/>
          </cell>
          <cell r="BO201">
            <v>0</v>
          </cell>
          <cell r="BP201">
            <v>1</v>
          </cell>
          <cell r="BQ201">
            <v>1</v>
          </cell>
          <cell r="BR201" t="str">
            <v/>
          </cell>
          <cell r="BS201">
            <v>0</v>
          </cell>
          <cell r="BT201">
            <v>1</v>
          </cell>
          <cell r="BU201">
            <v>1</v>
          </cell>
          <cell r="BV201" t="str">
            <v/>
          </cell>
          <cell r="BW201">
            <v>0</v>
          </cell>
          <cell r="BX201">
            <v>0</v>
          </cell>
          <cell r="BY201">
            <v>1</v>
          </cell>
          <cell r="BZ201">
            <v>1</v>
          </cell>
          <cell r="CA201" t="str">
            <v/>
          </cell>
          <cell r="CB201">
            <v>0</v>
          </cell>
          <cell r="CC201">
            <v>0</v>
          </cell>
          <cell r="CD201">
            <v>1</v>
          </cell>
          <cell r="CE201">
            <v>1</v>
          </cell>
          <cell r="CF201" t="str">
            <v/>
          </cell>
          <cell r="CG201">
            <v>0</v>
          </cell>
          <cell r="CH201">
            <v>0</v>
          </cell>
          <cell r="CI201">
            <v>1</v>
          </cell>
          <cell r="CJ201">
            <v>1</v>
          </cell>
          <cell r="CK201" t="str">
            <v/>
          </cell>
          <cell r="CL201">
            <v>0</v>
          </cell>
          <cell r="CM201">
            <v>0</v>
          </cell>
          <cell r="CN201">
            <v>1</v>
          </cell>
          <cell r="CO201">
            <v>1</v>
          </cell>
          <cell r="CP201" t="str">
            <v/>
          </cell>
          <cell r="CQ201">
            <v>0</v>
          </cell>
          <cell r="CR201">
            <v>0</v>
          </cell>
          <cell r="CS201">
            <v>1</v>
          </cell>
          <cell r="CT201">
            <v>1</v>
          </cell>
          <cell r="CU201" t="str">
            <v/>
          </cell>
          <cell r="CV201">
            <v>0</v>
          </cell>
          <cell r="CW201">
            <v>0</v>
          </cell>
          <cell r="CX201">
            <v>1</v>
          </cell>
          <cell r="CY201">
            <v>1</v>
          </cell>
          <cell r="CZ201" t="str">
            <v/>
          </cell>
          <cell r="DA201">
            <v>0</v>
          </cell>
          <cell r="DB201">
            <v>0</v>
          </cell>
          <cell r="DC201">
            <v>1</v>
          </cell>
          <cell r="DD201">
            <v>1</v>
          </cell>
          <cell r="DE201" t="str">
            <v/>
          </cell>
          <cell r="DF201">
            <v>0</v>
          </cell>
          <cell r="DG201">
            <v>0</v>
          </cell>
          <cell r="DH201">
            <v>1</v>
          </cell>
          <cell r="DI201">
            <v>1</v>
          </cell>
          <cell r="DJ201" t="str">
            <v/>
          </cell>
          <cell r="DK201">
            <v>0</v>
          </cell>
          <cell r="DL201">
            <v>0</v>
          </cell>
          <cell r="DM201">
            <v>1</v>
          </cell>
          <cell r="DN201">
            <v>1</v>
          </cell>
          <cell r="DO201" t="str">
            <v/>
          </cell>
          <cell r="DP201">
            <v>0</v>
          </cell>
          <cell r="DQ201">
            <v>0</v>
          </cell>
          <cell r="DR201">
            <v>1</v>
          </cell>
          <cell r="DS201">
            <v>1</v>
          </cell>
          <cell r="DT201" t="str">
            <v/>
          </cell>
          <cell r="DU201">
            <v>0</v>
          </cell>
          <cell r="DV201">
            <v>0</v>
          </cell>
          <cell r="DW201">
            <v>1</v>
          </cell>
          <cell r="DX201">
            <v>1</v>
          </cell>
          <cell r="DY201" t="str">
            <v/>
          </cell>
          <cell r="DZ201">
            <v>0</v>
          </cell>
          <cell r="EA201">
            <v>0</v>
          </cell>
          <cell r="EB201">
            <v>1</v>
          </cell>
          <cell r="EC201">
            <v>1</v>
          </cell>
          <cell r="ED201" t="str">
            <v/>
          </cell>
          <cell r="EE201">
            <v>0</v>
          </cell>
          <cell r="EF201">
            <v>0</v>
          </cell>
          <cell r="EG201">
            <v>1</v>
          </cell>
          <cell r="EH201">
            <v>1</v>
          </cell>
          <cell r="EI201" t="str">
            <v/>
          </cell>
          <cell r="EJ201">
            <v>0</v>
          </cell>
          <cell r="EK201">
            <v>0</v>
          </cell>
          <cell r="EL201">
            <v>1</v>
          </cell>
          <cell r="EM201">
            <v>1</v>
          </cell>
          <cell r="EN201" t="str">
            <v/>
          </cell>
          <cell r="EO201">
            <v>0</v>
          </cell>
          <cell r="EP201">
            <v>0</v>
          </cell>
          <cell r="EQ201">
            <v>1</v>
          </cell>
          <cell r="ER201">
            <v>1</v>
          </cell>
          <cell r="ES201" t="str">
            <v/>
          </cell>
          <cell r="ET201">
            <v>0</v>
          </cell>
          <cell r="EU201">
            <v>0</v>
          </cell>
          <cell r="EV201">
            <v>1</v>
          </cell>
          <cell r="EW201">
            <v>1</v>
          </cell>
          <cell r="EX201" t="str">
            <v/>
          </cell>
          <cell r="EY201">
            <v>0</v>
          </cell>
          <cell r="EZ201">
            <v>0</v>
          </cell>
          <cell r="FA201">
            <v>1</v>
          </cell>
          <cell r="FB201">
            <v>1</v>
          </cell>
          <cell r="FC201" t="str">
            <v/>
          </cell>
          <cell r="FD201">
            <v>0</v>
          </cell>
          <cell r="FE201">
            <v>0</v>
          </cell>
          <cell r="FF201">
            <v>1</v>
          </cell>
          <cell r="FG201">
            <v>1</v>
          </cell>
          <cell r="FH201" t="str">
            <v/>
          </cell>
          <cell r="FI201">
            <v>0</v>
          </cell>
          <cell r="FJ201">
            <v>0</v>
          </cell>
          <cell r="FK201">
            <v>1</v>
          </cell>
          <cell r="FL201">
            <v>1</v>
          </cell>
          <cell r="FM201" t="str">
            <v/>
          </cell>
          <cell r="FN201">
            <v>0</v>
          </cell>
          <cell r="FO201">
            <v>0</v>
          </cell>
          <cell r="FP201">
            <v>1</v>
          </cell>
          <cell r="FQ201">
            <v>1</v>
          </cell>
          <cell r="FR201" t="str">
            <v/>
          </cell>
          <cell r="FS201">
            <v>0</v>
          </cell>
          <cell r="FT201">
            <v>0</v>
          </cell>
          <cell r="FU201">
            <v>2.0333333333333332</v>
          </cell>
          <cell r="FV201" t="str">
            <v>SI</v>
          </cell>
          <cell r="FW201" t="str">
            <v>SIN ROTACIÓN</v>
          </cell>
          <cell r="FX201" t="str">
            <v>STOCK MUERTO</v>
          </cell>
          <cell r="FY201" t="str">
            <v>Si</v>
          </cell>
        </row>
        <row r="202">
          <cell r="B202" t="str">
            <v>REP-0210</v>
          </cell>
          <cell r="C202" t="str">
            <v>MIX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M202">
            <v>0</v>
          </cell>
          <cell r="AO202">
            <v>0</v>
          </cell>
          <cell r="AP202">
            <v>0</v>
          </cell>
          <cell r="AQ202" t="str">
            <v/>
          </cell>
          <cell r="AR202">
            <v>0</v>
          </cell>
          <cell r="AS202">
            <v>0</v>
          </cell>
          <cell r="AT202">
            <v>0</v>
          </cell>
          <cell r="AU202" t="str">
            <v/>
          </cell>
          <cell r="AV202">
            <v>0</v>
          </cell>
          <cell r="AW202">
            <v>0</v>
          </cell>
          <cell r="AX202">
            <v>0</v>
          </cell>
          <cell r="AY202" t="str">
            <v/>
          </cell>
          <cell r="AZ202">
            <v>0</v>
          </cell>
          <cell r="BA202">
            <v>0</v>
          </cell>
          <cell r="BB202">
            <v>0</v>
          </cell>
          <cell r="BC202" t="str">
            <v/>
          </cell>
          <cell r="BD202">
            <v>0</v>
          </cell>
          <cell r="BE202">
            <v>0</v>
          </cell>
          <cell r="BF202" t="str">
            <v/>
          </cell>
          <cell r="BG202">
            <v>0</v>
          </cell>
          <cell r="BH202">
            <v>0</v>
          </cell>
          <cell r="BI202">
            <v>0</v>
          </cell>
          <cell r="BJ202" t="str">
            <v/>
          </cell>
          <cell r="BK202">
            <v>0</v>
          </cell>
          <cell r="BL202">
            <v>0</v>
          </cell>
          <cell r="BM202">
            <v>0</v>
          </cell>
          <cell r="BN202" t="str">
            <v/>
          </cell>
          <cell r="BO202">
            <v>0</v>
          </cell>
          <cell r="BP202">
            <v>0</v>
          </cell>
          <cell r="BQ202">
            <v>0</v>
          </cell>
          <cell r="BR202" t="str">
            <v/>
          </cell>
          <cell r="BS202">
            <v>0</v>
          </cell>
          <cell r="BT202">
            <v>0</v>
          </cell>
          <cell r="BU202">
            <v>0</v>
          </cell>
          <cell r="BV202" t="str">
            <v/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 t="str">
            <v/>
          </cell>
          <cell r="CB202">
            <v>0</v>
          </cell>
          <cell r="CD202">
            <v>0</v>
          </cell>
          <cell r="CE202">
            <v>0</v>
          </cell>
          <cell r="CF202" t="str">
            <v/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 t="str">
            <v/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 t="str">
            <v/>
          </cell>
          <cell r="CQ202">
            <v>0</v>
          </cell>
          <cell r="CS202">
            <v>0</v>
          </cell>
          <cell r="CT202">
            <v>0</v>
          </cell>
          <cell r="CU202" t="str">
            <v/>
          </cell>
          <cell r="CV202">
            <v>0</v>
          </cell>
          <cell r="CX202">
            <v>0</v>
          </cell>
          <cell r="CY202">
            <v>0</v>
          </cell>
          <cell r="CZ202" t="str">
            <v/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 t="str">
            <v/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 t="str">
            <v/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 t="str">
            <v/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 t="str">
            <v/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 t="str">
            <v/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 t="str">
            <v/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 t="str">
            <v/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 t="str">
            <v/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 t="str">
            <v/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 t="str">
            <v/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 t="str">
            <v/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 t="str">
            <v/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 t="str">
            <v/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 t="str">
            <v/>
          </cell>
          <cell r="FS202">
            <v>0</v>
          </cell>
          <cell r="FT202">
            <v>0</v>
          </cell>
          <cell r="FU202">
            <v>66.666666666666671</v>
          </cell>
          <cell r="FW202" t="str">
            <v>SIN ROTACIÓN</v>
          </cell>
          <cell r="FX202" t="str">
            <v/>
          </cell>
          <cell r="FY202" t="str">
            <v>No</v>
          </cell>
        </row>
        <row r="203">
          <cell r="B203" t="str">
            <v>REP-0212</v>
          </cell>
          <cell r="C203" t="str">
            <v>NO VIGENTE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M203">
            <v>0</v>
          </cell>
          <cell r="AO203">
            <v>0</v>
          </cell>
          <cell r="AP203">
            <v>0</v>
          </cell>
          <cell r="AQ203" t="str">
            <v/>
          </cell>
          <cell r="AR203">
            <v>0</v>
          </cell>
          <cell r="AS203">
            <v>0</v>
          </cell>
          <cell r="AT203">
            <v>0</v>
          </cell>
          <cell r="AU203" t="str">
            <v/>
          </cell>
          <cell r="AV203">
            <v>0</v>
          </cell>
          <cell r="AW203">
            <v>0</v>
          </cell>
          <cell r="AX203">
            <v>0</v>
          </cell>
          <cell r="AY203" t="str">
            <v/>
          </cell>
          <cell r="AZ203">
            <v>0</v>
          </cell>
          <cell r="BA203">
            <v>0</v>
          </cell>
          <cell r="BB203">
            <v>0</v>
          </cell>
          <cell r="BC203" t="str">
            <v/>
          </cell>
          <cell r="BD203">
            <v>0</v>
          </cell>
          <cell r="BE203">
            <v>0</v>
          </cell>
          <cell r="BF203" t="str">
            <v/>
          </cell>
          <cell r="BG203">
            <v>0</v>
          </cell>
          <cell r="BH203">
            <v>0</v>
          </cell>
          <cell r="BI203">
            <v>0</v>
          </cell>
          <cell r="BJ203" t="str">
            <v/>
          </cell>
          <cell r="BK203">
            <v>0</v>
          </cell>
          <cell r="BL203">
            <v>0</v>
          </cell>
          <cell r="BM203">
            <v>0</v>
          </cell>
          <cell r="BN203" t="str">
            <v/>
          </cell>
          <cell r="BO203">
            <v>0</v>
          </cell>
          <cell r="BP203">
            <v>0</v>
          </cell>
          <cell r="BQ203">
            <v>0</v>
          </cell>
          <cell r="BR203" t="str">
            <v/>
          </cell>
          <cell r="BS203">
            <v>0</v>
          </cell>
          <cell r="BT203">
            <v>0</v>
          </cell>
          <cell r="BU203">
            <v>0</v>
          </cell>
          <cell r="BV203" t="str">
            <v/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 t="str">
            <v/>
          </cell>
          <cell r="CB203">
            <v>0</v>
          </cell>
          <cell r="CD203">
            <v>0</v>
          </cell>
          <cell r="CE203">
            <v>0</v>
          </cell>
          <cell r="CF203" t="str">
            <v/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 t="str">
            <v/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 t="str">
            <v/>
          </cell>
          <cell r="CQ203">
            <v>0</v>
          </cell>
          <cell r="CS203">
            <v>0</v>
          </cell>
          <cell r="CT203">
            <v>0</v>
          </cell>
          <cell r="CU203" t="str">
            <v/>
          </cell>
          <cell r="CV203">
            <v>0</v>
          </cell>
          <cell r="CX203">
            <v>0</v>
          </cell>
          <cell r="CY203">
            <v>0</v>
          </cell>
          <cell r="CZ203" t="str">
            <v/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 t="str">
            <v/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 t="str">
            <v/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 t="str">
            <v/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 t="str">
            <v/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 t="str">
            <v/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 t="str">
            <v/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 t="str">
            <v/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 t="str">
            <v/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 t="str">
            <v/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 t="str">
            <v/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 t="str">
            <v/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 t="str">
            <v/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 t="str">
            <v/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 t="str">
            <v/>
          </cell>
          <cell r="FS203">
            <v>0</v>
          </cell>
          <cell r="FT203">
            <v>0</v>
          </cell>
          <cell r="FU203">
            <v>66.666666666666671</v>
          </cell>
          <cell r="FW203" t="str">
            <v>SIN ROTACIÓN</v>
          </cell>
          <cell r="FX203">
            <v>0</v>
          </cell>
          <cell r="FY203" t="str">
            <v>No</v>
          </cell>
        </row>
        <row r="204">
          <cell r="B204" t="str">
            <v>REP-0213</v>
          </cell>
          <cell r="C204" t="str">
            <v>NO VIGENTE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M204">
            <v>0</v>
          </cell>
          <cell r="AO204">
            <v>0</v>
          </cell>
          <cell r="AP204">
            <v>0</v>
          </cell>
          <cell r="AQ204" t="str">
            <v/>
          </cell>
          <cell r="AR204">
            <v>0</v>
          </cell>
          <cell r="AS204">
            <v>0</v>
          </cell>
          <cell r="AT204">
            <v>0</v>
          </cell>
          <cell r="AU204" t="str">
            <v/>
          </cell>
          <cell r="AV204">
            <v>0</v>
          </cell>
          <cell r="AW204">
            <v>0</v>
          </cell>
          <cell r="AX204">
            <v>0</v>
          </cell>
          <cell r="AY204" t="str">
            <v/>
          </cell>
          <cell r="AZ204">
            <v>0</v>
          </cell>
          <cell r="BA204">
            <v>0</v>
          </cell>
          <cell r="BB204">
            <v>0</v>
          </cell>
          <cell r="BC204" t="str">
            <v/>
          </cell>
          <cell r="BD204">
            <v>0</v>
          </cell>
          <cell r="BE204">
            <v>0</v>
          </cell>
          <cell r="BF204" t="str">
            <v/>
          </cell>
          <cell r="BG204">
            <v>0</v>
          </cell>
          <cell r="BH204">
            <v>0</v>
          </cell>
          <cell r="BI204">
            <v>0</v>
          </cell>
          <cell r="BJ204" t="str">
            <v/>
          </cell>
          <cell r="BK204">
            <v>0</v>
          </cell>
          <cell r="BL204">
            <v>0</v>
          </cell>
          <cell r="BM204">
            <v>0</v>
          </cell>
          <cell r="BN204" t="str">
            <v/>
          </cell>
          <cell r="BO204">
            <v>0</v>
          </cell>
          <cell r="BP204">
            <v>0</v>
          </cell>
          <cell r="BQ204">
            <v>0</v>
          </cell>
          <cell r="BR204" t="str">
            <v/>
          </cell>
          <cell r="BS204">
            <v>0</v>
          </cell>
          <cell r="BT204">
            <v>0</v>
          </cell>
          <cell r="BU204">
            <v>0</v>
          </cell>
          <cell r="BV204" t="str">
            <v/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 t="str">
            <v/>
          </cell>
          <cell r="CB204">
            <v>0</v>
          </cell>
          <cell r="CD204">
            <v>0</v>
          </cell>
          <cell r="CE204">
            <v>0</v>
          </cell>
          <cell r="CF204" t="str">
            <v/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 t="str">
            <v/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 t="str">
            <v/>
          </cell>
          <cell r="CQ204">
            <v>0</v>
          </cell>
          <cell r="CS204">
            <v>0</v>
          </cell>
          <cell r="CT204">
            <v>0</v>
          </cell>
          <cell r="CU204" t="str">
            <v/>
          </cell>
          <cell r="CV204">
            <v>0</v>
          </cell>
          <cell r="CX204">
            <v>0</v>
          </cell>
          <cell r="CY204">
            <v>0</v>
          </cell>
          <cell r="CZ204" t="str">
            <v/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 t="str">
            <v/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 t="str">
            <v/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 t="str">
            <v/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 t="str">
            <v/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 t="str">
            <v/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 t="str">
            <v/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 t="str">
            <v/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 t="str">
            <v/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 t="str">
            <v/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 t="str">
            <v/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 t="str">
            <v/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 t="str">
            <v/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 t="str">
            <v/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 t="str">
            <v/>
          </cell>
          <cell r="FS204">
            <v>0</v>
          </cell>
          <cell r="FT204">
            <v>0</v>
          </cell>
          <cell r="FU204">
            <v>66.666666666666671</v>
          </cell>
          <cell r="FW204" t="str">
            <v>SIN ROTACIÓN</v>
          </cell>
          <cell r="FX204">
            <v>0</v>
          </cell>
          <cell r="FY204" t="str">
            <v>No</v>
          </cell>
        </row>
        <row r="205">
          <cell r="B205" t="str">
            <v>REP-0215</v>
          </cell>
          <cell r="C205" t="str">
            <v>NO VIGENTE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M205">
            <v>0</v>
          </cell>
          <cell r="AO205">
            <v>0</v>
          </cell>
          <cell r="AP205">
            <v>0</v>
          </cell>
          <cell r="AQ205" t="str">
            <v/>
          </cell>
          <cell r="AR205">
            <v>0</v>
          </cell>
          <cell r="AS205">
            <v>0</v>
          </cell>
          <cell r="AT205">
            <v>0</v>
          </cell>
          <cell r="AU205" t="str">
            <v/>
          </cell>
          <cell r="AV205">
            <v>0</v>
          </cell>
          <cell r="AW205">
            <v>0</v>
          </cell>
          <cell r="AX205">
            <v>0</v>
          </cell>
          <cell r="AY205" t="str">
            <v/>
          </cell>
          <cell r="AZ205">
            <v>0</v>
          </cell>
          <cell r="BA205">
            <v>0</v>
          </cell>
          <cell r="BB205">
            <v>0</v>
          </cell>
          <cell r="BC205" t="str">
            <v/>
          </cell>
          <cell r="BD205">
            <v>0</v>
          </cell>
          <cell r="BE205">
            <v>0</v>
          </cell>
          <cell r="BF205" t="str">
            <v/>
          </cell>
          <cell r="BG205">
            <v>0</v>
          </cell>
          <cell r="BH205">
            <v>0</v>
          </cell>
          <cell r="BI205">
            <v>0</v>
          </cell>
          <cell r="BJ205" t="str">
            <v/>
          </cell>
          <cell r="BK205">
            <v>0</v>
          </cell>
          <cell r="BL205">
            <v>0</v>
          </cell>
          <cell r="BM205">
            <v>0</v>
          </cell>
          <cell r="BN205" t="str">
            <v/>
          </cell>
          <cell r="BO205">
            <v>0</v>
          </cell>
          <cell r="BP205">
            <v>0</v>
          </cell>
          <cell r="BQ205">
            <v>0</v>
          </cell>
          <cell r="BR205" t="str">
            <v/>
          </cell>
          <cell r="BS205">
            <v>0</v>
          </cell>
          <cell r="BT205">
            <v>0</v>
          </cell>
          <cell r="BU205">
            <v>0</v>
          </cell>
          <cell r="BV205" t="str">
            <v/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 t="str">
            <v/>
          </cell>
          <cell r="CB205">
            <v>0</v>
          </cell>
          <cell r="CD205">
            <v>0</v>
          </cell>
          <cell r="CE205">
            <v>0</v>
          </cell>
          <cell r="CF205" t="str">
            <v/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 t="str">
            <v/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 t="str">
            <v/>
          </cell>
          <cell r="CQ205">
            <v>0</v>
          </cell>
          <cell r="CS205">
            <v>0</v>
          </cell>
          <cell r="CT205">
            <v>0</v>
          </cell>
          <cell r="CU205" t="str">
            <v/>
          </cell>
          <cell r="CV205">
            <v>0</v>
          </cell>
          <cell r="CX205">
            <v>0</v>
          </cell>
          <cell r="CY205">
            <v>0</v>
          </cell>
          <cell r="CZ205" t="str">
            <v/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 t="str">
            <v/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 t="str">
            <v/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 t="str">
            <v/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 t="str">
            <v/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 t="str">
            <v/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 t="str">
            <v/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 t="str">
            <v/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 t="str">
            <v/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 t="str">
            <v/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 t="str">
            <v/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 t="str">
            <v/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 t="str">
            <v/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 t="str">
            <v/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 t="str">
            <v/>
          </cell>
          <cell r="FS205">
            <v>0</v>
          </cell>
          <cell r="FT205">
            <v>0</v>
          </cell>
          <cell r="FU205">
            <v>66.666666666666671</v>
          </cell>
          <cell r="FW205" t="str">
            <v>SIN ROTACIÓN</v>
          </cell>
          <cell r="FX205">
            <v>0</v>
          </cell>
          <cell r="FY205" t="str">
            <v>No</v>
          </cell>
        </row>
        <row r="206">
          <cell r="B206" t="str">
            <v>REP-0216</v>
          </cell>
          <cell r="C206" t="str">
            <v>MIX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0</v>
          </cell>
          <cell r="AE206">
            <v>8.3333333333333329E-2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O206">
            <v>0</v>
          </cell>
          <cell r="AP206">
            <v>0</v>
          </cell>
          <cell r="AQ206" t="str">
            <v/>
          </cell>
          <cell r="AR206">
            <v>0</v>
          </cell>
          <cell r="AS206">
            <v>0</v>
          </cell>
          <cell r="AT206">
            <v>0</v>
          </cell>
          <cell r="AU206" t="str">
            <v/>
          </cell>
          <cell r="AV206">
            <v>0</v>
          </cell>
          <cell r="AW206">
            <v>0</v>
          </cell>
          <cell r="AX206">
            <v>0</v>
          </cell>
          <cell r="AY206" t="str">
            <v/>
          </cell>
          <cell r="AZ206">
            <v>0</v>
          </cell>
          <cell r="BA206">
            <v>0</v>
          </cell>
          <cell r="BB206">
            <v>0</v>
          </cell>
          <cell r="BC206" t="str">
            <v/>
          </cell>
          <cell r="BD206">
            <v>0</v>
          </cell>
          <cell r="BE206">
            <v>0</v>
          </cell>
          <cell r="BF206" t="str">
            <v/>
          </cell>
          <cell r="BG206">
            <v>0</v>
          </cell>
          <cell r="BH206">
            <v>0</v>
          </cell>
          <cell r="BI206">
            <v>0</v>
          </cell>
          <cell r="BJ206" t="str">
            <v/>
          </cell>
          <cell r="BK206">
            <v>0</v>
          </cell>
          <cell r="BL206">
            <v>0</v>
          </cell>
          <cell r="BM206">
            <v>0</v>
          </cell>
          <cell r="BN206" t="str">
            <v/>
          </cell>
          <cell r="BO206">
            <v>0</v>
          </cell>
          <cell r="BP206">
            <v>0</v>
          </cell>
          <cell r="BQ206">
            <v>0</v>
          </cell>
          <cell r="BR206" t="str">
            <v/>
          </cell>
          <cell r="BS206">
            <v>0</v>
          </cell>
          <cell r="BT206">
            <v>0</v>
          </cell>
          <cell r="BU206">
            <v>0</v>
          </cell>
          <cell r="BV206" t="str">
            <v/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 t="str">
            <v/>
          </cell>
          <cell r="CB206">
            <v>0</v>
          </cell>
          <cell r="CD206">
            <v>0</v>
          </cell>
          <cell r="CE206">
            <v>0</v>
          </cell>
          <cell r="CF206" t="str">
            <v/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 t="str">
            <v/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 t="str">
            <v/>
          </cell>
          <cell r="CQ206">
            <v>0</v>
          </cell>
          <cell r="CS206">
            <v>0</v>
          </cell>
          <cell r="CT206">
            <v>0</v>
          </cell>
          <cell r="CU206" t="str">
            <v/>
          </cell>
          <cell r="CV206">
            <v>0</v>
          </cell>
          <cell r="CX206">
            <v>0</v>
          </cell>
          <cell r="CY206">
            <v>0</v>
          </cell>
          <cell r="CZ206" t="str">
            <v/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 t="str">
            <v/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 t="str">
            <v/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 t="str">
            <v/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 t="str">
            <v/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 t="str">
            <v/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 t="str">
            <v/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 t="str">
            <v/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 t="str">
            <v/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 t="str">
            <v/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 t="str">
            <v/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 t="str">
            <v/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 t="str">
            <v/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 t="str">
            <v/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 t="str">
            <v/>
          </cell>
          <cell r="FS206">
            <v>0</v>
          </cell>
          <cell r="FT206">
            <v>0</v>
          </cell>
          <cell r="FU206">
            <v>66.666666666666671</v>
          </cell>
          <cell r="FW206" t="str">
            <v>SIN ROTACIÓN</v>
          </cell>
          <cell r="FX206" t="str">
            <v/>
          </cell>
          <cell r="FY206" t="str">
            <v>No</v>
          </cell>
        </row>
        <row r="207">
          <cell r="B207" t="str">
            <v>REP-0217</v>
          </cell>
          <cell r="C207" t="str">
            <v>NO VIGENTE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O207">
            <v>0</v>
          </cell>
          <cell r="AP207">
            <v>0</v>
          </cell>
          <cell r="AQ207" t="str">
            <v/>
          </cell>
          <cell r="AR207">
            <v>0</v>
          </cell>
          <cell r="AS207">
            <v>0</v>
          </cell>
          <cell r="AT207">
            <v>0</v>
          </cell>
          <cell r="AU207" t="str">
            <v/>
          </cell>
          <cell r="AV207">
            <v>0</v>
          </cell>
          <cell r="AW207">
            <v>0</v>
          </cell>
          <cell r="AX207">
            <v>0</v>
          </cell>
          <cell r="AY207" t="str">
            <v/>
          </cell>
          <cell r="AZ207">
            <v>0</v>
          </cell>
          <cell r="BA207">
            <v>0</v>
          </cell>
          <cell r="BB207">
            <v>0</v>
          </cell>
          <cell r="BC207" t="str">
            <v/>
          </cell>
          <cell r="BD207">
            <v>0</v>
          </cell>
          <cell r="BE207">
            <v>0</v>
          </cell>
          <cell r="BF207" t="str">
            <v/>
          </cell>
          <cell r="BG207">
            <v>0</v>
          </cell>
          <cell r="BH207">
            <v>0</v>
          </cell>
          <cell r="BI207">
            <v>0</v>
          </cell>
          <cell r="BJ207" t="str">
            <v/>
          </cell>
          <cell r="BK207">
            <v>0</v>
          </cell>
          <cell r="BL207">
            <v>0</v>
          </cell>
          <cell r="BM207">
            <v>0</v>
          </cell>
          <cell r="BN207" t="str">
            <v/>
          </cell>
          <cell r="BO207">
            <v>0</v>
          </cell>
          <cell r="BP207">
            <v>0</v>
          </cell>
          <cell r="BQ207">
            <v>0</v>
          </cell>
          <cell r="BR207" t="str">
            <v/>
          </cell>
          <cell r="BS207">
            <v>0</v>
          </cell>
          <cell r="BT207">
            <v>0</v>
          </cell>
          <cell r="BU207">
            <v>0</v>
          </cell>
          <cell r="BV207" t="str">
            <v/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 t="str">
            <v/>
          </cell>
          <cell r="CB207">
            <v>0</v>
          </cell>
          <cell r="CD207">
            <v>0</v>
          </cell>
          <cell r="CE207">
            <v>0</v>
          </cell>
          <cell r="CF207" t="str">
            <v/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 t="str">
            <v/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 t="str">
            <v/>
          </cell>
          <cell r="CQ207">
            <v>0</v>
          </cell>
          <cell r="CS207">
            <v>0</v>
          </cell>
          <cell r="CT207">
            <v>0</v>
          </cell>
          <cell r="CU207" t="str">
            <v/>
          </cell>
          <cell r="CV207">
            <v>0</v>
          </cell>
          <cell r="CX207">
            <v>0</v>
          </cell>
          <cell r="CY207">
            <v>0</v>
          </cell>
          <cell r="CZ207" t="str">
            <v/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 t="str">
            <v/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 t="str">
            <v/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 t="str">
            <v/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 t="str">
            <v/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 t="str">
            <v/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 t="str">
            <v/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 t="str">
            <v/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 t="str">
            <v/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 t="str">
            <v/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 t="str">
            <v/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 t="str">
            <v/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 t="str">
            <v/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 t="str">
            <v/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 t="str">
            <v/>
          </cell>
          <cell r="FS207">
            <v>0</v>
          </cell>
          <cell r="FT207">
            <v>0</v>
          </cell>
          <cell r="FU207">
            <v>66.666666666666671</v>
          </cell>
          <cell r="FW207" t="str">
            <v>SIN ROTACIÓN</v>
          </cell>
          <cell r="FX207">
            <v>0</v>
          </cell>
          <cell r="FY207" t="str">
            <v>No</v>
          </cell>
        </row>
        <row r="208">
          <cell r="B208" t="str">
            <v>REP-0218</v>
          </cell>
          <cell r="C208" t="str">
            <v>NO VIGENTE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O208">
            <v>0</v>
          </cell>
          <cell r="AP208">
            <v>0</v>
          </cell>
          <cell r="AQ208" t="str">
            <v/>
          </cell>
          <cell r="AR208">
            <v>0</v>
          </cell>
          <cell r="AS208">
            <v>0</v>
          </cell>
          <cell r="AT208">
            <v>0</v>
          </cell>
          <cell r="AU208" t="str">
            <v/>
          </cell>
          <cell r="AV208">
            <v>0</v>
          </cell>
          <cell r="AW208">
            <v>0</v>
          </cell>
          <cell r="AX208">
            <v>0</v>
          </cell>
          <cell r="AY208" t="str">
            <v/>
          </cell>
          <cell r="AZ208">
            <v>0</v>
          </cell>
          <cell r="BA208">
            <v>0</v>
          </cell>
          <cell r="BB208">
            <v>0</v>
          </cell>
          <cell r="BC208" t="str">
            <v/>
          </cell>
          <cell r="BD208">
            <v>0</v>
          </cell>
          <cell r="BE208">
            <v>0</v>
          </cell>
          <cell r="BF208" t="str">
            <v/>
          </cell>
          <cell r="BG208">
            <v>0</v>
          </cell>
          <cell r="BH208">
            <v>0</v>
          </cell>
          <cell r="BI208">
            <v>0</v>
          </cell>
          <cell r="BJ208" t="str">
            <v/>
          </cell>
          <cell r="BK208">
            <v>0</v>
          </cell>
          <cell r="BL208">
            <v>0</v>
          </cell>
          <cell r="BM208">
            <v>0</v>
          </cell>
          <cell r="BN208" t="str">
            <v/>
          </cell>
          <cell r="BO208">
            <v>0</v>
          </cell>
          <cell r="BP208">
            <v>0</v>
          </cell>
          <cell r="BQ208">
            <v>0</v>
          </cell>
          <cell r="BR208" t="str">
            <v/>
          </cell>
          <cell r="BS208">
            <v>0</v>
          </cell>
          <cell r="BT208">
            <v>0</v>
          </cell>
          <cell r="BU208">
            <v>0</v>
          </cell>
          <cell r="BV208" t="str">
            <v/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 t="str">
            <v/>
          </cell>
          <cell r="CB208">
            <v>0</v>
          </cell>
          <cell r="CD208">
            <v>0</v>
          </cell>
          <cell r="CE208">
            <v>0</v>
          </cell>
          <cell r="CF208" t="str">
            <v/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 t="str">
            <v/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 t="str">
            <v/>
          </cell>
          <cell r="CQ208">
            <v>0</v>
          </cell>
          <cell r="CS208">
            <v>0</v>
          </cell>
          <cell r="CT208">
            <v>0</v>
          </cell>
          <cell r="CU208" t="str">
            <v/>
          </cell>
          <cell r="CV208">
            <v>0</v>
          </cell>
          <cell r="CX208">
            <v>0</v>
          </cell>
          <cell r="CY208">
            <v>0</v>
          </cell>
          <cell r="CZ208" t="str">
            <v/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 t="str">
            <v/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 t="str">
            <v/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 t="str">
            <v/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 t="str">
            <v/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 t="str">
            <v/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 t="str">
            <v/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 t="str">
            <v/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 t="str">
            <v/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 t="str">
            <v/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 t="str">
            <v/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 t="str">
            <v/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 t="str">
            <v/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 t="str">
            <v/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 t="str">
            <v/>
          </cell>
          <cell r="FS208">
            <v>0</v>
          </cell>
          <cell r="FT208">
            <v>0</v>
          </cell>
          <cell r="FU208">
            <v>66.666666666666671</v>
          </cell>
          <cell r="FW208" t="str">
            <v>SIN ROTACIÓN</v>
          </cell>
          <cell r="FX208">
            <v>0</v>
          </cell>
          <cell r="FY208" t="str">
            <v>No</v>
          </cell>
        </row>
        <row r="209">
          <cell r="B209" t="str">
            <v>REP-0219</v>
          </cell>
          <cell r="C209" t="str">
            <v>MIX</v>
          </cell>
          <cell r="D209">
            <v>0</v>
          </cell>
          <cell r="E209">
            <v>1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1</v>
          </cell>
          <cell r="AA209">
            <v>1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1</v>
          </cell>
          <cell r="AQ209" t="str">
            <v/>
          </cell>
          <cell r="AR209">
            <v>0</v>
          </cell>
          <cell r="AS209">
            <v>1</v>
          </cell>
          <cell r="AT209">
            <v>1</v>
          </cell>
          <cell r="AU209" t="str">
            <v/>
          </cell>
          <cell r="AV209">
            <v>0</v>
          </cell>
          <cell r="AW209">
            <v>1</v>
          </cell>
          <cell r="AX209">
            <v>1</v>
          </cell>
          <cell r="AY209" t="str">
            <v/>
          </cell>
          <cell r="AZ209">
            <v>0</v>
          </cell>
          <cell r="BA209">
            <v>1</v>
          </cell>
          <cell r="BB209">
            <v>1</v>
          </cell>
          <cell r="BC209" t="str">
            <v/>
          </cell>
          <cell r="BD209">
            <v>0</v>
          </cell>
          <cell r="BE209">
            <v>1</v>
          </cell>
          <cell r="BF209" t="str">
            <v/>
          </cell>
          <cell r="BG209">
            <v>0</v>
          </cell>
          <cell r="BH209">
            <v>1</v>
          </cell>
          <cell r="BI209">
            <v>1</v>
          </cell>
          <cell r="BJ209" t="str">
            <v/>
          </cell>
          <cell r="BK209">
            <v>0</v>
          </cell>
          <cell r="BL209">
            <v>1</v>
          </cell>
          <cell r="BM209">
            <v>1</v>
          </cell>
          <cell r="BN209" t="str">
            <v/>
          </cell>
          <cell r="BO209">
            <v>0</v>
          </cell>
          <cell r="BP209">
            <v>1</v>
          </cell>
          <cell r="BQ209">
            <v>1</v>
          </cell>
          <cell r="BR209" t="str">
            <v/>
          </cell>
          <cell r="BS209">
            <v>0</v>
          </cell>
          <cell r="BT209">
            <v>1</v>
          </cell>
          <cell r="BU209">
            <v>1</v>
          </cell>
          <cell r="BV209" t="str">
            <v/>
          </cell>
          <cell r="BW209">
            <v>0</v>
          </cell>
          <cell r="BX209">
            <v>0</v>
          </cell>
          <cell r="BY209">
            <v>1</v>
          </cell>
          <cell r="BZ209">
            <v>1</v>
          </cell>
          <cell r="CA209" t="str">
            <v/>
          </cell>
          <cell r="CB209">
            <v>0</v>
          </cell>
          <cell r="CC209">
            <v>0</v>
          </cell>
          <cell r="CD209">
            <v>1</v>
          </cell>
          <cell r="CE209">
            <v>1</v>
          </cell>
          <cell r="CF209" t="str">
            <v/>
          </cell>
          <cell r="CG209">
            <v>0</v>
          </cell>
          <cell r="CH209">
            <v>0</v>
          </cell>
          <cell r="CI209">
            <v>1</v>
          </cell>
          <cell r="CJ209">
            <v>1</v>
          </cell>
          <cell r="CK209" t="str">
            <v/>
          </cell>
          <cell r="CL209">
            <v>0</v>
          </cell>
          <cell r="CM209">
            <v>0</v>
          </cell>
          <cell r="CN209">
            <v>1</v>
          </cell>
          <cell r="CO209">
            <v>1</v>
          </cell>
          <cell r="CP209" t="str">
            <v/>
          </cell>
          <cell r="CQ209">
            <v>0</v>
          </cell>
          <cell r="CR209">
            <v>0</v>
          </cell>
          <cell r="CS209">
            <v>1</v>
          </cell>
          <cell r="CT209">
            <v>1</v>
          </cell>
          <cell r="CU209" t="str">
            <v/>
          </cell>
          <cell r="CV209">
            <v>0</v>
          </cell>
          <cell r="CW209">
            <v>0</v>
          </cell>
          <cell r="CX209">
            <v>1</v>
          </cell>
          <cell r="CY209">
            <v>1</v>
          </cell>
          <cell r="CZ209" t="str">
            <v/>
          </cell>
          <cell r="DA209">
            <v>0</v>
          </cell>
          <cell r="DB209">
            <v>0</v>
          </cell>
          <cell r="DC209">
            <v>1</v>
          </cell>
          <cell r="DD209">
            <v>1</v>
          </cell>
          <cell r="DE209" t="str">
            <v/>
          </cell>
          <cell r="DF209">
            <v>0</v>
          </cell>
          <cell r="DG209">
            <v>0</v>
          </cell>
          <cell r="DH209">
            <v>1</v>
          </cell>
          <cell r="DI209">
            <v>1</v>
          </cell>
          <cell r="DJ209" t="str">
            <v/>
          </cell>
          <cell r="DK209">
            <v>0</v>
          </cell>
          <cell r="DL209">
            <v>0</v>
          </cell>
          <cell r="DM209">
            <v>1</v>
          </cell>
          <cell r="DN209">
            <v>1</v>
          </cell>
          <cell r="DO209" t="str">
            <v/>
          </cell>
          <cell r="DP209">
            <v>0</v>
          </cell>
          <cell r="DQ209">
            <v>0</v>
          </cell>
          <cell r="DR209">
            <v>1</v>
          </cell>
          <cell r="DS209">
            <v>1</v>
          </cell>
          <cell r="DT209" t="str">
            <v/>
          </cell>
          <cell r="DU209">
            <v>0</v>
          </cell>
          <cell r="DV209">
            <v>0</v>
          </cell>
          <cell r="DW209">
            <v>1</v>
          </cell>
          <cell r="DX209">
            <v>1</v>
          </cell>
          <cell r="DY209" t="str">
            <v/>
          </cell>
          <cell r="DZ209">
            <v>0</v>
          </cell>
          <cell r="EA209">
            <v>0</v>
          </cell>
          <cell r="EB209">
            <v>1</v>
          </cell>
          <cell r="EC209">
            <v>1</v>
          </cell>
          <cell r="ED209" t="str">
            <v/>
          </cell>
          <cell r="EE209">
            <v>0</v>
          </cell>
          <cell r="EF209">
            <v>0</v>
          </cell>
          <cell r="EG209">
            <v>1</v>
          </cell>
          <cell r="EH209">
            <v>1</v>
          </cell>
          <cell r="EI209" t="str">
            <v/>
          </cell>
          <cell r="EJ209">
            <v>0</v>
          </cell>
          <cell r="EK209">
            <v>0</v>
          </cell>
          <cell r="EL209">
            <v>1</v>
          </cell>
          <cell r="EM209">
            <v>1</v>
          </cell>
          <cell r="EN209" t="str">
            <v/>
          </cell>
          <cell r="EO209">
            <v>0</v>
          </cell>
          <cell r="EP209">
            <v>0</v>
          </cell>
          <cell r="EQ209">
            <v>1</v>
          </cell>
          <cell r="ER209">
            <v>1</v>
          </cell>
          <cell r="ES209" t="str">
            <v/>
          </cell>
          <cell r="ET209">
            <v>0</v>
          </cell>
          <cell r="EU209">
            <v>0</v>
          </cell>
          <cell r="EV209">
            <v>1</v>
          </cell>
          <cell r="EW209">
            <v>1</v>
          </cell>
          <cell r="EX209" t="str">
            <v/>
          </cell>
          <cell r="EY209">
            <v>0</v>
          </cell>
          <cell r="EZ209">
            <v>0</v>
          </cell>
          <cell r="FA209">
            <v>1</v>
          </cell>
          <cell r="FB209">
            <v>1</v>
          </cell>
          <cell r="FC209" t="str">
            <v/>
          </cell>
          <cell r="FD209">
            <v>0</v>
          </cell>
          <cell r="FE209">
            <v>0</v>
          </cell>
          <cell r="FF209">
            <v>1</v>
          </cell>
          <cell r="FG209">
            <v>1</v>
          </cell>
          <cell r="FH209" t="str">
            <v/>
          </cell>
          <cell r="FI209">
            <v>0</v>
          </cell>
          <cell r="FJ209">
            <v>0</v>
          </cell>
          <cell r="FK209">
            <v>1</v>
          </cell>
          <cell r="FL209">
            <v>1</v>
          </cell>
          <cell r="FM209" t="str">
            <v/>
          </cell>
          <cell r="FN209">
            <v>0</v>
          </cell>
          <cell r="FO209">
            <v>0</v>
          </cell>
          <cell r="FP209">
            <v>1</v>
          </cell>
          <cell r="FQ209">
            <v>1</v>
          </cell>
          <cell r="FR209" t="str">
            <v/>
          </cell>
          <cell r="FS209">
            <v>0</v>
          </cell>
          <cell r="FT209">
            <v>0</v>
          </cell>
          <cell r="FU209">
            <v>2.0333333333333332</v>
          </cell>
          <cell r="FV209" t="str">
            <v>SI</v>
          </cell>
          <cell r="FW209" t="str">
            <v>SIN ROTACIÓN</v>
          </cell>
          <cell r="FX209" t="str">
            <v>STOCK MUERTO</v>
          </cell>
          <cell r="FY209" t="str">
            <v>Si</v>
          </cell>
        </row>
        <row r="210">
          <cell r="B210" t="str">
            <v>REP-0220</v>
          </cell>
          <cell r="C210" t="str">
            <v>NO VIGENTE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O210">
            <v>0</v>
          </cell>
          <cell r="AP210">
            <v>0</v>
          </cell>
          <cell r="AQ210" t="str">
            <v/>
          </cell>
          <cell r="AR210">
            <v>0</v>
          </cell>
          <cell r="AS210">
            <v>0</v>
          </cell>
          <cell r="AT210">
            <v>0</v>
          </cell>
          <cell r="AU210" t="str">
            <v/>
          </cell>
          <cell r="AV210">
            <v>0</v>
          </cell>
          <cell r="AW210">
            <v>0</v>
          </cell>
          <cell r="AX210">
            <v>0</v>
          </cell>
          <cell r="AY210" t="str">
            <v/>
          </cell>
          <cell r="AZ210">
            <v>0</v>
          </cell>
          <cell r="BA210">
            <v>0</v>
          </cell>
          <cell r="BB210">
            <v>0</v>
          </cell>
          <cell r="BC210" t="str">
            <v/>
          </cell>
          <cell r="BD210">
            <v>0</v>
          </cell>
          <cell r="BE210">
            <v>0</v>
          </cell>
          <cell r="BF210" t="str">
            <v/>
          </cell>
          <cell r="BG210">
            <v>0</v>
          </cell>
          <cell r="BH210">
            <v>0</v>
          </cell>
          <cell r="BI210">
            <v>0</v>
          </cell>
          <cell r="BJ210" t="str">
            <v/>
          </cell>
          <cell r="BK210">
            <v>0</v>
          </cell>
          <cell r="BL210">
            <v>0</v>
          </cell>
          <cell r="BM210">
            <v>0</v>
          </cell>
          <cell r="BN210" t="str">
            <v/>
          </cell>
          <cell r="BO210">
            <v>0</v>
          </cell>
          <cell r="BP210">
            <v>0</v>
          </cell>
          <cell r="BQ210">
            <v>0</v>
          </cell>
          <cell r="BR210" t="str">
            <v/>
          </cell>
          <cell r="BS210">
            <v>0</v>
          </cell>
          <cell r="BT210">
            <v>0</v>
          </cell>
          <cell r="BU210">
            <v>0</v>
          </cell>
          <cell r="BV210" t="str">
            <v/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 t="str">
            <v/>
          </cell>
          <cell r="CB210">
            <v>0</v>
          </cell>
          <cell r="CD210">
            <v>0</v>
          </cell>
          <cell r="CE210">
            <v>0</v>
          </cell>
          <cell r="CF210" t="str">
            <v/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 t="str">
            <v/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 t="str">
            <v/>
          </cell>
          <cell r="CQ210">
            <v>0</v>
          </cell>
          <cell r="CS210">
            <v>0</v>
          </cell>
          <cell r="CT210">
            <v>0</v>
          </cell>
          <cell r="CU210" t="str">
            <v/>
          </cell>
          <cell r="CV210">
            <v>0</v>
          </cell>
          <cell r="CX210">
            <v>0</v>
          </cell>
          <cell r="CY210">
            <v>0</v>
          </cell>
          <cell r="CZ210" t="str">
            <v/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 t="str">
            <v/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 t="str">
            <v/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 t="str">
            <v/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 t="str">
            <v/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 t="str">
            <v/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 t="str">
            <v/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 t="str">
            <v/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 t="str">
            <v/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 t="str">
            <v/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 t="str">
            <v/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 t="str">
            <v/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 t="str">
            <v/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 t="str">
            <v/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 t="str">
            <v/>
          </cell>
          <cell r="FS210">
            <v>0</v>
          </cell>
          <cell r="FT210">
            <v>0</v>
          </cell>
          <cell r="FU210">
            <v>66.666666666666671</v>
          </cell>
          <cell r="FW210" t="str">
            <v>SIN ROTACIÓN</v>
          </cell>
          <cell r="FX210">
            <v>0</v>
          </cell>
          <cell r="FY210" t="str">
            <v>No</v>
          </cell>
        </row>
        <row r="211">
          <cell r="B211" t="str">
            <v>REP-0221</v>
          </cell>
          <cell r="C211" t="str">
            <v>NO VIGENTE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M211">
            <v>0</v>
          </cell>
          <cell r="AO211">
            <v>0</v>
          </cell>
          <cell r="AP211">
            <v>0</v>
          </cell>
          <cell r="AQ211" t="str">
            <v/>
          </cell>
          <cell r="AR211">
            <v>0</v>
          </cell>
          <cell r="AS211">
            <v>0</v>
          </cell>
          <cell r="AT211">
            <v>0</v>
          </cell>
          <cell r="AU211" t="str">
            <v/>
          </cell>
          <cell r="AV211">
            <v>0</v>
          </cell>
          <cell r="AW211">
            <v>0</v>
          </cell>
          <cell r="AX211">
            <v>0</v>
          </cell>
          <cell r="AY211" t="str">
            <v/>
          </cell>
          <cell r="AZ211">
            <v>0</v>
          </cell>
          <cell r="BA211">
            <v>0</v>
          </cell>
          <cell r="BB211">
            <v>0</v>
          </cell>
          <cell r="BC211" t="str">
            <v/>
          </cell>
          <cell r="BD211">
            <v>0</v>
          </cell>
          <cell r="BE211">
            <v>0</v>
          </cell>
          <cell r="BF211" t="str">
            <v/>
          </cell>
          <cell r="BG211">
            <v>0</v>
          </cell>
          <cell r="BH211">
            <v>0</v>
          </cell>
          <cell r="BI211">
            <v>0</v>
          </cell>
          <cell r="BJ211" t="str">
            <v/>
          </cell>
          <cell r="BK211">
            <v>0</v>
          </cell>
          <cell r="BL211">
            <v>0</v>
          </cell>
          <cell r="BM211">
            <v>0</v>
          </cell>
          <cell r="BN211" t="str">
            <v/>
          </cell>
          <cell r="BO211">
            <v>0</v>
          </cell>
          <cell r="BP211">
            <v>0</v>
          </cell>
          <cell r="BQ211">
            <v>0</v>
          </cell>
          <cell r="BR211" t="str">
            <v/>
          </cell>
          <cell r="BS211">
            <v>0</v>
          </cell>
          <cell r="BT211">
            <v>0</v>
          </cell>
          <cell r="BU211">
            <v>0</v>
          </cell>
          <cell r="BV211" t="str">
            <v/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 t="str">
            <v/>
          </cell>
          <cell r="CB211">
            <v>0</v>
          </cell>
          <cell r="CD211">
            <v>0</v>
          </cell>
          <cell r="CE211">
            <v>0</v>
          </cell>
          <cell r="CF211" t="str">
            <v/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 t="str">
            <v/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 t="str">
            <v/>
          </cell>
          <cell r="CQ211">
            <v>0</v>
          </cell>
          <cell r="CS211">
            <v>0</v>
          </cell>
          <cell r="CT211">
            <v>0</v>
          </cell>
          <cell r="CU211" t="str">
            <v/>
          </cell>
          <cell r="CV211">
            <v>0</v>
          </cell>
          <cell r="CX211">
            <v>0</v>
          </cell>
          <cell r="CY211">
            <v>0</v>
          </cell>
          <cell r="CZ211" t="str">
            <v/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 t="str">
            <v/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 t="str">
            <v/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 t="str">
            <v/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 t="str">
            <v/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 t="str">
            <v/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 t="str">
            <v/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 t="str">
            <v/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 t="str">
            <v/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 t="str">
            <v/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 t="str">
            <v/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 t="str">
            <v/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 t="str">
            <v/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 t="str">
            <v/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 t="str">
            <v/>
          </cell>
          <cell r="FS211">
            <v>0</v>
          </cell>
          <cell r="FT211">
            <v>0</v>
          </cell>
          <cell r="FU211">
            <v>66.666666666666671</v>
          </cell>
          <cell r="FW211" t="str">
            <v>SIN ROTACIÓN</v>
          </cell>
          <cell r="FX211">
            <v>0</v>
          </cell>
          <cell r="FY211" t="str">
            <v>No</v>
          </cell>
        </row>
        <row r="212">
          <cell r="B212" t="str">
            <v>REP-0222</v>
          </cell>
          <cell r="C212" t="str">
            <v>NO VIGENTE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M212">
            <v>0</v>
          </cell>
          <cell r="AO212">
            <v>0</v>
          </cell>
          <cell r="AP212">
            <v>0</v>
          </cell>
          <cell r="AQ212" t="str">
            <v/>
          </cell>
          <cell r="AR212">
            <v>0</v>
          </cell>
          <cell r="AS212">
            <v>0</v>
          </cell>
          <cell r="AT212">
            <v>0</v>
          </cell>
          <cell r="AU212" t="str">
            <v/>
          </cell>
          <cell r="AV212">
            <v>0</v>
          </cell>
          <cell r="AW212">
            <v>0</v>
          </cell>
          <cell r="AX212">
            <v>0</v>
          </cell>
          <cell r="AY212" t="str">
            <v/>
          </cell>
          <cell r="AZ212">
            <v>0</v>
          </cell>
          <cell r="BA212">
            <v>0</v>
          </cell>
          <cell r="BB212">
            <v>0</v>
          </cell>
          <cell r="BC212" t="str">
            <v/>
          </cell>
          <cell r="BD212">
            <v>0</v>
          </cell>
          <cell r="BE212">
            <v>0</v>
          </cell>
          <cell r="BF212" t="str">
            <v/>
          </cell>
          <cell r="BG212">
            <v>0</v>
          </cell>
          <cell r="BH212">
            <v>0</v>
          </cell>
          <cell r="BI212">
            <v>0</v>
          </cell>
          <cell r="BJ212" t="str">
            <v/>
          </cell>
          <cell r="BK212">
            <v>0</v>
          </cell>
          <cell r="BL212">
            <v>0</v>
          </cell>
          <cell r="BM212">
            <v>0</v>
          </cell>
          <cell r="BN212" t="str">
            <v/>
          </cell>
          <cell r="BO212">
            <v>0</v>
          </cell>
          <cell r="BP212">
            <v>0</v>
          </cell>
          <cell r="BQ212">
            <v>0</v>
          </cell>
          <cell r="BR212" t="str">
            <v/>
          </cell>
          <cell r="BS212">
            <v>0</v>
          </cell>
          <cell r="BT212">
            <v>0</v>
          </cell>
          <cell r="BU212">
            <v>0</v>
          </cell>
          <cell r="BV212" t="str">
            <v/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 t="str">
            <v/>
          </cell>
          <cell r="CB212">
            <v>0</v>
          </cell>
          <cell r="CD212">
            <v>0</v>
          </cell>
          <cell r="CE212">
            <v>0</v>
          </cell>
          <cell r="CF212" t="str">
            <v/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 t="str">
            <v/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 t="str">
            <v/>
          </cell>
          <cell r="CQ212">
            <v>0</v>
          </cell>
          <cell r="CS212">
            <v>0</v>
          </cell>
          <cell r="CT212">
            <v>0</v>
          </cell>
          <cell r="CU212" t="str">
            <v/>
          </cell>
          <cell r="CV212">
            <v>0</v>
          </cell>
          <cell r="CX212">
            <v>0</v>
          </cell>
          <cell r="CY212">
            <v>0</v>
          </cell>
          <cell r="CZ212" t="str">
            <v/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 t="str">
            <v/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 t="str">
            <v/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 t="str">
            <v/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 t="str">
            <v/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 t="str">
            <v/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 t="str">
            <v/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 t="str">
            <v/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 t="str">
            <v/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 t="str">
            <v/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 t="str">
            <v/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 t="str">
            <v/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 t="str">
            <v/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 t="str">
            <v/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 t="str">
            <v/>
          </cell>
          <cell r="FS212">
            <v>0</v>
          </cell>
          <cell r="FT212">
            <v>0</v>
          </cell>
          <cell r="FU212">
            <v>66.666666666666671</v>
          </cell>
          <cell r="FW212" t="str">
            <v>SIN ROTACIÓN</v>
          </cell>
          <cell r="FX212">
            <v>0</v>
          </cell>
          <cell r="FY212" t="str">
            <v>No</v>
          </cell>
        </row>
        <row r="213">
          <cell r="B213" t="str">
            <v>REP-0223</v>
          </cell>
          <cell r="C213" t="str">
            <v>MIX</v>
          </cell>
          <cell r="D213">
            <v>0</v>
          </cell>
          <cell r="E213">
            <v>18</v>
          </cell>
          <cell r="F213">
            <v>0</v>
          </cell>
          <cell r="G213">
            <v>0</v>
          </cell>
          <cell r="H213">
            <v>5</v>
          </cell>
          <cell r="I213">
            <v>5</v>
          </cell>
          <cell r="J213">
            <v>0</v>
          </cell>
          <cell r="K213">
            <v>7</v>
          </cell>
          <cell r="L213">
            <v>3</v>
          </cell>
          <cell r="M213">
            <v>3</v>
          </cell>
          <cell r="N213">
            <v>2</v>
          </cell>
          <cell r="O213">
            <v>0</v>
          </cell>
          <cell r="P213">
            <v>4</v>
          </cell>
          <cell r="Q213">
            <v>1</v>
          </cell>
          <cell r="R213">
            <v>5</v>
          </cell>
          <cell r="S213">
            <v>0</v>
          </cell>
          <cell r="T213">
            <v>0</v>
          </cell>
          <cell r="U213">
            <v>5</v>
          </cell>
          <cell r="V213">
            <v>0</v>
          </cell>
          <cell r="W213">
            <v>0</v>
          </cell>
          <cell r="X213">
            <v>0</v>
          </cell>
          <cell r="Y213">
            <v>58</v>
          </cell>
          <cell r="AA213">
            <v>58</v>
          </cell>
          <cell r="AB213">
            <v>1</v>
          </cell>
          <cell r="AC213">
            <v>0</v>
          </cell>
          <cell r="AD213">
            <v>0</v>
          </cell>
          <cell r="AE213">
            <v>8.3333333333333329E-2</v>
          </cell>
          <cell r="AF213">
            <v>0.25</v>
          </cell>
          <cell r="AG213">
            <v>0</v>
          </cell>
          <cell r="AH213">
            <v>1.3333333333333333</v>
          </cell>
          <cell r="AI213">
            <v>0.33333333333333331</v>
          </cell>
          <cell r="AJ213">
            <v>0.33333333333333331</v>
          </cell>
          <cell r="AK213">
            <v>1.3333333333333333</v>
          </cell>
          <cell r="AL213">
            <v>0.57735026918962584</v>
          </cell>
          <cell r="AM213">
            <v>0.49999999999999994</v>
          </cell>
          <cell r="AN213">
            <v>1.1547005383792519</v>
          </cell>
          <cell r="AO213">
            <v>0</v>
          </cell>
          <cell r="AP213">
            <v>48.166666666666664</v>
          </cell>
          <cell r="AQ213">
            <v>195</v>
          </cell>
          <cell r="AR213">
            <v>0</v>
          </cell>
          <cell r="AS213">
            <v>48</v>
          </cell>
          <cell r="AT213">
            <v>46</v>
          </cell>
          <cell r="AU213">
            <v>92</v>
          </cell>
          <cell r="AV213">
            <v>0</v>
          </cell>
          <cell r="AW213">
            <v>45.5</v>
          </cell>
          <cell r="AX213">
            <v>45</v>
          </cell>
          <cell r="AY213">
            <v>33.75</v>
          </cell>
          <cell r="AZ213">
            <v>0</v>
          </cell>
          <cell r="BA213">
            <v>44.666666666666664</v>
          </cell>
          <cell r="BB213">
            <v>43</v>
          </cell>
          <cell r="BC213">
            <v>32.25</v>
          </cell>
          <cell r="BD213">
            <v>0</v>
          </cell>
          <cell r="BE213">
            <v>41.666666666666664</v>
          </cell>
          <cell r="BF213">
            <v>31.25</v>
          </cell>
          <cell r="BG213">
            <v>0</v>
          </cell>
          <cell r="BH213">
            <v>40.333333333333329</v>
          </cell>
          <cell r="BI213">
            <v>58</v>
          </cell>
          <cell r="BJ213">
            <v>43.5</v>
          </cell>
          <cell r="BK213">
            <v>0</v>
          </cell>
          <cell r="BL213">
            <v>71.166666666666671</v>
          </cell>
          <cell r="BM213">
            <v>71</v>
          </cell>
          <cell r="BN213">
            <v>82.833333333333343</v>
          </cell>
          <cell r="BO213">
            <v>0</v>
          </cell>
          <cell r="BP213">
            <v>70.142857142857139</v>
          </cell>
          <cell r="BQ213">
            <v>71</v>
          </cell>
          <cell r="BR213">
            <v>53.25</v>
          </cell>
          <cell r="BS213">
            <v>0</v>
          </cell>
          <cell r="BT213">
            <v>70.166666666666671</v>
          </cell>
          <cell r="BU213">
            <v>71</v>
          </cell>
          <cell r="BV213">
            <v>85.2</v>
          </cell>
          <cell r="BW213">
            <v>0</v>
          </cell>
          <cell r="BX213">
            <v>0</v>
          </cell>
          <cell r="BY213">
            <v>70.166666666666671</v>
          </cell>
          <cell r="BZ213">
            <v>71</v>
          </cell>
          <cell r="CA213">
            <v>118.33333333333334</v>
          </cell>
          <cell r="CB213">
            <v>0</v>
          </cell>
          <cell r="CC213">
            <v>0</v>
          </cell>
          <cell r="CD213">
            <v>70.400000000000006</v>
          </cell>
          <cell r="CE213">
            <v>71</v>
          </cell>
          <cell r="CF213">
            <v>97.625</v>
          </cell>
          <cell r="CG213">
            <v>0</v>
          </cell>
          <cell r="CH213">
            <v>0</v>
          </cell>
          <cell r="CI213">
            <v>69.672727272727272</v>
          </cell>
          <cell r="CJ213">
            <v>63</v>
          </cell>
          <cell r="CK213">
            <v>34.363636363636367</v>
          </cell>
          <cell r="CL213">
            <v>0</v>
          </cell>
          <cell r="CM213">
            <v>0</v>
          </cell>
          <cell r="CN213">
            <v>61.166666666666664</v>
          </cell>
          <cell r="CO213">
            <v>61</v>
          </cell>
          <cell r="CP213">
            <v>33.272727272727273</v>
          </cell>
          <cell r="CQ213">
            <v>0</v>
          </cell>
          <cell r="CR213">
            <v>0</v>
          </cell>
          <cell r="CS213">
            <v>59.166666666666664</v>
          </cell>
          <cell r="CT213">
            <v>61</v>
          </cell>
          <cell r="CU213">
            <v>36.6</v>
          </cell>
          <cell r="CV213">
            <v>0</v>
          </cell>
          <cell r="CW213">
            <v>0</v>
          </cell>
          <cell r="CX213">
            <v>59.333333333333336</v>
          </cell>
          <cell r="CY213">
            <v>60</v>
          </cell>
          <cell r="CZ213">
            <v>45</v>
          </cell>
          <cell r="DA213">
            <v>0</v>
          </cell>
          <cell r="DB213">
            <v>0</v>
          </cell>
          <cell r="DC213">
            <v>58.666666666666664</v>
          </cell>
          <cell r="DD213">
            <v>59</v>
          </cell>
          <cell r="DE213">
            <v>42</v>
          </cell>
          <cell r="DF213">
            <v>0</v>
          </cell>
          <cell r="DG213">
            <v>0</v>
          </cell>
          <cell r="DH213">
            <v>57.666666666666664</v>
          </cell>
          <cell r="DI213">
            <v>57</v>
          </cell>
          <cell r="DJ213">
            <v>42.5</v>
          </cell>
          <cell r="DK213">
            <v>0</v>
          </cell>
          <cell r="DL213">
            <v>0</v>
          </cell>
          <cell r="DM213">
            <v>56.333333333333329</v>
          </cell>
          <cell r="DN213">
            <v>58</v>
          </cell>
          <cell r="DO213">
            <v>43.25</v>
          </cell>
          <cell r="DP213">
            <v>0</v>
          </cell>
          <cell r="DQ213">
            <v>0</v>
          </cell>
          <cell r="DR213">
            <v>56.666666666666664</v>
          </cell>
          <cell r="DS213">
            <v>56.666666666666664</v>
          </cell>
          <cell r="DT213">
            <v>42.25</v>
          </cell>
          <cell r="DU213">
            <v>0</v>
          </cell>
          <cell r="DV213">
            <v>0</v>
          </cell>
          <cell r="DW213">
            <v>55.333333333333329</v>
          </cell>
          <cell r="DX213">
            <v>55.333333333333329</v>
          </cell>
          <cell r="DY213">
            <v>41.25</v>
          </cell>
          <cell r="DZ213">
            <v>0</v>
          </cell>
          <cell r="EA213">
            <v>0</v>
          </cell>
          <cell r="EB213">
            <v>53.999999999999993</v>
          </cell>
          <cell r="EC213">
            <v>53.999999999999993</v>
          </cell>
          <cell r="ED213">
            <v>40.25</v>
          </cell>
          <cell r="EE213">
            <v>0</v>
          </cell>
          <cell r="EF213">
            <v>0</v>
          </cell>
          <cell r="EG213">
            <v>52.666666666666657</v>
          </cell>
          <cell r="EH213">
            <v>52.666666666666657</v>
          </cell>
          <cell r="EI213">
            <v>39.249999999999993</v>
          </cell>
          <cell r="EJ213">
            <v>0</v>
          </cell>
          <cell r="EK213">
            <v>0</v>
          </cell>
          <cell r="EL213">
            <v>51.333333333333321</v>
          </cell>
          <cell r="EM213">
            <v>51.333333333333321</v>
          </cell>
          <cell r="EN213">
            <v>38.249999999999993</v>
          </cell>
          <cell r="EO213">
            <v>0</v>
          </cell>
          <cell r="EP213">
            <v>0</v>
          </cell>
          <cell r="EQ213">
            <v>49.999999999999986</v>
          </cell>
          <cell r="ER213">
            <v>49.999999999999986</v>
          </cell>
          <cell r="ES213">
            <v>37.249999999999993</v>
          </cell>
          <cell r="ET213">
            <v>0</v>
          </cell>
          <cell r="EU213">
            <v>0</v>
          </cell>
          <cell r="EV213">
            <v>48.66666666666665</v>
          </cell>
          <cell r="EW213">
            <v>48.66666666666665</v>
          </cell>
          <cell r="EX213">
            <v>36.249999999999993</v>
          </cell>
          <cell r="EY213">
            <v>0</v>
          </cell>
          <cell r="EZ213">
            <v>0</v>
          </cell>
          <cell r="FA213">
            <v>47.333333333333314</v>
          </cell>
          <cell r="FB213">
            <v>47.333333333333314</v>
          </cell>
          <cell r="FC213">
            <v>35.249999999999986</v>
          </cell>
          <cell r="FD213">
            <v>0</v>
          </cell>
          <cell r="FE213">
            <v>0</v>
          </cell>
          <cell r="FF213">
            <v>45.999999999999979</v>
          </cell>
          <cell r="FG213">
            <v>45.999999999999979</v>
          </cell>
          <cell r="FH213">
            <v>34.249999999999986</v>
          </cell>
          <cell r="FI213">
            <v>0</v>
          </cell>
          <cell r="FJ213">
            <v>0</v>
          </cell>
          <cell r="FK213">
            <v>44.666666666666643</v>
          </cell>
          <cell r="FL213">
            <v>44.666666666666643</v>
          </cell>
          <cell r="FM213">
            <v>33.249999999999986</v>
          </cell>
          <cell r="FN213">
            <v>0</v>
          </cell>
          <cell r="FO213">
            <v>0</v>
          </cell>
          <cell r="FP213">
            <v>43.333333333333307</v>
          </cell>
          <cell r="FQ213">
            <v>43.333333333333307</v>
          </cell>
          <cell r="FR213">
            <v>32.249999999999986</v>
          </cell>
          <cell r="FS213">
            <v>0</v>
          </cell>
          <cell r="FT213">
            <v>3</v>
          </cell>
          <cell r="FU213">
            <v>2.0333333333333332</v>
          </cell>
          <cell r="FW213" t="str">
            <v>SOBRESTOCK</v>
          </cell>
          <cell r="FX213" t="str">
            <v>C</v>
          </cell>
          <cell r="FY213" t="str">
            <v>Si</v>
          </cell>
        </row>
        <row r="214">
          <cell r="B214" t="str">
            <v>REP-0224</v>
          </cell>
          <cell r="C214" t="str">
            <v>NO VIGENTE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O214">
            <v>0</v>
          </cell>
          <cell r="AP214">
            <v>0</v>
          </cell>
          <cell r="AQ214" t="str">
            <v/>
          </cell>
          <cell r="AR214">
            <v>0</v>
          </cell>
          <cell r="AS214">
            <v>0</v>
          </cell>
          <cell r="AT214">
            <v>0</v>
          </cell>
          <cell r="AU214" t="str">
            <v/>
          </cell>
          <cell r="AV214">
            <v>0</v>
          </cell>
          <cell r="AW214">
            <v>0</v>
          </cell>
          <cell r="AX214">
            <v>0</v>
          </cell>
          <cell r="AY214" t="str">
            <v/>
          </cell>
          <cell r="AZ214">
            <v>0</v>
          </cell>
          <cell r="BA214">
            <v>0</v>
          </cell>
          <cell r="BB214">
            <v>0</v>
          </cell>
          <cell r="BC214" t="str">
            <v/>
          </cell>
          <cell r="BD214">
            <v>0</v>
          </cell>
          <cell r="BE214">
            <v>0</v>
          </cell>
          <cell r="BF214" t="str">
            <v/>
          </cell>
          <cell r="BG214">
            <v>0</v>
          </cell>
          <cell r="BH214">
            <v>0</v>
          </cell>
          <cell r="BI214">
            <v>0</v>
          </cell>
          <cell r="BJ214" t="str">
            <v/>
          </cell>
          <cell r="BK214">
            <v>0</v>
          </cell>
          <cell r="BL214">
            <v>0</v>
          </cell>
          <cell r="BM214">
            <v>0</v>
          </cell>
          <cell r="BN214" t="str">
            <v/>
          </cell>
          <cell r="BO214">
            <v>0</v>
          </cell>
          <cell r="BP214">
            <v>0</v>
          </cell>
          <cell r="BQ214">
            <v>0</v>
          </cell>
          <cell r="BR214" t="str">
            <v/>
          </cell>
          <cell r="BS214">
            <v>0</v>
          </cell>
          <cell r="BT214">
            <v>0</v>
          </cell>
          <cell r="BU214">
            <v>0</v>
          </cell>
          <cell r="BV214" t="str">
            <v/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 t="str">
            <v/>
          </cell>
          <cell r="CB214">
            <v>0</v>
          </cell>
          <cell r="CD214">
            <v>0</v>
          </cell>
          <cell r="CE214">
            <v>0</v>
          </cell>
          <cell r="CF214" t="str">
            <v/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 t="str">
            <v/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 t="str">
            <v/>
          </cell>
          <cell r="CQ214">
            <v>0</v>
          </cell>
          <cell r="CS214">
            <v>0</v>
          </cell>
          <cell r="CT214">
            <v>0</v>
          </cell>
          <cell r="CU214" t="str">
            <v/>
          </cell>
          <cell r="CV214">
            <v>0</v>
          </cell>
          <cell r="CX214">
            <v>0</v>
          </cell>
          <cell r="CY214">
            <v>0</v>
          </cell>
          <cell r="CZ214" t="str">
            <v/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 t="str">
            <v/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 t="str">
            <v/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 t="str">
            <v/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 t="str">
            <v/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 t="str">
            <v/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 t="str">
            <v/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 t="str">
            <v/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 t="str">
            <v/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 t="str">
            <v/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 t="str">
            <v/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 t="str">
            <v/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 t="str">
            <v/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 t="str">
            <v/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 t="str">
            <v/>
          </cell>
          <cell r="FS214">
            <v>0</v>
          </cell>
          <cell r="FT214">
            <v>0</v>
          </cell>
          <cell r="FU214">
            <v>66.666666666666671</v>
          </cell>
          <cell r="FW214" t="str">
            <v>SIN ROTACIÓN</v>
          </cell>
          <cell r="FX214">
            <v>0</v>
          </cell>
          <cell r="FY214" t="str">
            <v>No</v>
          </cell>
        </row>
        <row r="215">
          <cell r="B215" t="str">
            <v>REP-0225</v>
          </cell>
          <cell r="C215" t="str">
            <v>NO VIGENTE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O215">
            <v>0</v>
          </cell>
          <cell r="AP215">
            <v>0</v>
          </cell>
          <cell r="AQ215" t="str">
            <v/>
          </cell>
          <cell r="AR215">
            <v>0</v>
          </cell>
          <cell r="AS215">
            <v>0</v>
          </cell>
          <cell r="AT215">
            <v>0</v>
          </cell>
          <cell r="AU215" t="str">
            <v/>
          </cell>
          <cell r="AV215">
            <v>0</v>
          </cell>
          <cell r="AW215">
            <v>0</v>
          </cell>
          <cell r="AX215">
            <v>0</v>
          </cell>
          <cell r="AY215" t="str">
            <v/>
          </cell>
          <cell r="AZ215">
            <v>0</v>
          </cell>
          <cell r="BA215">
            <v>0</v>
          </cell>
          <cell r="BB215">
            <v>0</v>
          </cell>
          <cell r="BC215" t="str">
            <v/>
          </cell>
          <cell r="BD215">
            <v>0</v>
          </cell>
          <cell r="BE215">
            <v>0</v>
          </cell>
          <cell r="BF215" t="str">
            <v/>
          </cell>
          <cell r="BG215">
            <v>0</v>
          </cell>
          <cell r="BH215">
            <v>0</v>
          </cell>
          <cell r="BI215">
            <v>0</v>
          </cell>
          <cell r="BJ215" t="str">
            <v/>
          </cell>
          <cell r="BK215">
            <v>0</v>
          </cell>
          <cell r="BL215">
            <v>0</v>
          </cell>
          <cell r="BM215">
            <v>0</v>
          </cell>
          <cell r="BN215" t="str">
            <v/>
          </cell>
          <cell r="BO215">
            <v>0</v>
          </cell>
          <cell r="BP215">
            <v>0</v>
          </cell>
          <cell r="BQ215">
            <v>0</v>
          </cell>
          <cell r="BR215" t="str">
            <v/>
          </cell>
          <cell r="BS215">
            <v>0</v>
          </cell>
          <cell r="BT215">
            <v>0</v>
          </cell>
          <cell r="BU215">
            <v>0</v>
          </cell>
          <cell r="BV215" t="str">
            <v/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 t="str">
            <v/>
          </cell>
          <cell r="CB215">
            <v>0</v>
          </cell>
          <cell r="CD215">
            <v>0</v>
          </cell>
          <cell r="CE215">
            <v>0</v>
          </cell>
          <cell r="CF215" t="str">
            <v/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 t="str">
            <v/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 t="str">
            <v/>
          </cell>
          <cell r="CQ215">
            <v>0</v>
          </cell>
          <cell r="CS215">
            <v>0</v>
          </cell>
          <cell r="CT215">
            <v>0</v>
          </cell>
          <cell r="CU215" t="str">
            <v/>
          </cell>
          <cell r="CV215">
            <v>0</v>
          </cell>
          <cell r="CX215">
            <v>0</v>
          </cell>
          <cell r="CY215">
            <v>0</v>
          </cell>
          <cell r="CZ215" t="str">
            <v/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 t="str">
            <v/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 t="str">
            <v/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 t="str">
            <v/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 t="str">
            <v/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 t="str">
            <v/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 t="str">
            <v/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 t="str">
            <v/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 t="str">
            <v/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 t="str">
            <v/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 t="str">
            <v/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 t="str">
            <v/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 t="str">
            <v/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 t="str">
            <v/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 t="str">
            <v/>
          </cell>
          <cell r="FS215">
            <v>0</v>
          </cell>
          <cell r="FT215">
            <v>0</v>
          </cell>
          <cell r="FU215">
            <v>66.666666666666671</v>
          </cell>
          <cell r="FW215" t="str">
            <v>SIN ROTACIÓN</v>
          </cell>
          <cell r="FX215">
            <v>0</v>
          </cell>
          <cell r="FY215" t="str">
            <v>No</v>
          </cell>
        </row>
        <row r="216">
          <cell r="B216" t="str">
            <v>REP-0226</v>
          </cell>
          <cell r="C216" t="str">
            <v>MIX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O216">
            <v>0</v>
          </cell>
          <cell r="AP216">
            <v>0</v>
          </cell>
          <cell r="AQ216" t="str">
            <v/>
          </cell>
          <cell r="AR216">
            <v>0</v>
          </cell>
          <cell r="AS216">
            <v>0</v>
          </cell>
          <cell r="AT216">
            <v>0</v>
          </cell>
          <cell r="AU216" t="str">
            <v/>
          </cell>
          <cell r="AV216">
            <v>0</v>
          </cell>
          <cell r="AW216">
            <v>0</v>
          </cell>
          <cell r="AX216">
            <v>0</v>
          </cell>
          <cell r="AY216" t="str">
            <v/>
          </cell>
          <cell r="AZ216">
            <v>0</v>
          </cell>
          <cell r="BA216">
            <v>0</v>
          </cell>
          <cell r="BB216">
            <v>0</v>
          </cell>
          <cell r="BC216" t="str">
            <v/>
          </cell>
          <cell r="BD216">
            <v>0</v>
          </cell>
          <cell r="BE216">
            <v>0</v>
          </cell>
          <cell r="BF216" t="str">
            <v/>
          </cell>
          <cell r="BG216">
            <v>0</v>
          </cell>
          <cell r="BH216">
            <v>0</v>
          </cell>
          <cell r="BI216">
            <v>0</v>
          </cell>
          <cell r="BJ216" t="str">
            <v/>
          </cell>
          <cell r="BK216">
            <v>0</v>
          </cell>
          <cell r="BL216">
            <v>0</v>
          </cell>
          <cell r="BM216">
            <v>0</v>
          </cell>
          <cell r="BN216" t="str">
            <v/>
          </cell>
          <cell r="BO216">
            <v>0</v>
          </cell>
          <cell r="BP216">
            <v>0</v>
          </cell>
          <cell r="BQ216">
            <v>0</v>
          </cell>
          <cell r="BR216" t="str">
            <v/>
          </cell>
          <cell r="BS216">
            <v>0</v>
          </cell>
          <cell r="BT216">
            <v>0</v>
          </cell>
          <cell r="BU216">
            <v>0</v>
          </cell>
          <cell r="BV216" t="str">
            <v/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 t="str">
            <v/>
          </cell>
          <cell r="CB216">
            <v>0</v>
          </cell>
          <cell r="CD216">
            <v>0</v>
          </cell>
          <cell r="CE216">
            <v>0</v>
          </cell>
          <cell r="CF216" t="str">
            <v/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 t="str">
            <v/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 t="str">
            <v/>
          </cell>
          <cell r="CQ216">
            <v>0</v>
          </cell>
          <cell r="CS216">
            <v>0</v>
          </cell>
          <cell r="CT216">
            <v>0</v>
          </cell>
          <cell r="CU216" t="str">
            <v/>
          </cell>
          <cell r="CV216">
            <v>0</v>
          </cell>
          <cell r="CX216">
            <v>0</v>
          </cell>
          <cell r="CY216">
            <v>0</v>
          </cell>
          <cell r="CZ216" t="str">
            <v/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 t="str">
            <v/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 t="str">
            <v/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 t="str">
            <v/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 t="str">
            <v/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 t="str">
            <v/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 t="str">
            <v/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 t="str">
            <v/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 t="str">
            <v/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 t="str">
            <v/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 t="str">
            <v/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 t="str">
            <v/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 t="str">
            <v/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 t="str">
            <v/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 t="str">
            <v/>
          </cell>
          <cell r="FS216">
            <v>0</v>
          </cell>
          <cell r="FT216">
            <v>0</v>
          </cell>
          <cell r="FU216">
            <v>66.666666666666671</v>
          </cell>
          <cell r="FW216" t="str">
            <v>SIN ROTACIÓN</v>
          </cell>
          <cell r="FX216" t="str">
            <v/>
          </cell>
          <cell r="FY216" t="str">
            <v>No</v>
          </cell>
        </row>
        <row r="217">
          <cell r="B217" t="str">
            <v>REP-0227</v>
          </cell>
          <cell r="C217" t="str">
            <v>NO VIGENTE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O217">
            <v>0</v>
          </cell>
          <cell r="AP217">
            <v>0</v>
          </cell>
          <cell r="AQ217" t="str">
            <v/>
          </cell>
          <cell r="AR217">
            <v>0</v>
          </cell>
          <cell r="AS217">
            <v>0</v>
          </cell>
          <cell r="AT217">
            <v>0</v>
          </cell>
          <cell r="AU217" t="str">
            <v/>
          </cell>
          <cell r="AV217">
            <v>0</v>
          </cell>
          <cell r="AW217">
            <v>0</v>
          </cell>
          <cell r="AX217">
            <v>0</v>
          </cell>
          <cell r="AY217" t="str">
            <v/>
          </cell>
          <cell r="AZ217">
            <v>0</v>
          </cell>
          <cell r="BA217">
            <v>0</v>
          </cell>
          <cell r="BB217">
            <v>0</v>
          </cell>
          <cell r="BC217" t="str">
            <v/>
          </cell>
          <cell r="BD217">
            <v>0</v>
          </cell>
          <cell r="BE217">
            <v>0</v>
          </cell>
          <cell r="BF217" t="str">
            <v/>
          </cell>
          <cell r="BG217">
            <v>0</v>
          </cell>
          <cell r="BH217">
            <v>0</v>
          </cell>
          <cell r="BI217">
            <v>0</v>
          </cell>
          <cell r="BJ217" t="str">
            <v/>
          </cell>
          <cell r="BK217">
            <v>0</v>
          </cell>
          <cell r="BL217">
            <v>0</v>
          </cell>
          <cell r="BM217">
            <v>0</v>
          </cell>
          <cell r="BN217" t="str">
            <v/>
          </cell>
          <cell r="BO217">
            <v>0</v>
          </cell>
          <cell r="BP217">
            <v>0</v>
          </cell>
          <cell r="BQ217">
            <v>0</v>
          </cell>
          <cell r="BR217" t="str">
            <v/>
          </cell>
          <cell r="BS217">
            <v>0</v>
          </cell>
          <cell r="BT217">
            <v>0</v>
          </cell>
          <cell r="BU217">
            <v>0</v>
          </cell>
          <cell r="BV217" t="str">
            <v/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 t="str">
            <v/>
          </cell>
          <cell r="CB217">
            <v>0</v>
          </cell>
          <cell r="CD217">
            <v>0</v>
          </cell>
          <cell r="CE217">
            <v>0</v>
          </cell>
          <cell r="CF217" t="str">
            <v/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 t="str">
            <v/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 t="str">
            <v/>
          </cell>
          <cell r="CQ217">
            <v>0</v>
          </cell>
          <cell r="CS217">
            <v>0</v>
          </cell>
          <cell r="CT217">
            <v>0</v>
          </cell>
          <cell r="CU217" t="str">
            <v/>
          </cell>
          <cell r="CV217">
            <v>0</v>
          </cell>
          <cell r="CX217">
            <v>0</v>
          </cell>
          <cell r="CY217">
            <v>0</v>
          </cell>
          <cell r="CZ217" t="str">
            <v/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 t="str">
            <v/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 t="str">
            <v/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 t="str">
            <v/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 t="str">
            <v/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 t="str">
            <v/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 t="str">
            <v/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 t="str">
            <v/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 t="str">
            <v/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 t="str">
            <v/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 t="str">
            <v/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 t="str">
            <v/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 t="str">
            <v/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 t="str">
            <v/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 t="str">
            <v/>
          </cell>
          <cell r="FS217">
            <v>0</v>
          </cell>
          <cell r="FT217">
            <v>0</v>
          </cell>
          <cell r="FU217">
            <v>66.666666666666671</v>
          </cell>
          <cell r="FW217" t="str">
            <v>SIN ROTACIÓN</v>
          </cell>
          <cell r="FX217">
            <v>0</v>
          </cell>
          <cell r="FY217" t="str">
            <v>No</v>
          </cell>
        </row>
        <row r="218">
          <cell r="B218" t="str">
            <v>REP-0228</v>
          </cell>
          <cell r="C218" t="str">
            <v>MIX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M218">
            <v>0</v>
          </cell>
          <cell r="AO218">
            <v>0</v>
          </cell>
          <cell r="AP218">
            <v>0</v>
          </cell>
          <cell r="AQ218" t="str">
            <v/>
          </cell>
          <cell r="AR218">
            <v>0</v>
          </cell>
          <cell r="AS218">
            <v>0</v>
          </cell>
          <cell r="AT218">
            <v>0</v>
          </cell>
          <cell r="AU218" t="str">
            <v/>
          </cell>
          <cell r="AV218">
            <v>0</v>
          </cell>
          <cell r="AW218">
            <v>0</v>
          </cell>
          <cell r="AX218">
            <v>0</v>
          </cell>
          <cell r="AY218" t="str">
            <v/>
          </cell>
          <cell r="AZ218">
            <v>0</v>
          </cell>
          <cell r="BA218">
            <v>0</v>
          </cell>
          <cell r="BB218">
            <v>0</v>
          </cell>
          <cell r="BC218" t="str">
            <v/>
          </cell>
          <cell r="BD218">
            <v>0</v>
          </cell>
          <cell r="BE218">
            <v>0</v>
          </cell>
          <cell r="BF218" t="str">
            <v/>
          </cell>
          <cell r="BG218">
            <v>0</v>
          </cell>
          <cell r="BH218">
            <v>0</v>
          </cell>
          <cell r="BI218">
            <v>0</v>
          </cell>
          <cell r="BJ218" t="str">
            <v/>
          </cell>
          <cell r="BK218">
            <v>0</v>
          </cell>
          <cell r="BL218">
            <v>0</v>
          </cell>
          <cell r="BM218">
            <v>0</v>
          </cell>
          <cell r="BN218" t="str">
            <v/>
          </cell>
          <cell r="BO218">
            <v>0</v>
          </cell>
          <cell r="BP218">
            <v>0</v>
          </cell>
          <cell r="BQ218">
            <v>0</v>
          </cell>
          <cell r="BR218" t="str">
            <v/>
          </cell>
          <cell r="BS218">
            <v>0</v>
          </cell>
          <cell r="BT218">
            <v>0</v>
          </cell>
          <cell r="BU218">
            <v>0</v>
          </cell>
          <cell r="BV218" t="str">
            <v/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 t="str">
            <v/>
          </cell>
          <cell r="CB218">
            <v>0</v>
          </cell>
          <cell r="CD218">
            <v>0</v>
          </cell>
          <cell r="CE218">
            <v>0</v>
          </cell>
          <cell r="CF218" t="str">
            <v/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 t="str">
            <v/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 t="str">
            <v/>
          </cell>
          <cell r="CQ218">
            <v>0</v>
          </cell>
          <cell r="CS218">
            <v>0</v>
          </cell>
          <cell r="CT218">
            <v>0</v>
          </cell>
          <cell r="CU218" t="str">
            <v/>
          </cell>
          <cell r="CV218">
            <v>0</v>
          </cell>
          <cell r="CX218">
            <v>0</v>
          </cell>
          <cell r="CY218">
            <v>0</v>
          </cell>
          <cell r="CZ218" t="str">
            <v/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 t="str">
            <v/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 t="str">
            <v/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 t="str">
            <v/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 t="str">
            <v/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 t="str">
            <v/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 t="str">
            <v/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 t="str">
            <v/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 t="str">
            <v/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 t="str">
            <v/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 t="str">
            <v/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 t="str">
            <v/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 t="str">
            <v/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 t="str">
            <v/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 t="str">
            <v/>
          </cell>
          <cell r="FS218">
            <v>0</v>
          </cell>
          <cell r="FT218">
            <v>0</v>
          </cell>
          <cell r="FU218">
            <v>66.666666666666671</v>
          </cell>
          <cell r="FW218" t="str">
            <v>SIN ROTACIÓN</v>
          </cell>
          <cell r="FX218" t="str">
            <v/>
          </cell>
          <cell r="FY218" t="str">
            <v>No</v>
          </cell>
        </row>
        <row r="219">
          <cell r="B219" t="str">
            <v>REP-0229</v>
          </cell>
          <cell r="C219" t="str">
            <v>MIX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O219">
            <v>0</v>
          </cell>
          <cell r="AP219">
            <v>0</v>
          </cell>
          <cell r="AQ219" t="str">
            <v/>
          </cell>
          <cell r="AR219">
            <v>0</v>
          </cell>
          <cell r="AS219">
            <v>0</v>
          </cell>
          <cell r="AT219">
            <v>0</v>
          </cell>
          <cell r="AU219" t="str">
            <v/>
          </cell>
          <cell r="AV219">
            <v>0</v>
          </cell>
          <cell r="AW219">
            <v>0</v>
          </cell>
          <cell r="AX219">
            <v>0</v>
          </cell>
          <cell r="AY219" t="str">
            <v/>
          </cell>
          <cell r="AZ219">
            <v>0</v>
          </cell>
          <cell r="BA219">
            <v>0</v>
          </cell>
          <cell r="BB219">
            <v>0</v>
          </cell>
          <cell r="BC219" t="str">
            <v/>
          </cell>
          <cell r="BD219">
            <v>0</v>
          </cell>
          <cell r="BE219">
            <v>0</v>
          </cell>
          <cell r="BF219" t="str">
            <v/>
          </cell>
          <cell r="BG219">
            <v>0</v>
          </cell>
          <cell r="BH219">
            <v>0</v>
          </cell>
          <cell r="BI219">
            <v>0</v>
          </cell>
          <cell r="BJ219" t="str">
            <v/>
          </cell>
          <cell r="BK219">
            <v>0</v>
          </cell>
          <cell r="BL219">
            <v>0</v>
          </cell>
          <cell r="BM219">
            <v>0</v>
          </cell>
          <cell r="BN219" t="str">
            <v/>
          </cell>
          <cell r="BO219">
            <v>0</v>
          </cell>
          <cell r="BP219">
            <v>0</v>
          </cell>
          <cell r="BQ219">
            <v>0</v>
          </cell>
          <cell r="BR219" t="str">
            <v/>
          </cell>
          <cell r="BS219">
            <v>0</v>
          </cell>
          <cell r="BT219">
            <v>0</v>
          </cell>
          <cell r="BU219">
            <v>0</v>
          </cell>
          <cell r="BV219" t="str">
            <v/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 t="str">
            <v/>
          </cell>
          <cell r="CB219">
            <v>0</v>
          </cell>
          <cell r="CD219">
            <v>0</v>
          </cell>
          <cell r="CE219">
            <v>0</v>
          </cell>
          <cell r="CF219" t="str">
            <v/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 t="str">
            <v/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 t="str">
            <v/>
          </cell>
          <cell r="CQ219">
            <v>0</v>
          </cell>
          <cell r="CS219">
            <v>0</v>
          </cell>
          <cell r="CT219">
            <v>0</v>
          </cell>
          <cell r="CU219" t="str">
            <v/>
          </cell>
          <cell r="CV219">
            <v>0</v>
          </cell>
          <cell r="CX219">
            <v>0</v>
          </cell>
          <cell r="CY219">
            <v>0</v>
          </cell>
          <cell r="CZ219" t="str">
            <v/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 t="str">
            <v/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 t="str">
            <v/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 t="str">
            <v/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 t="str">
            <v/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 t="str">
            <v/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 t="str">
            <v/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 t="str">
            <v/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 t="str">
            <v/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 t="str">
            <v/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 t="str">
            <v/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 t="str">
            <v/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 t="str">
            <v/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 t="str">
            <v/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 t="str">
            <v/>
          </cell>
          <cell r="FS219">
            <v>0</v>
          </cell>
          <cell r="FT219">
            <v>0</v>
          </cell>
          <cell r="FU219">
            <v>66.666666666666671</v>
          </cell>
          <cell r="FW219" t="str">
            <v>SIN ROTACIÓN</v>
          </cell>
          <cell r="FX219" t="str">
            <v/>
          </cell>
          <cell r="FY219" t="str">
            <v>No</v>
          </cell>
        </row>
        <row r="220">
          <cell r="B220" t="str">
            <v>REP-0230</v>
          </cell>
          <cell r="C220" t="str">
            <v>MIX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O220">
            <v>0</v>
          </cell>
          <cell r="AP220">
            <v>0</v>
          </cell>
          <cell r="AQ220" t="str">
            <v/>
          </cell>
          <cell r="AR220">
            <v>0</v>
          </cell>
          <cell r="AS220">
            <v>0</v>
          </cell>
          <cell r="AT220">
            <v>0</v>
          </cell>
          <cell r="AU220" t="str">
            <v/>
          </cell>
          <cell r="AV220">
            <v>0</v>
          </cell>
          <cell r="AW220">
            <v>0</v>
          </cell>
          <cell r="AX220">
            <v>0</v>
          </cell>
          <cell r="AY220" t="str">
            <v/>
          </cell>
          <cell r="AZ220">
            <v>0</v>
          </cell>
          <cell r="BA220">
            <v>0</v>
          </cell>
          <cell r="BB220">
            <v>0</v>
          </cell>
          <cell r="BC220" t="str">
            <v/>
          </cell>
          <cell r="BD220">
            <v>0</v>
          </cell>
          <cell r="BE220">
            <v>0</v>
          </cell>
          <cell r="BF220" t="str">
            <v/>
          </cell>
          <cell r="BG220">
            <v>0</v>
          </cell>
          <cell r="BH220">
            <v>0</v>
          </cell>
          <cell r="BI220">
            <v>0</v>
          </cell>
          <cell r="BJ220" t="str">
            <v/>
          </cell>
          <cell r="BK220">
            <v>0</v>
          </cell>
          <cell r="BL220">
            <v>0</v>
          </cell>
          <cell r="BM220">
            <v>0</v>
          </cell>
          <cell r="BN220" t="str">
            <v/>
          </cell>
          <cell r="BO220">
            <v>0</v>
          </cell>
          <cell r="BP220">
            <v>0</v>
          </cell>
          <cell r="BQ220">
            <v>0</v>
          </cell>
          <cell r="BR220" t="str">
            <v/>
          </cell>
          <cell r="BS220">
            <v>0</v>
          </cell>
          <cell r="BT220">
            <v>0</v>
          </cell>
          <cell r="BU220">
            <v>0</v>
          </cell>
          <cell r="BV220" t="str">
            <v/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 t="str">
            <v/>
          </cell>
          <cell r="CB220">
            <v>0</v>
          </cell>
          <cell r="CD220">
            <v>0</v>
          </cell>
          <cell r="CE220">
            <v>0</v>
          </cell>
          <cell r="CF220" t="str">
            <v/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 t="str">
            <v/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 t="str">
            <v/>
          </cell>
          <cell r="CQ220">
            <v>0</v>
          </cell>
          <cell r="CS220">
            <v>0</v>
          </cell>
          <cell r="CT220">
            <v>0</v>
          </cell>
          <cell r="CU220" t="str">
            <v/>
          </cell>
          <cell r="CV220">
            <v>0</v>
          </cell>
          <cell r="CX220">
            <v>0</v>
          </cell>
          <cell r="CY220">
            <v>0</v>
          </cell>
          <cell r="CZ220" t="str">
            <v/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 t="str">
            <v/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 t="str">
            <v/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 t="str">
            <v/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 t="str">
            <v/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 t="str">
            <v/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 t="str">
            <v/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 t="str">
            <v/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 t="str">
            <v/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 t="str">
            <v/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 t="str">
            <v/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 t="str">
            <v/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 t="str">
            <v/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 t="str">
            <v/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 t="str">
            <v/>
          </cell>
          <cell r="FS220">
            <v>0</v>
          </cell>
          <cell r="FT220">
            <v>0</v>
          </cell>
          <cell r="FU220">
            <v>66.666666666666671</v>
          </cell>
          <cell r="FW220" t="str">
            <v>SIN ROTACIÓN</v>
          </cell>
          <cell r="FX220" t="str">
            <v/>
          </cell>
          <cell r="FY220" t="str">
            <v>No</v>
          </cell>
        </row>
        <row r="221">
          <cell r="B221" t="str">
            <v>REP-0231</v>
          </cell>
          <cell r="C221" t="str">
            <v>NO VIGENTE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O221">
            <v>0</v>
          </cell>
          <cell r="AP221">
            <v>0</v>
          </cell>
          <cell r="AQ221" t="str">
            <v/>
          </cell>
          <cell r="AR221">
            <v>0</v>
          </cell>
          <cell r="AS221">
            <v>0</v>
          </cell>
          <cell r="AT221">
            <v>0</v>
          </cell>
          <cell r="AU221" t="str">
            <v/>
          </cell>
          <cell r="AV221">
            <v>0</v>
          </cell>
          <cell r="AW221">
            <v>0</v>
          </cell>
          <cell r="AX221">
            <v>0</v>
          </cell>
          <cell r="AY221" t="str">
            <v/>
          </cell>
          <cell r="AZ221">
            <v>0</v>
          </cell>
          <cell r="BA221">
            <v>0</v>
          </cell>
          <cell r="BB221">
            <v>0</v>
          </cell>
          <cell r="BC221" t="str">
            <v/>
          </cell>
          <cell r="BD221">
            <v>0</v>
          </cell>
          <cell r="BE221">
            <v>0</v>
          </cell>
          <cell r="BF221" t="str">
            <v/>
          </cell>
          <cell r="BG221">
            <v>0</v>
          </cell>
          <cell r="BH221">
            <v>0</v>
          </cell>
          <cell r="BI221">
            <v>0</v>
          </cell>
          <cell r="BJ221" t="str">
            <v/>
          </cell>
          <cell r="BK221">
            <v>0</v>
          </cell>
          <cell r="BL221">
            <v>0</v>
          </cell>
          <cell r="BM221">
            <v>0</v>
          </cell>
          <cell r="BN221" t="str">
            <v/>
          </cell>
          <cell r="BO221">
            <v>0</v>
          </cell>
          <cell r="BP221">
            <v>0</v>
          </cell>
          <cell r="BQ221">
            <v>0</v>
          </cell>
          <cell r="BR221" t="str">
            <v/>
          </cell>
          <cell r="BS221">
            <v>0</v>
          </cell>
          <cell r="BT221">
            <v>0</v>
          </cell>
          <cell r="BU221">
            <v>0</v>
          </cell>
          <cell r="BV221" t="str">
            <v/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 t="str">
            <v/>
          </cell>
          <cell r="CB221">
            <v>0</v>
          </cell>
          <cell r="CD221">
            <v>0</v>
          </cell>
          <cell r="CE221">
            <v>0</v>
          </cell>
          <cell r="CF221" t="str">
            <v/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 t="str">
            <v/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 t="str">
            <v/>
          </cell>
          <cell r="CQ221">
            <v>0</v>
          </cell>
          <cell r="CS221">
            <v>0</v>
          </cell>
          <cell r="CT221">
            <v>0</v>
          </cell>
          <cell r="CU221" t="str">
            <v/>
          </cell>
          <cell r="CV221">
            <v>0</v>
          </cell>
          <cell r="CX221">
            <v>0</v>
          </cell>
          <cell r="CY221">
            <v>0</v>
          </cell>
          <cell r="CZ221" t="str">
            <v/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 t="str">
            <v/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 t="str">
            <v/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 t="str">
            <v/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 t="str">
            <v/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 t="str">
            <v/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 t="str">
            <v/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 t="str">
            <v/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 t="str">
            <v/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 t="str">
            <v/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 t="str">
            <v/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 t="str">
            <v/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 t="str">
            <v/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 t="str">
            <v/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 t="str">
            <v/>
          </cell>
          <cell r="FS221">
            <v>0</v>
          </cell>
          <cell r="FT221">
            <v>0</v>
          </cell>
          <cell r="FU221">
            <v>66.666666666666671</v>
          </cell>
          <cell r="FW221" t="str">
            <v>SIN ROTACIÓN</v>
          </cell>
          <cell r="FX221">
            <v>0</v>
          </cell>
          <cell r="FY221" t="str">
            <v>No</v>
          </cell>
        </row>
        <row r="222">
          <cell r="B222" t="str">
            <v>REP-0232</v>
          </cell>
          <cell r="C222" t="str">
            <v>NO VIGENTE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O222">
            <v>0</v>
          </cell>
          <cell r="AP222">
            <v>0</v>
          </cell>
          <cell r="AQ222" t="str">
            <v/>
          </cell>
          <cell r="AR222">
            <v>0</v>
          </cell>
          <cell r="AS222">
            <v>0</v>
          </cell>
          <cell r="AT222">
            <v>0</v>
          </cell>
          <cell r="AU222" t="str">
            <v/>
          </cell>
          <cell r="AV222">
            <v>0</v>
          </cell>
          <cell r="AW222">
            <v>0</v>
          </cell>
          <cell r="AX222">
            <v>0</v>
          </cell>
          <cell r="AY222" t="str">
            <v/>
          </cell>
          <cell r="AZ222">
            <v>0</v>
          </cell>
          <cell r="BA222">
            <v>0</v>
          </cell>
          <cell r="BB222">
            <v>0</v>
          </cell>
          <cell r="BC222" t="str">
            <v/>
          </cell>
          <cell r="BD222">
            <v>0</v>
          </cell>
          <cell r="BE222">
            <v>0</v>
          </cell>
          <cell r="BF222" t="str">
            <v/>
          </cell>
          <cell r="BG222">
            <v>0</v>
          </cell>
          <cell r="BH222">
            <v>0</v>
          </cell>
          <cell r="BI222">
            <v>0</v>
          </cell>
          <cell r="BJ222" t="str">
            <v/>
          </cell>
          <cell r="BK222">
            <v>0</v>
          </cell>
          <cell r="BL222">
            <v>0</v>
          </cell>
          <cell r="BM222">
            <v>0</v>
          </cell>
          <cell r="BN222" t="str">
            <v/>
          </cell>
          <cell r="BO222">
            <v>0</v>
          </cell>
          <cell r="BP222">
            <v>0</v>
          </cell>
          <cell r="BQ222">
            <v>0</v>
          </cell>
          <cell r="BR222" t="str">
            <v/>
          </cell>
          <cell r="BS222">
            <v>0</v>
          </cell>
          <cell r="BT222">
            <v>0</v>
          </cell>
          <cell r="BU222">
            <v>0</v>
          </cell>
          <cell r="BV222" t="str">
            <v/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 t="str">
            <v/>
          </cell>
          <cell r="CB222">
            <v>0</v>
          </cell>
          <cell r="CD222">
            <v>0</v>
          </cell>
          <cell r="CE222">
            <v>0</v>
          </cell>
          <cell r="CF222" t="str">
            <v/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 t="str">
            <v/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 t="str">
            <v/>
          </cell>
          <cell r="CQ222">
            <v>0</v>
          </cell>
          <cell r="CS222">
            <v>0</v>
          </cell>
          <cell r="CT222">
            <v>0</v>
          </cell>
          <cell r="CU222" t="str">
            <v/>
          </cell>
          <cell r="CV222">
            <v>0</v>
          </cell>
          <cell r="CX222">
            <v>0</v>
          </cell>
          <cell r="CY222">
            <v>0</v>
          </cell>
          <cell r="CZ222" t="str">
            <v/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 t="str">
            <v/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 t="str">
            <v/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 t="str">
            <v/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 t="str">
            <v/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 t="str">
            <v/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 t="str">
            <v/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 t="str">
            <v/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 t="str">
            <v/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 t="str">
            <v/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 t="str">
            <v/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 t="str">
            <v/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 t="str">
            <v/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 t="str">
            <v/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 t="str">
            <v/>
          </cell>
          <cell r="FS222">
            <v>0</v>
          </cell>
          <cell r="FT222">
            <v>0</v>
          </cell>
          <cell r="FU222">
            <v>66.666666666666671</v>
          </cell>
          <cell r="FW222" t="str">
            <v>SIN ROTACIÓN</v>
          </cell>
          <cell r="FX222">
            <v>0</v>
          </cell>
          <cell r="FY222" t="str">
            <v>No</v>
          </cell>
        </row>
        <row r="223">
          <cell r="B223" t="str">
            <v>REP-0233</v>
          </cell>
          <cell r="C223" t="str">
            <v>MIX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M223">
            <v>0</v>
          </cell>
          <cell r="AO223">
            <v>0</v>
          </cell>
          <cell r="AP223">
            <v>0</v>
          </cell>
          <cell r="AQ223" t="str">
            <v/>
          </cell>
          <cell r="AR223">
            <v>0</v>
          </cell>
          <cell r="AS223">
            <v>0</v>
          </cell>
          <cell r="AT223">
            <v>0</v>
          </cell>
          <cell r="AU223" t="str">
            <v/>
          </cell>
          <cell r="AV223">
            <v>0</v>
          </cell>
          <cell r="AW223">
            <v>0</v>
          </cell>
          <cell r="AX223">
            <v>0</v>
          </cell>
          <cell r="AY223" t="str">
            <v/>
          </cell>
          <cell r="AZ223">
            <v>0</v>
          </cell>
          <cell r="BA223">
            <v>0</v>
          </cell>
          <cell r="BB223">
            <v>0</v>
          </cell>
          <cell r="BC223" t="str">
            <v/>
          </cell>
          <cell r="BD223">
            <v>0</v>
          </cell>
          <cell r="BE223">
            <v>0</v>
          </cell>
          <cell r="BF223" t="str">
            <v/>
          </cell>
          <cell r="BG223">
            <v>0</v>
          </cell>
          <cell r="BH223">
            <v>0</v>
          </cell>
          <cell r="BI223">
            <v>0</v>
          </cell>
          <cell r="BJ223" t="str">
            <v/>
          </cell>
          <cell r="BK223">
            <v>0</v>
          </cell>
          <cell r="BL223">
            <v>0</v>
          </cell>
          <cell r="BM223">
            <v>0</v>
          </cell>
          <cell r="BN223" t="str">
            <v/>
          </cell>
          <cell r="BO223">
            <v>0</v>
          </cell>
          <cell r="BP223">
            <v>0</v>
          </cell>
          <cell r="BQ223">
            <v>0</v>
          </cell>
          <cell r="BR223" t="str">
            <v/>
          </cell>
          <cell r="BS223">
            <v>0</v>
          </cell>
          <cell r="BT223">
            <v>0</v>
          </cell>
          <cell r="BU223">
            <v>0</v>
          </cell>
          <cell r="BV223" t="str">
            <v/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 t="str">
            <v/>
          </cell>
          <cell r="CB223">
            <v>0</v>
          </cell>
          <cell r="CD223">
            <v>0</v>
          </cell>
          <cell r="CE223">
            <v>0</v>
          </cell>
          <cell r="CF223" t="str">
            <v/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 t="str">
            <v/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 t="str">
            <v/>
          </cell>
          <cell r="CQ223">
            <v>0</v>
          </cell>
          <cell r="CS223">
            <v>0</v>
          </cell>
          <cell r="CT223">
            <v>0</v>
          </cell>
          <cell r="CU223" t="str">
            <v/>
          </cell>
          <cell r="CV223">
            <v>0</v>
          </cell>
          <cell r="CX223">
            <v>0</v>
          </cell>
          <cell r="CY223">
            <v>0</v>
          </cell>
          <cell r="CZ223" t="str">
            <v/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 t="str">
            <v/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 t="str">
            <v/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 t="str">
            <v/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 t="str">
            <v/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 t="str">
            <v/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 t="str">
            <v/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 t="str">
            <v/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 t="str">
            <v/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 t="str">
            <v/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 t="str">
            <v/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 t="str">
            <v/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 t="str">
            <v/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 t="str">
            <v/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 t="str">
            <v/>
          </cell>
          <cell r="FS223">
            <v>0</v>
          </cell>
          <cell r="FT223">
            <v>0</v>
          </cell>
          <cell r="FU223">
            <v>66.666666666666671</v>
          </cell>
          <cell r="FW223" t="str">
            <v>SIN ROTACIÓN</v>
          </cell>
          <cell r="FX223" t="str">
            <v/>
          </cell>
          <cell r="FY223" t="str">
            <v>No</v>
          </cell>
        </row>
        <row r="224">
          <cell r="B224" t="str">
            <v>REP-0234</v>
          </cell>
          <cell r="C224" t="str">
            <v>MIX</v>
          </cell>
          <cell r="D224">
            <v>0</v>
          </cell>
          <cell r="E224">
            <v>6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6</v>
          </cell>
          <cell r="AA224">
            <v>6</v>
          </cell>
          <cell r="AB224">
            <v>1</v>
          </cell>
          <cell r="AC224">
            <v>0</v>
          </cell>
          <cell r="AD224">
            <v>0</v>
          </cell>
          <cell r="AE224">
            <v>8.3333333333333329E-2</v>
          </cell>
          <cell r="AF224">
            <v>0</v>
          </cell>
          <cell r="AG224">
            <v>0</v>
          </cell>
          <cell r="AH224">
            <v>8.3333333333333329E-2</v>
          </cell>
          <cell r="AI224">
            <v>0</v>
          </cell>
          <cell r="AJ224">
            <v>0</v>
          </cell>
          <cell r="AK224">
            <v>8.3333333333333329E-2</v>
          </cell>
          <cell r="AL224">
            <v>4.1666666666666664E-2</v>
          </cell>
          <cell r="AM224">
            <v>2.0833333333333332E-2</v>
          </cell>
          <cell r="AN224">
            <v>2</v>
          </cell>
          <cell r="AO224">
            <v>0</v>
          </cell>
          <cell r="AP224">
            <v>2.8888888888888888</v>
          </cell>
          <cell r="AQ224" t="str">
            <v/>
          </cell>
          <cell r="AR224">
            <v>0</v>
          </cell>
          <cell r="AS224">
            <v>3</v>
          </cell>
          <cell r="AT224">
            <v>3</v>
          </cell>
          <cell r="AU224" t="str">
            <v/>
          </cell>
          <cell r="AV224">
            <v>0</v>
          </cell>
          <cell r="AW224">
            <v>3</v>
          </cell>
          <cell r="AX224">
            <v>2</v>
          </cell>
          <cell r="AY224">
            <v>24</v>
          </cell>
          <cell r="AZ224">
            <v>0</v>
          </cell>
          <cell r="BA224">
            <v>1.6666666666666667</v>
          </cell>
          <cell r="BB224">
            <v>2</v>
          </cell>
          <cell r="BC224">
            <v>6</v>
          </cell>
          <cell r="BD224">
            <v>0</v>
          </cell>
          <cell r="BE224">
            <v>1.6666666666666667</v>
          </cell>
          <cell r="BF224">
            <v>5.0000000000000009</v>
          </cell>
          <cell r="BG224">
            <v>0</v>
          </cell>
          <cell r="BH224">
            <v>1.3333333333333335</v>
          </cell>
          <cell r="BI224">
            <v>6</v>
          </cell>
          <cell r="BJ224">
            <v>72</v>
          </cell>
          <cell r="BK224">
            <v>0</v>
          </cell>
          <cell r="BL224">
            <v>1.8333333333333333</v>
          </cell>
          <cell r="BM224">
            <v>2</v>
          </cell>
          <cell r="BN224">
            <v>12</v>
          </cell>
          <cell r="BO224">
            <v>0</v>
          </cell>
          <cell r="BP224">
            <v>1.8333333333333333</v>
          </cell>
          <cell r="BQ224">
            <v>2</v>
          </cell>
          <cell r="BR224">
            <v>24</v>
          </cell>
          <cell r="BS224">
            <v>0</v>
          </cell>
          <cell r="BT224">
            <v>1.8333333333333333</v>
          </cell>
          <cell r="BU224">
            <v>2</v>
          </cell>
          <cell r="BV224">
            <v>18</v>
          </cell>
          <cell r="BW224">
            <v>0</v>
          </cell>
          <cell r="BX224">
            <v>0</v>
          </cell>
          <cell r="BY224">
            <v>1.8888888888888888</v>
          </cell>
          <cell r="BZ224">
            <v>2</v>
          </cell>
          <cell r="CA224">
            <v>20</v>
          </cell>
          <cell r="CB224">
            <v>0</v>
          </cell>
          <cell r="CC224">
            <v>0</v>
          </cell>
          <cell r="CD224">
            <v>5.9</v>
          </cell>
          <cell r="CE224">
            <v>2</v>
          </cell>
          <cell r="CF224">
            <v>22</v>
          </cell>
          <cell r="CG224">
            <v>0</v>
          </cell>
          <cell r="CH224">
            <v>4</v>
          </cell>
          <cell r="CI224">
            <v>5.8090909090909095</v>
          </cell>
          <cell r="CJ224">
            <v>6</v>
          </cell>
          <cell r="CK224">
            <v>72</v>
          </cell>
          <cell r="CL224">
            <v>0</v>
          </cell>
          <cell r="CM224">
            <v>0</v>
          </cell>
          <cell r="CN224">
            <v>5.916666666666667</v>
          </cell>
          <cell r="CO224">
            <v>6</v>
          </cell>
          <cell r="CP224">
            <v>72</v>
          </cell>
          <cell r="CQ224">
            <v>0</v>
          </cell>
          <cell r="CR224">
            <v>0</v>
          </cell>
          <cell r="CS224">
            <v>5.916666666666667</v>
          </cell>
          <cell r="CT224">
            <v>6</v>
          </cell>
          <cell r="CU224">
            <v>72</v>
          </cell>
          <cell r="CV224">
            <v>0</v>
          </cell>
          <cell r="CW224">
            <v>0</v>
          </cell>
          <cell r="CX224">
            <v>5.916666666666667</v>
          </cell>
          <cell r="CY224">
            <v>6</v>
          </cell>
          <cell r="CZ224">
            <v>72</v>
          </cell>
          <cell r="DA224">
            <v>0</v>
          </cell>
          <cell r="DB224">
            <v>0</v>
          </cell>
          <cell r="DC224">
            <v>5.916666666666667</v>
          </cell>
          <cell r="DD224">
            <v>6</v>
          </cell>
          <cell r="DE224">
            <v>60</v>
          </cell>
          <cell r="DF224">
            <v>0</v>
          </cell>
          <cell r="DG224">
            <v>0</v>
          </cell>
          <cell r="DH224">
            <v>5.916666666666667</v>
          </cell>
          <cell r="DI224">
            <v>6</v>
          </cell>
          <cell r="DJ224">
            <v>62</v>
          </cell>
          <cell r="DK224">
            <v>0</v>
          </cell>
          <cell r="DL224">
            <v>0</v>
          </cell>
          <cell r="DM224">
            <v>5.8333333333333339</v>
          </cell>
          <cell r="DN224">
            <v>6</v>
          </cell>
          <cell r="DO224">
            <v>62</v>
          </cell>
          <cell r="DP224">
            <v>0</v>
          </cell>
          <cell r="DQ224">
            <v>0</v>
          </cell>
          <cell r="DR224">
            <v>5.916666666666667</v>
          </cell>
          <cell r="DS224">
            <v>5.916666666666667</v>
          </cell>
          <cell r="DT224">
            <v>61.000000000000007</v>
          </cell>
          <cell r="DU224">
            <v>0</v>
          </cell>
          <cell r="DV224">
            <v>0</v>
          </cell>
          <cell r="DW224">
            <v>5.8333333333333339</v>
          </cell>
          <cell r="DX224">
            <v>5.8333333333333339</v>
          </cell>
          <cell r="DY224">
            <v>60.000000000000007</v>
          </cell>
          <cell r="DZ224">
            <v>0</v>
          </cell>
          <cell r="EA224">
            <v>0</v>
          </cell>
          <cell r="EB224">
            <v>5.7500000000000009</v>
          </cell>
          <cell r="EC224">
            <v>5.7500000000000009</v>
          </cell>
          <cell r="ED224">
            <v>59.000000000000014</v>
          </cell>
          <cell r="EE224">
            <v>0</v>
          </cell>
          <cell r="EF224">
            <v>0</v>
          </cell>
          <cell r="EG224">
            <v>5.6666666666666679</v>
          </cell>
          <cell r="EH224">
            <v>5.6666666666666679</v>
          </cell>
          <cell r="EI224">
            <v>58.000000000000014</v>
          </cell>
          <cell r="EJ224">
            <v>0</v>
          </cell>
          <cell r="EK224">
            <v>0</v>
          </cell>
          <cell r="EL224">
            <v>5.5833333333333348</v>
          </cell>
          <cell r="EM224">
            <v>5.5833333333333348</v>
          </cell>
          <cell r="EN224">
            <v>57.000000000000021</v>
          </cell>
          <cell r="EO224">
            <v>0</v>
          </cell>
          <cell r="EP224">
            <v>0</v>
          </cell>
          <cell r="EQ224">
            <v>5.5000000000000018</v>
          </cell>
          <cell r="ER224">
            <v>5.5000000000000018</v>
          </cell>
          <cell r="ES224">
            <v>56.000000000000021</v>
          </cell>
          <cell r="ET224">
            <v>0</v>
          </cell>
          <cell r="EU224">
            <v>0</v>
          </cell>
          <cell r="EV224">
            <v>5.4166666666666687</v>
          </cell>
          <cell r="EW224">
            <v>5.4166666666666687</v>
          </cell>
          <cell r="EX224">
            <v>55.000000000000028</v>
          </cell>
          <cell r="EY224">
            <v>0</v>
          </cell>
          <cell r="EZ224">
            <v>0</v>
          </cell>
          <cell r="FA224">
            <v>5.3333333333333357</v>
          </cell>
          <cell r="FB224">
            <v>5.3333333333333357</v>
          </cell>
          <cell r="FC224">
            <v>54.000000000000028</v>
          </cell>
          <cell r="FD224">
            <v>0</v>
          </cell>
          <cell r="FE224">
            <v>0</v>
          </cell>
          <cell r="FF224">
            <v>5.2500000000000027</v>
          </cell>
          <cell r="FG224">
            <v>5.2500000000000027</v>
          </cell>
          <cell r="FH224">
            <v>53.000000000000036</v>
          </cell>
          <cell r="FI224">
            <v>0</v>
          </cell>
          <cell r="FJ224">
            <v>0</v>
          </cell>
          <cell r="FK224">
            <v>5.1666666666666696</v>
          </cell>
          <cell r="FL224">
            <v>5.1666666666666696</v>
          </cell>
          <cell r="FM224">
            <v>52.000000000000036</v>
          </cell>
          <cell r="FN224">
            <v>0</v>
          </cell>
          <cell r="FO224">
            <v>0</v>
          </cell>
          <cell r="FP224">
            <v>5.0833333333333366</v>
          </cell>
          <cell r="FQ224">
            <v>5.0833333333333366</v>
          </cell>
          <cell r="FR224">
            <v>51.000000000000043</v>
          </cell>
          <cell r="FS224">
            <v>0</v>
          </cell>
          <cell r="FT224">
            <v>1</v>
          </cell>
          <cell r="FU224">
            <v>2.0333333333333332</v>
          </cell>
          <cell r="FW224" t="str">
            <v>SIN ROTACIÓN</v>
          </cell>
          <cell r="FX224" t="str">
            <v>STOCK MUERTO</v>
          </cell>
          <cell r="FY224" t="str">
            <v>Si</v>
          </cell>
        </row>
        <row r="225">
          <cell r="B225" t="str">
            <v>REP-0235</v>
          </cell>
          <cell r="C225" t="str">
            <v>MIX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O225">
            <v>0</v>
          </cell>
          <cell r="AP225">
            <v>0</v>
          </cell>
          <cell r="AQ225" t="str">
            <v/>
          </cell>
          <cell r="AR225">
            <v>0</v>
          </cell>
          <cell r="AS225">
            <v>0</v>
          </cell>
          <cell r="AT225">
            <v>0</v>
          </cell>
          <cell r="AU225" t="str">
            <v/>
          </cell>
          <cell r="AV225">
            <v>0</v>
          </cell>
          <cell r="AW225">
            <v>0</v>
          </cell>
          <cell r="AX225">
            <v>0</v>
          </cell>
          <cell r="AY225" t="str">
            <v/>
          </cell>
          <cell r="AZ225">
            <v>0</v>
          </cell>
          <cell r="BA225">
            <v>0</v>
          </cell>
          <cell r="BB225">
            <v>0</v>
          </cell>
          <cell r="BC225" t="str">
            <v/>
          </cell>
          <cell r="BD225">
            <v>0</v>
          </cell>
          <cell r="BE225">
            <v>0</v>
          </cell>
          <cell r="BF225" t="str">
            <v/>
          </cell>
          <cell r="BG225">
            <v>0</v>
          </cell>
          <cell r="BH225">
            <v>0</v>
          </cell>
          <cell r="BI225">
            <v>0</v>
          </cell>
          <cell r="BJ225" t="str">
            <v/>
          </cell>
          <cell r="BK225">
            <v>0</v>
          </cell>
          <cell r="BL225">
            <v>0</v>
          </cell>
          <cell r="BM225">
            <v>0</v>
          </cell>
          <cell r="BN225" t="str">
            <v/>
          </cell>
          <cell r="BO225">
            <v>0</v>
          </cell>
          <cell r="BP225">
            <v>0</v>
          </cell>
          <cell r="BQ225">
            <v>0</v>
          </cell>
          <cell r="BR225" t="str">
            <v/>
          </cell>
          <cell r="BS225">
            <v>0</v>
          </cell>
          <cell r="BT225">
            <v>0</v>
          </cell>
          <cell r="BU225">
            <v>0</v>
          </cell>
          <cell r="BV225" t="str">
            <v/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 t="str">
            <v/>
          </cell>
          <cell r="CB225">
            <v>0</v>
          </cell>
          <cell r="CD225">
            <v>0</v>
          </cell>
          <cell r="CE225">
            <v>0</v>
          </cell>
          <cell r="CF225" t="str">
            <v/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 t="str">
            <v/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 t="str">
            <v/>
          </cell>
          <cell r="CQ225">
            <v>0</v>
          </cell>
          <cell r="CS225">
            <v>0</v>
          </cell>
          <cell r="CT225">
            <v>0</v>
          </cell>
          <cell r="CU225" t="str">
            <v/>
          </cell>
          <cell r="CV225">
            <v>0</v>
          </cell>
          <cell r="CX225">
            <v>0</v>
          </cell>
          <cell r="CY225">
            <v>0</v>
          </cell>
          <cell r="CZ225" t="str">
            <v/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 t="str">
            <v/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 t="str">
            <v/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 t="str">
            <v/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 t="str">
            <v/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 t="str">
            <v/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 t="str">
            <v/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 t="str">
            <v/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 t="str">
            <v/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 t="str">
            <v/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 t="str">
            <v/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 t="str">
            <v/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 t="str">
            <v/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 t="str">
            <v/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 t="str">
            <v/>
          </cell>
          <cell r="FS225">
            <v>0</v>
          </cell>
          <cell r="FT225">
            <v>0</v>
          </cell>
          <cell r="FU225">
            <v>66.666666666666671</v>
          </cell>
          <cell r="FW225" t="str">
            <v>SIN ROTACIÓN</v>
          </cell>
          <cell r="FX225" t="str">
            <v/>
          </cell>
          <cell r="FY225" t="str">
            <v>No</v>
          </cell>
        </row>
        <row r="226">
          <cell r="B226" t="str">
            <v>REP-0236</v>
          </cell>
          <cell r="C226" t="str">
            <v>MIX</v>
          </cell>
          <cell r="D226">
            <v>0</v>
          </cell>
          <cell r="E226">
            <v>60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60</v>
          </cell>
          <cell r="AA226">
            <v>60</v>
          </cell>
          <cell r="AB226">
            <v>1</v>
          </cell>
          <cell r="AC226">
            <v>0.16666666666666666</v>
          </cell>
          <cell r="AD226">
            <v>5.5555555555555549E-3</v>
          </cell>
          <cell r="AE226">
            <v>0.16666666666666666</v>
          </cell>
          <cell r="AF226">
            <v>0</v>
          </cell>
          <cell r="AG226">
            <v>0</v>
          </cell>
          <cell r="AH226">
            <v>0.83333333333333337</v>
          </cell>
          <cell r="AI226">
            <v>0</v>
          </cell>
          <cell r="AJ226">
            <v>0</v>
          </cell>
          <cell r="AK226">
            <v>0.83333333333333337</v>
          </cell>
          <cell r="AL226">
            <v>0.41666666666666669</v>
          </cell>
          <cell r="AM226">
            <v>0.20833333333333334</v>
          </cell>
          <cell r="AN226">
            <v>2</v>
          </cell>
          <cell r="AO226">
            <v>0</v>
          </cell>
          <cell r="AP226">
            <v>9.3333333333333339</v>
          </cell>
          <cell r="AQ226" t="str">
            <v/>
          </cell>
          <cell r="AR226">
            <v>0</v>
          </cell>
          <cell r="AS226">
            <v>10</v>
          </cell>
          <cell r="AT226">
            <v>10</v>
          </cell>
          <cell r="AU226" t="str">
            <v/>
          </cell>
          <cell r="AV226">
            <v>0</v>
          </cell>
          <cell r="AW226">
            <v>10</v>
          </cell>
          <cell r="AX226">
            <v>10</v>
          </cell>
          <cell r="AY226">
            <v>12</v>
          </cell>
          <cell r="AZ226">
            <v>0</v>
          </cell>
          <cell r="BA226">
            <v>10</v>
          </cell>
          <cell r="BB226">
            <v>10</v>
          </cell>
          <cell r="BC226" t="str">
            <v/>
          </cell>
          <cell r="BD226">
            <v>0</v>
          </cell>
          <cell r="BE226">
            <v>10</v>
          </cell>
          <cell r="BF226" t="str">
            <v/>
          </cell>
          <cell r="BG226">
            <v>0</v>
          </cell>
          <cell r="BH226">
            <v>10</v>
          </cell>
          <cell r="BI226">
            <v>60</v>
          </cell>
          <cell r="BJ226">
            <v>72</v>
          </cell>
          <cell r="BK226">
            <v>0</v>
          </cell>
          <cell r="BL226">
            <v>7.666666666666667</v>
          </cell>
          <cell r="BM226">
            <v>6</v>
          </cell>
          <cell r="BN226">
            <v>9</v>
          </cell>
          <cell r="BO226">
            <v>0</v>
          </cell>
          <cell r="BP226">
            <v>5.333333333333333</v>
          </cell>
          <cell r="BQ226">
            <v>6</v>
          </cell>
          <cell r="BR226">
            <v>7.1999999999999993</v>
          </cell>
          <cell r="BS226">
            <v>0</v>
          </cell>
          <cell r="BT226">
            <v>5.333333333333333</v>
          </cell>
          <cell r="BU226">
            <v>6</v>
          </cell>
          <cell r="BV226">
            <v>9</v>
          </cell>
          <cell r="BW226">
            <v>0</v>
          </cell>
          <cell r="BX226">
            <v>0</v>
          </cell>
          <cell r="BY226">
            <v>5.333333333333333</v>
          </cell>
          <cell r="BZ226">
            <v>6</v>
          </cell>
          <cell r="CA226">
            <v>9</v>
          </cell>
          <cell r="CB226">
            <v>0</v>
          </cell>
          <cell r="CC226">
            <v>0</v>
          </cell>
          <cell r="CD226">
            <v>5.333333333333333</v>
          </cell>
          <cell r="CE226">
            <v>6</v>
          </cell>
          <cell r="CF226">
            <v>9</v>
          </cell>
          <cell r="CG226">
            <v>0</v>
          </cell>
          <cell r="CH226">
            <v>0</v>
          </cell>
          <cell r="CI226">
            <v>4.6666666666666661</v>
          </cell>
          <cell r="CJ226">
            <v>0</v>
          </cell>
          <cell r="CK226">
            <v>0</v>
          </cell>
          <cell r="CL226">
            <v>10</v>
          </cell>
          <cell r="CM226">
            <v>10</v>
          </cell>
          <cell r="CN226">
            <v>8.6666666666666661</v>
          </cell>
          <cell r="CO226">
            <v>10</v>
          </cell>
          <cell r="CP226">
            <v>7.5</v>
          </cell>
          <cell r="CQ226">
            <v>1.3333333333333339</v>
          </cell>
          <cell r="CR226">
            <v>0</v>
          </cell>
          <cell r="CS226">
            <v>8.6666666666666661</v>
          </cell>
          <cell r="CT226">
            <v>10</v>
          </cell>
          <cell r="CU226">
            <v>10</v>
          </cell>
          <cell r="CV226">
            <v>0</v>
          </cell>
          <cell r="CW226">
            <v>0</v>
          </cell>
          <cell r="CX226">
            <v>9</v>
          </cell>
          <cell r="CY226">
            <v>10</v>
          </cell>
          <cell r="CZ226">
            <v>12</v>
          </cell>
          <cell r="DA226">
            <v>0</v>
          </cell>
          <cell r="DB226">
            <v>50</v>
          </cell>
          <cell r="DC226">
            <v>59.166666666666664</v>
          </cell>
          <cell r="DD226">
            <v>60</v>
          </cell>
          <cell r="DE226">
            <v>69.599999999999994</v>
          </cell>
          <cell r="DF226">
            <v>0</v>
          </cell>
          <cell r="DG226">
            <v>0</v>
          </cell>
          <cell r="DH226">
            <v>59.166666666666664</v>
          </cell>
          <cell r="DI226">
            <v>60</v>
          </cell>
          <cell r="DJ226">
            <v>71.599999999999994</v>
          </cell>
          <cell r="DK226">
            <v>0</v>
          </cell>
          <cell r="DL226">
            <v>0</v>
          </cell>
          <cell r="DM226">
            <v>58.333333333333329</v>
          </cell>
          <cell r="DN226">
            <v>60</v>
          </cell>
          <cell r="DO226">
            <v>71.599999999999994</v>
          </cell>
          <cell r="DP226">
            <v>0</v>
          </cell>
          <cell r="DQ226">
            <v>0</v>
          </cell>
          <cell r="DR226">
            <v>59.166666666666664</v>
          </cell>
          <cell r="DS226">
            <v>59.166666666666664</v>
          </cell>
          <cell r="DT226">
            <v>70.599999999999994</v>
          </cell>
          <cell r="DU226">
            <v>0</v>
          </cell>
          <cell r="DV226">
            <v>0</v>
          </cell>
          <cell r="DW226">
            <v>58.333333333333329</v>
          </cell>
          <cell r="DX226">
            <v>58.333333333333329</v>
          </cell>
          <cell r="DY226">
            <v>69.599999999999994</v>
          </cell>
          <cell r="DZ226">
            <v>0</v>
          </cell>
          <cell r="EA226">
            <v>0</v>
          </cell>
          <cell r="EB226">
            <v>57.499999999999993</v>
          </cell>
          <cell r="EC226">
            <v>57.499999999999993</v>
          </cell>
          <cell r="ED226">
            <v>68.599999999999994</v>
          </cell>
          <cell r="EE226">
            <v>0</v>
          </cell>
          <cell r="EF226">
            <v>0</v>
          </cell>
          <cell r="EG226">
            <v>56.666666666666657</v>
          </cell>
          <cell r="EH226">
            <v>56.666666666666657</v>
          </cell>
          <cell r="EI226">
            <v>67.59999999999998</v>
          </cell>
          <cell r="EJ226">
            <v>0</v>
          </cell>
          <cell r="EK226">
            <v>0</v>
          </cell>
          <cell r="EL226">
            <v>55.833333333333321</v>
          </cell>
          <cell r="EM226">
            <v>55.833333333333321</v>
          </cell>
          <cell r="EN226">
            <v>66.59999999999998</v>
          </cell>
          <cell r="EO226">
            <v>0</v>
          </cell>
          <cell r="EP226">
            <v>0</v>
          </cell>
          <cell r="EQ226">
            <v>54.999999999999986</v>
          </cell>
          <cell r="ER226">
            <v>54.999999999999986</v>
          </cell>
          <cell r="ES226">
            <v>65.59999999999998</v>
          </cell>
          <cell r="ET226">
            <v>0</v>
          </cell>
          <cell r="EU226">
            <v>0</v>
          </cell>
          <cell r="EV226">
            <v>54.16666666666665</v>
          </cell>
          <cell r="EW226">
            <v>54.16666666666665</v>
          </cell>
          <cell r="EX226">
            <v>64.59999999999998</v>
          </cell>
          <cell r="EY226">
            <v>0</v>
          </cell>
          <cell r="EZ226">
            <v>0</v>
          </cell>
          <cell r="FA226">
            <v>53.333333333333314</v>
          </cell>
          <cell r="FB226">
            <v>53.333333333333314</v>
          </cell>
          <cell r="FC226">
            <v>63.599999999999973</v>
          </cell>
          <cell r="FD226">
            <v>0</v>
          </cell>
          <cell r="FE226">
            <v>0</v>
          </cell>
          <cell r="FF226">
            <v>52.499999999999979</v>
          </cell>
          <cell r="FG226">
            <v>52.499999999999979</v>
          </cell>
          <cell r="FH226">
            <v>62.599999999999973</v>
          </cell>
          <cell r="FI226">
            <v>0</v>
          </cell>
          <cell r="FJ226">
            <v>0</v>
          </cell>
          <cell r="FK226">
            <v>51.666666666666643</v>
          </cell>
          <cell r="FL226">
            <v>51.666666666666643</v>
          </cell>
          <cell r="FM226">
            <v>61.599999999999966</v>
          </cell>
          <cell r="FN226">
            <v>0</v>
          </cell>
          <cell r="FO226">
            <v>0</v>
          </cell>
          <cell r="FP226">
            <v>50.833333333333307</v>
          </cell>
          <cell r="FQ226">
            <v>50.833333333333307</v>
          </cell>
          <cell r="FR226">
            <v>60.599999999999966</v>
          </cell>
          <cell r="FS226">
            <v>0</v>
          </cell>
          <cell r="FT226">
            <v>2</v>
          </cell>
          <cell r="FU226">
            <v>2.0333333333333332</v>
          </cell>
          <cell r="FW226" t="str">
            <v>SIN ROTACIÓN</v>
          </cell>
          <cell r="FX226" t="str">
            <v>STOCK MUERTO</v>
          </cell>
          <cell r="FY226" t="str">
            <v>Si</v>
          </cell>
        </row>
        <row r="227">
          <cell r="B227" t="str">
            <v>REP-0237</v>
          </cell>
          <cell r="C227" t="str">
            <v>CAT</v>
          </cell>
          <cell r="D227">
            <v>0</v>
          </cell>
          <cell r="E227">
            <v>23</v>
          </cell>
          <cell r="F227">
            <v>0</v>
          </cell>
          <cell r="G227">
            <v>0</v>
          </cell>
          <cell r="H227">
            <v>2</v>
          </cell>
          <cell r="I227">
            <v>2</v>
          </cell>
          <cell r="J227">
            <v>0</v>
          </cell>
          <cell r="K227">
            <v>6</v>
          </cell>
          <cell r="L227">
            <v>6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3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42</v>
          </cell>
          <cell r="AA227">
            <v>42</v>
          </cell>
          <cell r="AB227">
            <v>43</v>
          </cell>
          <cell r="AC227">
            <v>4.833333333333333</v>
          </cell>
          <cell r="AD227">
            <v>0.16111111111111109</v>
          </cell>
          <cell r="AE227">
            <v>6</v>
          </cell>
          <cell r="AF227">
            <v>5</v>
          </cell>
          <cell r="AG227">
            <v>1.8333333333333333</v>
          </cell>
          <cell r="AH227">
            <v>0.83333333333333337</v>
          </cell>
          <cell r="AI227">
            <v>0</v>
          </cell>
          <cell r="AJ227">
            <v>0</v>
          </cell>
          <cell r="AK227">
            <v>1.8333333333333333</v>
          </cell>
          <cell r="AL227">
            <v>0.87135484118656226</v>
          </cell>
          <cell r="AM227">
            <v>0.66666666666666663</v>
          </cell>
          <cell r="AN227">
            <v>1.3070322617798436</v>
          </cell>
          <cell r="AO227">
            <v>0</v>
          </cell>
          <cell r="AP227">
            <v>56.166666666666664</v>
          </cell>
          <cell r="AQ227">
            <v>10.6</v>
          </cell>
          <cell r="AR227">
            <v>0</v>
          </cell>
          <cell r="AS227">
            <v>48</v>
          </cell>
          <cell r="AT227">
            <v>56</v>
          </cell>
          <cell r="AU227">
            <v>30.545454545454547</v>
          </cell>
          <cell r="AV227">
            <v>0</v>
          </cell>
          <cell r="AW227">
            <v>54.166666666666664</v>
          </cell>
          <cell r="AX227">
            <v>53</v>
          </cell>
          <cell r="AY227">
            <v>28.90909090909091</v>
          </cell>
          <cell r="AZ227">
            <v>0</v>
          </cell>
          <cell r="BA227">
            <v>51.166666666666664</v>
          </cell>
          <cell r="BB227">
            <v>53</v>
          </cell>
          <cell r="BC227">
            <v>28.90909090909091</v>
          </cell>
          <cell r="BD227">
            <v>0</v>
          </cell>
          <cell r="BE227">
            <v>51.166666666666664</v>
          </cell>
          <cell r="BF227">
            <v>27.90909090909091</v>
          </cell>
          <cell r="BG227">
            <v>0</v>
          </cell>
          <cell r="BH227">
            <v>49.333333333333329</v>
          </cell>
          <cell r="BI227">
            <v>42</v>
          </cell>
          <cell r="BJ227">
            <v>22.90909090909091</v>
          </cell>
          <cell r="BK227">
            <v>0</v>
          </cell>
          <cell r="BL227">
            <v>49.166666666666664</v>
          </cell>
          <cell r="BM227">
            <v>51</v>
          </cell>
          <cell r="BN227">
            <v>27.81818181818182</v>
          </cell>
          <cell r="BO227">
            <v>0</v>
          </cell>
          <cell r="BP227">
            <v>49.166666666666664</v>
          </cell>
          <cell r="BQ227">
            <v>51</v>
          </cell>
          <cell r="BR227">
            <v>27.81818181818182</v>
          </cell>
          <cell r="BS227">
            <v>0</v>
          </cell>
          <cell r="BT227">
            <v>49.166666666666664</v>
          </cell>
          <cell r="BU227">
            <v>51</v>
          </cell>
          <cell r="BV227">
            <v>27.81818181818182</v>
          </cell>
          <cell r="BW227">
            <v>0</v>
          </cell>
          <cell r="BX227">
            <v>0</v>
          </cell>
          <cell r="BY227">
            <v>49.166666666666664</v>
          </cell>
          <cell r="BZ227">
            <v>51</v>
          </cell>
          <cell r="CA227">
            <v>27.81818181818182</v>
          </cell>
          <cell r="CB227">
            <v>0</v>
          </cell>
          <cell r="CC227">
            <v>0</v>
          </cell>
          <cell r="CD227">
            <v>49.166666666666664</v>
          </cell>
          <cell r="CE227">
            <v>48</v>
          </cell>
          <cell r="CF227">
            <v>26.181818181818183</v>
          </cell>
          <cell r="CG227">
            <v>0</v>
          </cell>
          <cell r="CH227">
            <v>0</v>
          </cell>
          <cell r="CI227">
            <v>47.333333333333329</v>
          </cell>
          <cell r="CJ227">
            <v>48</v>
          </cell>
          <cell r="CK227">
            <v>26.181818181818183</v>
          </cell>
          <cell r="CL227">
            <v>0</v>
          </cell>
          <cell r="CM227">
            <v>0</v>
          </cell>
          <cell r="CN227">
            <v>46.166666666666664</v>
          </cell>
          <cell r="CO227">
            <v>45</v>
          </cell>
          <cell r="CP227">
            <v>24.545454545454547</v>
          </cell>
          <cell r="CQ227">
            <v>0</v>
          </cell>
          <cell r="CR227">
            <v>0</v>
          </cell>
          <cell r="CS227">
            <v>43.166666666666664</v>
          </cell>
          <cell r="CT227">
            <v>45</v>
          </cell>
          <cell r="CU227">
            <v>24.545454545454547</v>
          </cell>
          <cell r="CV227">
            <v>0</v>
          </cell>
          <cell r="CW227">
            <v>0</v>
          </cell>
          <cell r="CX227">
            <v>43.166666666666664</v>
          </cell>
          <cell r="CY227">
            <v>42</v>
          </cell>
          <cell r="CZ227">
            <v>22.90909090909091</v>
          </cell>
          <cell r="DA227">
            <v>0</v>
          </cell>
          <cell r="DB227">
            <v>0</v>
          </cell>
          <cell r="DC227">
            <v>40.166666666666664</v>
          </cell>
          <cell r="DD227">
            <v>43</v>
          </cell>
          <cell r="DE227">
            <v>22.363636363636363</v>
          </cell>
          <cell r="DF227">
            <v>0</v>
          </cell>
          <cell r="DG227">
            <v>0</v>
          </cell>
          <cell r="DH227">
            <v>41.166666666666664</v>
          </cell>
          <cell r="DI227">
            <v>43</v>
          </cell>
          <cell r="DJ227">
            <v>24.363636363636363</v>
          </cell>
          <cell r="DK227">
            <v>0</v>
          </cell>
          <cell r="DL227">
            <v>0</v>
          </cell>
          <cell r="DM227">
            <v>39.333333333333329</v>
          </cell>
          <cell r="DN227">
            <v>42</v>
          </cell>
          <cell r="DO227">
            <v>23.81818181818182</v>
          </cell>
          <cell r="DP227">
            <v>0</v>
          </cell>
          <cell r="DQ227">
            <v>0</v>
          </cell>
          <cell r="DR227">
            <v>40.166666666666664</v>
          </cell>
          <cell r="DS227">
            <v>40.166666666666664</v>
          </cell>
          <cell r="DT227">
            <v>22.818181818181817</v>
          </cell>
          <cell r="DU227">
            <v>0</v>
          </cell>
          <cell r="DV227">
            <v>0</v>
          </cell>
          <cell r="DW227">
            <v>38.333333333333329</v>
          </cell>
          <cell r="DX227">
            <v>38.333333333333329</v>
          </cell>
          <cell r="DY227">
            <v>21.818181818181817</v>
          </cell>
          <cell r="DZ227">
            <v>0</v>
          </cell>
          <cell r="EA227">
            <v>0</v>
          </cell>
          <cell r="EB227">
            <v>36.499999999999993</v>
          </cell>
          <cell r="EC227">
            <v>36.499999999999993</v>
          </cell>
          <cell r="ED227">
            <v>20.818181818181817</v>
          </cell>
          <cell r="EE227">
            <v>0</v>
          </cell>
          <cell r="EF227">
            <v>0</v>
          </cell>
          <cell r="EG227">
            <v>34.666666666666657</v>
          </cell>
          <cell r="EH227">
            <v>34.666666666666657</v>
          </cell>
          <cell r="EI227">
            <v>19.818181818181813</v>
          </cell>
          <cell r="EJ227">
            <v>0</v>
          </cell>
          <cell r="EK227">
            <v>0</v>
          </cell>
          <cell r="EL227">
            <v>32.833333333333321</v>
          </cell>
          <cell r="EM227">
            <v>32.833333333333321</v>
          </cell>
          <cell r="EN227">
            <v>18.818181818181813</v>
          </cell>
          <cell r="EO227">
            <v>0</v>
          </cell>
          <cell r="EP227">
            <v>0</v>
          </cell>
          <cell r="EQ227">
            <v>30.999999999999989</v>
          </cell>
          <cell r="ER227">
            <v>30.999999999999989</v>
          </cell>
          <cell r="ES227">
            <v>17.818181818181813</v>
          </cell>
          <cell r="ET227">
            <v>0</v>
          </cell>
          <cell r="EU227">
            <v>0</v>
          </cell>
          <cell r="EV227">
            <v>29.166666666666657</v>
          </cell>
          <cell r="EW227">
            <v>29.166666666666657</v>
          </cell>
          <cell r="EX227">
            <v>16.818181818181813</v>
          </cell>
          <cell r="EY227">
            <v>0</v>
          </cell>
          <cell r="EZ227">
            <v>0</v>
          </cell>
          <cell r="FA227">
            <v>27.333333333333325</v>
          </cell>
          <cell r="FB227">
            <v>27.333333333333325</v>
          </cell>
          <cell r="FC227">
            <v>15.818181818181815</v>
          </cell>
          <cell r="FD227">
            <v>0</v>
          </cell>
          <cell r="FE227">
            <v>0</v>
          </cell>
          <cell r="FF227">
            <v>25.499999999999993</v>
          </cell>
          <cell r="FG227">
            <v>25.499999999999993</v>
          </cell>
          <cell r="FH227">
            <v>14.818181818181815</v>
          </cell>
          <cell r="FI227">
            <v>0</v>
          </cell>
          <cell r="FJ227">
            <v>0</v>
          </cell>
          <cell r="FK227">
            <v>23.666666666666661</v>
          </cell>
          <cell r="FL227">
            <v>23.666666666666661</v>
          </cell>
          <cell r="FM227">
            <v>13.818181818181815</v>
          </cell>
          <cell r="FN227">
            <v>0</v>
          </cell>
          <cell r="FO227">
            <v>0</v>
          </cell>
          <cell r="FP227">
            <v>21.833333333333329</v>
          </cell>
          <cell r="FQ227">
            <v>21.833333333333329</v>
          </cell>
          <cell r="FR227">
            <v>12.818181818181817</v>
          </cell>
          <cell r="FS227">
            <v>0</v>
          </cell>
          <cell r="FT227">
            <v>2</v>
          </cell>
          <cell r="FU227">
            <v>1.0333333333333334</v>
          </cell>
          <cell r="FW227" t="str">
            <v>SIN ROTACIÓN</v>
          </cell>
          <cell r="FX227" t="str">
            <v>B</v>
          </cell>
          <cell r="FY227" t="str">
            <v>Si</v>
          </cell>
        </row>
        <row r="228">
          <cell r="B228" t="str">
            <v>REP-0238</v>
          </cell>
          <cell r="C228" t="str">
            <v>CAT</v>
          </cell>
          <cell r="D228">
            <v>0</v>
          </cell>
          <cell r="E228">
            <v>51</v>
          </cell>
          <cell r="F228">
            <v>0</v>
          </cell>
          <cell r="G228">
            <v>0</v>
          </cell>
          <cell r="H228">
            <v>13</v>
          </cell>
          <cell r="I228">
            <v>13</v>
          </cell>
          <cell r="J228">
            <v>0</v>
          </cell>
          <cell r="K228">
            <v>15</v>
          </cell>
          <cell r="L228">
            <v>11</v>
          </cell>
          <cell r="M228">
            <v>9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7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119</v>
          </cell>
          <cell r="AA228">
            <v>119</v>
          </cell>
          <cell r="AB228">
            <v>92</v>
          </cell>
          <cell r="AC228">
            <v>11.5</v>
          </cell>
          <cell r="AD228">
            <v>0.38333333333333336</v>
          </cell>
          <cell r="AE228">
            <v>13.166666666666666</v>
          </cell>
          <cell r="AF228">
            <v>9.1666666666666661</v>
          </cell>
          <cell r="AG228">
            <v>9</v>
          </cell>
          <cell r="AH228">
            <v>2.75</v>
          </cell>
          <cell r="AI228">
            <v>1</v>
          </cell>
          <cell r="AJ228">
            <v>1</v>
          </cell>
          <cell r="AK228">
            <v>3.4375</v>
          </cell>
          <cell r="AL228">
            <v>3.7989856102210582</v>
          </cell>
          <cell r="AM228">
            <v>3.4375</v>
          </cell>
          <cell r="AN228">
            <v>1.1051594502461259</v>
          </cell>
          <cell r="AO228">
            <v>0</v>
          </cell>
          <cell r="AP228">
            <v>97</v>
          </cell>
          <cell r="AQ228">
            <v>10.563636363636364</v>
          </cell>
          <cell r="AR228">
            <v>0</v>
          </cell>
          <cell r="AS228">
            <v>87.666666666666657</v>
          </cell>
          <cell r="AT228">
            <v>100</v>
          </cell>
          <cell r="AU228">
            <v>11.111111111111111</v>
          </cell>
          <cell r="AV228">
            <v>0</v>
          </cell>
          <cell r="AW228">
            <v>91</v>
          </cell>
          <cell r="AX228">
            <v>91</v>
          </cell>
          <cell r="AY228">
            <v>26.472727272727273</v>
          </cell>
          <cell r="AZ228">
            <v>0</v>
          </cell>
          <cell r="BA228">
            <v>82</v>
          </cell>
          <cell r="BB228">
            <v>88</v>
          </cell>
          <cell r="BC228">
            <v>9.7777777777777786</v>
          </cell>
          <cell r="BD228">
            <v>0</v>
          </cell>
          <cell r="BE228">
            <v>79</v>
          </cell>
          <cell r="BF228">
            <v>8.7777777777777786</v>
          </cell>
          <cell r="BG228">
            <v>0</v>
          </cell>
          <cell r="BH228">
            <v>70</v>
          </cell>
          <cell r="BI228">
            <v>119</v>
          </cell>
          <cell r="BJ228">
            <v>34.618181818181817</v>
          </cell>
          <cell r="BK228">
            <v>0</v>
          </cell>
          <cell r="BL228">
            <v>70</v>
          </cell>
          <cell r="BM228">
            <v>79</v>
          </cell>
          <cell r="BN228">
            <v>8.7777777777777786</v>
          </cell>
          <cell r="BO228">
            <v>0</v>
          </cell>
          <cell r="BP228">
            <v>70</v>
          </cell>
          <cell r="BQ228">
            <v>76</v>
          </cell>
          <cell r="BR228">
            <v>22.109090909090909</v>
          </cell>
          <cell r="BS228">
            <v>0</v>
          </cell>
          <cell r="BT228">
            <v>67</v>
          </cell>
          <cell r="BU228">
            <v>73</v>
          </cell>
          <cell r="BV228">
            <v>8.1111111111111107</v>
          </cell>
          <cell r="BW228">
            <v>0</v>
          </cell>
          <cell r="BX228">
            <v>0</v>
          </cell>
          <cell r="BY228">
            <v>104</v>
          </cell>
          <cell r="BZ228">
            <v>73</v>
          </cell>
          <cell r="CA228">
            <v>8.1111111111111107</v>
          </cell>
          <cell r="CB228">
            <v>0</v>
          </cell>
          <cell r="CC228">
            <v>0</v>
          </cell>
          <cell r="CD228">
            <v>104</v>
          </cell>
          <cell r="CE228">
            <v>123</v>
          </cell>
          <cell r="CF228">
            <v>13.666666666666666</v>
          </cell>
          <cell r="CG228">
            <v>0</v>
          </cell>
          <cell r="CH228">
            <v>0</v>
          </cell>
          <cell r="CI228">
            <v>95</v>
          </cell>
          <cell r="CJ228">
            <v>125</v>
          </cell>
          <cell r="CK228">
            <v>13.888888888888889</v>
          </cell>
          <cell r="CL228">
            <v>0</v>
          </cell>
          <cell r="CM228">
            <v>0</v>
          </cell>
          <cell r="CN228">
            <v>116</v>
          </cell>
          <cell r="CO228">
            <v>115</v>
          </cell>
          <cell r="CP228">
            <v>12.777777777777779</v>
          </cell>
          <cell r="CQ228">
            <v>0</v>
          </cell>
          <cell r="CR228">
            <v>0</v>
          </cell>
          <cell r="CS228">
            <v>106</v>
          </cell>
          <cell r="CT228">
            <v>120</v>
          </cell>
          <cell r="CU228">
            <v>13.333333333333334</v>
          </cell>
          <cell r="CV228">
            <v>0</v>
          </cell>
          <cell r="CW228">
            <v>0</v>
          </cell>
          <cell r="CX228">
            <v>111</v>
          </cell>
          <cell r="CY228">
            <v>121</v>
          </cell>
          <cell r="CZ228">
            <v>13.444444444444445</v>
          </cell>
          <cell r="DA228">
            <v>0</v>
          </cell>
          <cell r="DB228">
            <v>0</v>
          </cell>
          <cell r="DC228">
            <v>117.4375</v>
          </cell>
          <cell r="DD228">
            <v>125</v>
          </cell>
          <cell r="DE228">
            <v>33.964912280701753</v>
          </cell>
          <cell r="DF228">
            <v>0</v>
          </cell>
          <cell r="DG228">
            <v>0</v>
          </cell>
          <cell r="DH228">
            <v>121.4375</v>
          </cell>
          <cell r="DI228">
            <v>125</v>
          </cell>
          <cell r="DJ228">
            <v>36.695340501792117</v>
          </cell>
          <cell r="DK228">
            <v>0</v>
          </cell>
          <cell r="DL228">
            <v>0</v>
          </cell>
          <cell r="DM228">
            <v>117.95</v>
          </cell>
          <cell r="DN228">
            <v>119</v>
          </cell>
          <cell r="DO228">
            <v>35.454545454545453</v>
          </cell>
          <cell r="DP228">
            <v>0</v>
          </cell>
          <cell r="DQ228">
            <v>0</v>
          </cell>
          <cell r="DR228">
            <v>115.5625</v>
          </cell>
          <cell r="DS228">
            <v>115.5625</v>
          </cell>
          <cell r="DT228">
            <v>34.454545454545453</v>
          </cell>
          <cell r="DU228">
            <v>0</v>
          </cell>
          <cell r="DV228">
            <v>0</v>
          </cell>
          <cell r="DW228">
            <v>112.125</v>
          </cell>
          <cell r="DX228">
            <v>112.125</v>
          </cell>
          <cell r="DY228">
            <v>33.454545454545453</v>
          </cell>
          <cell r="DZ228">
            <v>0</v>
          </cell>
          <cell r="EA228">
            <v>0</v>
          </cell>
          <cell r="EB228">
            <v>108.6875</v>
          </cell>
          <cell r="EC228">
            <v>108.6875</v>
          </cell>
          <cell r="ED228">
            <v>32.454545454545453</v>
          </cell>
          <cell r="EE228">
            <v>0</v>
          </cell>
          <cell r="EF228">
            <v>0</v>
          </cell>
          <cell r="EG228">
            <v>105.25</v>
          </cell>
          <cell r="EH228">
            <v>105.25</v>
          </cell>
          <cell r="EI228">
            <v>31.454545454545453</v>
          </cell>
          <cell r="EJ228">
            <v>0</v>
          </cell>
          <cell r="EK228">
            <v>0</v>
          </cell>
          <cell r="EL228">
            <v>101.8125</v>
          </cell>
          <cell r="EM228">
            <v>101.8125</v>
          </cell>
          <cell r="EN228">
            <v>30.454545454545453</v>
          </cell>
          <cell r="EO228">
            <v>0</v>
          </cell>
          <cell r="EP228">
            <v>0</v>
          </cell>
          <cell r="EQ228">
            <v>98.375</v>
          </cell>
          <cell r="ER228">
            <v>98.375</v>
          </cell>
          <cell r="ES228">
            <v>29.454545454545453</v>
          </cell>
          <cell r="ET228">
            <v>0</v>
          </cell>
          <cell r="EU228">
            <v>0</v>
          </cell>
          <cell r="EV228">
            <v>94.9375</v>
          </cell>
          <cell r="EW228">
            <v>94.9375</v>
          </cell>
          <cell r="EX228">
            <v>28.454545454545453</v>
          </cell>
          <cell r="EY228">
            <v>0</v>
          </cell>
          <cell r="EZ228">
            <v>0</v>
          </cell>
          <cell r="FA228">
            <v>91.5</v>
          </cell>
          <cell r="FB228">
            <v>91.5</v>
          </cell>
          <cell r="FC228">
            <v>27.454545454545453</v>
          </cell>
          <cell r="FD228">
            <v>0</v>
          </cell>
          <cell r="FE228">
            <v>0</v>
          </cell>
          <cell r="FF228">
            <v>88.0625</v>
          </cell>
          <cell r="FG228">
            <v>88.0625</v>
          </cell>
          <cell r="FH228">
            <v>26.454545454545453</v>
          </cell>
          <cell r="FI228">
            <v>0</v>
          </cell>
          <cell r="FJ228">
            <v>0</v>
          </cell>
          <cell r="FK228">
            <v>84.625</v>
          </cell>
          <cell r="FL228">
            <v>84.625</v>
          </cell>
          <cell r="FM228">
            <v>25.454545454545453</v>
          </cell>
          <cell r="FN228">
            <v>0</v>
          </cell>
          <cell r="FO228">
            <v>0</v>
          </cell>
          <cell r="FP228">
            <v>81.1875</v>
          </cell>
          <cell r="FQ228">
            <v>81.1875</v>
          </cell>
          <cell r="FR228">
            <v>24.454545454545453</v>
          </cell>
          <cell r="FS228">
            <v>0</v>
          </cell>
          <cell r="FT228">
            <v>4</v>
          </cell>
          <cell r="FU228">
            <v>1.0333333333333334</v>
          </cell>
          <cell r="FW228" t="str">
            <v>SOBRESTOCK</v>
          </cell>
          <cell r="FX228" t="str">
            <v>A</v>
          </cell>
          <cell r="FY228" t="str">
            <v>Si</v>
          </cell>
        </row>
        <row r="229">
          <cell r="B229" t="str">
            <v>REP-0239</v>
          </cell>
          <cell r="C229" t="str">
            <v>CAT</v>
          </cell>
          <cell r="D229">
            <v>0</v>
          </cell>
          <cell r="E229">
            <v>60</v>
          </cell>
          <cell r="F229">
            <v>0</v>
          </cell>
          <cell r="G229">
            <v>0</v>
          </cell>
          <cell r="H229">
            <v>6</v>
          </cell>
          <cell r="I229">
            <v>6</v>
          </cell>
          <cell r="J229">
            <v>0</v>
          </cell>
          <cell r="K229">
            <v>9</v>
          </cell>
          <cell r="L229">
            <v>6</v>
          </cell>
          <cell r="M229">
            <v>3</v>
          </cell>
          <cell r="N229">
            <v>0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S229">
            <v>0</v>
          </cell>
          <cell r="T229">
            <v>6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99</v>
          </cell>
          <cell r="AA229">
            <v>99</v>
          </cell>
          <cell r="AB229">
            <v>11</v>
          </cell>
          <cell r="AC229">
            <v>2.5</v>
          </cell>
          <cell r="AD229">
            <v>8.3333333333333329E-2</v>
          </cell>
          <cell r="AE229">
            <v>2.1666666666666665</v>
          </cell>
          <cell r="AF229">
            <v>1</v>
          </cell>
          <cell r="AG229">
            <v>1.5</v>
          </cell>
          <cell r="AH229">
            <v>0.5</v>
          </cell>
          <cell r="AI229">
            <v>0</v>
          </cell>
          <cell r="AJ229">
            <v>0</v>
          </cell>
          <cell r="AK229">
            <v>1.5</v>
          </cell>
          <cell r="AL229">
            <v>0.70710678118654757</v>
          </cell>
          <cell r="AM229">
            <v>0.5</v>
          </cell>
          <cell r="AN229">
            <v>1.4142135623730951</v>
          </cell>
          <cell r="AO229">
            <v>0</v>
          </cell>
          <cell r="AP229">
            <v>108.5</v>
          </cell>
          <cell r="AQ229">
            <v>72.333333333333329</v>
          </cell>
          <cell r="AR229">
            <v>0</v>
          </cell>
          <cell r="AS229">
            <v>107.66666666666666</v>
          </cell>
          <cell r="AT229">
            <v>110</v>
          </cell>
          <cell r="AU229">
            <v>73.333333333333329</v>
          </cell>
          <cell r="AV229">
            <v>0</v>
          </cell>
          <cell r="AW229">
            <v>108.5</v>
          </cell>
          <cell r="AX229">
            <v>107</v>
          </cell>
          <cell r="AY229">
            <v>71.333333333333329</v>
          </cell>
          <cell r="AZ229">
            <v>0</v>
          </cell>
          <cell r="BA229">
            <v>105.33333333333333</v>
          </cell>
          <cell r="BB229">
            <v>104</v>
          </cell>
          <cell r="BC229">
            <v>52</v>
          </cell>
          <cell r="BD229">
            <v>0</v>
          </cell>
          <cell r="BE229">
            <v>102</v>
          </cell>
          <cell r="BF229">
            <v>51</v>
          </cell>
          <cell r="BG229">
            <v>0</v>
          </cell>
          <cell r="BH229">
            <v>100</v>
          </cell>
          <cell r="BI229">
            <v>99</v>
          </cell>
          <cell r="BJ229">
            <v>66</v>
          </cell>
          <cell r="BK229">
            <v>0</v>
          </cell>
          <cell r="BL229">
            <v>102.5</v>
          </cell>
          <cell r="BM229">
            <v>104</v>
          </cell>
          <cell r="BN229">
            <v>69.333333333333329</v>
          </cell>
          <cell r="BO229">
            <v>0</v>
          </cell>
          <cell r="BP229">
            <v>102.5</v>
          </cell>
          <cell r="BQ229">
            <v>104</v>
          </cell>
          <cell r="BR229">
            <v>69.333333333333329</v>
          </cell>
          <cell r="BS229">
            <v>0</v>
          </cell>
          <cell r="BT229">
            <v>102.5</v>
          </cell>
          <cell r="BU229">
            <v>104</v>
          </cell>
          <cell r="BV229">
            <v>69.333333333333329</v>
          </cell>
          <cell r="BW229">
            <v>0</v>
          </cell>
          <cell r="BX229">
            <v>0</v>
          </cell>
          <cell r="BY229">
            <v>102.5</v>
          </cell>
          <cell r="BZ229">
            <v>104</v>
          </cell>
          <cell r="CA229">
            <v>69.333333333333329</v>
          </cell>
          <cell r="CB229">
            <v>0</v>
          </cell>
          <cell r="CC229">
            <v>0</v>
          </cell>
          <cell r="CD229">
            <v>102.5</v>
          </cell>
          <cell r="CE229">
            <v>104</v>
          </cell>
          <cell r="CF229">
            <v>69.333333333333329</v>
          </cell>
          <cell r="CG229">
            <v>0</v>
          </cell>
          <cell r="CH229">
            <v>0</v>
          </cell>
          <cell r="CI229">
            <v>101</v>
          </cell>
          <cell r="CJ229">
            <v>110</v>
          </cell>
          <cell r="CK229">
            <v>73.333333333333329</v>
          </cell>
          <cell r="CL229">
            <v>0</v>
          </cell>
          <cell r="CM229">
            <v>0</v>
          </cell>
          <cell r="CN229">
            <v>108.5</v>
          </cell>
          <cell r="CO229">
            <v>110</v>
          </cell>
          <cell r="CP229">
            <v>73.333333333333329</v>
          </cell>
          <cell r="CQ229">
            <v>0</v>
          </cell>
          <cell r="CR229">
            <v>0</v>
          </cell>
          <cell r="CS229">
            <v>108.5</v>
          </cell>
          <cell r="CT229">
            <v>110</v>
          </cell>
          <cell r="CU229">
            <v>73.333333333333329</v>
          </cell>
          <cell r="CV229">
            <v>0</v>
          </cell>
          <cell r="CW229">
            <v>0</v>
          </cell>
          <cell r="CX229">
            <v>108.5</v>
          </cell>
          <cell r="CY229">
            <v>113</v>
          </cell>
          <cell r="CZ229">
            <v>75.333333333333329</v>
          </cell>
          <cell r="DA229">
            <v>0</v>
          </cell>
          <cell r="DB229">
            <v>0</v>
          </cell>
          <cell r="DC229">
            <v>111.5</v>
          </cell>
          <cell r="DD229">
            <v>102</v>
          </cell>
          <cell r="DE229">
            <v>66.666666666666671</v>
          </cell>
          <cell r="DF229">
            <v>0</v>
          </cell>
          <cell r="DG229">
            <v>0</v>
          </cell>
          <cell r="DH229">
            <v>100.5</v>
          </cell>
          <cell r="DI229">
            <v>102</v>
          </cell>
          <cell r="DJ229">
            <v>68.666666666666671</v>
          </cell>
          <cell r="DK229">
            <v>0</v>
          </cell>
          <cell r="DL229">
            <v>0</v>
          </cell>
          <cell r="DM229">
            <v>99</v>
          </cell>
          <cell r="DN229">
            <v>99</v>
          </cell>
          <cell r="DO229">
            <v>66.666666666666671</v>
          </cell>
          <cell r="DP229">
            <v>0</v>
          </cell>
          <cell r="DQ229">
            <v>0</v>
          </cell>
          <cell r="DR229">
            <v>97.5</v>
          </cell>
          <cell r="DS229">
            <v>97.5</v>
          </cell>
          <cell r="DT229">
            <v>65.666666666666657</v>
          </cell>
          <cell r="DU229">
            <v>0</v>
          </cell>
          <cell r="DV229">
            <v>0</v>
          </cell>
          <cell r="DW229">
            <v>96</v>
          </cell>
          <cell r="DX229">
            <v>96</v>
          </cell>
          <cell r="DY229">
            <v>64.666666666666657</v>
          </cell>
          <cell r="DZ229">
            <v>0</v>
          </cell>
          <cell r="EA229">
            <v>0</v>
          </cell>
          <cell r="EB229">
            <v>94.5</v>
          </cell>
          <cell r="EC229">
            <v>94.5</v>
          </cell>
          <cell r="ED229">
            <v>63.666666666666664</v>
          </cell>
          <cell r="EE229">
            <v>0</v>
          </cell>
          <cell r="EF229">
            <v>0</v>
          </cell>
          <cell r="EG229">
            <v>93</v>
          </cell>
          <cell r="EH229">
            <v>93</v>
          </cell>
          <cell r="EI229">
            <v>62.666666666666664</v>
          </cell>
          <cell r="EJ229">
            <v>0</v>
          </cell>
          <cell r="EK229">
            <v>0</v>
          </cell>
          <cell r="EL229">
            <v>91.5</v>
          </cell>
          <cell r="EM229">
            <v>91.5</v>
          </cell>
          <cell r="EN229">
            <v>61.666666666666664</v>
          </cell>
          <cell r="EO229">
            <v>0</v>
          </cell>
          <cell r="EP229">
            <v>0</v>
          </cell>
          <cell r="EQ229">
            <v>90</v>
          </cell>
          <cell r="ER229">
            <v>90</v>
          </cell>
          <cell r="ES229">
            <v>60.666666666666664</v>
          </cell>
          <cell r="ET229">
            <v>0</v>
          </cell>
          <cell r="EU229">
            <v>0</v>
          </cell>
          <cell r="EV229">
            <v>88.5</v>
          </cell>
          <cell r="EW229">
            <v>88.5</v>
          </cell>
          <cell r="EX229">
            <v>59.666666666666664</v>
          </cell>
          <cell r="EY229">
            <v>0</v>
          </cell>
          <cell r="EZ229">
            <v>0</v>
          </cell>
          <cell r="FA229">
            <v>87</v>
          </cell>
          <cell r="FB229">
            <v>87</v>
          </cell>
          <cell r="FC229">
            <v>58.666666666666664</v>
          </cell>
          <cell r="FD229">
            <v>0</v>
          </cell>
          <cell r="FE229">
            <v>0</v>
          </cell>
          <cell r="FF229">
            <v>85.5</v>
          </cell>
          <cell r="FG229">
            <v>85.5</v>
          </cell>
          <cell r="FH229">
            <v>57.666666666666664</v>
          </cell>
          <cell r="FI229">
            <v>0</v>
          </cell>
          <cell r="FJ229">
            <v>0</v>
          </cell>
          <cell r="FK229">
            <v>84</v>
          </cell>
          <cell r="FL229">
            <v>84</v>
          </cell>
          <cell r="FM229">
            <v>56.666666666666664</v>
          </cell>
          <cell r="FN229">
            <v>0</v>
          </cell>
          <cell r="FO229">
            <v>0</v>
          </cell>
          <cell r="FP229">
            <v>82.5</v>
          </cell>
          <cell r="FQ229">
            <v>82.5</v>
          </cell>
          <cell r="FR229">
            <v>55.666666666666664</v>
          </cell>
          <cell r="FS229">
            <v>0</v>
          </cell>
          <cell r="FT229">
            <v>2</v>
          </cell>
          <cell r="FU229">
            <v>1.0333333333333334</v>
          </cell>
          <cell r="FW229" t="str">
            <v>SIN ROTACIÓN</v>
          </cell>
          <cell r="FX229" t="str">
            <v>B</v>
          </cell>
          <cell r="FY229" t="str">
            <v>Si</v>
          </cell>
        </row>
        <row r="230">
          <cell r="B230" t="str">
            <v>REP-0240</v>
          </cell>
          <cell r="C230" t="str">
            <v>CAT</v>
          </cell>
          <cell r="D230">
            <v>0</v>
          </cell>
          <cell r="E230">
            <v>39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39</v>
          </cell>
          <cell r="AA230">
            <v>39</v>
          </cell>
          <cell r="AB230">
            <v>4</v>
          </cell>
          <cell r="AC230">
            <v>2.5</v>
          </cell>
          <cell r="AD230">
            <v>8.3333333333333329E-2</v>
          </cell>
          <cell r="AE230">
            <v>1.5833333333333333</v>
          </cell>
          <cell r="AF230">
            <v>3</v>
          </cell>
          <cell r="AG230">
            <v>0.58333333333333337</v>
          </cell>
          <cell r="AH230">
            <v>0</v>
          </cell>
          <cell r="AI230">
            <v>0</v>
          </cell>
          <cell r="AJ230">
            <v>0</v>
          </cell>
          <cell r="AK230">
            <v>0.58333333333333337</v>
          </cell>
          <cell r="AL230">
            <v>0.29166666666666669</v>
          </cell>
          <cell r="AM230">
            <v>0.14583333333333334</v>
          </cell>
          <cell r="AN230">
            <v>2</v>
          </cell>
          <cell r="AO230">
            <v>0</v>
          </cell>
          <cell r="AP230">
            <v>66.416666666666671</v>
          </cell>
          <cell r="AQ230">
            <v>21.333333333333332</v>
          </cell>
          <cell r="AR230">
            <v>0</v>
          </cell>
          <cell r="AS230">
            <v>61</v>
          </cell>
          <cell r="AT230">
            <v>67</v>
          </cell>
          <cell r="AU230">
            <v>114.85714285714285</v>
          </cell>
          <cell r="AV230">
            <v>0</v>
          </cell>
          <cell r="AW230">
            <v>66.416666666666671</v>
          </cell>
          <cell r="AX230">
            <v>67</v>
          </cell>
          <cell r="AY230">
            <v>114.85714285714285</v>
          </cell>
          <cell r="AZ230">
            <v>0</v>
          </cell>
          <cell r="BA230">
            <v>66.416666666666671</v>
          </cell>
          <cell r="BB230">
            <v>67</v>
          </cell>
          <cell r="BC230">
            <v>114.85714285714285</v>
          </cell>
          <cell r="BD230">
            <v>0</v>
          </cell>
          <cell r="BE230">
            <v>66.416666666666671</v>
          </cell>
          <cell r="BF230">
            <v>113.85714285714286</v>
          </cell>
          <cell r="BG230">
            <v>0</v>
          </cell>
          <cell r="BH230">
            <v>65.833333333333343</v>
          </cell>
          <cell r="BI230">
            <v>39</v>
          </cell>
          <cell r="BJ230">
            <v>66.857142857142847</v>
          </cell>
          <cell r="BK230">
            <v>0</v>
          </cell>
          <cell r="BL230">
            <v>66.416666666666671</v>
          </cell>
          <cell r="BM230">
            <v>67</v>
          </cell>
          <cell r="BN230">
            <v>114.85714285714285</v>
          </cell>
          <cell r="BO230">
            <v>0</v>
          </cell>
          <cell r="BP230">
            <v>66.416666666666671</v>
          </cell>
          <cell r="BQ230">
            <v>67</v>
          </cell>
          <cell r="BR230">
            <v>114.85714285714285</v>
          </cell>
          <cell r="BS230">
            <v>0</v>
          </cell>
          <cell r="BT230">
            <v>66.416666666666671</v>
          </cell>
          <cell r="BU230">
            <v>67</v>
          </cell>
          <cell r="BV230">
            <v>114.85714285714285</v>
          </cell>
          <cell r="BW230">
            <v>0</v>
          </cell>
          <cell r="BX230">
            <v>0</v>
          </cell>
          <cell r="BY230">
            <v>66.416666666666671</v>
          </cell>
          <cell r="BZ230">
            <v>67</v>
          </cell>
          <cell r="CA230">
            <v>114.85714285714285</v>
          </cell>
          <cell r="CB230">
            <v>0</v>
          </cell>
          <cell r="CC230">
            <v>0</v>
          </cell>
          <cell r="CD230">
            <v>66.416666666666671</v>
          </cell>
          <cell r="CE230">
            <v>67</v>
          </cell>
          <cell r="CF230">
            <v>114.85714285714285</v>
          </cell>
          <cell r="CG230">
            <v>0</v>
          </cell>
          <cell r="CH230">
            <v>0</v>
          </cell>
          <cell r="CI230">
            <v>65.833333333333343</v>
          </cell>
          <cell r="CJ230">
            <v>67</v>
          </cell>
          <cell r="CK230">
            <v>114.85714285714285</v>
          </cell>
          <cell r="CL230">
            <v>0</v>
          </cell>
          <cell r="CM230">
            <v>0</v>
          </cell>
          <cell r="CN230">
            <v>66.416666666666671</v>
          </cell>
          <cell r="CO230">
            <v>67</v>
          </cell>
          <cell r="CP230">
            <v>114.85714285714285</v>
          </cell>
          <cell r="CQ230">
            <v>0</v>
          </cell>
          <cell r="CR230">
            <v>0</v>
          </cell>
          <cell r="CS230">
            <v>66.416666666666671</v>
          </cell>
          <cell r="CT230">
            <v>67</v>
          </cell>
          <cell r="CU230">
            <v>114.85714285714285</v>
          </cell>
          <cell r="CV230">
            <v>0</v>
          </cell>
          <cell r="CW230">
            <v>0</v>
          </cell>
          <cell r="CX230">
            <v>66.416666666666671</v>
          </cell>
          <cell r="CY230">
            <v>67</v>
          </cell>
          <cell r="CZ230">
            <v>114.85714285714285</v>
          </cell>
          <cell r="DA230">
            <v>0</v>
          </cell>
          <cell r="DB230">
            <v>0</v>
          </cell>
          <cell r="DC230">
            <v>66.416666666666671</v>
          </cell>
          <cell r="DD230">
            <v>63</v>
          </cell>
          <cell r="DE230">
            <v>106.28571428571428</v>
          </cell>
          <cell r="DF230">
            <v>0</v>
          </cell>
          <cell r="DG230">
            <v>0</v>
          </cell>
          <cell r="DH230">
            <v>62.416666666666664</v>
          </cell>
          <cell r="DI230">
            <v>63</v>
          </cell>
          <cell r="DJ230">
            <v>108.28571428571428</v>
          </cell>
          <cell r="DK230">
            <v>0</v>
          </cell>
          <cell r="DL230">
            <v>0</v>
          </cell>
          <cell r="DM230">
            <v>61.833333333333329</v>
          </cell>
          <cell r="DN230">
            <v>39</v>
          </cell>
          <cell r="DO230">
            <v>67.142857142857139</v>
          </cell>
          <cell r="DP230">
            <v>0</v>
          </cell>
          <cell r="DQ230">
            <v>0</v>
          </cell>
          <cell r="DR230">
            <v>38.416666666666664</v>
          </cell>
          <cell r="DS230">
            <v>38.416666666666664</v>
          </cell>
          <cell r="DT230">
            <v>66.142857142857139</v>
          </cell>
          <cell r="DU230">
            <v>0</v>
          </cell>
          <cell r="DV230">
            <v>0</v>
          </cell>
          <cell r="DW230">
            <v>37.833333333333329</v>
          </cell>
          <cell r="DX230">
            <v>37.833333333333329</v>
          </cell>
          <cell r="DY230">
            <v>65.142857142857139</v>
          </cell>
          <cell r="DZ230">
            <v>0</v>
          </cell>
          <cell r="EA230">
            <v>0</v>
          </cell>
          <cell r="EB230">
            <v>37.249999999999993</v>
          </cell>
          <cell r="EC230">
            <v>37.249999999999993</v>
          </cell>
          <cell r="ED230">
            <v>64.142857142857125</v>
          </cell>
          <cell r="EE230">
            <v>0</v>
          </cell>
          <cell r="EF230">
            <v>0</v>
          </cell>
          <cell r="EG230">
            <v>36.666666666666657</v>
          </cell>
          <cell r="EH230">
            <v>36.666666666666657</v>
          </cell>
          <cell r="EI230">
            <v>63.142857142857125</v>
          </cell>
          <cell r="EJ230">
            <v>0</v>
          </cell>
          <cell r="EK230">
            <v>0</v>
          </cell>
          <cell r="EL230">
            <v>36.083333333333321</v>
          </cell>
          <cell r="EM230">
            <v>36.083333333333321</v>
          </cell>
          <cell r="EN230">
            <v>62.142857142857117</v>
          </cell>
          <cell r="EO230">
            <v>0</v>
          </cell>
          <cell r="EP230">
            <v>0</v>
          </cell>
          <cell r="EQ230">
            <v>35.499999999999986</v>
          </cell>
          <cell r="ER230">
            <v>35.499999999999986</v>
          </cell>
          <cell r="ES230">
            <v>61.142857142857117</v>
          </cell>
          <cell r="ET230">
            <v>0</v>
          </cell>
          <cell r="EU230">
            <v>0</v>
          </cell>
          <cell r="EV230">
            <v>34.91666666666665</v>
          </cell>
          <cell r="EW230">
            <v>34.91666666666665</v>
          </cell>
          <cell r="EX230">
            <v>60.14285714285711</v>
          </cell>
          <cell r="EY230">
            <v>0</v>
          </cell>
          <cell r="EZ230">
            <v>0</v>
          </cell>
          <cell r="FA230">
            <v>34.333333333333314</v>
          </cell>
          <cell r="FB230">
            <v>34.333333333333314</v>
          </cell>
          <cell r="FC230">
            <v>59.142857142857103</v>
          </cell>
          <cell r="FD230">
            <v>0</v>
          </cell>
          <cell r="FE230">
            <v>0</v>
          </cell>
          <cell r="FF230">
            <v>33.749999999999979</v>
          </cell>
          <cell r="FG230">
            <v>33.749999999999979</v>
          </cell>
          <cell r="FH230">
            <v>58.142857142857103</v>
          </cell>
          <cell r="FI230">
            <v>0</v>
          </cell>
          <cell r="FJ230">
            <v>0</v>
          </cell>
          <cell r="FK230">
            <v>33.166666666666643</v>
          </cell>
          <cell r="FL230">
            <v>33.166666666666643</v>
          </cell>
          <cell r="FM230">
            <v>57.142857142857096</v>
          </cell>
          <cell r="FN230">
            <v>0</v>
          </cell>
          <cell r="FO230">
            <v>0</v>
          </cell>
          <cell r="FP230">
            <v>32.583333333333307</v>
          </cell>
          <cell r="FQ230">
            <v>32.583333333333307</v>
          </cell>
          <cell r="FR230">
            <v>56.142857142857096</v>
          </cell>
          <cell r="FS230">
            <v>0</v>
          </cell>
          <cell r="FT230">
            <v>1</v>
          </cell>
          <cell r="FU230">
            <v>1.0333333333333334</v>
          </cell>
          <cell r="FW230" t="str">
            <v>SIN ROTACIÓN</v>
          </cell>
          <cell r="FX230" t="str">
            <v>B</v>
          </cell>
          <cell r="FY230" t="str">
            <v>Si</v>
          </cell>
        </row>
        <row r="231">
          <cell r="B231" t="str">
            <v>REP-0241</v>
          </cell>
          <cell r="C231" t="str">
            <v>CAT</v>
          </cell>
          <cell r="D231">
            <v>0</v>
          </cell>
          <cell r="E231">
            <v>38</v>
          </cell>
          <cell r="F231">
            <v>0</v>
          </cell>
          <cell r="G231">
            <v>0</v>
          </cell>
          <cell r="H231">
            <v>5</v>
          </cell>
          <cell r="I231">
            <v>5</v>
          </cell>
          <cell r="J231">
            <v>0</v>
          </cell>
          <cell r="K231">
            <v>9</v>
          </cell>
          <cell r="L231">
            <v>4</v>
          </cell>
          <cell r="M231">
            <v>5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0</v>
          </cell>
          <cell r="S231">
            <v>1</v>
          </cell>
          <cell r="T231">
            <v>0</v>
          </cell>
          <cell r="U231">
            <v>1</v>
          </cell>
          <cell r="V231">
            <v>1</v>
          </cell>
          <cell r="W231">
            <v>1</v>
          </cell>
          <cell r="X231">
            <v>2</v>
          </cell>
          <cell r="Y231">
            <v>76</v>
          </cell>
          <cell r="AA231">
            <v>76</v>
          </cell>
          <cell r="AB231">
            <v>0</v>
          </cell>
          <cell r="AC231">
            <v>9.3333333333333339</v>
          </cell>
          <cell r="AD231">
            <v>0.31111111111111112</v>
          </cell>
          <cell r="AE231">
            <v>11.583333333333334</v>
          </cell>
          <cell r="AF231">
            <v>8.1666666666666661</v>
          </cell>
          <cell r="AG231">
            <v>10.75</v>
          </cell>
          <cell r="AH231">
            <v>8.5833333333333339</v>
          </cell>
          <cell r="AI231">
            <v>6.666666666666667</v>
          </cell>
          <cell r="AJ231">
            <v>6.666666666666667</v>
          </cell>
          <cell r="AK231">
            <v>10.75</v>
          </cell>
          <cell r="AL231">
            <v>1.6842819109506537</v>
          </cell>
          <cell r="AM231">
            <v>8.1666666666666679</v>
          </cell>
          <cell r="AN231">
            <v>0.20623860134089633</v>
          </cell>
          <cell r="AO231">
            <v>0</v>
          </cell>
          <cell r="AP231">
            <v>97.25</v>
          </cell>
          <cell r="AQ231">
            <v>9.0465116279069768</v>
          </cell>
          <cell r="AR231">
            <v>0</v>
          </cell>
          <cell r="AS231">
            <v>91</v>
          </cell>
          <cell r="AT231">
            <v>92</v>
          </cell>
          <cell r="AU231">
            <v>8.5581395348837201</v>
          </cell>
          <cell r="AV231">
            <v>0</v>
          </cell>
          <cell r="AW231">
            <v>121.25</v>
          </cell>
          <cell r="AX231">
            <v>84</v>
          </cell>
          <cell r="AY231">
            <v>7.8139534883720927</v>
          </cell>
          <cell r="AZ231">
            <v>0</v>
          </cell>
          <cell r="BA231">
            <v>113.25</v>
          </cell>
          <cell r="BB231">
            <v>109</v>
          </cell>
          <cell r="BC231">
            <v>8.384615384615385</v>
          </cell>
          <cell r="BD231">
            <v>0</v>
          </cell>
          <cell r="BE231">
            <v>96</v>
          </cell>
          <cell r="BF231">
            <v>7.384615384615385</v>
          </cell>
          <cell r="BG231">
            <v>0</v>
          </cell>
          <cell r="BH231">
            <v>83</v>
          </cell>
          <cell r="BI231">
            <v>76</v>
          </cell>
          <cell r="BJ231">
            <v>7.0697674418604652</v>
          </cell>
          <cell r="BK231">
            <v>0</v>
          </cell>
          <cell r="BL231">
            <v>78.25</v>
          </cell>
          <cell r="BM231">
            <v>93</v>
          </cell>
          <cell r="BN231">
            <v>8.6511627906976738</v>
          </cell>
          <cell r="BO231">
            <v>0</v>
          </cell>
          <cell r="BP231">
            <v>82.25</v>
          </cell>
          <cell r="BQ231">
            <v>71</v>
          </cell>
          <cell r="BR231">
            <v>6.6046511627906979</v>
          </cell>
          <cell r="BS231">
            <v>0</v>
          </cell>
          <cell r="BT231">
            <v>60.25</v>
          </cell>
          <cell r="BU231">
            <v>66</v>
          </cell>
          <cell r="BV231">
            <v>6.1395348837209305</v>
          </cell>
          <cell r="BW231">
            <v>0</v>
          </cell>
          <cell r="BX231">
            <v>0</v>
          </cell>
          <cell r="BY231">
            <v>105.25</v>
          </cell>
          <cell r="BZ231">
            <v>62</v>
          </cell>
          <cell r="CA231">
            <v>5.7674418604651159</v>
          </cell>
          <cell r="CB231">
            <v>0</v>
          </cell>
          <cell r="CC231">
            <v>0</v>
          </cell>
          <cell r="CD231">
            <v>101.25</v>
          </cell>
          <cell r="CE231">
            <v>127</v>
          </cell>
          <cell r="CF231">
            <v>11.813953488372093</v>
          </cell>
          <cell r="CG231">
            <v>0</v>
          </cell>
          <cell r="CH231">
            <v>0</v>
          </cell>
          <cell r="CI231">
            <v>90.5</v>
          </cell>
          <cell r="CJ231">
            <v>108</v>
          </cell>
          <cell r="CK231">
            <v>10.046511627906977</v>
          </cell>
          <cell r="CL231">
            <v>0</v>
          </cell>
          <cell r="CM231">
            <v>0</v>
          </cell>
          <cell r="CN231">
            <v>97.25</v>
          </cell>
          <cell r="CO231">
            <v>104</v>
          </cell>
          <cell r="CP231">
            <v>9.6744186046511622</v>
          </cell>
          <cell r="CQ231">
            <v>0</v>
          </cell>
          <cell r="CR231">
            <v>0</v>
          </cell>
          <cell r="CS231">
            <v>93.25</v>
          </cell>
          <cell r="CT231">
            <v>99</v>
          </cell>
          <cell r="CU231">
            <v>9.2093023255813957</v>
          </cell>
          <cell r="CV231">
            <v>0</v>
          </cell>
          <cell r="CW231">
            <v>0</v>
          </cell>
          <cell r="CX231">
            <v>88.25</v>
          </cell>
          <cell r="CY231">
            <v>83</v>
          </cell>
          <cell r="CZ231">
            <v>7.7209302325581399</v>
          </cell>
          <cell r="DA231">
            <v>0</v>
          </cell>
          <cell r="DB231">
            <v>0</v>
          </cell>
          <cell r="DC231">
            <v>72.25</v>
          </cell>
          <cell r="DD231">
            <v>81</v>
          </cell>
          <cell r="DE231">
            <v>4.9302325581395348</v>
          </cell>
          <cell r="DF231">
            <v>0</v>
          </cell>
          <cell r="DG231">
            <v>0</v>
          </cell>
          <cell r="DH231">
            <v>70.25</v>
          </cell>
          <cell r="DI231">
            <v>72</v>
          </cell>
          <cell r="DJ231">
            <v>6.0930232558139537</v>
          </cell>
          <cell r="DK231">
            <v>0</v>
          </cell>
          <cell r="DL231">
            <v>0</v>
          </cell>
          <cell r="DM231">
            <v>59.5</v>
          </cell>
          <cell r="DN231">
            <v>76</v>
          </cell>
          <cell r="DO231">
            <v>6.4651162790697674</v>
          </cell>
          <cell r="DP231">
            <v>0</v>
          </cell>
          <cell r="DQ231">
            <v>30</v>
          </cell>
          <cell r="DR231">
            <v>95.25</v>
          </cell>
          <cell r="DS231">
            <v>95.25</v>
          </cell>
          <cell r="DT231">
            <v>8.2558139534883708</v>
          </cell>
          <cell r="DU231">
            <v>0</v>
          </cell>
          <cell r="DV231">
            <v>0</v>
          </cell>
          <cell r="DW231">
            <v>84.5</v>
          </cell>
          <cell r="DX231">
            <v>84.5</v>
          </cell>
          <cell r="DY231">
            <v>7.2558139534883717</v>
          </cell>
          <cell r="DZ231">
            <v>0</v>
          </cell>
          <cell r="EA231">
            <v>0</v>
          </cell>
          <cell r="EB231">
            <v>73.75</v>
          </cell>
          <cell r="EC231">
            <v>73.75</v>
          </cell>
          <cell r="ED231">
            <v>6.2558139534883717</v>
          </cell>
          <cell r="EE231">
            <v>0</v>
          </cell>
          <cell r="EF231">
            <v>0</v>
          </cell>
          <cell r="EG231">
            <v>63</v>
          </cell>
          <cell r="EH231">
            <v>63</v>
          </cell>
          <cell r="EI231">
            <v>5.2558139534883725</v>
          </cell>
          <cell r="EJ231">
            <v>0</v>
          </cell>
          <cell r="EK231">
            <v>0</v>
          </cell>
          <cell r="EL231">
            <v>52.25</v>
          </cell>
          <cell r="EM231">
            <v>52.25</v>
          </cell>
          <cell r="EN231">
            <v>4.2558139534883725</v>
          </cell>
          <cell r="EO231">
            <v>0</v>
          </cell>
          <cell r="EP231">
            <v>35</v>
          </cell>
          <cell r="EQ231">
            <v>76.5</v>
          </cell>
          <cell r="ER231">
            <v>76.5</v>
          </cell>
          <cell r="ES231">
            <v>6.5116279069767442</v>
          </cell>
          <cell r="ET231">
            <v>0</v>
          </cell>
          <cell r="EU231">
            <v>0</v>
          </cell>
          <cell r="EV231">
            <v>65.75</v>
          </cell>
          <cell r="EW231">
            <v>65.75</v>
          </cell>
          <cell r="EX231">
            <v>5.5116279069767442</v>
          </cell>
          <cell r="EY231">
            <v>0</v>
          </cell>
          <cell r="EZ231">
            <v>0</v>
          </cell>
          <cell r="FA231">
            <v>55</v>
          </cell>
          <cell r="FB231">
            <v>55</v>
          </cell>
          <cell r="FC231">
            <v>4.5116279069767442</v>
          </cell>
          <cell r="FD231">
            <v>0</v>
          </cell>
          <cell r="FE231">
            <v>35</v>
          </cell>
          <cell r="FF231">
            <v>79.25</v>
          </cell>
          <cell r="FG231">
            <v>79.25</v>
          </cell>
          <cell r="FH231">
            <v>6.7674418604651159</v>
          </cell>
          <cell r="FI231">
            <v>0</v>
          </cell>
          <cell r="FJ231">
            <v>0</v>
          </cell>
          <cell r="FK231">
            <v>68.5</v>
          </cell>
          <cell r="FL231">
            <v>68.5</v>
          </cell>
          <cell r="FM231">
            <v>5.7674418604651159</v>
          </cell>
          <cell r="FN231">
            <v>0</v>
          </cell>
          <cell r="FO231">
            <v>0</v>
          </cell>
          <cell r="FP231">
            <v>57.75</v>
          </cell>
          <cell r="FQ231">
            <v>57.75</v>
          </cell>
          <cell r="FR231">
            <v>4.7674418604651159</v>
          </cell>
          <cell r="FS231">
            <v>0</v>
          </cell>
          <cell r="FT231">
            <v>28</v>
          </cell>
          <cell r="FU231">
            <v>1.0333333333333334</v>
          </cell>
          <cell r="FW231" t="str">
            <v>SOBRESTOCK</v>
          </cell>
          <cell r="FX231" t="str">
            <v>A</v>
          </cell>
          <cell r="FY231" t="str">
            <v>Si</v>
          </cell>
        </row>
        <row r="232">
          <cell r="B232" t="str">
            <v>REP-0242</v>
          </cell>
          <cell r="C232" t="str">
            <v>CAT</v>
          </cell>
          <cell r="D232">
            <v>0</v>
          </cell>
          <cell r="E232">
            <v>8</v>
          </cell>
          <cell r="F232">
            <v>0</v>
          </cell>
          <cell r="G232">
            <v>0</v>
          </cell>
          <cell r="H232">
            <v>1</v>
          </cell>
          <cell r="I232">
            <v>1</v>
          </cell>
          <cell r="J232">
            <v>0</v>
          </cell>
          <cell r="K232">
            <v>9</v>
          </cell>
          <cell r="L232">
            <v>3</v>
          </cell>
          <cell r="M232">
            <v>1</v>
          </cell>
          <cell r="N232">
            <v>0</v>
          </cell>
          <cell r="O232">
            <v>1</v>
          </cell>
          <cell r="P232">
            <v>1</v>
          </cell>
          <cell r="Q232">
            <v>0</v>
          </cell>
          <cell r="R232">
            <v>2</v>
          </cell>
          <cell r="S232">
            <v>0</v>
          </cell>
          <cell r="T232">
            <v>0</v>
          </cell>
          <cell r="U232">
            <v>1</v>
          </cell>
          <cell r="V232">
            <v>1</v>
          </cell>
          <cell r="W232">
            <v>2</v>
          </cell>
          <cell r="X232">
            <v>1</v>
          </cell>
          <cell r="Y232">
            <v>32</v>
          </cell>
          <cell r="AA232">
            <v>32</v>
          </cell>
          <cell r="AB232">
            <v>82</v>
          </cell>
          <cell r="AC232">
            <v>8.8333333333333339</v>
          </cell>
          <cell r="AD232">
            <v>0.29444444444444445</v>
          </cell>
          <cell r="AE232">
            <v>9.5</v>
          </cell>
          <cell r="AF232">
            <v>7.666666666666667</v>
          </cell>
          <cell r="AG232">
            <v>8.3333333333333339</v>
          </cell>
          <cell r="AH232">
            <v>7.666666666666667</v>
          </cell>
          <cell r="AI232">
            <v>5.333333333333333</v>
          </cell>
          <cell r="AJ232">
            <v>5.333333333333333</v>
          </cell>
          <cell r="AK232">
            <v>8.3333333333333339</v>
          </cell>
          <cell r="AL232">
            <v>1.4259499757471643</v>
          </cell>
          <cell r="AM232">
            <v>6.6666666666666661</v>
          </cell>
          <cell r="AN232">
            <v>0.21389249636207466</v>
          </cell>
          <cell r="AO232">
            <v>0</v>
          </cell>
          <cell r="AP232">
            <v>49.666666666666664</v>
          </cell>
          <cell r="AQ232">
            <v>5.9599999999999991</v>
          </cell>
          <cell r="AR232">
            <v>0</v>
          </cell>
          <cell r="AS232">
            <v>42</v>
          </cell>
          <cell r="AT232">
            <v>42</v>
          </cell>
          <cell r="AU232">
            <v>5.04</v>
          </cell>
          <cell r="AV232">
            <v>0</v>
          </cell>
          <cell r="AW232">
            <v>93.666666666666671</v>
          </cell>
          <cell r="AX232">
            <v>31</v>
          </cell>
          <cell r="AY232">
            <v>3.7199999999999998</v>
          </cell>
          <cell r="AZ232">
            <v>0</v>
          </cell>
          <cell r="BA232">
            <v>82</v>
          </cell>
          <cell r="BB232">
            <v>79</v>
          </cell>
          <cell r="BC232">
            <v>6.0769230769230766</v>
          </cell>
          <cell r="BD232">
            <v>0</v>
          </cell>
          <cell r="BE232">
            <v>66</v>
          </cell>
          <cell r="BF232">
            <v>5.0769230769230766</v>
          </cell>
          <cell r="BG232">
            <v>0</v>
          </cell>
          <cell r="BH232">
            <v>53</v>
          </cell>
          <cell r="BI232">
            <v>32</v>
          </cell>
          <cell r="BJ232">
            <v>3.84</v>
          </cell>
          <cell r="BK232">
            <v>0</v>
          </cell>
          <cell r="BL232">
            <v>49.333333333333336</v>
          </cell>
          <cell r="BM232">
            <v>60</v>
          </cell>
          <cell r="BN232">
            <v>6.3157894736842106</v>
          </cell>
          <cell r="BO232">
            <v>0</v>
          </cell>
          <cell r="BP232">
            <v>50.5</v>
          </cell>
          <cell r="BQ232">
            <v>45</v>
          </cell>
          <cell r="BR232">
            <v>5.3999999999999995</v>
          </cell>
          <cell r="BS232">
            <v>0</v>
          </cell>
          <cell r="BT232">
            <v>36.333333333333336</v>
          </cell>
          <cell r="BU232">
            <v>39</v>
          </cell>
          <cell r="BV232">
            <v>4.68</v>
          </cell>
          <cell r="BW232">
            <v>0</v>
          </cell>
          <cell r="BX232">
            <v>0</v>
          </cell>
          <cell r="BY232">
            <v>105.66666666666667</v>
          </cell>
          <cell r="BZ232">
            <v>37</v>
          </cell>
          <cell r="CA232">
            <v>4.4399999999999995</v>
          </cell>
          <cell r="CB232">
            <v>0</v>
          </cell>
          <cell r="CC232">
            <v>0</v>
          </cell>
          <cell r="CD232">
            <v>103.66666666666667</v>
          </cell>
          <cell r="CE232">
            <v>114</v>
          </cell>
          <cell r="CF232">
            <v>13.68</v>
          </cell>
          <cell r="CG232">
            <v>0</v>
          </cell>
          <cell r="CH232">
            <v>0</v>
          </cell>
          <cell r="CI232">
            <v>95.333333333333343</v>
          </cell>
          <cell r="CJ232">
            <v>106</v>
          </cell>
          <cell r="CK232">
            <v>12.719999999999999</v>
          </cell>
          <cell r="CL232">
            <v>0</v>
          </cell>
          <cell r="CM232">
            <v>0</v>
          </cell>
          <cell r="CN232">
            <v>97.666666666666671</v>
          </cell>
          <cell r="CO232">
            <v>88</v>
          </cell>
          <cell r="CP232">
            <v>10.559999999999999</v>
          </cell>
          <cell r="CQ232">
            <v>0</v>
          </cell>
          <cell r="CR232">
            <v>0</v>
          </cell>
          <cell r="CS232">
            <v>79.666666666666671</v>
          </cell>
          <cell r="CT232">
            <v>80</v>
          </cell>
          <cell r="CU232">
            <v>9.6</v>
          </cell>
          <cell r="CV232">
            <v>0</v>
          </cell>
          <cell r="CW232">
            <v>0</v>
          </cell>
          <cell r="CX232">
            <v>71.666666666666671</v>
          </cell>
          <cell r="CY232">
            <v>58</v>
          </cell>
          <cell r="CZ232">
            <v>6.9599999999999991</v>
          </cell>
          <cell r="DA232">
            <v>0</v>
          </cell>
          <cell r="DB232">
            <v>0</v>
          </cell>
          <cell r="DC232">
            <v>49.666666666666664</v>
          </cell>
          <cell r="DD232">
            <v>51</v>
          </cell>
          <cell r="DE232">
            <v>2.76</v>
          </cell>
          <cell r="DF232">
            <v>0</v>
          </cell>
          <cell r="DG232">
            <v>0</v>
          </cell>
          <cell r="DH232">
            <v>42.666666666666664</v>
          </cell>
          <cell r="DI232">
            <v>43</v>
          </cell>
          <cell r="DJ232">
            <v>3.8</v>
          </cell>
          <cell r="DK232">
            <v>0</v>
          </cell>
          <cell r="DL232">
            <v>0</v>
          </cell>
          <cell r="DM232">
            <v>34.333333333333329</v>
          </cell>
          <cell r="DN232">
            <v>32</v>
          </cell>
          <cell r="DO232">
            <v>2.48</v>
          </cell>
          <cell r="DP232">
            <v>0</v>
          </cell>
          <cell r="DQ232">
            <v>50</v>
          </cell>
          <cell r="DR232">
            <v>73.666666666666671</v>
          </cell>
          <cell r="DS232">
            <v>73.666666666666671</v>
          </cell>
          <cell r="DT232">
            <v>7.48</v>
          </cell>
          <cell r="DU232">
            <v>0</v>
          </cell>
          <cell r="DV232">
            <v>0</v>
          </cell>
          <cell r="DW232">
            <v>65.333333333333343</v>
          </cell>
          <cell r="DX232">
            <v>65.333333333333343</v>
          </cell>
          <cell r="DY232">
            <v>6.48</v>
          </cell>
          <cell r="DZ232">
            <v>0</v>
          </cell>
          <cell r="EA232">
            <v>0</v>
          </cell>
          <cell r="EB232">
            <v>57.000000000000007</v>
          </cell>
          <cell r="EC232">
            <v>57.000000000000007</v>
          </cell>
          <cell r="ED232">
            <v>5.48</v>
          </cell>
          <cell r="EE232">
            <v>0</v>
          </cell>
          <cell r="EF232">
            <v>0</v>
          </cell>
          <cell r="EG232">
            <v>48.666666666666671</v>
          </cell>
          <cell r="EH232">
            <v>48.666666666666671</v>
          </cell>
          <cell r="EI232">
            <v>4.4800000000000004</v>
          </cell>
          <cell r="EJ232">
            <v>0</v>
          </cell>
          <cell r="EK232">
            <v>0</v>
          </cell>
          <cell r="EL232">
            <v>40.333333333333336</v>
          </cell>
          <cell r="EM232">
            <v>40.333333333333336</v>
          </cell>
          <cell r="EN232">
            <v>3.4800000000000004</v>
          </cell>
          <cell r="EO232">
            <v>0</v>
          </cell>
          <cell r="EP232">
            <v>35</v>
          </cell>
          <cell r="EQ232">
            <v>67.000000000000014</v>
          </cell>
          <cell r="ER232">
            <v>67.000000000000014</v>
          </cell>
          <cell r="ES232">
            <v>6.6800000000000015</v>
          </cell>
          <cell r="ET232">
            <v>0</v>
          </cell>
          <cell r="EU232">
            <v>0</v>
          </cell>
          <cell r="EV232">
            <v>58.666666666666679</v>
          </cell>
          <cell r="EW232">
            <v>58.666666666666679</v>
          </cell>
          <cell r="EX232">
            <v>5.6800000000000015</v>
          </cell>
          <cell r="EY232">
            <v>0</v>
          </cell>
          <cell r="EZ232">
            <v>0</v>
          </cell>
          <cell r="FA232">
            <v>50.333333333333343</v>
          </cell>
          <cell r="FB232">
            <v>50.333333333333343</v>
          </cell>
          <cell r="FC232">
            <v>4.6800000000000015</v>
          </cell>
          <cell r="FD232">
            <v>0</v>
          </cell>
          <cell r="FE232">
            <v>20</v>
          </cell>
          <cell r="FF232">
            <v>62.000000000000007</v>
          </cell>
          <cell r="FG232">
            <v>62.000000000000007</v>
          </cell>
          <cell r="FH232">
            <v>6.080000000000001</v>
          </cell>
          <cell r="FI232">
            <v>0</v>
          </cell>
          <cell r="FJ232">
            <v>0</v>
          </cell>
          <cell r="FK232">
            <v>53.666666666666671</v>
          </cell>
          <cell r="FL232">
            <v>53.666666666666671</v>
          </cell>
          <cell r="FM232">
            <v>5.08</v>
          </cell>
          <cell r="FN232">
            <v>0</v>
          </cell>
          <cell r="FO232">
            <v>0</v>
          </cell>
          <cell r="FP232">
            <v>45.333333333333336</v>
          </cell>
          <cell r="FQ232">
            <v>45.333333333333336</v>
          </cell>
          <cell r="FR232">
            <v>4.08</v>
          </cell>
          <cell r="FS232">
            <v>0</v>
          </cell>
          <cell r="FT232">
            <v>28</v>
          </cell>
          <cell r="FU232">
            <v>1.0333333333333334</v>
          </cell>
          <cell r="FW232" t="str">
            <v>STOCK OK</v>
          </cell>
          <cell r="FX232" t="str">
            <v>A</v>
          </cell>
          <cell r="FY232" t="str">
            <v>Si</v>
          </cell>
        </row>
        <row r="233">
          <cell r="B233" t="str">
            <v>REP-0243</v>
          </cell>
          <cell r="C233" t="str">
            <v>CAT</v>
          </cell>
          <cell r="D233">
            <v>0</v>
          </cell>
          <cell r="E233">
            <v>25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30</v>
          </cell>
          <cell r="AA233">
            <v>30</v>
          </cell>
          <cell r="AB233">
            <v>7</v>
          </cell>
          <cell r="AC233">
            <v>3</v>
          </cell>
          <cell r="AD233">
            <v>0.1</v>
          </cell>
          <cell r="AE233">
            <v>2.0833333333333335</v>
          </cell>
          <cell r="AF233">
            <v>1.1666666666666667</v>
          </cell>
          <cell r="AG233">
            <v>0.16666666666666666</v>
          </cell>
          <cell r="AH233">
            <v>0.5</v>
          </cell>
          <cell r="AI233">
            <v>0</v>
          </cell>
          <cell r="AJ233">
            <v>0</v>
          </cell>
          <cell r="AK233">
            <v>0.5</v>
          </cell>
          <cell r="AL233">
            <v>0.23570226039551584</v>
          </cell>
          <cell r="AM233">
            <v>0.16666666666666666</v>
          </cell>
          <cell r="AN233">
            <v>1.4142135623730951</v>
          </cell>
          <cell r="AO233">
            <v>0</v>
          </cell>
          <cell r="AP233">
            <v>35.666666666666664</v>
          </cell>
          <cell r="AQ233">
            <v>29.857142857142858</v>
          </cell>
          <cell r="AR233">
            <v>0</v>
          </cell>
          <cell r="AS233">
            <v>33.666666666666671</v>
          </cell>
          <cell r="AT233">
            <v>36</v>
          </cell>
          <cell r="AU233">
            <v>216</v>
          </cell>
          <cell r="AV233">
            <v>0</v>
          </cell>
          <cell r="AW233">
            <v>35.833333333333336</v>
          </cell>
          <cell r="AX233">
            <v>33</v>
          </cell>
          <cell r="AY233">
            <v>66</v>
          </cell>
          <cell r="AZ233">
            <v>0</v>
          </cell>
          <cell r="BA233">
            <v>32</v>
          </cell>
          <cell r="BB233">
            <v>33</v>
          </cell>
          <cell r="BC233">
            <v>33</v>
          </cell>
          <cell r="BD233">
            <v>0</v>
          </cell>
          <cell r="BE233">
            <v>32</v>
          </cell>
          <cell r="BF233">
            <v>32</v>
          </cell>
          <cell r="BG233">
            <v>0</v>
          </cell>
          <cell r="BH233">
            <v>31</v>
          </cell>
          <cell r="BI233">
            <v>30</v>
          </cell>
          <cell r="BJ233">
            <v>60</v>
          </cell>
          <cell r="BK233">
            <v>0</v>
          </cell>
          <cell r="BL233">
            <v>32.5</v>
          </cell>
          <cell r="BM233">
            <v>33</v>
          </cell>
          <cell r="BN233">
            <v>66</v>
          </cell>
          <cell r="BO233">
            <v>0</v>
          </cell>
          <cell r="BP233">
            <v>32.5</v>
          </cell>
          <cell r="BQ233">
            <v>33</v>
          </cell>
          <cell r="BR233">
            <v>66</v>
          </cell>
          <cell r="BS233">
            <v>0</v>
          </cell>
          <cell r="BT233">
            <v>32.5</v>
          </cell>
          <cell r="BU233">
            <v>33</v>
          </cell>
          <cell r="BV233">
            <v>99</v>
          </cell>
          <cell r="BW233">
            <v>0</v>
          </cell>
          <cell r="BX233">
            <v>0</v>
          </cell>
          <cell r="BY233">
            <v>32.666666666666664</v>
          </cell>
          <cell r="BZ233">
            <v>33</v>
          </cell>
          <cell r="CA233">
            <v>110</v>
          </cell>
          <cell r="CB233">
            <v>0</v>
          </cell>
          <cell r="CC233">
            <v>0</v>
          </cell>
          <cell r="CD233">
            <v>32.700000000000003</v>
          </cell>
          <cell r="CE233">
            <v>30</v>
          </cell>
          <cell r="CF233">
            <v>55.000000000000007</v>
          </cell>
          <cell r="CG233">
            <v>0</v>
          </cell>
          <cell r="CH233">
            <v>0</v>
          </cell>
          <cell r="CI233">
            <v>32.154545454545456</v>
          </cell>
          <cell r="CJ233">
            <v>30</v>
          </cell>
          <cell r="CK233">
            <v>60</v>
          </cell>
          <cell r="CL233">
            <v>0</v>
          </cell>
          <cell r="CM233">
            <v>0</v>
          </cell>
          <cell r="CN233">
            <v>29.5</v>
          </cell>
          <cell r="CO233">
            <v>30</v>
          </cell>
          <cell r="CP233">
            <v>60</v>
          </cell>
          <cell r="CQ233">
            <v>0</v>
          </cell>
          <cell r="CR233">
            <v>0</v>
          </cell>
          <cell r="CS233">
            <v>29.5</v>
          </cell>
          <cell r="CT233">
            <v>30</v>
          </cell>
          <cell r="CU233">
            <v>60</v>
          </cell>
          <cell r="CV233">
            <v>0</v>
          </cell>
          <cell r="CW233">
            <v>0</v>
          </cell>
          <cell r="CX233">
            <v>29.5</v>
          </cell>
          <cell r="CY233">
            <v>30</v>
          </cell>
          <cell r="CZ233">
            <v>60</v>
          </cell>
          <cell r="DA233">
            <v>0</v>
          </cell>
          <cell r="DB233">
            <v>0</v>
          </cell>
          <cell r="DC233">
            <v>29.5</v>
          </cell>
          <cell r="DD233">
            <v>30</v>
          </cell>
          <cell r="DE233">
            <v>58</v>
          </cell>
          <cell r="DF233">
            <v>0</v>
          </cell>
          <cell r="DG233">
            <v>0</v>
          </cell>
          <cell r="DH233">
            <v>29.5</v>
          </cell>
          <cell r="DI233">
            <v>30</v>
          </cell>
          <cell r="DJ233">
            <v>60</v>
          </cell>
          <cell r="DK233">
            <v>0</v>
          </cell>
          <cell r="DL233">
            <v>0</v>
          </cell>
          <cell r="DM233">
            <v>29</v>
          </cell>
          <cell r="DN233">
            <v>30</v>
          </cell>
          <cell r="DO233">
            <v>60</v>
          </cell>
          <cell r="DP233">
            <v>0</v>
          </cell>
          <cell r="DQ233">
            <v>0</v>
          </cell>
          <cell r="DR233">
            <v>29.5</v>
          </cell>
          <cell r="DS233">
            <v>29.5</v>
          </cell>
          <cell r="DT233">
            <v>59</v>
          </cell>
          <cell r="DU233">
            <v>0</v>
          </cell>
          <cell r="DV233">
            <v>0</v>
          </cell>
          <cell r="DW233">
            <v>29</v>
          </cell>
          <cell r="DX233">
            <v>29</v>
          </cell>
          <cell r="DY233">
            <v>58</v>
          </cell>
          <cell r="DZ233">
            <v>0</v>
          </cell>
          <cell r="EA233">
            <v>0</v>
          </cell>
          <cell r="EB233">
            <v>28.5</v>
          </cell>
          <cell r="EC233">
            <v>28.5</v>
          </cell>
          <cell r="ED233">
            <v>57</v>
          </cell>
          <cell r="EE233">
            <v>0</v>
          </cell>
          <cell r="EF233">
            <v>0</v>
          </cell>
          <cell r="EG233">
            <v>28</v>
          </cell>
          <cell r="EH233">
            <v>28</v>
          </cell>
          <cell r="EI233">
            <v>56</v>
          </cell>
          <cell r="EJ233">
            <v>0</v>
          </cell>
          <cell r="EK233">
            <v>0</v>
          </cell>
          <cell r="EL233">
            <v>27.5</v>
          </cell>
          <cell r="EM233">
            <v>27.5</v>
          </cell>
          <cell r="EN233">
            <v>55</v>
          </cell>
          <cell r="EO233">
            <v>0</v>
          </cell>
          <cell r="EP233">
            <v>0</v>
          </cell>
          <cell r="EQ233">
            <v>27</v>
          </cell>
          <cell r="ER233">
            <v>27</v>
          </cell>
          <cell r="ES233">
            <v>54</v>
          </cell>
          <cell r="ET233">
            <v>0</v>
          </cell>
          <cell r="EU233">
            <v>0</v>
          </cell>
          <cell r="EV233">
            <v>26.5</v>
          </cell>
          <cell r="EW233">
            <v>26.5</v>
          </cell>
          <cell r="EX233">
            <v>53</v>
          </cell>
          <cell r="EY233">
            <v>0</v>
          </cell>
          <cell r="EZ233">
            <v>0</v>
          </cell>
          <cell r="FA233">
            <v>26</v>
          </cell>
          <cell r="FB233">
            <v>26</v>
          </cell>
          <cell r="FC233">
            <v>52</v>
          </cell>
          <cell r="FD233">
            <v>0</v>
          </cell>
          <cell r="FE233">
            <v>0</v>
          </cell>
          <cell r="FF233">
            <v>25.5</v>
          </cell>
          <cell r="FG233">
            <v>25.5</v>
          </cell>
          <cell r="FH233">
            <v>51</v>
          </cell>
          <cell r="FI233">
            <v>0</v>
          </cell>
          <cell r="FJ233">
            <v>0</v>
          </cell>
          <cell r="FK233">
            <v>25</v>
          </cell>
          <cell r="FL233">
            <v>25</v>
          </cell>
          <cell r="FM233">
            <v>50</v>
          </cell>
          <cell r="FN233">
            <v>0</v>
          </cell>
          <cell r="FO233">
            <v>0</v>
          </cell>
          <cell r="FP233">
            <v>24.5</v>
          </cell>
          <cell r="FQ233">
            <v>24.5</v>
          </cell>
          <cell r="FR233">
            <v>49</v>
          </cell>
          <cell r="FS233">
            <v>0</v>
          </cell>
          <cell r="FT233">
            <v>1</v>
          </cell>
          <cell r="FU233">
            <v>1.0333333333333334</v>
          </cell>
          <cell r="FW233" t="str">
            <v>SIN ROTACIÓN</v>
          </cell>
          <cell r="FX233" t="str">
            <v>C</v>
          </cell>
          <cell r="FY233" t="str">
            <v>Si</v>
          </cell>
        </row>
        <row r="234">
          <cell r="B234" t="str">
            <v>REP-0244</v>
          </cell>
          <cell r="C234" t="str">
            <v>CAT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O234">
            <v>0</v>
          </cell>
          <cell r="AP234">
            <v>0</v>
          </cell>
          <cell r="AQ234" t="str">
            <v/>
          </cell>
          <cell r="AR234">
            <v>0</v>
          </cell>
          <cell r="AS234">
            <v>0</v>
          </cell>
          <cell r="AT234">
            <v>0</v>
          </cell>
          <cell r="AU234" t="str">
            <v/>
          </cell>
          <cell r="AV234">
            <v>0</v>
          </cell>
          <cell r="AW234">
            <v>0</v>
          </cell>
          <cell r="AX234">
            <v>0</v>
          </cell>
          <cell r="AY234" t="str">
            <v/>
          </cell>
          <cell r="AZ234">
            <v>0</v>
          </cell>
          <cell r="BA234">
            <v>0</v>
          </cell>
          <cell r="BB234">
            <v>0</v>
          </cell>
          <cell r="BC234" t="str">
            <v/>
          </cell>
          <cell r="BD234">
            <v>0</v>
          </cell>
          <cell r="BE234">
            <v>0</v>
          </cell>
          <cell r="BF234" t="str">
            <v/>
          </cell>
          <cell r="BG234">
            <v>0</v>
          </cell>
          <cell r="BH234">
            <v>0</v>
          </cell>
          <cell r="BI234">
            <v>0</v>
          </cell>
          <cell r="BJ234" t="str">
            <v/>
          </cell>
          <cell r="BK234">
            <v>0</v>
          </cell>
          <cell r="BL234">
            <v>0</v>
          </cell>
          <cell r="BM234">
            <v>0</v>
          </cell>
          <cell r="BN234" t="str">
            <v/>
          </cell>
          <cell r="BO234">
            <v>0</v>
          </cell>
          <cell r="BP234">
            <v>0</v>
          </cell>
          <cell r="BQ234">
            <v>0</v>
          </cell>
          <cell r="BR234" t="str">
            <v/>
          </cell>
          <cell r="BS234">
            <v>0</v>
          </cell>
          <cell r="BT234">
            <v>0</v>
          </cell>
          <cell r="BU234">
            <v>0</v>
          </cell>
          <cell r="BV234" t="str">
            <v/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 t="str">
            <v/>
          </cell>
          <cell r="CB234">
            <v>0</v>
          </cell>
          <cell r="CD234">
            <v>0</v>
          </cell>
          <cell r="CE234">
            <v>0</v>
          </cell>
          <cell r="CF234" t="str">
            <v/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 t="str">
            <v/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 t="str">
            <v/>
          </cell>
          <cell r="CQ234">
            <v>0</v>
          </cell>
          <cell r="CS234">
            <v>0</v>
          </cell>
          <cell r="CT234">
            <v>0</v>
          </cell>
          <cell r="CU234" t="str">
            <v/>
          </cell>
          <cell r="CV234">
            <v>0</v>
          </cell>
          <cell r="CX234">
            <v>0</v>
          </cell>
          <cell r="CY234">
            <v>0</v>
          </cell>
          <cell r="CZ234" t="str">
            <v/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 t="str">
            <v/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 t="str">
            <v/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 t="str">
            <v/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 t="str">
            <v/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 t="str">
            <v/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 t="str">
            <v/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 t="str">
            <v/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 t="str">
            <v/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 t="str">
            <v/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 t="str">
            <v/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 t="str">
            <v/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 t="str">
            <v/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 t="str">
            <v/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 t="str">
            <v/>
          </cell>
          <cell r="FS234">
            <v>0</v>
          </cell>
          <cell r="FT234">
            <v>0</v>
          </cell>
          <cell r="FU234">
            <v>66.666666666666671</v>
          </cell>
          <cell r="FW234" t="str">
            <v>SIN ROTACIÓN</v>
          </cell>
          <cell r="FX234" t="str">
            <v/>
          </cell>
          <cell r="FY234" t="str">
            <v>No</v>
          </cell>
        </row>
        <row r="235">
          <cell r="B235" t="str">
            <v>REP-0245</v>
          </cell>
          <cell r="C235" t="str">
            <v>CAT</v>
          </cell>
          <cell r="D235">
            <v>0</v>
          </cell>
          <cell r="E235">
            <v>25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25</v>
          </cell>
          <cell r="AA235">
            <v>25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25</v>
          </cell>
          <cell r="AQ235" t="str">
            <v/>
          </cell>
          <cell r="AR235">
            <v>0</v>
          </cell>
          <cell r="AS235">
            <v>25</v>
          </cell>
          <cell r="AT235">
            <v>25</v>
          </cell>
          <cell r="AU235" t="str">
            <v/>
          </cell>
          <cell r="AV235">
            <v>0</v>
          </cell>
          <cell r="AW235">
            <v>25</v>
          </cell>
          <cell r="AX235">
            <v>25</v>
          </cell>
          <cell r="AY235" t="str">
            <v/>
          </cell>
          <cell r="AZ235">
            <v>0</v>
          </cell>
          <cell r="BA235">
            <v>25</v>
          </cell>
          <cell r="BB235">
            <v>25</v>
          </cell>
          <cell r="BC235" t="str">
            <v/>
          </cell>
          <cell r="BD235">
            <v>0</v>
          </cell>
          <cell r="BE235">
            <v>25</v>
          </cell>
          <cell r="BF235" t="str">
            <v/>
          </cell>
          <cell r="BG235">
            <v>0</v>
          </cell>
          <cell r="BH235">
            <v>25</v>
          </cell>
          <cell r="BI235">
            <v>25</v>
          </cell>
          <cell r="BJ235" t="str">
            <v/>
          </cell>
          <cell r="BK235">
            <v>0</v>
          </cell>
          <cell r="BL235">
            <v>25</v>
          </cell>
          <cell r="BM235">
            <v>25</v>
          </cell>
          <cell r="BN235" t="str">
            <v/>
          </cell>
          <cell r="BO235">
            <v>0</v>
          </cell>
          <cell r="BP235">
            <v>25</v>
          </cell>
          <cell r="BQ235">
            <v>25</v>
          </cell>
          <cell r="BR235" t="str">
            <v/>
          </cell>
          <cell r="BS235">
            <v>0</v>
          </cell>
          <cell r="BT235">
            <v>25</v>
          </cell>
          <cell r="BU235">
            <v>25</v>
          </cell>
          <cell r="BV235" t="str">
            <v/>
          </cell>
          <cell r="BW235">
            <v>0</v>
          </cell>
          <cell r="BX235">
            <v>0</v>
          </cell>
          <cell r="BY235">
            <v>25</v>
          </cell>
          <cell r="BZ235">
            <v>25</v>
          </cell>
          <cell r="CA235" t="str">
            <v/>
          </cell>
          <cell r="CB235">
            <v>0</v>
          </cell>
          <cell r="CC235">
            <v>0</v>
          </cell>
          <cell r="CD235">
            <v>25</v>
          </cell>
          <cell r="CE235">
            <v>25</v>
          </cell>
          <cell r="CF235" t="str">
            <v/>
          </cell>
          <cell r="CG235">
            <v>0</v>
          </cell>
          <cell r="CH235">
            <v>0</v>
          </cell>
          <cell r="CI235">
            <v>25</v>
          </cell>
          <cell r="CJ235">
            <v>25</v>
          </cell>
          <cell r="CK235" t="str">
            <v/>
          </cell>
          <cell r="CL235">
            <v>0</v>
          </cell>
          <cell r="CM235">
            <v>0</v>
          </cell>
          <cell r="CN235">
            <v>25</v>
          </cell>
          <cell r="CO235">
            <v>25</v>
          </cell>
          <cell r="CP235" t="str">
            <v/>
          </cell>
          <cell r="CQ235">
            <v>0</v>
          </cell>
          <cell r="CR235">
            <v>0</v>
          </cell>
          <cell r="CS235">
            <v>25</v>
          </cell>
          <cell r="CT235">
            <v>25</v>
          </cell>
          <cell r="CU235" t="str">
            <v/>
          </cell>
          <cell r="CV235">
            <v>0</v>
          </cell>
          <cell r="CW235">
            <v>0</v>
          </cell>
          <cell r="CX235">
            <v>25</v>
          </cell>
          <cell r="CY235">
            <v>25</v>
          </cell>
          <cell r="CZ235" t="str">
            <v/>
          </cell>
          <cell r="DA235">
            <v>0</v>
          </cell>
          <cell r="DB235">
            <v>0</v>
          </cell>
          <cell r="DC235">
            <v>25</v>
          </cell>
          <cell r="DD235">
            <v>25</v>
          </cell>
          <cell r="DE235" t="str">
            <v/>
          </cell>
          <cell r="DF235">
            <v>0</v>
          </cell>
          <cell r="DG235">
            <v>0</v>
          </cell>
          <cell r="DH235">
            <v>25</v>
          </cell>
          <cell r="DI235">
            <v>25</v>
          </cell>
          <cell r="DJ235" t="str">
            <v/>
          </cell>
          <cell r="DK235">
            <v>0</v>
          </cell>
          <cell r="DL235">
            <v>0</v>
          </cell>
          <cell r="DM235">
            <v>25</v>
          </cell>
          <cell r="DN235">
            <v>25</v>
          </cell>
          <cell r="DO235" t="str">
            <v/>
          </cell>
          <cell r="DP235">
            <v>0</v>
          </cell>
          <cell r="DQ235">
            <v>0</v>
          </cell>
          <cell r="DR235">
            <v>25</v>
          </cell>
          <cell r="DS235">
            <v>25</v>
          </cell>
          <cell r="DT235" t="str">
            <v/>
          </cell>
          <cell r="DU235">
            <v>0</v>
          </cell>
          <cell r="DV235">
            <v>0</v>
          </cell>
          <cell r="DW235">
            <v>25</v>
          </cell>
          <cell r="DX235">
            <v>25</v>
          </cell>
          <cell r="DY235" t="str">
            <v/>
          </cell>
          <cell r="DZ235">
            <v>0</v>
          </cell>
          <cell r="EA235">
            <v>0</v>
          </cell>
          <cell r="EB235">
            <v>25</v>
          </cell>
          <cell r="EC235">
            <v>25</v>
          </cell>
          <cell r="ED235" t="str">
            <v/>
          </cell>
          <cell r="EE235">
            <v>0</v>
          </cell>
          <cell r="EF235">
            <v>0</v>
          </cell>
          <cell r="EG235">
            <v>25</v>
          </cell>
          <cell r="EH235">
            <v>25</v>
          </cell>
          <cell r="EI235" t="str">
            <v/>
          </cell>
          <cell r="EJ235">
            <v>0</v>
          </cell>
          <cell r="EK235">
            <v>0</v>
          </cell>
          <cell r="EL235">
            <v>25</v>
          </cell>
          <cell r="EM235">
            <v>25</v>
          </cell>
          <cell r="EN235" t="str">
            <v/>
          </cell>
          <cell r="EO235">
            <v>0</v>
          </cell>
          <cell r="EP235">
            <v>0</v>
          </cell>
          <cell r="EQ235">
            <v>25</v>
          </cell>
          <cell r="ER235">
            <v>25</v>
          </cell>
          <cell r="ES235" t="str">
            <v/>
          </cell>
          <cell r="ET235">
            <v>0</v>
          </cell>
          <cell r="EU235">
            <v>0</v>
          </cell>
          <cell r="EV235">
            <v>25</v>
          </cell>
          <cell r="EW235">
            <v>25</v>
          </cell>
          <cell r="EX235" t="str">
            <v/>
          </cell>
          <cell r="EY235">
            <v>0</v>
          </cell>
          <cell r="EZ235">
            <v>0</v>
          </cell>
          <cell r="FA235">
            <v>25</v>
          </cell>
          <cell r="FB235">
            <v>25</v>
          </cell>
          <cell r="FC235" t="str">
            <v/>
          </cell>
          <cell r="FD235">
            <v>0</v>
          </cell>
          <cell r="FE235">
            <v>0</v>
          </cell>
          <cell r="FF235">
            <v>25</v>
          </cell>
          <cell r="FG235">
            <v>25</v>
          </cell>
          <cell r="FH235" t="str">
            <v/>
          </cell>
          <cell r="FI235">
            <v>0</v>
          </cell>
          <cell r="FJ235">
            <v>0</v>
          </cell>
          <cell r="FK235">
            <v>25</v>
          </cell>
          <cell r="FL235">
            <v>25</v>
          </cell>
          <cell r="FM235" t="str">
            <v/>
          </cell>
          <cell r="FN235">
            <v>0</v>
          </cell>
          <cell r="FO235">
            <v>0</v>
          </cell>
          <cell r="FP235">
            <v>25</v>
          </cell>
          <cell r="FQ235">
            <v>25</v>
          </cell>
          <cell r="FR235" t="str">
            <v/>
          </cell>
          <cell r="FS235">
            <v>0</v>
          </cell>
          <cell r="FT235">
            <v>0</v>
          </cell>
          <cell r="FU235">
            <v>1.0333333333333334</v>
          </cell>
          <cell r="FW235" t="str">
            <v>SIN ROTACIÓN</v>
          </cell>
          <cell r="FX235" t="str">
            <v>STOCK MUERTO</v>
          </cell>
          <cell r="FY235" t="str">
            <v>Si</v>
          </cell>
        </row>
        <row r="236">
          <cell r="B236" t="str">
            <v>REP-0246</v>
          </cell>
          <cell r="C236" t="str">
            <v>CAT</v>
          </cell>
          <cell r="D236">
            <v>0</v>
          </cell>
          <cell r="E236">
            <v>20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25</v>
          </cell>
          <cell r="AA236">
            <v>25</v>
          </cell>
          <cell r="AB236">
            <v>0</v>
          </cell>
          <cell r="AC236">
            <v>1.8333333333333333</v>
          </cell>
          <cell r="AD236">
            <v>6.1111111111111109E-2</v>
          </cell>
          <cell r="AE236">
            <v>0.91666666666666663</v>
          </cell>
          <cell r="AF236">
            <v>0.25</v>
          </cell>
          <cell r="AG236">
            <v>0.16666666666666666</v>
          </cell>
          <cell r="AH236">
            <v>0.5</v>
          </cell>
          <cell r="AI236">
            <v>0</v>
          </cell>
          <cell r="AJ236">
            <v>0</v>
          </cell>
          <cell r="AK236">
            <v>0.5</v>
          </cell>
          <cell r="AL236">
            <v>0.23570226039551584</v>
          </cell>
          <cell r="AM236">
            <v>0.16666666666666666</v>
          </cell>
          <cell r="AN236">
            <v>1.4142135623730951</v>
          </cell>
          <cell r="AO236">
            <v>0</v>
          </cell>
          <cell r="AP236">
            <v>30.666666666666668</v>
          </cell>
          <cell r="AQ236">
            <v>92.000000000000014</v>
          </cell>
          <cell r="AR236">
            <v>0</v>
          </cell>
          <cell r="AS236">
            <v>30.5</v>
          </cell>
          <cell r="AT236">
            <v>31</v>
          </cell>
          <cell r="AU236">
            <v>186</v>
          </cell>
          <cell r="AV236">
            <v>0</v>
          </cell>
          <cell r="AW236">
            <v>30.833333333333332</v>
          </cell>
          <cell r="AX236">
            <v>28</v>
          </cell>
          <cell r="AY236">
            <v>56</v>
          </cell>
          <cell r="AZ236">
            <v>0</v>
          </cell>
          <cell r="BA236">
            <v>27</v>
          </cell>
          <cell r="BB236">
            <v>28</v>
          </cell>
          <cell r="BC236">
            <v>28</v>
          </cell>
          <cell r="BD236">
            <v>0</v>
          </cell>
          <cell r="BE236">
            <v>27</v>
          </cell>
          <cell r="BF236">
            <v>27</v>
          </cell>
          <cell r="BG236">
            <v>0</v>
          </cell>
          <cell r="BH236">
            <v>26</v>
          </cell>
          <cell r="BI236">
            <v>25</v>
          </cell>
          <cell r="BJ236">
            <v>50</v>
          </cell>
          <cell r="BK236">
            <v>0</v>
          </cell>
          <cell r="BL236">
            <v>27.5</v>
          </cell>
          <cell r="BM236">
            <v>28</v>
          </cell>
          <cell r="BN236">
            <v>56</v>
          </cell>
          <cell r="BO236">
            <v>0</v>
          </cell>
          <cell r="BP236">
            <v>27.5</v>
          </cell>
          <cell r="BQ236">
            <v>28</v>
          </cell>
          <cell r="BR236">
            <v>56</v>
          </cell>
          <cell r="BS236">
            <v>0</v>
          </cell>
          <cell r="BT236">
            <v>27.5</v>
          </cell>
          <cell r="BU236">
            <v>28</v>
          </cell>
          <cell r="BV236">
            <v>84</v>
          </cell>
          <cell r="BW236">
            <v>0</v>
          </cell>
          <cell r="BX236">
            <v>0</v>
          </cell>
          <cell r="BY236">
            <v>27.666666666666668</v>
          </cell>
          <cell r="BZ236">
            <v>28</v>
          </cell>
          <cell r="CA236">
            <v>93.333333333333343</v>
          </cell>
          <cell r="CB236">
            <v>0</v>
          </cell>
          <cell r="CC236">
            <v>0</v>
          </cell>
          <cell r="CD236">
            <v>27.7</v>
          </cell>
          <cell r="CE236">
            <v>25</v>
          </cell>
          <cell r="CF236">
            <v>45.833333333333336</v>
          </cell>
          <cell r="CG236">
            <v>0</v>
          </cell>
          <cell r="CH236">
            <v>0</v>
          </cell>
          <cell r="CI236">
            <v>27.154545454545453</v>
          </cell>
          <cell r="CJ236">
            <v>25</v>
          </cell>
          <cell r="CK236">
            <v>50</v>
          </cell>
          <cell r="CL236">
            <v>0</v>
          </cell>
          <cell r="CM236">
            <v>0</v>
          </cell>
          <cell r="CN236">
            <v>24.5</v>
          </cell>
          <cell r="CO236">
            <v>25</v>
          </cell>
          <cell r="CP236">
            <v>50</v>
          </cell>
          <cell r="CQ236">
            <v>0</v>
          </cell>
          <cell r="CR236">
            <v>0</v>
          </cell>
          <cell r="CS236">
            <v>24.5</v>
          </cell>
          <cell r="CT236">
            <v>25</v>
          </cell>
          <cell r="CU236">
            <v>50</v>
          </cell>
          <cell r="CV236">
            <v>0</v>
          </cell>
          <cell r="CW236">
            <v>0</v>
          </cell>
          <cell r="CX236">
            <v>24.5</v>
          </cell>
          <cell r="CY236">
            <v>25</v>
          </cell>
          <cell r="CZ236">
            <v>50</v>
          </cell>
          <cell r="DA236">
            <v>0</v>
          </cell>
          <cell r="DB236">
            <v>0</v>
          </cell>
          <cell r="DC236">
            <v>24.5</v>
          </cell>
          <cell r="DD236">
            <v>25</v>
          </cell>
          <cell r="DE236">
            <v>48</v>
          </cell>
          <cell r="DF236">
            <v>0</v>
          </cell>
          <cell r="DG236">
            <v>0</v>
          </cell>
          <cell r="DH236">
            <v>24.5</v>
          </cell>
          <cell r="DI236">
            <v>25</v>
          </cell>
          <cell r="DJ236">
            <v>50</v>
          </cell>
          <cell r="DK236">
            <v>0</v>
          </cell>
          <cell r="DL236">
            <v>0</v>
          </cell>
          <cell r="DM236">
            <v>24</v>
          </cell>
          <cell r="DN236">
            <v>25</v>
          </cell>
          <cell r="DO236">
            <v>50</v>
          </cell>
          <cell r="DP236">
            <v>0</v>
          </cell>
          <cell r="DQ236">
            <v>0</v>
          </cell>
          <cell r="DR236">
            <v>24.5</v>
          </cell>
          <cell r="DS236">
            <v>24.5</v>
          </cell>
          <cell r="DT236">
            <v>49</v>
          </cell>
          <cell r="DU236">
            <v>0</v>
          </cell>
          <cell r="DV236">
            <v>0</v>
          </cell>
          <cell r="DW236">
            <v>24</v>
          </cell>
          <cell r="DX236">
            <v>24</v>
          </cell>
          <cell r="DY236">
            <v>48</v>
          </cell>
          <cell r="DZ236">
            <v>0</v>
          </cell>
          <cell r="EA236">
            <v>0</v>
          </cell>
          <cell r="EB236">
            <v>23.5</v>
          </cell>
          <cell r="EC236">
            <v>23.5</v>
          </cell>
          <cell r="ED236">
            <v>47</v>
          </cell>
          <cell r="EE236">
            <v>0</v>
          </cell>
          <cell r="EF236">
            <v>0</v>
          </cell>
          <cell r="EG236">
            <v>23</v>
          </cell>
          <cell r="EH236">
            <v>23</v>
          </cell>
          <cell r="EI236">
            <v>46</v>
          </cell>
          <cell r="EJ236">
            <v>0</v>
          </cell>
          <cell r="EK236">
            <v>0</v>
          </cell>
          <cell r="EL236">
            <v>22.5</v>
          </cell>
          <cell r="EM236">
            <v>22.5</v>
          </cell>
          <cell r="EN236">
            <v>45</v>
          </cell>
          <cell r="EO236">
            <v>0</v>
          </cell>
          <cell r="EP236">
            <v>0</v>
          </cell>
          <cell r="EQ236">
            <v>22</v>
          </cell>
          <cell r="ER236">
            <v>22</v>
          </cell>
          <cell r="ES236">
            <v>44</v>
          </cell>
          <cell r="ET236">
            <v>0</v>
          </cell>
          <cell r="EU236">
            <v>0</v>
          </cell>
          <cell r="EV236">
            <v>21.5</v>
          </cell>
          <cell r="EW236">
            <v>21.5</v>
          </cell>
          <cell r="EX236">
            <v>43</v>
          </cell>
          <cell r="EY236">
            <v>0</v>
          </cell>
          <cell r="EZ236">
            <v>0</v>
          </cell>
          <cell r="FA236">
            <v>21</v>
          </cell>
          <cell r="FB236">
            <v>21</v>
          </cell>
          <cell r="FC236">
            <v>42</v>
          </cell>
          <cell r="FD236">
            <v>0</v>
          </cell>
          <cell r="FE236">
            <v>0</v>
          </cell>
          <cell r="FF236">
            <v>20.5</v>
          </cell>
          <cell r="FG236">
            <v>20.5</v>
          </cell>
          <cell r="FH236">
            <v>41</v>
          </cell>
          <cell r="FI236">
            <v>0</v>
          </cell>
          <cell r="FJ236">
            <v>0</v>
          </cell>
          <cell r="FK236">
            <v>20</v>
          </cell>
          <cell r="FL236">
            <v>20</v>
          </cell>
          <cell r="FM236">
            <v>40</v>
          </cell>
          <cell r="FN236">
            <v>0</v>
          </cell>
          <cell r="FO236">
            <v>0</v>
          </cell>
          <cell r="FP236">
            <v>19.5</v>
          </cell>
          <cell r="FQ236">
            <v>19.5</v>
          </cell>
          <cell r="FR236">
            <v>39</v>
          </cell>
          <cell r="FS236">
            <v>0</v>
          </cell>
          <cell r="FT236">
            <v>1</v>
          </cell>
          <cell r="FU236">
            <v>1.0333333333333334</v>
          </cell>
          <cell r="FW236" t="str">
            <v>SIN ROTACIÓN</v>
          </cell>
          <cell r="FX236" t="str">
            <v>C</v>
          </cell>
          <cell r="FY236" t="str">
            <v>Si</v>
          </cell>
        </row>
        <row r="237">
          <cell r="B237" t="str">
            <v>REP-0247</v>
          </cell>
          <cell r="C237" t="str">
            <v>CAT</v>
          </cell>
          <cell r="D237">
            <v>0</v>
          </cell>
          <cell r="E237">
            <v>14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2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16</v>
          </cell>
          <cell r="AA237">
            <v>16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15</v>
          </cell>
          <cell r="AQ237" t="str">
            <v/>
          </cell>
          <cell r="AR237">
            <v>0</v>
          </cell>
          <cell r="AS237">
            <v>15</v>
          </cell>
          <cell r="AT237">
            <v>15</v>
          </cell>
          <cell r="AU237" t="str">
            <v/>
          </cell>
          <cell r="AV237">
            <v>0</v>
          </cell>
          <cell r="AW237">
            <v>15</v>
          </cell>
          <cell r="AX237">
            <v>15</v>
          </cell>
          <cell r="AY237" t="str">
            <v/>
          </cell>
          <cell r="AZ237">
            <v>0</v>
          </cell>
          <cell r="BA237">
            <v>15</v>
          </cell>
          <cell r="BB237">
            <v>15</v>
          </cell>
          <cell r="BC237" t="str">
            <v/>
          </cell>
          <cell r="BD237">
            <v>0</v>
          </cell>
          <cell r="BE237">
            <v>15</v>
          </cell>
          <cell r="BF237" t="str">
            <v/>
          </cell>
          <cell r="BG237">
            <v>0</v>
          </cell>
          <cell r="BH237">
            <v>15</v>
          </cell>
          <cell r="BI237">
            <v>16</v>
          </cell>
          <cell r="BJ237" t="str">
            <v/>
          </cell>
          <cell r="BK237">
            <v>0</v>
          </cell>
          <cell r="BL237">
            <v>15</v>
          </cell>
          <cell r="BM237">
            <v>15</v>
          </cell>
          <cell r="BN237" t="str">
            <v/>
          </cell>
          <cell r="BO237">
            <v>0</v>
          </cell>
          <cell r="BP237">
            <v>15</v>
          </cell>
          <cell r="BQ237">
            <v>15</v>
          </cell>
          <cell r="BR237" t="str">
            <v/>
          </cell>
          <cell r="BS237">
            <v>0</v>
          </cell>
          <cell r="BT237">
            <v>15</v>
          </cell>
          <cell r="BU237">
            <v>15</v>
          </cell>
          <cell r="BV237" t="str">
            <v/>
          </cell>
          <cell r="BW237">
            <v>0</v>
          </cell>
          <cell r="BX237">
            <v>0</v>
          </cell>
          <cell r="BY237">
            <v>15</v>
          </cell>
          <cell r="BZ237">
            <v>15</v>
          </cell>
          <cell r="CA237" t="str">
            <v/>
          </cell>
          <cell r="CB237">
            <v>0</v>
          </cell>
          <cell r="CC237">
            <v>0</v>
          </cell>
          <cell r="CD237">
            <v>15</v>
          </cell>
          <cell r="CE237">
            <v>15</v>
          </cell>
          <cell r="CF237" t="str">
            <v/>
          </cell>
          <cell r="CG237">
            <v>0</v>
          </cell>
          <cell r="CH237">
            <v>0</v>
          </cell>
          <cell r="CI237">
            <v>15</v>
          </cell>
          <cell r="CJ237">
            <v>15</v>
          </cell>
          <cell r="CK237" t="str">
            <v/>
          </cell>
          <cell r="CL237">
            <v>0</v>
          </cell>
          <cell r="CM237">
            <v>0</v>
          </cell>
          <cell r="CN237">
            <v>15</v>
          </cell>
          <cell r="CO237">
            <v>15</v>
          </cell>
          <cell r="CP237" t="str">
            <v/>
          </cell>
          <cell r="CQ237">
            <v>0</v>
          </cell>
          <cell r="CR237">
            <v>0</v>
          </cell>
          <cell r="CS237">
            <v>15</v>
          </cell>
          <cell r="CT237">
            <v>15</v>
          </cell>
          <cell r="CU237" t="str">
            <v/>
          </cell>
          <cell r="CV237">
            <v>0</v>
          </cell>
          <cell r="CW237">
            <v>0</v>
          </cell>
          <cell r="CX237">
            <v>15</v>
          </cell>
          <cell r="CY237">
            <v>13</v>
          </cell>
          <cell r="CZ237" t="str">
            <v/>
          </cell>
          <cell r="DA237">
            <v>0</v>
          </cell>
          <cell r="DB237">
            <v>0</v>
          </cell>
          <cell r="DC237">
            <v>13</v>
          </cell>
          <cell r="DD237">
            <v>16</v>
          </cell>
          <cell r="DE237" t="str">
            <v/>
          </cell>
          <cell r="DF237">
            <v>0</v>
          </cell>
          <cell r="DG237">
            <v>0</v>
          </cell>
          <cell r="DH237">
            <v>16</v>
          </cell>
          <cell r="DI237">
            <v>16</v>
          </cell>
          <cell r="DJ237" t="str">
            <v/>
          </cell>
          <cell r="DK237">
            <v>0</v>
          </cell>
          <cell r="DL237">
            <v>0</v>
          </cell>
          <cell r="DM237">
            <v>16</v>
          </cell>
          <cell r="DN237">
            <v>16</v>
          </cell>
          <cell r="DO237" t="str">
            <v/>
          </cell>
          <cell r="DP237">
            <v>0</v>
          </cell>
          <cell r="DQ237">
            <v>0</v>
          </cell>
          <cell r="DR237">
            <v>16</v>
          </cell>
          <cell r="DS237">
            <v>16</v>
          </cell>
          <cell r="DT237" t="str">
            <v/>
          </cell>
          <cell r="DU237">
            <v>0</v>
          </cell>
          <cell r="DV237">
            <v>0</v>
          </cell>
          <cell r="DW237">
            <v>16</v>
          </cell>
          <cell r="DX237">
            <v>16</v>
          </cell>
          <cell r="DY237" t="str">
            <v/>
          </cell>
          <cell r="DZ237">
            <v>0</v>
          </cell>
          <cell r="EA237">
            <v>0</v>
          </cell>
          <cell r="EB237">
            <v>16</v>
          </cell>
          <cell r="EC237">
            <v>16</v>
          </cell>
          <cell r="ED237" t="str">
            <v/>
          </cell>
          <cell r="EE237">
            <v>0</v>
          </cell>
          <cell r="EF237">
            <v>0</v>
          </cell>
          <cell r="EG237">
            <v>16</v>
          </cell>
          <cell r="EH237">
            <v>16</v>
          </cell>
          <cell r="EI237" t="str">
            <v/>
          </cell>
          <cell r="EJ237">
            <v>0</v>
          </cell>
          <cell r="EK237">
            <v>0</v>
          </cell>
          <cell r="EL237">
            <v>16</v>
          </cell>
          <cell r="EM237">
            <v>16</v>
          </cell>
          <cell r="EN237" t="str">
            <v/>
          </cell>
          <cell r="EO237">
            <v>0</v>
          </cell>
          <cell r="EP237">
            <v>0</v>
          </cell>
          <cell r="EQ237">
            <v>16</v>
          </cell>
          <cell r="ER237">
            <v>16</v>
          </cell>
          <cell r="ES237" t="str">
            <v/>
          </cell>
          <cell r="ET237">
            <v>0</v>
          </cell>
          <cell r="EU237">
            <v>0</v>
          </cell>
          <cell r="EV237">
            <v>16</v>
          </cell>
          <cell r="EW237">
            <v>16</v>
          </cell>
          <cell r="EX237" t="str">
            <v/>
          </cell>
          <cell r="EY237">
            <v>0</v>
          </cell>
          <cell r="EZ237">
            <v>0</v>
          </cell>
          <cell r="FA237">
            <v>16</v>
          </cell>
          <cell r="FB237">
            <v>16</v>
          </cell>
          <cell r="FC237" t="str">
            <v/>
          </cell>
          <cell r="FD237">
            <v>0</v>
          </cell>
          <cell r="FE237">
            <v>0</v>
          </cell>
          <cell r="FF237">
            <v>16</v>
          </cell>
          <cell r="FG237">
            <v>16</v>
          </cell>
          <cell r="FH237" t="str">
            <v/>
          </cell>
          <cell r="FI237">
            <v>0</v>
          </cell>
          <cell r="FJ237">
            <v>0</v>
          </cell>
          <cell r="FK237">
            <v>16</v>
          </cell>
          <cell r="FL237">
            <v>16</v>
          </cell>
          <cell r="FM237" t="str">
            <v/>
          </cell>
          <cell r="FN237">
            <v>0</v>
          </cell>
          <cell r="FO237">
            <v>0</v>
          </cell>
          <cell r="FP237">
            <v>16</v>
          </cell>
          <cell r="FQ237">
            <v>16</v>
          </cell>
          <cell r="FR237" t="str">
            <v/>
          </cell>
          <cell r="FS237">
            <v>0</v>
          </cell>
          <cell r="FT237">
            <v>0</v>
          </cell>
          <cell r="FU237">
            <v>1.0333333333333334</v>
          </cell>
          <cell r="FW237" t="str">
            <v>SIN ROTACIÓN</v>
          </cell>
          <cell r="FX237" t="str">
            <v>STOCK MUERTO</v>
          </cell>
          <cell r="FY237" t="str">
            <v>Si</v>
          </cell>
        </row>
        <row r="238">
          <cell r="B238" t="str">
            <v>REP-0248</v>
          </cell>
          <cell r="C238" t="str">
            <v>CAT</v>
          </cell>
          <cell r="D238">
            <v>0</v>
          </cell>
          <cell r="E238">
            <v>15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15</v>
          </cell>
          <cell r="AA238">
            <v>15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13</v>
          </cell>
          <cell r="AQ238" t="str">
            <v/>
          </cell>
          <cell r="AR238">
            <v>0</v>
          </cell>
          <cell r="AS238">
            <v>13</v>
          </cell>
          <cell r="AT238">
            <v>13</v>
          </cell>
          <cell r="AU238" t="str">
            <v/>
          </cell>
          <cell r="AV238">
            <v>0</v>
          </cell>
          <cell r="AW238">
            <v>13</v>
          </cell>
          <cell r="AX238">
            <v>13</v>
          </cell>
          <cell r="AY238" t="str">
            <v/>
          </cell>
          <cell r="AZ238">
            <v>0</v>
          </cell>
          <cell r="BA238">
            <v>13</v>
          </cell>
          <cell r="BB238">
            <v>13</v>
          </cell>
          <cell r="BC238" t="str">
            <v/>
          </cell>
          <cell r="BD238">
            <v>0</v>
          </cell>
          <cell r="BE238">
            <v>13</v>
          </cell>
          <cell r="BF238" t="str">
            <v/>
          </cell>
          <cell r="BG238">
            <v>0</v>
          </cell>
          <cell r="BH238">
            <v>13</v>
          </cell>
          <cell r="BI238">
            <v>15</v>
          </cell>
          <cell r="BJ238" t="str">
            <v/>
          </cell>
          <cell r="BK238">
            <v>0</v>
          </cell>
          <cell r="BL238">
            <v>13</v>
          </cell>
          <cell r="BM238">
            <v>13</v>
          </cell>
          <cell r="BN238" t="str">
            <v/>
          </cell>
          <cell r="BO238">
            <v>0</v>
          </cell>
          <cell r="BP238">
            <v>13</v>
          </cell>
          <cell r="BQ238">
            <v>13</v>
          </cell>
          <cell r="BR238" t="str">
            <v/>
          </cell>
          <cell r="BS238">
            <v>0</v>
          </cell>
          <cell r="BT238">
            <v>13</v>
          </cell>
          <cell r="BU238">
            <v>13</v>
          </cell>
          <cell r="BV238" t="str">
            <v/>
          </cell>
          <cell r="BW238">
            <v>0</v>
          </cell>
          <cell r="BX238">
            <v>0</v>
          </cell>
          <cell r="BY238">
            <v>13</v>
          </cell>
          <cell r="BZ238">
            <v>13</v>
          </cell>
          <cell r="CA238" t="str">
            <v/>
          </cell>
          <cell r="CB238">
            <v>0</v>
          </cell>
          <cell r="CC238">
            <v>0</v>
          </cell>
          <cell r="CD238">
            <v>13</v>
          </cell>
          <cell r="CE238">
            <v>13</v>
          </cell>
          <cell r="CF238" t="str">
            <v/>
          </cell>
          <cell r="CG238">
            <v>0</v>
          </cell>
          <cell r="CH238">
            <v>0</v>
          </cell>
          <cell r="CI238">
            <v>13</v>
          </cell>
          <cell r="CJ238">
            <v>13</v>
          </cell>
          <cell r="CK238" t="str">
            <v/>
          </cell>
          <cell r="CL238">
            <v>0</v>
          </cell>
          <cell r="CM238">
            <v>0</v>
          </cell>
          <cell r="CN238">
            <v>13</v>
          </cell>
          <cell r="CO238">
            <v>13</v>
          </cell>
          <cell r="CP238" t="str">
            <v/>
          </cell>
          <cell r="CQ238">
            <v>0</v>
          </cell>
          <cell r="CR238">
            <v>0</v>
          </cell>
          <cell r="CS238">
            <v>13</v>
          </cell>
          <cell r="CT238">
            <v>13</v>
          </cell>
          <cell r="CU238" t="str">
            <v/>
          </cell>
          <cell r="CV238">
            <v>0</v>
          </cell>
          <cell r="CW238">
            <v>0</v>
          </cell>
          <cell r="CX238">
            <v>13</v>
          </cell>
          <cell r="CY238">
            <v>13</v>
          </cell>
          <cell r="CZ238" t="str">
            <v/>
          </cell>
          <cell r="DA238">
            <v>0</v>
          </cell>
          <cell r="DB238">
            <v>0</v>
          </cell>
          <cell r="DC238">
            <v>13</v>
          </cell>
          <cell r="DD238">
            <v>15</v>
          </cell>
          <cell r="DE238" t="str">
            <v/>
          </cell>
          <cell r="DF238">
            <v>0</v>
          </cell>
          <cell r="DG238">
            <v>0</v>
          </cell>
          <cell r="DH238">
            <v>15</v>
          </cell>
          <cell r="DI238">
            <v>15</v>
          </cell>
          <cell r="DJ238" t="str">
            <v/>
          </cell>
          <cell r="DK238">
            <v>0</v>
          </cell>
          <cell r="DL238">
            <v>0</v>
          </cell>
          <cell r="DM238">
            <v>15</v>
          </cell>
          <cell r="DN238">
            <v>15</v>
          </cell>
          <cell r="DO238" t="str">
            <v/>
          </cell>
          <cell r="DP238">
            <v>0</v>
          </cell>
          <cell r="DQ238">
            <v>0</v>
          </cell>
          <cell r="DR238">
            <v>15</v>
          </cell>
          <cell r="DS238">
            <v>15</v>
          </cell>
          <cell r="DT238" t="str">
            <v/>
          </cell>
          <cell r="DU238">
            <v>0</v>
          </cell>
          <cell r="DV238">
            <v>0</v>
          </cell>
          <cell r="DW238">
            <v>15</v>
          </cell>
          <cell r="DX238">
            <v>15</v>
          </cell>
          <cell r="DY238" t="str">
            <v/>
          </cell>
          <cell r="DZ238">
            <v>0</v>
          </cell>
          <cell r="EA238">
            <v>0</v>
          </cell>
          <cell r="EB238">
            <v>15</v>
          </cell>
          <cell r="EC238">
            <v>15</v>
          </cell>
          <cell r="ED238" t="str">
            <v/>
          </cell>
          <cell r="EE238">
            <v>0</v>
          </cell>
          <cell r="EF238">
            <v>0</v>
          </cell>
          <cell r="EG238">
            <v>15</v>
          </cell>
          <cell r="EH238">
            <v>15</v>
          </cell>
          <cell r="EI238" t="str">
            <v/>
          </cell>
          <cell r="EJ238">
            <v>0</v>
          </cell>
          <cell r="EK238">
            <v>0</v>
          </cell>
          <cell r="EL238">
            <v>15</v>
          </cell>
          <cell r="EM238">
            <v>15</v>
          </cell>
          <cell r="EN238" t="str">
            <v/>
          </cell>
          <cell r="EO238">
            <v>0</v>
          </cell>
          <cell r="EP238">
            <v>0</v>
          </cell>
          <cell r="EQ238">
            <v>15</v>
          </cell>
          <cell r="ER238">
            <v>15</v>
          </cell>
          <cell r="ES238" t="str">
            <v/>
          </cell>
          <cell r="ET238">
            <v>0</v>
          </cell>
          <cell r="EU238">
            <v>0</v>
          </cell>
          <cell r="EV238">
            <v>15</v>
          </cell>
          <cell r="EW238">
            <v>15</v>
          </cell>
          <cell r="EX238" t="str">
            <v/>
          </cell>
          <cell r="EY238">
            <v>0</v>
          </cell>
          <cell r="EZ238">
            <v>0</v>
          </cell>
          <cell r="FA238">
            <v>15</v>
          </cell>
          <cell r="FB238">
            <v>15</v>
          </cell>
          <cell r="FC238" t="str">
            <v/>
          </cell>
          <cell r="FD238">
            <v>0</v>
          </cell>
          <cell r="FE238">
            <v>0</v>
          </cell>
          <cell r="FF238">
            <v>15</v>
          </cell>
          <cell r="FG238">
            <v>15</v>
          </cell>
          <cell r="FH238" t="str">
            <v/>
          </cell>
          <cell r="FI238">
            <v>0</v>
          </cell>
          <cell r="FJ238">
            <v>0</v>
          </cell>
          <cell r="FK238">
            <v>15</v>
          </cell>
          <cell r="FL238">
            <v>15</v>
          </cell>
          <cell r="FM238" t="str">
            <v/>
          </cell>
          <cell r="FN238">
            <v>0</v>
          </cell>
          <cell r="FO238">
            <v>0</v>
          </cell>
          <cell r="FP238">
            <v>15</v>
          </cell>
          <cell r="FQ238">
            <v>15</v>
          </cell>
          <cell r="FR238" t="str">
            <v/>
          </cell>
          <cell r="FS238">
            <v>0</v>
          </cell>
          <cell r="FT238">
            <v>0</v>
          </cell>
          <cell r="FU238">
            <v>1.0333333333333334</v>
          </cell>
          <cell r="FW238" t="str">
            <v>SIN ROTACIÓN</v>
          </cell>
          <cell r="FX238" t="str">
            <v>STOCK MUERTO</v>
          </cell>
          <cell r="FY238" t="str">
            <v>Si</v>
          </cell>
        </row>
        <row r="239">
          <cell r="B239" t="str">
            <v>REP-0249</v>
          </cell>
          <cell r="C239" t="str">
            <v>CAT</v>
          </cell>
          <cell r="D239">
            <v>0</v>
          </cell>
          <cell r="E239">
            <v>18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1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19</v>
          </cell>
          <cell r="AA239">
            <v>19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18</v>
          </cell>
          <cell r="AQ239" t="str">
            <v/>
          </cell>
          <cell r="AR239">
            <v>0</v>
          </cell>
          <cell r="AS239">
            <v>18</v>
          </cell>
          <cell r="AT239">
            <v>18</v>
          </cell>
          <cell r="AU239" t="str">
            <v/>
          </cell>
          <cell r="AV239">
            <v>0</v>
          </cell>
          <cell r="AW239">
            <v>18</v>
          </cell>
          <cell r="AX239">
            <v>18</v>
          </cell>
          <cell r="AY239" t="str">
            <v/>
          </cell>
          <cell r="AZ239">
            <v>0</v>
          </cell>
          <cell r="BA239">
            <v>18</v>
          </cell>
          <cell r="BB239">
            <v>18</v>
          </cell>
          <cell r="BC239" t="str">
            <v/>
          </cell>
          <cell r="BD239">
            <v>0</v>
          </cell>
          <cell r="BE239">
            <v>18</v>
          </cell>
          <cell r="BF239" t="str">
            <v/>
          </cell>
          <cell r="BG239">
            <v>0</v>
          </cell>
          <cell r="BH239">
            <v>18</v>
          </cell>
          <cell r="BI239">
            <v>19</v>
          </cell>
          <cell r="BJ239" t="str">
            <v/>
          </cell>
          <cell r="BK239">
            <v>0</v>
          </cell>
          <cell r="BL239">
            <v>18</v>
          </cell>
          <cell r="BM239">
            <v>18</v>
          </cell>
          <cell r="BN239" t="str">
            <v/>
          </cell>
          <cell r="BO239">
            <v>0</v>
          </cell>
          <cell r="BP239">
            <v>18</v>
          </cell>
          <cell r="BQ239">
            <v>18</v>
          </cell>
          <cell r="BR239" t="str">
            <v/>
          </cell>
          <cell r="BS239">
            <v>0</v>
          </cell>
          <cell r="BT239">
            <v>18</v>
          </cell>
          <cell r="BU239">
            <v>18</v>
          </cell>
          <cell r="BV239" t="str">
            <v/>
          </cell>
          <cell r="BW239">
            <v>0</v>
          </cell>
          <cell r="BX239">
            <v>0</v>
          </cell>
          <cell r="BY239">
            <v>18</v>
          </cell>
          <cell r="BZ239">
            <v>18</v>
          </cell>
          <cell r="CA239" t="str">
            <v/>
          </cell>
          <cell r="CB239">
            <v>0</v>
          </cell>
          <cell r="CC239">
            <v>0</v>
          </cell>
          <cell r="CD239">
            <v>18</v>
          </cell>
          <cell r="CE239">
            <v>18</v>
          </cell>
          <cell r="CF239" t="str">
            <v/>
          </cell>
          <cell r="CG239">
            <v>0</v>
          </cell>
          <cell r="CH239">
            <v>0</v>
          </cell>
          <cell r="CI239">
            <v>18</v>
          </cell>
          <cell r="CJ239">
            <v>19</v>
          </cell>
          <cell r="CK239" t="str">
            <v/>
          </cell>
          <cell r="CL239">
            <v>0</v>
          </cell>
          <cell r="CM239">
            <v>0</v>
          </cell>
          <cell r="CN239">
            <v>19</v>
          </cell>
          <cell r="CO239">
            <v>19</v>
          </cell>
          <cell r="CP239" t="str">
            <v/>
          </cell>
          <cell r="CQ239">
            <v>0</v>
          </cell>
          <cell r="CR239">
            <v>0</v>
          </cell>
          <cell r="CS239">
            <v>19</v>
          </cell>
          <cell r="CT239">
            <v>19</v>
          </cell>
          <cell r="CU239" t="str">
            <v/>
          </cell>
          <cell r="CV239">
            <v>0</v>
          </cell>
          <cell r="CW239">
            <v>0</v>
          </cell>
          <cell r="CX239">
            <v>19</v>
          </cell>
          <cell r="CY239">
            <v>18</v>
          </cell>
          <cell r="CZ239" t="str">
            <v/>
          </cell>
          <cell r="DA239">
            <v>0</v>
          </cell>
          <cell r="DB239">
            <v>0</v>
          </cell>
          <cell r="DC239">
            <v>18</v>
          </cell>
          <cell r="DD239">
            <v>19</v>
          </cell>
          <cell r="DE239" t="str">
            <v/>
          </cell>
          <cell r="DF239">
            <v>0</v>
          </cell>
          <cell r="DG239">
            <v>0</v>
          </cell>
          <cell r="DH239">
            <v>19</v>
          </cell>
          <cell r="DI239">
            <v>19</v>
          </cell>
          <cell r="DJ239" t="str">
            <v/>
          </cell>
          <cell r="DK239">
            <v>0</v>
          </cell>
          <cell r="DL239">
            <v>0</v>
          </cell>
          <cell r="DM239">
            <v>19</v>
          </cell>
          <cell r="DN239">
            <v>19</v>
          </cell>
          <cell r="DO239" t="str">
            <v/>
          </cell>
          <cell r="DP239">
            <v>0</v>
          </cell>
          <cell r="DQ239">
            <v>0</v>
          </cell>
          <cell r="DR239">
            <v>19</v>
          </cell>
          <cell r="DS239">
            <v>19</v>
          </cell>
          <cell r="DT239" t="str">
            <v/>
          </cell>
          <cell r="DU239">
            <v>0</v>
          </cell>
          <cell r="DV239">
            <v>0</v>
          </cell>
          <cell r="DW239">
            <v>19</v>
          </cell>
          <cell r="DX239">
            <v>19</v>
          </cell>
          <cell r="DY239" t="str">
            <v/>
          </cell>
          <cell r="DZ239">
            <v>0</v>
          </cell>
          <cell r="EA239">
            <v>0</v>
          </cell>
          <cell r="EB239">
            <v>19</v>
          </cell>
          <cell r="EC239">
            <v>19</v>
          </cell>
          <cell r="ED239" t="str">
            <v/>
          </cell>
          <cell r="EE239">
            <v>0</v>
          </cell>
          <cell r="EF239">
            <v>0</v>
          </cell>
          <cell r="EG239">
            <v>19</v>
          </cell>
          <cell r="EH239">
            <v>19</v>
          </cell>
          <cell r="EI239" t="str">
            <v/>
          </cell>
          <cell r="EJ239">
            <v>0</v>
          </cell>
          <cell r="EK239">
            <v>0</v>
          </cell>
          <cell r="EL239">
            <v>19</v>
          </cell>
          <cell r="EM239">
            <v>19</v>
          </cell>
          <cell r="EN239" t="str">
            <v/>
          </cell>
          <cell r="EO239">
            <v>0</v>
          </cell>
          <cell r="EP239">
            <v>0</v>
          </cell>
          <cell r="EQ239">
            <v>19</v>
          </cell>
          <cell r="ER239">
            <v>19</v>
          </cell>
          <cell r="ES239" t="str">
            <v/>
          </cell>
          <cell r="ET239">
            <v>0</v>
          </cell>
          <cell r="EU239">
            <v>0</v>
          </cell>
          <cell r="EV239">
            <v>19</v>
          </cell>
          <cell r="EW239">
            <v>19</v>
          </cell>
          <cell r="EX239" t="str">
            <v/>
          </cell>
          <cell r="EY239">
            <v>0</v>
          </cell>
          <cell r="EZ239">
            <v>0</v>
          </cell>
          <cell r="FA239">
            <v>19</v>
          </cell>
          <cell r="FB239">
            <v>19</v>
          </cell>
          <cell r="FC239" t="str">
            <v/>
          </cell>
          <cell r="FD239">
            <v>0</v>
          </cell>
          <cell r="FE239">
            <v>0</v>
          </cell>
          <cell r="FF239">
            <v>19</v>
          </cell>
          <cell r="FG239">
            <v>19</v>
          </cell>
          <cell r="FH239" t="str">
            <v/>
          </cell>
          <cell r="FI239">
            <v>0</v>
          </cell>
          <cell r="FJ239">
            <v>0</v>
          </cell>
          <cell r="FK239">
            <v>19</v>
          </cell>
          <cell r="FL239">
            <v>19</v>
          </cell>
          <cell r="FM239" t="str">
            <v/>
          </cell>
          <cell r="FN239">
            <v>0</v>
          </cell>
          <cell r="FO239">
            <v>0</v>
          </cell>
          <cell r="FP239">
            <v>19</v>
          </cell>
          <cell r="FQ239">
            <v>19</v>
          </cell>
          <cell r="FR239" t="str">
            <v/>
          </cell>
          <cell r="FS239">
            <v>0</v>
          </cell>
          <cell r="FT239">
            <v>0</v>
          </cell>
          <cell r="FU239">
            <v>1.0333333333333334</v>
          </cell>
          <cell r="FW239" t="str">
            <v>SIN ROTACIÓN</v>
          </cell>
          <cell r="FX239" t="str">
            <v>STOCK MUERTO</v>
          </cell>
          <cell r="FY239" t="str">
            <v>Si</v>
          </cell>
        </row>
        <row r="240">
          <cell r="B240" t="str">
            <v>REP-0250</v>
          </cell>
          <cell r="C240" t="str">
            <v>NO VIGENTE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O240">
            <v>0</v>
          </cell>
          <cell r="AP240">
            <v>0</v>
          </cell>
          <cell r="AQ240" t="str">
            <v/>
          </cell>
          <cell r="AR240">
            <v>0</v>
          </cell>
          <cell r="AS240">
            <v>0</v>
          </cell>
          <cell r="AT240">
            <v>0</v>
          </cell>
          <cell r="AU240" t="str">
            <v/>
          </cell>
          <cell r="AV240">
            <v>0</v>
          </cell>
          <cell r="AW240">
            <v>0</v>
          </cell>
          <cell r="AX240">
            <v>0</v>
          </cell>
          <cell r="AY240" t="str">
            <v/>
          </cell>
          <cell r="AZ240">
            <v>0</v>
          </cell>
          <cell r="BA240">
            <v>0</v>
          </cell>
          <cell r="BB240">
            <v>0</v>
          </cell>
          <cell r="BC240" t="str">
            <v/>
          </cell>
          <cell r="BD240">
            <v>0</v>
          </cell>
          <cell r="BE240">
            <v>0</v>
          </cell>
          <cell r="BF240" t="str">
            <v/>
          </cell>
          <cell r="BG240">
            <v>0</v>
          </cell>
          <cell r="BH240">
            <v>0</v>
          </cell>
          <cell r="BI240">
            <v>0</v>
          </cell>
          <cell r="BJ240" t="str">
            <v/>
          </cell>
          <cell r="BK240">
            <v>0</v>
          </cell>
          <cell r="BL240">
            <v>0</v>
          </cell>
          <cell r="BM240">
            <v>0</v>
          </cell>
          <cell r="BN240" t="str">
            <v/>
          </cell>
          <cell r="BO240">
            <v>0</v>
          </cell>
          <cell r="BP240">
            <v>0</v>
          </cell>
          <cell r="BQ240">
            <v>0</v>
          </cell>
          <cell r="BR240" t="str">
            <v/>
          </cell>
          <cell r="BS240">
            <v>0</v>
          </cell>
          <cell r="BT240">
            <v>0</v>
          </cell>
          <cell r="BU240">
            <v>0</v>
          </cell>
          <cell r="BV240" t="str">
            <v/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 t="str">
            <v/>
          </cell>
          <cell r="CB240">
            <v>0</v>
          </cell>
          <cell r="CD240">
            <v>0</v>
          </cell>
          <cell r="CE240">
            <v>0</v>
          </cell>
          <cell r="CF240" t="str">
            <v/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 t="str">
            <v/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 t="str">
            <v/>
          </cell>
          <cell r="CQ240">
            <v>0</v>
          </cell>
          <cell r="CS240">
            <v>0</v>
          </cell>
          <cell r="CT240">
            <v>0</v>
          </cell>
          <cell r="CU240" t="str">
            <v/>
          </cell>
          <cell r="CV240">
            <v>0</v>
          </cell>
          <cell r="CX240">
            <v>0</v>
          </cell>
          <cell r="CY240">
            <v>0</v>
          </cell>
          <cell r="CZ240" t="str">
            <v/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 t="str">
            <v/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 t="str">
            <v/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 t="str">
            <v/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 t="str">
            <v/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 t="str">
            <v/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 t="str">
            <v/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 t="str">
            <v/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 t="str">
            <v/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 t="str">
            <v/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 t="str">
            <v/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 t="str">
            <v/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 t="str">
            <v/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 t="str">
            <v/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 t="str">
            <v/>
          </cell>
          <cell r="FS240">
            <v>0</v>
          </cell>
          <cell r="FT240">
            <v>0</v>
          </cell>
          <cell r="FU240">
            <v>66.666666666666671</v>
          </cell>
          <cell r="FW240" t="str">
            <v>SIN ROTACIÓN</v>
          </cell>
          <cell r="FX240">
            <v>0</v>
          </cell>
          <cell r="FY240" t="str">
            <v>No</v>
          </cell>
        </row>
        <row r="241">
          <cell r="B241" t="str">
            <v>REP-0251</v>
          </cell>
          <cell r="C241" t="str">
            <v>NO VIGENTE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O241">
            <v>0</v>
          </cell>
          <cell r="AP241">
            <v>0</v>
          </cell>
          <cell r="AQ241" t="str">
            <v/>
          </cell>
          <cell r="AR241">
            <v>0</v>
          </cell>
          <cell r="AS241">
            <v>0</v>
          </cell>
          <cell r="AT241">
            <v>0</v>
          </cell>
          <cell r="AU241" t="str">
            <v/>
          </cell>
          <cell r="AV241">
            <v>0</v>
          </cell>
          <cell r="AW241">
            <v>0</v>
          </cell>
          <cell r="AX241">
            <v>0</v>
          </cell>
          <cell r="AY241" t="str">
            <v/>
          </cell>
          <cell r="AZ241">
            <v>0</v>
          </cell>
          <cell r="BA241">
            <v>0</v>
          </cell>
          <cell r="BB241">
            <v>0</v>
          </cell>
          <cell r="BC241" t="str">
            <v/>
          </cell>
          <cell r="BD241">
            <v>0</v>
          </cell>
          <cell r="BE241">
            <v>0</v>
          </cell>
          <cell r="BF241" t="str">
            <v/>
          </cell>
          <cell r="BG241">
            <v>0</v>
          </cell>
          <cell r="BH241">
            <v>0</v>
          </cell>
          <cell r="BI241">
            <v>0</v>
          </cell>
          <cell r="BJ241" t="str">
            <v/>
          </cell>
          <cell r="BK241">
            <v>0</v>
          </cell>
          <cell r="BL241">
            <v>0</v>
          </cell>
          <cell r="BM241">
            <v>0</v>
          </cell>
          <cell r="BN241" t="str">
            <v/>
          </cell>
          <cell r="BO241">
            <v>0</v>
          </cell>
          <cell r="BP241">
            <v>0</v>
          </cell>
          <cell r="BQ241">
            <v>0</v>
          </cell>
          <cell r="BR241" t="str">
            <v/>
          </cell>
          <cell r="BS241">
            <v>0</v>
          </cell>
          <cell r="BT241">
            <v>0</v>
          </cell>
          <cell r="BU241">
            <v>0</v>
          </cell>
          <cell r="BV241" t="str">
            <v/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 t="str">
            <v/>
          </cell>
          <cell r="CB241">
            <v>0</v>
          </cell>
          <cell r="CD241">
            <v>0</v>
          </cell>
          <cell r="CE241">
            <v>0</v>
          </cell>
          <cell r="CF241" t="str">
            <v/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 t="str">
            <v/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 t="str">
            <v/>
          </cell>
          <cell r="CQ241">
            <v>0</v>
          </cell>
          <cell r="CS241">
            <v>0</v>
          </cell>
          <cell r="CT241">
            <v>0</v>
          </cell>
          <cell r="CU241" t="str">
            <v/>
          </cell>
          <cell r="CV241">
            <v>0</v>
          </cell>
          <cell r="CX241">
            <v>0</v>
          </cell>
          <cell r="CY241">
            <v>0</v>
          </cell>
          <cell r="CZ241" t="str">
            <v/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 t="str">
            <v/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 t="str">
            <v/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 t="str">
            <v/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 t="str">
            <v/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 t="str">
            <v/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 t="str">
            <v/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 t="str">
            <v/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 t="str">
            <v/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 t="str">
            <v/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 t="str">
            <v/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 t="str">
            <v/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 t="str">
            <v/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 t="str">
            <v/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 t="str">
            <v/>
          </cell>
          <cell r="FS241">
            <v>0</v>
          </cell>
          <cell r="FT241">
            <v>0</v>
          </cell>
          <cell r="FU241">
            <v>66.666666666666671</v>
          </cell>
          <cell r="FW241" t="str">
            <v>SIN ROTACIÓN</v>
          </cell>
          <cell r="FX241">
            <v>0</v>
          </cell>
          <cell r="FY241" t="str">
            <v>No</v>
          </cell>
        </row>
        <row r="242">
          <cell r="B242" t="str">
            <v>REP-0252</v>
          </cell>
          <cell r="C242" t="str">
            <v>CAT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6</v>
          </cell>
          <cell r="L242">
            <v>10</v>
          </cell>
          <cell r="M242">
            <v>9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1</v>
          </cell>
          <cell r="U242">
            <v>0</v>
          </cell>
          <cell r="V242">
            <v>2</v>
          </cell>
          <cell r="W242">
            <v>0</v>
          </cell>
          <cell r="X242">
            <v>0</v>
          </cell>
          <cell r="Y242">
            <v>28</v>
          </cell>
          <cell r="AA242">
            <v>28</v>
          </cell>
          <cell r="AB242">
            <v>23</v>
          </cell>
          <cell r="AC242">
            <v>5.666666666666667</v>
          </cell>
          <cell r="AD242">
            <v>0.18888888888888891</v>
          </cell>
          <cell r="AE242">
            <v>4.25</v>
          </cell>
          <cell r="AF242">
            <v>6.833333333333333</v>
          </cell>
          <cell r="AG242">
            <v>7.416666666666667</v>
          </cell>
          <cell r="AH242">
            <v>6</v>
          </cell>
          <cell r="AI242">
            <v>6</v>
          </cell>
          <cell r="AJ242">
            <v>6</v>
          </cell>
          <cell r="AK242">
            <v>7.416666666666667</v>
          </cell>
          <cell r="AL242">
            <v>0.64978628965393093</v>
          </cell>
          <cell r="AM242">
            <v>6.354166666666667</v>
          </cell>
          <cell r="AN242">
            <v>0.10226144886356946</v>
          </cell>
          <cell r="AO242">
            <v>0</v>
          </cell>
          <cell r="AP242">
            <v>49.583333333333336</v>
          </cell>
          <cell r="AQ242">
            <v>6.6</v>
          </cell>
          <cell r="AR242">
            <v>0</v>
          </cell>
          <cell r="AS242">
            <v>43.333333333333329</v>
          </cell>
          <cell r="AT242">
            <v>51</v>
          </cell>
          <cell r="AU242">
            <v>6.8764044943820224</v>
          </cell>
          <cell r="AV242">
            <v>0</v>
          </cell>
          <cell r="AW242">
            <v>103.58333333333333</v>
          </cell>
          <cell r="AX242">
            <v>39</v>
          </cell>
          <cell r="AY242">
            <v>5.2584269662921344</v>
          </cell>
          <cell r="AZ242">
            <v>0</v>
          </cell>
          <cell r="BA242">
            <v>91.583333333333329</v>
          </cell>
          <cell r="BB242">
            <v>92</v>
          </cell>
          <cell r="BC242">
            <v>11.04</v>
          </cell>
          <cell r="BD242">
            <v>0</v>
          </cell>
          <cell r="BE242">
            <v>83.666666666666671</v>
          </cell>
          <cell r="BF242">
            <v>10.039999999999999</v>
          </cell>
          <cell r="BG242">
            <v>0</v>
          </cell>
          <cell r="BH242">
            <v>75.333333333333343</v>
          </cell>
          <cell r="BI242">
            <v>28</v>
          </cell>
          <cell r="BJ242">
            <v>3.7752808988764044</v>
          </cell>
          <cell r="BK242">
            <v>0</v>
          </cell>
          <cell r="BL242">
            <v>71.583333333333329</v>
          </cell>
          <cell r="BM242">
            <v>77</v>
          </cell>
          <cell r="BN242">
            <v>10.382022471910112</v>
          </cell>
          <cell r="BO242">
            <v>0</v>
          </cell>
          <cell r="BP242">
            <v>69.583333333333329</v>
          </cell>
          <cell r="BQ242">
            <v>74</v>
          </cell>
          <cell r="BR242">
            <v>9.97752808988764</v>
          </cell>
          <cell r="BS242">
            <v>0</v>
          </cell>
          <cell r="BT242">
            <v>66.583333333333329</v>
          </cell>
          <cell r="BU242">
            <v>72</v>
          </cell>
          <cell r="BV242">
            <v>9.7078651685393247</v>
          </cell>
          <cell r="BW242">
            <v>0</v>
          </cell>
          <cell r="BX242">
            <v>0</v>
          </cell>
          <cell r="BY242">
            <v>76.583333333333329</v>
          </cell>
          <cell r="BZ242">
            <v>70</v>
          </cell>
          <cell r="CA242">
            <v>9.4382022471910112</v>
          </cell>
          <cell r="CB242">
            <v>0</v>
          </cell>
          <cell r="CC242">
            <v>0</v>
          </cell>
          <cell r="CD242">
            <v>74.583333333333329</v>
          </cell>
          <cell r="CE242">
            <v>83</v>
          </cell>
          <cell r="CF242">
            <v>11.191011235955056</v>
          </cell>
          <cell r="CG242">
            <v>0</v>
          </cell>
          <cell r="CH242">
            <v>0</v>
          </cell>
          <cell r="CI242">
            <v>67.166666666666657</v>
          </cell>
          <cell r="CJ242">
            <v>60</v>
          </cell>
          <cell r="CK242">
            <v>8.0898876404494384</v>
          </cell>
          <cell r="CL242">
            <v>0</v>
          </cell>
          <cell r="CM242">
            <v>0</v>
          </cell>
          <cell r="CN242">
            <v>52.583333333333336</v>
          </cell>
          <cell r="CO242">
            <v>55</v>
          </cell>
          <cell r="CP242">
            <v>7.4157303370786511</v>
          </cell>
          <cell r="CQ242">
            <v>0</v>
          </cell>
          <cell r="CR242">
            <v>0</v>
          </cell>
          <cell r="CS242">
            <v>47.583333333333336</v>
          </cell>
          <cell r="CT242">
            <v>48</v>
          </cell>
          <cell r="CU242">
            <v>6.4719101123595504</v>
          </cell>
          <cell r="CV242">
            <v>0</v>
          </cell>
          <cell r="CW242">
            <v>0</v>
          </cell>
          <cell r="CX242">
            <v>40.583333333333336</v>
          </cell>
          <cell r="CY242">
            <v>38</v>
          </cell>
          <cell r="CZ242">
            <v>4.9565217391304346</v>
          </cell>
          <cell r="DA242">
            <v>0</v>
          </cell>
          <cell r="DB242">
            <v>0</v>
          </cell>
          <cell r="DC242">
            <v>30.166666666666668</v>
          </cell>
          <cell r="DD242">
            <v>38</v>
          </cell>
          <cell r="DE242">
            <v>3.7021276595744683</v>
          </cell>
          <cell r="DF242">
            <v>0</v>
          </cell>
          <cell r="DG242">
            <v>0</v>
          </cell>
          <cell r="DH242">
            <v>30.166666666666668</v>
          </cell>
          <cell r="DI242">
            <v>38</v>
          </cell>
          <cell r="DJ242">
            <v>5.4799999999999995</v>
          </cell>
          <cell r="DK242">
            <v>0</v>
          </cell>
          <cell r="DL242">
            <v>0</v>
          </cell>
          <cell r="DM242">
            <v>21.833333333333336</v>
          </cell>
          <cell r="DN242">
            <v>28</v>
          </cell>
          <cell r="DO242">
            <v>4.6966292134831455</v>
          </cell>
          <cell r="DP242">
            <v>0</v>
          </cell>
          <cell r="DQ242">
            <v>50</v>
          </cell>
          <cell r="DR242">
            <v>70.583333333333329</v>
          </cell>
          <cell r="DS242">
            <v>70.583333333333329</v>
          </cell>
          <cell r="DT242">
            <v>10.438202247191009</v>
          </cell>
          <cell r="DU242">
            <v>0</v>
          </cell>
          <cell r="DV242">
            <v>0</v>
          </cell>
          <cell r="DW242">
            <v>63.166666666666664</v>
          </cell>
          <cell r="DX242">
            <v>63.166666666666664</v>
          </cell>
          <cell r="DY242">
            <v>9.4382022471910112</v>
          </cell>
          <cell r="DZ242">
            <v>0</v>
          </cell>
          <cell r="EA242">
            <v>0</v>
          </cell>
          <cell r="EB242">
            <v>55.75</v>
          </cell>
          <cell r="EC242">
            <v>55.75</v>
          </cell>
          <cell r="ED242">
            <v>8.4382022471910112</v>
          </cell>
          <cell r="EE242">
            <v>0</v>
          </cell>
          <cell r="EF242">
            <v>0</v>
          </cell>
          <cell r="EG242">
            <v>48.333333333333336</v>
          </cell>
          <cell r="EH242">
            <v>48.333333333333336</v>
          </cell>
          <cell r="EI242">
            <v>7.4382022471910112</v>
          </cell>
          <cell r="EJ242">
            <v>0</v>
          </cell>
          <cell r="EK242">
            <v>0</v>
          </cell>
          <cell r="EL242">
            <v>40.916666666666671</v>
          </cell>
          <cell r="EM242">
            <v>40.916666666666671</v>
          </cell>
          <cell r="EN242">
            <v>6.4382022471910121</v>
          </cell>
          <cell r="EO242">
            <v>0</v>
          </cell>
          <cell r="EP242">
            <v>20</v>
          </cell>
          <cell r="EQ242">
            <v>53.500000000000007</v>
          </cell>
          <cell r="ER242">
            <v>53.500000000000007</v>
          </cell>
          <cell r="ES242">
            <v>8.1348314606741567</v>
          </cell>
          <cell r="ET242">
            <v>0</v>
          </cell>
          <cell r="EU242">
            <v>0</v>
          </cell>
          <cell r="EV242">
            <v>46.083333333333343</v>
          </cell>
          <cell r="EW242">
            <v>46.083333333333343</v>
          </cell>
          <cell r="EX242">
            <v>7.1348314606741585</v>
          </cell>
          <cell r="EY242">
            <v>0</v>
          </cell>
          <cell r="EZ242">
            <v>0</v>
          </cell>
          <cell r="FA242">
            <v>38.666666666666679</v>
          </cell>
          <cell r="FB242">
            <v>38.666666666666679</v>
          </cell>
          <cell r="FC242">
            <v>6.1348314606741585</v>
          </cell>
          <cell r="FD242">
            <v>0</v>
          </cell>
          <cell r="FE242">
            <v>22</v>
          </cell>
          <cell r="FF242">
            <v>53.250000000000014</v>
          </cell>
          <cell r="FG242">
            <v>53.250000000000014</v>
          </cell>
          <cell r="FH242">
            <v>8.1011235955056193</v>
          </cell>
          <cell r="FI242">
            <v>0</v>
          </cell>
          <cell r="FJ242">
            <v>0</v>
          </cell>
          <cell r="FK242">
            <v>45.83333333333335</v>
          </cell>
          <cell r="FL242">
            <v>45.83333333333335</v>
          </cell>
          <cell r="FM242">
            <v>7.1011235955056202</v>
          </cell>
          <cell r="FN242">
            <v>0</v>
          </cell>
          <cell r="FO242">
            <v>0</v>
          </cell>
          <cell r="FP242">
            <v>38.416666666666686</v>
          </cell>
          <cell r="FQ242">
            <v>38.416666666666686</v>
          </cell>
          <cell r="FR242">
            <v>6.1011235955056202</v>
          </cell>
          <cell r="FS242">
            <v>0</v>
          </cell>
          <cell r="FT242">
            <v>8</v>
          </cell>
          <cell r="FU242">
            <v>1.0333333333333334</v>
          </cell>
          <cell r="FW242" t="str">
            <v>SOBRESTOCK</v>
          </cell>
          <cell r="FX242" t="str">
            <v>A</v>
          </cell>
          <cell r="FY242" t="str">
            <v>Si</v>
          </cell>
        </row>
        <row r="243">
          <cell r="B243" t="str">
            <v>REP-0253</v>
          </cell>
          <cell r="C243" t="str">
            <v>CAT</v>
          </cell>
          <cell r="D243">
            <v>0</v>
          </cell>
          <cell r="E243">
            <v>9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9</v>
          </cell>
          <cell r="AA243">
            <v>9</v>
          </cell>
          <cell r="AB243">
            <v>2</v>
          </cell>
          <cell r="AC243">
            <v>0</v>
          </cell>
          <cell r="AD243">
            <v>0</v>
          </cell>
          <cell r="AE243">
            <v>0.16666666666666666</v>
          </cell>
          <cell r="AF243">
            <v>0</v>
          </cell>
          <cell r="AG243">
            <v>0.25</v>
          </cell>
          <cell r="AH243">
            <v>0</v>
          </cell>
          <cell r="AI243">
            <v>0</v>
          </cell>
          <cell r="AJ243">
            <v>0</v>
          </cell>
          <cell r="AK243">
            <v>0.25</v>
          </cell>
          <cell r="AL243">
            <v>0.125</v>
          </cell>
          <cell r="AM243">
            <v>6.25E-2</v>
          </cell>
          <cell r="AN243">
            <v>2</v>
          </cell>
          <cell r="AO243">
            <v>0</v>
          </cell>
          <cell r="AP243">
            <v>8.75</v>
          </cell>
          <cell r="AQ243">
            <v>26</v>
          </cell>
          <cell r="AR243">
            <v>0</v>
          </cell>
          <cell r="AS243">
            <v>8.3333333333333321</v>
          </cell>
          <cell r="AT243">
            <v>9</v>
          </cell>
          <cell r="AU243">
            <v>27</v>
          </cell>
          <cell r="AV243">
            <v>0</v>
          </cell>
          <cell r="AW243">
            <v>8.6666666666666661</v>
          </cell>
          <cell r="AX243">
            <v>9</v>
          </cell>
          <cell r="AY243">
            <v>36</v>
          </cell>
          <cell r="AZ243">
            <v>0</v>
          </cell>
          <cell r="BA243">
            <v>8.6666666666666661</v>
          </cell>
          <cell r="BB243">
            <v>9</v>
          </cell>
          <cell r="BC243">
            <v>36</v>
          </cell>
          <cell r="BD243">
            <v>0</v>
          </cell>
          <cell r="BE243">
            <v>8.75</v>
          </cell>
          <cell r="BF243">
            <v>35</v>
          </cell>
          <cell r="BG243">
            <v>0</v>
          </cell>
          <cell r="BH243">
            <v>8.5</v>
          </cell>
          <cell r="BI243">
            <v>9</v>
          </cell>
          <cell r="BJ243">
            <v>36</v>
          </cell>
          <cell r="BK243">
            <v>0</v>
          </cell>
          <cell r="BL243">
            <v>8.75</v>
          </cell>
          <cell r="BM243">
            <v>9</v>
          </cell>
          <cell r="BN243">
            <v>36</v>
          </cell>
          <cell r="BO243">
            <v>0</v>
          </cell>
          <cell r="BP243">
            <v>8.75</v>
          </cell>
          <cell r="BQ243">
            <v>9</v>
          </cell>
          <cell r="BR243">
            <v>36</v>
          </cell>
          <cell r="BS243">
            <v>0</v>
          </cell>
          <cell r="BT243">
            <v>8.75</v>
          </cell>
          <cell r="BU243">
            <v>9</v>
          </cell>
          <cell r="BV243">
            <v>36</v>
          </cell>
          <cell r="BW243">
            <v>0</v>
          </cell>
          <cell r="BX243">
            <v>0</v>
          </cell>
          <cell r="BY243">
            <v>8.75</v>
          </cell>
          <cell r="BZ243">
            <v>9</v>
          </cell>
          <cell r="CA243">
            <v>36</v>
          </cell>
          <cell r="CB243">
            <v>0</v>
          </cell>
          <cell r="CC243">
            <v>0</v>
          </cell>
          <cell r="CD243">
            <v>8.75</v>
          </cell>
          <cell r="CE243">
            <v>9</v>
          </cell>
          <cell r="CF243">
            <v>36</v>
          </cell>
          <cell r="CG243">
            <v>0</v>
          </cell>
          <cell r="CH243">
            <v>0</v>
          </cell>
          <cell r="CI243">
            <v>8.5</v>
          </cell>
          <cell r="CJ243">
            <v>9</v>
          </cell>
          <cell r="CK243">
            <v>36</v>
          </cell>
          <cell r="CL243">
            <v>0</v>
          </cell>
          <cell r="CM243">
            <v>0</v>
          </cell>
          <cell r="CN243">
            <v>8.75</v>
          </cell>
          <cell r="CO243">
            <v>9</v>
          </cell>
          <cell r="CP243">
            <v>36</v>
          </cell>
          <cell r="CQ243">
            <v>0</v>
          </cell>
          <cell r="CR243">
            <v>0</v>
          </cell>
          <cell r="CS243">
            <v>8.75</v>
          </cell>
          <cell r="CT243">
            <v>9</v>
          </cell>
          <cell r="CU243">
            <v>36</v>
          </cell>
          <cell r="CV243">
            <v>0</v>
          </cell>
          <cell r="CW243">
            <v>0</v>
          </cell>
          <cell r="CX243">
            <v>8.75</v>
          </cell>
          <cell r="CY243">
            <v>9</v>
          </cell>
          <cell r="CZ243">
            <v>36</v>
          </cell>
          <cell r="DA243">
            <v>0</v>
          </cell>
          <cell r="DB243">
            <v>0</v>
          </cell>
          <cell r="DC243">
            <v>8.75</v>
          </cell>
          <cell r="DD243">
            <v>9</v>
          </cell>
          <cell r="DE243">
            <v>32</v>
          </cell>
          <cell r="DF243">
            <v>0</v>
          </cell>
          <cell r="DG243">
            <v>0</v>
          </cell>
          <cell r="DH243">
            <v>8.75</v>
          </cell>
          <cell r="DI243">
            <v>9</v>
          </cell>
          <cell r="DJ243">
            <v>34</v>
          </cell>
          <cell r="DK243">
            <v>0</v>
          </cell>
          <cell r="DL243">
            <v>0</v>
          </cell>
          <cell r="DM243">
            <v>8.5</v>
          </cell>
          <cell r="DN243">
            <v>9</v>
          </cell>
          <cell r="DO243">
            <v>34</v>
          </cell>
          <cell r="DP243">
            <v>0</v>
          </cell>
          <cell r="DQ243">
            <v>0</v>
          </cell>
          <cell r="DR243">
            <v>8.75</v>
          </cell>
          <cell r="DS243">
            <v>8.75</v>
          </cell>
          <cell r="DT243">
            <v>33</v>
          </cell>
          <cell r="DU243">
            <v>0</v>
          </cell>
          <cell r="DV243">
            <v>0</v>
          </cell>
          <cell r="DW243">
            <v>8.5</v>
          </cell>
          <cell r="DX243">
            <v>8.5</v>
          </cell>
          <cell r="DY243">
            <v>32</v>
          </cell>
          <cell r="DZ243">
            <v>0</v>
          </cell>
          <cell r="EA243">
            <v>0</v>
          </cell>
          <cell r="EB243">
            <v>8.25</v>
          </cell>
          <cell r="EC243">
            <v>8.25</v>
          </cell>
          <cell r="ED243">
            <v>31</v>
          </cell>
          <cell r="EE243">
            <v>0</v>
          </cell>
          <cell r="EF243">
            <v>0</v>
          </cell>
          <cell r="EG243">
            <v>8</v>
          </cell>
          <cell r="EH243">
            <v>8</v>
          </cell>
          <cell r="EI243">
            <v>30</v>
          </cell>
          <cell r="EJ243">
            <v>0</v>
          </cell>
          <cell r="EK243">
            <v>0</v>
          </cell>
          <cell r="EL243">
            <v>7.75</v>
          </cell>
          <cell r="EM243">
            <v>7.75</v>
          </cell>
          <cell r="EN243">
            <v>29</v>
          </cell>
          <cell r="EO243">
            <v>0</v>
          </cell>
          <cell r="EP243">
            <v>0</v>
          </cell>
          <cell r="EQ243">
            <v>7.5</v>
          </cell>
          <cell r="ER243">
            <v>7.5</v>
          </cell>
          <cell r="ES243">
            <v>28</v>
          </cell>
          <cell r="ET243">
            <v>0</v>
          </cell>
          <cell r="EU243">
            <v>0</v>
          </cell>
          <cell r="EV243">
            <v>7.25</v>
          </cell>
          <cell r="EW243">
            <v>7.25</v>
          </cell>
          <cell r="EX243">
            <v>27</v>
          </cell>
          <cell r="EY243">
            <v>0</v>
          </cell>
          <cell r="EZ243">
            <v>0</v>
          </cell>
          <cell r="FA243">
            <v>7</v>
          </cell>
          <cell r="FB243">
            <v>7</v>
          </cell>
          <cell r="FC243">
            <v>26</v>
          </cell>
          <cell r="FD243">
            <v>0</v>
          </cell>
          <cell r="FE243">
            <v>0</v>
          </cell>
          <cell r="FF243">
            <v>6.75</v>
          </cell>
          <cell r="FG243">
            <v>6.75</v>
          </cell>
          <cell r="FH243">
            <v>25</v>
          </cell>
          <cell r="FI243">
            <v>0</v>
          </cell>
          <cell r="FJ243">
            <v>0</v>
          </cell>
          <cell r="FK243">
            <v>6.5</v>
          </cell>
          <cell r="FL243">
            <v>6.5</v>
          </cell>
          <cell r="FM243">
            <v>24</v>
          </cell>
          <cell r="FN243">
            <v>0</v>
          </cell>
          <cell r="FO243">
            <v>0</v>
          </cell>
          <cell r="FP243">
            <v>6.25</v>
          </cell>
          <cell r="FQ243">
            <v>6.25</v>
          </cell>
          <cell r="FR243">
            <v>23</v>
          </cell>
          <cell r="FS243">
            <v>0</v>
          </cell>
          <cell r="FT243">
            <v>1</v>
          </cell>
          <cell r="FU243">
            <v>1.0333333333333334</v>
          </cell>
          <cell r="FW243" t="str">
            <v>SIN ROTACIÓN</v>
          </cell>
          <cell r="FX243" t="str">
            <v>C</v>
          </cell>
          <cell r="FY243" t="str">
            <v>Si</v>
          </cell>
        </row>
        <row r="244">
          <cell r="B244" t="str">
            <v>REP-0254</v>
          </cell>
          <cell r="C244" t="str">
            <v>CAT</v>
          </cell>
          <cell r="D244">
            <v>0</v>
          </cell>
          <cell r="E244">
            <v>6</v>
          </cell>
          <cell r="F244">
            <v>0</v>
          </cell>
          <cell r="G244">
            <v>0</v>
          </cell>
          <cell r="H244">
            <v>3</v>
          </cell>
          <cell r="I244">
            <v>3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15</v>
          </cell>
          <cell r="AA244">
            <v>15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13</v>
          </cell>
          <cell r="AQ244" t="str">
            <v/>
          </cell>
          <cell r="AR244">
            <v>0</v>
          </cell>
          <cell r="AS244">
            <v>13</v>
          </cell>
          <cell r="AT244">
            <v>13</v>
          </cell>
          <cell r="AU244" t="str">
            <v/>
          </cell>
          <cell r="AV244">
            <v>0</v>
          </cell>
          <cell r="AW244">
            <v>13</v>
          </cell>
          <cell r="AX244">
            <v>13</v>
          </cell>
          <cell r="AY244" t="str">
            <v/>
          </cell>
          <cell r="AZ244">
            <v>0</v>
          </cell>
          <cell r="BA244">
            <v>13</v>
          </cell>
          <cell r="BB244">
            <v>13</v>
          </cell>
          <cell r="BC244" t="str">
            <v/>
          </cell>
          <cell r="BD244">
            <v>0</v>
          </cell>
          <cell r="BE244">
            <v>13</v>
          </cell>
          <cell r="BF244" t="str">
            <v/>
          </cell>
          <cell r="BG244">
            <v>0</v>
          </cell>
          <cell r="BH244">
            <v>13</v>
          </cell>
          <cell r="BI244">
            <v>15</v>
          </cell>
          <cell r="BJ244" t="str">
            <v/>
          </cell>
          <cell r="BK244">
            <v>0</v>
          </cell>
          <cell r="BL244">
            <v>13</v>
          </cell>
          <cell r="BM244">
            <v>13</v>
          </cell>
          <cell r="BN244" t="str">
            <v/>
          </cell>
          <cell r="BO244">
            <v>0</v>
          </cell>
          <cell r="BP244">
            <v>13</v>
          </cell>
          <cell r="BQ244">
            <v>13</v>
          </cell>
          <cell r="BR244" t="str">
            <v/>
          </cell>
          <cell r="BS244">
            <v>0</v>
          </cell>
          <cell r="BT244">
            <v>13</v>
          </cell>
          <cell r="BU244">
            <v>13</v>
          </cell>
          <cell r="BV244" t="str">
            <v/>
          </cell>
          <cell r="BW244">
            <v>0</v>
          </cell>
          <cell r="BX244">
            <v>0</v>
          </cell>
          <cell r="BY244">
            <v>13</v>
          </cell>
          <cell r="BZ244">
            <v>13</v>
          </cell>
          <cell r="CA244" t="str">
            <v/>
          </cell>
          <cell r="CB244">
            <v>0</v>
          </cell>
          <cell r="CC244">
            <v>0</v>
          </cell>
          <cell r="CD244">
            <v>13</v>
          </cell>
          <cell r="CE244">
            <v>13</v>
          </cell>
          <cell r="CF244" t="str">
            <v/>
          </cell>
          <cell r="CG244">
            <v>0</v>
          </cell>
          <cell r="CH244">
            <v>0</v>
          </cell>
          <cell r="CI244">
            <v>13</v>
          </cell>
          <cell r="CJ244">
            <v>13</v>
          </cell>
          <cell r="CK244" t="str">
            <v/>
          </cell>
          <cell r="CL244">
            <v>0</v>
          </cell>
          <cell r="CM244">
            <v>0</v>
          </cell>
          <cell r="CN244">
            <v>13</v>
          </cell>
          <cell r="CO244">
            <v>13</v>
          </cell>
          <cell r="CP244" t="str">
            <v/>
          </cell>
          <cell r="CQ244">
            <v>0</v>
          </cell>
          <cell r="CR244">
            <v>0</v>
          </cell>
          <cell r="CS244">
            <v>13</v>
          </cell>
          <cell r="CT244">
            <v>12</v>
          </cell>
          <cell r="CU244" t="str">
            <v/>
          </cell>
          <cell r="CV244">
            <v>0</v>
          </cell>
          <cell r="CW244">
            <v>0</v>
          </cell>
          <cell r="CX244">
            <v>12</v>
          </cell>
          <cell r="CY244">
            <v>12</v>
          </cell>
          <cell r="CZ244" t="str">
            <v/>
          </cell>
          <cell r="DA244">
            <v>0</v>
          </cell>
          <cell r="DB244">
            <v>0</v>
          </cell>
          <cell r="DC244">
            <v>12</v>
          </cell>
          <cell r="DD244">
            <v>12</v>
          </cell>
          <cell r="DE244" t="str">
            <v/>
          </cell>
          <cell r="DF244">
            <v>0</v>
          </cell>
          <cell r="DG244">
            <v>0</v>
          </cell>
          <cell r="DH244">
            <v>12</v>
          </cell>
          <cell r="DI244">
            <v>12</v>
          </cell>
          <cell r="DJ244" t="str">
            <v/>
          </cell>
          <cell r="DK244">
            <v>0</v>
          </cell>
          <cell r="DL244">
            <v>0</v>
          </cell>
          <cell r="DM244">
            <v>12</v>
          </cell>
          <cell r="DN244">
            <v>15</v>
          </cell>
          <cell r="DO244" t="str">
            <v/>
          </cell>
          <cell r="DP244">
            <v>0</v>
          </cell>
          <cell r="DQ244">
            <v>0</v>
          </cell>
          <cell r="DR244">
            <v>15</v>
          </cell>
          <cell r="DS244">
            <v>15</v>
          </cell>
          <cell r="DT244" t="str">
            <v/>
          </cell>
          <cell r="DU244">
            <v>0</v>
          </cell>
          <cell r="DV244">
            <v>0</v>
          </cell>
          <cell r="DW244">
            <v>15</v>
          </cell>
          <cell r="DX244">
            <v>15</v>
          </cell>
          <cell r="DY244" t="str">
            <v/>
          </cell>
          <cell r="DZ244">
            <v>0</v>
          </cell>
          <cell r="EA244">
            <v>0</v>
          </cell>
          <cell r="EB244">
            <v>15</v>
          </cell>
          <cell r="EC244">
            <v>15</v>
          </cell>
          <cell r="ED244" t="str">
            <v/>
          </cell>
          <cell r="EE244">
            <v>0</v>
          </cell>
          <cell r="EF244">
            <v>0</v>
          </cell>
          <cell r="EG244">
            <v>15</v>
          </cell>
          <cell r="EH244">
            <v>15</v>
          </cell>
          <cell r="EI244" t="str">
            <v/>
          </cell>
          <cell r="EJ244">
            <v>0</v>
          </cell>
          <cell r="EK244">
            <v>0</v>
          </cell>
          <cell r="EL244">
            <v>15</v>
          </cell>
          <cell r="EM244">
            <v>15</v>
          </cell>
          <cell r="EN244" t="str">
            <v/>
          </cell>
          <cell r="EO244">
            <v>0</v>
          </cell>
          <cell r="EP244">
            <v>0</v>
          </cell>
          <cell r="EQ244">
            <v>15</v>
          </cell>
          <cell r="ER244">
            <v>15</v>
          </cell>
          <cell r="ES244" t="str">
            <v/>
          </cell>
          <cell r="ET244">
            <v>0</v>
          </cell>
          <cell r="EU244">
            <v>0</v>
          </cell>
          <cell r="EV244">
            <v>15</v>
          </cell>
          <cell r="EW244">
            <v>15</v>
          </cell>
          <cell r="EX244" t="str">
            <v/>
          </cell>
          <cell r="EY244">
            <v>0</v>
          </cell>
          <cell r="EZ244">
            <v>0</v>
          </cell>
          <cell r="FA244">
            <v>15</v>
          </cell>
          <cell r="FB244">
            <v>15</v>
          </cell>
          <cell r="FC244" t="str">
            <v/>
          </cell>
          <cell r="FD244">
            <v>0</v>
          </cell>
          <cell r="FE244">
            <v>0</v>
          </cell>
          <cell r="FF244">
            <v>15</v>
          </cell>
          <cell r="FG244">
            <v>15</v>
          </cell>
          <cell r="FH244" t="str">
            <v/>
          </cell>
          <cell r="FI244">
            <v>0</v>
          </cell>
          <cell r="FJ244">
            <v>0</v>
          </cell>
          <cell r="FK244">
            <v>15</v>
          </cell>
          <cell r="FL244">
            <v>15</v>
          </cell>
          <cell r="FM244" t="str">
            <v/>
          </cell>
          <cell r="FN244">
            <v>0</v>
          </cell>
          <cell r="FO244">
            <v>0</v>
          </cell>
          <cell r="FP244">
            <v>15</v>
          </cell>
          <cell r="FQ244">
            <v>15</v>
          </cell>
          <cell r="FR244" t="str">
            <v/>
          </cell>
          <cell r="FS244">
            <v>0</v>
          </cell>
          <cell r="FT244">
            <v>0</v>
          </cell>
          <cell r="FU244">
            <v>1.0333333333333334</v>
          </cell>
          <cell r="FW244" t="str">
            <v>SIN ROTACIÓN</v>
          </cell>
          <cell r="FX244" t="str">
            <v>STOCK MUERTO</v>
          </cell>
          <cell r="FY244" t="str">
            <v>Si</v>
          </cell>
        </row>
        <row r="245">
          <cell r="B245" t="str">
            <v>REP-0255</v>
          </cell>
          <cell r="C245" t="str">
            <v>CAT</v>
          </cell>
          <cell r="D245">
            <v>0</v>
          </cell>
          <cell r="E245">
            <v>7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7</v>
          </cell>
          <cell r="AA245">
            <v>7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0.16666666666666666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7.4535599249992979E-2</v>
          </cell>
          <cell r="AM245">
            <v>0</v>
          </cell>
          <cell r="AN245">
            <v>0</v>
          </cell>
          <cell r="AO245">
            <v>0</v>
          </cell>
          <cell r="AP245">
            <v>9</v>
          </cell>
          <cell r="AQ245">
            <v>53.000000000000007</v>
          </cell>
          <cell r="AR245">
            <v>0</v>
          </cell>
          <cell r="AS245">
            <v>8.6666666666666679</v>
          </cell>
          <cell r="AT245">
            <v>9</v>
          </cell>
          <cell r="AU245" t="str">
            <v/>
          </cell>
          <cell r="AV245">
            <v>0</v>
          </cell>
          <cell r="AW245">
            <v>9</v>
          </cell>
          <cell r="AX245">
            <v>9</v>
          </cell>
          <cell r="AY245" t="str">
            <v/>
          </cell>
          <cell r="AZ245">
            <v>0</v>
          </cell>
          <cell r="BA245">
            <v>9</v>
          </cell>
          <cell r="BB245">
            <v>9</v>
          </cell>
          <cell r="BC245">
            <v>54</v>
          </cell>
          <cell r="BD245">
            <v>0</v>
          </cell>
          <cell r="BE245">
            <v>8.8333333333333339</v>
          </cell>
          <cell r="BF245">
            <v>53.000000000000007</v>
          </cell>
          <cell r="BG245">
            <v>0</v>
          </cell>
          <cell r="BH245">
            <v>8.6666666666666679</v>
          </cell>
          <cell r="BI245">
            <v>7</v>
          </cell>
          <cell r="BJ245" t="str">
            <v/>
          </cell>
          <cell r="BK245">
            <v>0</v>
          </cell>
          <cell r="BL245">
            <v>9</v>
          </cell>
          <cell r="BM245">
            <v>9</v>
          </cell>
          <cell r="BN245" t="str">
            <v/>
          </cell>
          <cell r="BO245">
            <v>0</v>
          </cell>
          <cell r="BP245">
            <v>9</v>
          </cell>
          <cell r="BQ245">
            <v>9</v>
          </cell>
          <cell r="BR245" t="str">
            <v/>
          </cell>
          <cell r="BS245">
            <v>0</v>
          </cell>
          <cell r="BT245">
            <v>9</v>
          </cell>
          <cell r="BU245">
            <v>9</v>
          </cell>
          <cell r="BV245" t="str">
            <v/>
          </cell>
          <cell r="BW245">
            <v>0</v>
          </cell>
          <cell r="BX245">
            <v>0</v>
          </cell>
          <cell r="BY245">
            <v>9</v>
          </cell>
          <cell r="BZ245">
            <v>9</v>
          </cell>
          <cell r="CA245" t="str">
            <v/>
          </cell>
          <cell r="CB245">
            <v>0</v>
          </cell>
          <cell r="CC245">
            <v>0</v>
          </cell>
          <cell r="CD245">
            <v>9</v>
          </cell>
          <cell r="CE245">
            <v>9</v>
          </cell>
          <cell r="CF245" t="str">
            <v/>
          </cell>
          <cell r="CG245">
            <v>0</v>
          </cell>
          <cell r="CH245">
            <v>0</v>
          </cell>
          <cell r="CI245">
            <v>9</v>
          </cell>
          <cell r="CJ245">
            <v>9</v>
          </cell>
          <cell r="CK245" t="str">
            <v/>
          </cell>
          <cell r="CL245">
            <v>0</v>
          </cell>
          <cell r="CM245">
            <v>0</v>
          </cell>
          <cell r="CN245">
            <v>9</v>
          </cell>
          <cell r="CO245">
            <v>9</v>
          </cell>
          <cell r="CP245" t="str">
            <v/>
          </cell>
          <cell r="CQ245">
            <v>0</v>
          </cell>
          <cell r="CR245">
            <v>0</v>
          </cell>
          <cell r="CS245">
            <v>9</v>
          </cell>
          <cell r="CT245">
            <v>7</v>
          </cell>
          <cell r="CU245" t="str">
            <v/>
          </cell>
          <cell r="CV245">
            <v>0</v>
          </cell>
          <cell r="CW245">
            <v>0</v>
          </cell>
          <cell r="CX245">
            <v>7</v>
          </cell>
          <cell r="CY245">
            <v>7</v>
          </cell>
          <cell r="CZ245" t="str">
            <v/>
          </cell>
          <cell r="DA245">
            <v>0</v>
          </cell>
          <cell r="DB245">
            <v>0</v>
          </cell>
          <cell r="DC245">
            <v>7</v>
          </cell>
          <cell r="DD245">
            <v>7</v>
          </cell>
          <cell r="DE245" t="str">
            <v/>
          </cell>
          <cell r="DF245">
            <v>0</v>
          </cell>
          <cell r="DG245">
            <v>0</v>
          </cell>
          <cell r="DH245">
            <v>7</v>
          </cell>
          <cell r="DI245">
            <v>7</v>
          </cell>
          <cell r="DJ245" t="str">
            <v/>
          </cell>
          <cell r="DK245">
            <v>0</v>
          </cell>
          <cell r="DL245">
            <v>0</v>
          </cell>
          <cell r="DM245">
            <v>7</v>
          </cell>
          <cell r="DN245">
            <v>7</v>
          </cell>
          <cell r="DO245" t="str">
            <v/>
          </cell>
          <cell r="DP245">
            <v>0</v>
          </cell>
          <cell r="DQ245">
            <v>0</v>
          </cell>
          <cell r="DR245">
            <v>7</v>
          </cell>
          <cell r="DS245">
            <v>7</v>
          </cell>
          <cell r="DT245" t="str">
            <v/>
          </cell>
          <cell r="DU245">
            <v>0</v>
          </cell>
          <cell r="DV245">
            <v>0</v>
          </cell>
          <cell r="DW245">
            <v>7</v>
          </cell>
          <cell r="DX245">
            <v>7</v>
          </cell>
          <cell r="DY245" t="str">
            <v/>
          </cell>
          <cell r="DZ245">
            <v>0</v>
          </cell>
          <cell r="EA245">
            <v>0</v>
          </cell>
          <cell r="EB245">
            <v>7</v>
          </cell>
          <cell r="EC245">
            <v>7</v>
          </cell>
          <cell r="ED245" t="str">
            <v/>
          </cell>
          <cell r="EE245">
            <v>0</v>
          </cell>
          <cell r="EF245">
            <v>0</v>
          </cell>
          <cell r="EG245">
            <v>7</v>
          </cell>
          <cell r="EH245">
            <v>7</v>
          </cell>
          <cell r="EI245" t="str">
            <v/>
          </cell>
          <cell r="EJ245">
            <v>0</v>
          </cell>
          <cell r="EK245">
            <v>0</v>
          </cell>
          <cell r="EL245">
            <v>7</v>
          </cell>
          <cell r="EM245">
            <v>7</v>
          </cell>
          <cell r="EN245" t="str">
            <v/>
          </cell>
          <cell r="EO245">
            <v>0</v>
          </cell>
          <cell r="EP245">
            <v>0</v>
          </cell>
          <cell r="EQ245">
            <v>7</v>
          </cell>
          <cell r="ER245">
            <v>7</v>
          </cell>
          <cell r="ES245" t="str">
            <v/>
          </cell>
          <cell r="ET245">
            <v>0</v>
          </cell>
          <cell r="EU245">
            <v>0</v>
          </cell>
          <cell r="EV245">
            <v>7</v>
          </cell>
          <cell r="EW245">
            <v>7</v>
          </cell>
          <cell r="EX245" t="str">
            <v/>
          </cell>
          <cell r="EY245">
            <v>0</v>
          </cell>
          <cell r="EZ245">
            <v>0</v>
          </cell>
          <cell r="FA245">
            <v>7</v>
          </cell>
          <cell r="FB245">
            <v>7</v>
          </cell>
          <cell r="FC245" t="str">
            <v/>
          </cell>
          <cell r="FD245">
            <v>0</v>
          </cell>
          <cell r="FE245">
            <v>0</v>
          </cell>
          <cell r="FF245">
            <v>7</v>
          </cell>
          <cell r="FG245">
            <v>7</v>
          </cell>
          <cell r="FH245" t="str">
            <v/>
          </cell>
          <cell r="FI245">
            <v>0</v>
          </cell>
          <cell r="FJ245">
            <v>0</v>
          </cell>
          <cell r="FK245">
            <v>7</v>
          </cell>
          <cell r="FL245">
            <v>7</v>
          </cell>
          <cell r="FM245" t="str">
            <v/>
          </cell>
          <cell r="FN245">
            <v>0</v>
          </cell>
          <cell r="FO245">
            <v>0</v>
          </cell>
          <cell r="FP245">
            <v>7</v>
          </cell>
          <cell r="FQ245">
            <v>7</v>
          </cell>
          <cell r="FR245" t="str">
            <v/>
          </cell>
          <cell r="FS245">
            <v>0</v>
          </cell>
          <cell r="FT245">
            <v>0</v>
          </cell>
          <cell r="FU245">
            <v>1.0333333333333334</v>
          </cell>
          <cell r="FW245" t="str">
            <v>SIN ROTACIÓN</v>
          </cell>
          <cell r="FX245" t="str">
            <v>C</v>
          </cell>
          <cell r="FY245" t="str">
            <v>Si</v>
          </cell>
        </row>
        <row r="246">
          <cell r="B246" t="str">
            <v>REP-0256</v>
          </cell>
          <cell r="C246" t="str">
            <v>CAT</v>
          </cell>
          <cell r="D246">
            <v>0</v>
          </cell>
          <cell r="E246">
            <v>11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12</v>
          </cell>
          <cell r="AA246">
            <v>12</v>
          </cell>
          <cell r="AB246">
            <v>3</v>
          </cell>
          <cell r="AC246">
            <v>0</v>
          </cell>
          <cell r="AD246">
            <v>0</v>
          </cell>
          <cell r="AE246">
            <v>0.16666666666666666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16</v>
          </cell>
          <cell r="AQ246" t="str">
            <v/>
          </cell>
          <cell r="AR246">
            <v>0</v>
          </cell>
          <cell r="AS246">
            <v>16</v>
          </cell>
          <cell r="AT246">
            <v>16</v>
          </cell>
          <cell r="AU246" t="str">
            <v/>
          </cell>
          <cell r="AV246">
            <v>0</v>
          </cell>
          <cell r="AW246">
            <v>16</v>
          </cell>
          <cell r="AX246">
            <v>16</v>
          </cell>
          <cell r="AY246" t="str">
            <v/>
          </cell>
          <cell r="AZ246">
            <v>0</v>
          </cell>
          <cell r="BA246">
            <v>16</v>
          </cell>
          <cell r="BB246">
            <v>16</v>
          </cell>
          <cell r="BC246" t="str">
            <v/>
          </cell>
          <cell r="BD246">
            <v>0</v>
          </cell>
          <cell r="BE246">
            <v>16</v>
          </cell>
          <cell r="BF246" t="str">
            <v/>
          </cell>
          <cell r="BG246">
            <v>0</v>
          </cell>
          <cell r="BH246">
            <v>16</v>
          </cell>
          <cell r="BI246">
            <v>12</v>
          </cell>
          <cell r="BJ246" t="str">
            <v/>
          </cell>
          <cell r="BK246">
            <v>0</v>
          </cell>
          <cell r="BL246">
            <v>16</v>
          </cell>
          <cell r="BM246">
            <v>16</v>
          </cell>
          <cell r="BN246" t="str">
            <v/>
          </cell>
          <cell r="BO246">
            <v>0</v>
          </cell>
          <cell r="BP246">
            <v>16</v>
          </cell>
          <cell r="BQ246">
            <v>16</v>
          </cell>
          <cell r="BR246" t="str">
            <v/>
          </cell>
          <cell r="BS246">
            <v>0</v>
          </cell>
          <cell r="BT246">
            <v>16</v>
          </cell>
          <cell r="BU246">
            <v>16</v>
          </cell>
          <cell r="BV246" t="str">
            <v/>
          </cell>
          <cell r="BW246">
            <v>0</v>
          </cell>
          <cell r="BX246">
            <v>0</v>
          </cell>
          <cell r="BY246">
            <v>16</v>
          </cell>
          <cell r="BZ246">
            <v>16</v>
          </cell>
          <cell r="CA246" t="str">
            <v/>
          </cell>
          <cell r="CB246">
            <v>0</v>
          </cell>
          <cell r="CC246">
            <v>0</v>
          </cell>
          <cell r="CD246">
            <v>16</v>
          </cell>
          <cell r="CE246">
            <v>16</v>
          </cell>
          <cell r="CF246" t="str">
            <v/>
          </cell>
          <cell r="CG246">
            <v>0</v>
          </cell>
          <cell r="CH246">
            <v>0</v>
          </cell>
          <cell r="CI246">
            <v>16</v>
          </cell>
          <cell r="CJ246">
            <v>16</v>
          </cell>
          <cell r="CK246" t="str">
            <v/>
          </cell>
          <cell r="CL246">
            <v>0</v>
          </cell>
          <cell r="CM246">
            <v>0</v>
          </cell>
          <cell r="CN246">
            <v>16</v>
          </cell>
          <cell r="CO246">
            <v>16</v>
          </cell>
          <cell r="CP246" t="str">
            <v/>
          </cell>
          <cell r="CQ246">
            <v>0</v>
          </cell>
          <cell r="CR246">
            <v>0</v>
          </cell>
          <cell r="CS246">
            <v>16</v>
          </cell>
          <cell r="CT246">
            <v>14</v>
          </cell>
          <cell r="CU246" t="str">
            <v/>
          </cell>
          <cell r="CV246">
            <v>0</v>
          </cell>
          <cell r="CW246">
            <v>0</v>
          </cell>
          <cell r="CX246">
            <v>14</v>
          </cell>
          <cell r="CY246">
            <v>15</v>
          </cell>
          <cell r="CZ246" t="str">
            <v/>
          </cell>
          <cell r="DA246">
            <v>0</v>
          </cell>
          <cell r="DB246">
            <v>0</v>
          </cell>
          <cell r="DC246">
            <v>15</v>
          </cell>
          <cell r="DD246">
            <v>14</v>
          </cell>
          <cell r="DE246" t="str">
            <v/>
          </cell>
          <cell r="DF246">
            <v>0</v>
          </cell>
          <cell r="DG246">
            <v>0</v>
          </cell>
          <cell r="DH246">
            <v>14</v>
          </cell>
          <cell r="DI246">
            <v>14</v>
          </cell>
          <cell r="DJ246" t="str">
            <v/>
          </cell>
          <cell r="DK246">
            <v>0</v>
          </cell>
          <cell r="DL246">
            <v>0</v>
          </cell>
          <cell r="DM246">
            <v>14</v>
          </cell>
          <cell r="DN246">
            <v>12</v>
          </cell>
          <cell r="DO246" t="str">
            <v/>
          </cell>
          <cell r="DP246">
            <v>0</v>
          </cell>
          <cell r="DQ246">
            <v>0</v>
          </cell>
          <cell r="DR246">
            <v>12</v>
          </cell>
          <cell r="DS246">
            <v>12</v>
          </cell>
          <cell r="DT246" t="str">
            <v/>
          </cell>
          <cell r="DU246">
            <v>0</v>
          </cell>
          <cell r="DV246">
            <v>0</v>
          </cell>
          <cell r="DW246">
            <v>12</v>
          </cell>
          <cell r="DX246">
            <v>12</v>
          </cell>
          <cell r="DY246" t="str">
            <v/>
          </cell>
          <cell r="DZ246">
            <v>0</v>
          </cell>
          <cell r="EA246">
            <v>0</v>
          </cell>
          <cell r="EB246">
            <v>12</v>
          </cell>
          <cell r="EC246">
            <v>12</v>
          </cell>
          <cell r="ED246" t="str">
            <v/>
          </cell>
          <cell r="EE246">
            <v>0</v>
          </cell>
          <cell r="EF246">
            <v>0</v>
          </cell>
          <cell r="EG246">
            <v>12</v>
          </cell>
          <cell r="EH246">
            <v>12</v>
          </cell>
          <cell r="EI246" t="str">
            <v/>
          </cell>
          <cell r="EJ246">
            <v>0</v>
          </cell>
          <cell r="EK246">
            <v>0</v>
          </cell>
          <cell r="EL246">
            <v>12</v>
          </cell>
          <cell r="EM246">
            <v>12</v>
          </cell>
          <cell r="EN246" t="str">
            <v/>
          </cell>
          <cell r="EO246">
            <v>0</v>
          </cell>
          <cell r="EP246">
            <v>0</v>
          </cell>
          <cell r="EQ246">
            <v>12</v>
          </cell>
          <cell r="ER246">
            <v>12</v>
          </cell>
          <cell r="ES246" t="str">
            <v/>
          </cell>
          <cell r="ET246">
            <v>0</v>
          </cell>
          <cell r="EU246">
            <v>0</v>
          </cell>
          <cell r="EV246">
            <v>12</v>
          </cell>
          <cell r="EW246">
            <v>12</v>
          </cell>
          <cell r="EX246" t="str">
            <v/>
          </cell>
          <cell r="EY246">
            <v>0</v>
          </cell>
          <cell r="EZ246">
            <v>0</v>
          </cell>
          <cell r="FA246">
            <v>12</v>
          </cell>
          <cell r="FB246">
            <v>12</v>
          </cell>
          <cell r="FC246" t="str">
            <v/>
          </cell>
          <cell r="FD246">
            <v>0</v>
          </cell>
          <cell r="FE246">
            <v>0</v>
          </cell>
          <cell r="FF246">
            <v>12</v>
          </cell>
          <cell r="FG246">
            <v>12</v>
          </cell>
          <cell r="FH246" t="str">
            <v/>
          </cell>
          <cell r="FI246">
            <v>0</v>
          </cell>
          <cell r="FJ246">
            <v>0</v>
          </cell>
          <cell r="FK246">
            <v>12</v>
          </cell>
          <cell r="FL246">
            <v>12</v>
          </cell>
          <cell r="FM246" t="str">
            <v/>
          </cell>
          <cell r="FN246">
            <v>0</v>
          </cell>
          <cell r="FO246">
            <v>0</v>
          </cell>
          <cell r="FP246">
            <v>12</v>
          </cell>
          <cell r="FQ246">
            <v>12</v>
          </cell>
          <cell r="FR246" t="str">
            <v/>
          </cell>
          <cell r="FS246">
            <v>0</v>
          </cell>
          <cell r="FT246">
            <v>0</v>
          </cell>
          <cell r="FU246">
            <v>1.0333333333333334</v>
          </cell>
          <cell r="FW246" t="str">
            <v>SIN ROTACIÓN</v>
          </cell>
          <cell r="FX246" t="str">
            <v>STOCK MUERTO</v>
          </cell>
          <cell r="FY246" t="str">
            <v>Si</v>
          </cell>
        </row>
        <row r="247">
          <cell r="B247" t="str">
            <v>REP-0257</v>
          </cell>
          <cell r="C247" t="str">
            <v>CAT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O247">
            <v>0</v>
          </cell>
          <cell r="AP247">
            <v>0</v>
          </cell>
          <cell r="AQ247" t="str">
            <v/>
          </cell>
          <cell r="AR247">
            <v>0</v>
          </cell>
          <cell r="AS247">
            <v>0</v>
          </cell>
          <cell r="AT247">
            <v>0</v>
          </cell>
          <cell r="AU247" t="str">
            <v/>
          </cell>
          <cell r="AV247">
            <v>0</v>
          </cell>
          <cell r="AW247">
            <v>0</v>
          </cell>
          <cell r="AX247">
            <v>0</v>
          </cell>
          <cell r="AY247" t="str">
            <v/>
          </cell>
          <cell r="AZ247">
            <v>0</v>
          </cell>
          <cell r="BA247">
            <v>0</v>
          </cell>
          <cell r="BB247">
            <v>0</v>
          </cell>
          <cell r="BC247" t="str">
            <v/>
          </cell>
          <cell r="BD247">
            <v>0</v>
          </cell>
          <cell r="BE247">
            <v>0</v>
          </cell>
          <cell r="BF247" t="str">
            <v/>
          </cell>
          <cell r="BG247">
            <v>0</v>
          </cell>
          <cell r="BH247">
            <v>0</v>
          </cell>
          <cell r="BI247">
            <v>0</v>
          </cell>
          <cell r="BJ247" t="str">
            <v/>
          </cell>
          <cell r="BK247">
            <v>0</v>
          </cell>
          <cell r="BL247">
            <v>0</v>
          </cell>
          <cell r="BM247">
            <v>0</v>
          </cell>
          <cell r="BN247" t="str">
            <v/>
          </cell>
          <cell r="BO247">
            <v>0</v>
          </cell>
          <cell r="BP247">
            <v>0</v>
          </cell>
          <cell r="BQ247">
            <v>0</v>
          </cell>
          <cell r="BR247" t="str">
            <v/>
          </cell>
          <cell r="BS247">
            <v>0</v>
          </cell>
          <cell r="BT247">
            <v>0</v>
          </cell>
          <cell r="BU247">
            <v>0</v>
          </cell>
          <cell r="BV247" t="str">
            <v/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 t="str">
            <v/>
          </cell>
          <cell r="CB247">
            <v>0</v>
          </cell>
          <cell r="CD247">
            <v>0</v>
          </cell>
          <cell r="CE247">
            <v>0</v>
          </cell>
          <cell r="CF247" t="str">
            <v/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 t="str">
            <v/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 t="str">
            <v/>
          </cell>
          <cell r="CQ247">
            <v>0</v>
          </cell>
          <cell r="CS247">
            <v>0</v>
          </cell>
          <cell r="CT247">
            <v>0</v>
          </cell>
          <cell r="CU247" t="str">
            <v/>
          </cell>
          <cell r="CV247">
            <v>0</v>
          </cell>
          <cell r="CX247">
            <v>0</v>
          </cell>
          <cell r="CY247">
            <v>0</v>
          </cell>
          <cell r="CZ247" t="str">
            <v/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 t="str">
            <v/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 t="str">
            <v/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 t="str">
            <v/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 t="str">
            <v/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 t="str">
            <v/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 t="str">
            <v/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 t="str">
            <v/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 t="str">
            <v/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 t="str">
            <v/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 t="str">
            <v/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 t="str">
            <v/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 t="str">
            <v/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 t="str">
            <v/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 t="str">
            <v/>
          </cell>
          <cell r="FS247">
            <v>0</v>
          </cell>
          <cell r="FT247">
            <v>0</v>
          </cell>
          <cell r="FU247">
            <v>66.666666666666671</v>
          </cell>
          <cell r="FW247" t="str">
            <v>SIN ROTACIÓN</v>
          </cell>
          <cell r="FX247" t="str">
            <v/>
          </cell>
          <cell r="FY247" t="str">
            <v>No</v>
          </cell>
        </row>
        <row r="248">
          <cell r="B248" t="str">
            <v>REP-0258</v>
          </cell>
          <cell r="C248" t="str">
            <v>NAC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O248">
            <v>0</v>
          </cell>
          <cell r="AP248">
            <v>0</v>
          </cell>
          <cell r="AQ248" t="str">
            <v/>
          </cell>
          <cell r="AR248">
            <v>0</v>
          </cell>
          <cell r="AS248">
            <v>0</v>
          </cell>
          <cell r="AT248">
            <v>0</v>
          </cell>
          <cell r="AU248" t="str">
            <v/>
          </cell>
          <cell r="AV248">
            <v>0</v>
          </cell>
          <cell r="AW248">
            <v>0</v>
          </cell>
          <cell r="AX248">
            <v>0</v>
          </cell>
          <cell r="AY248" t="str">
            <v/>
          </cell>
          <cell r="AZ248">
            <v>0</v>
          </cell>
          <cell r="BA248">
            <v>0</v>
          </cell>
          <cell r="BB248">
            <v>0</v>
          </cell>
          <cell r="BC248" t="str">
            <v/>
          </cell>
          <cell r="BD248">
            <v>0</v>
          </cell>
          <cell r="BE248">
            <v>0</v>
          </cell>
          <cell r="BF248" t="str">
            <v/>
          </cell>
          <cell r="BG248">
            <v>0</v>
          </cell>
          <cell r="BH248">
            <v>0</v>
          </cell>
          <cell r="BI248">
            <v>0</v>
          </cell>
          <cell r="BJ248" t="str">
            <v/>
          </cell>
          <cell r="BK248">
            <v>0</v>
          </cell>
          <cell r="BL248">
            <v>0</v>
          </cell>
          <cell r="BM248">
            <v>0</v>
          </cell>
          <cell r="BN248" t="str">
            <v/>
          </cell>
          <cell r="BO248">
            <v>0</v>
          </cell>
          <cell r="BP248">
            <v>0</v>
          </cell>
          <cell r="BQ248">
            <v>0</v>
          </cell>
          <cell r="BR248" t="str">
            <v/>
          </cell>
          <cell r="BS248">
            <v>0</v>
          </cell>
          <cell r="BT248">
            <v>0</v>
          </cell>
          <cell r="BU248">
            <v>0</v>
          </cell>
          <cell r="BV248" t="str">
            <v/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 t="str">
            <v/>
          </cell>
          <cell r="CB248">
            <v>0</v>
          </cell>
          <cell r="CD248">
            <v>0</v>
          </cell>
          <cell r="CE248">
            <v>0</v>
          </cell>
          <cell r="CF248" t="str">
            <v/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 t="str">
            <v/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 t="str">
            <v/>
          </cell>
          <cell r="CQ248">
            <v>0</v>
          </cell>
          <cell r="CS248">
            <v>0</v>
          </cell>
          <cell r="CT248">
            <v>0</v>
          </cell>
          <cell r="CU248" t="str">
            <v/>
          </cell>
          <cell r="CV248">
            <v>0</v>
          </cell>
          <cell r="CX248">
            <v>0</v>
          </cell>
          <cell r="CY248">
            <v>0</v>
          </cell>
          <cell r="CZ248" t="str">
            <v/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 t="str">
            <v/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 t="str">
            <v/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 t="str">
            <v/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 t="str">
            <v/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 t="str">
            <v/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 t="str">
            <v/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 t="str">
            <v/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 t="str">
            <v/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 t="str">
            <v/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 t="str">
            <v/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 t="str">
            <v/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 t="str">
            <v/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 t="str">
            <v/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 t="str">
            <v/>
          </cell>
          <cell r="FS248">
            <v>0</v>
          </cell>
          <cell r="FT248">
            <v>0</v>
          </cell>
          <cell r="FU248">
            <v>66.666666666666671</v>
          </cell>
          <cell r="FW248" t="str">
            <v>SIN ROTACIÓN</v>
          </cell>
          <cell r="FX248" t="str">
            <v/>
          </cell>
          <cell r="FY248" t="str">
            <v>No</v>
          </cell>
        </row>
        <row r="249">
          <cell r="B249" t="str">
            <v>REP-0259</v>
          </cell>
          <cell r="C249" t="str">
            <v>NAC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AA249">
            <v>0</v>
          </cell>
          <cell r="AB249">
            <v>0</v>
          </cell>
          <cell r="AC249">
            <v>0.16666666666666666</v>
          </cell>
          <cell r="AD249">
            <v>5.5555555555555549E-3</v>
          </cell>
          <cell r="AE249">
            <v>8.3333333333333329E-2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O249">
            <v>0</v>
          </cell>
          <cell r="AP249">
            <v>0</v>
          </cell>
          <cell r="AQ249" t="str">
            <v/>
          </cell>
          <cell r="AR249">
            <v>0</v>
          </cell>
          <cell r="AS249">
            <v>0</v>
          </cell>
          <cell r="AT249">
            <v>0</v>
          </cell>
          <cell r="AU249" t="str">
            <v/>
          </cell>
          <cell r="AV249">
            <v>0</v>
          </cell>
          <cell r="AW249">
            <v>0</v>
          </cell>
          <cell r="AX249">
            <v>0</v>
          </cell>
          <cell r="AY249" t="str">
            <v/>
          </cell>
          <cell r="AZ249">
            <v>0</v>
          </cell>
          <cell r="BA249">
            <v>0</v>
          </cell>
          <cell r="BB249">
            <v>0</v>
          </cell>
          <cell r="BC249" t="str">
            <v/>
          </cell>
          <cell r="BD249">
            <v>0</v>
          </cell>
          <cell r="BE249">
            <v>0</v>
          </cell>
          <cell r="BF249" t="str">
            <v/>
          </cell>
          <cell r="BG249">
            <v>0</v>
          </cell>
          <cell r="BH249">
            <v>0</v>
          </cell>
          <cell r="BI249">
            <v>0</v>
          </cell>
          <cell r="BJ249" t="str">
            <v/>
          </cell>
          <cell r="BK249">
            <v>0</v>
          </cell>
          <cell r="BL249">
            <v>0</v>
          </cell>
          <cell r="BM249">
            <v>0</v>
          </cell>
          <cell r="BN249" t="str">
            <v/>
          </cell>
          <cell r="BO249">
            <v>0</v>
          </cell>
          <cell r="BP249">
            <v>0</v>
          </cell>
          <cell r="BQ249">
            <v>0</v>
          </cell>
          <cell r="BR249" t="str">
            <v/>
          </cell>
          <cell r="BS249">
            <v>0</v>
          </cell>
          <cell r="BT249">
            <v>0</v>
          </cell>
          <cell r="BU249">
            <v>0</v>
          </cell>
          <cell r="BV249" t="str">
            <v/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 t="str">
            <v/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 t="str">
            <v/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 t="str">
            <v/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 t="str">
            <v/>
          </cell>
          <cell r="CQ249">
            <v>0</v>
          </cell>
          <cell r="CS249">
            <v>0</v>
          </cell>
          <cell r="CT249">
            <v>0</v>
          </cell>
          <cell r="CU249" t="str">
            <v/>
          </cell>
          <cell r="CV249">
            <v>0</v>
          </cell>
          <cell r="CX249">
            <v>0</v>
          </cell>
          <cell r="CY249">
            <v>0</v>
          </cell>
          <cell r="CZ249" t="str">
            <v/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 t="str">
            <v/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 t="str">
            <v/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 t="str">
            <v/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 t="str">
            <v/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 t="str">
            <v/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 t="str">
            <v/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 t="str">
            <v/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 t="str">
            <v/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 t="str">
            <v/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 t="str">
            <v/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 t="str">
            <v/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 t="str">
            <v/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 t="str">
            <v/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 t="str">
            <v/>
          </cell>
          <cell r="FS249">
            <v>0</v>
          </cell>
          <cell r="FT249">
            <v>0</v>
          </cell>
          <cell r="FU249">
            <v>66.666666666666671</v>
          </cell>
          <cell r="FW249" t="str">
            <v>SIN ROTACIÓN</v>
          </cell>
          <cell r="FX249" t="str">
            <v/>
          </cell>
          <cell r="FY249" t="str">
            <v>No</v>
          </cell>
        </row>
        <row r="250">
          <cell r="B250" t="str">
            <v>REP-0260</v>
          </cell>
          <cell r="C250" t="str">
            <v>NAC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 t="str">
            <v/>
          </cell>
          <cell r="AR250">
            <v>0</v>
          </cell>
          <cell r="AS250">
            <v>0</v>
          </cell>
          <cell r="AT250">
            <v>0</v>
          </cell>
          <cell r="AU250" t="str">
            <v/>
          </cell>
          <cell r="AV250">
            <v>0</v>
          </cell>
          <cell r="AW250">
            <v>0</v>
          </cell>
          <cell r="AX250">
            <v>0</v>
          </cell>
          <cell r="AY250" t="str">
            <v/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-0.16666666666666666</v>
          </cell>
          <cell r="BF250">
            <v>-1</v>
          </cell>
          <cell r="BG250">
            <v>0</v>
          </cell>
          <cell r="BH250">
            <v>-0.33333333333333331</v>
          </cell>
          <cell r="BI250">
            <v>0</v>
          </cell>
          <cell r="BJ250" t="str">
            <v/>
          </cell>
          <cell r="BK250">
            <v>0</v>
          </cell>
          <cell r="BL250">
            <v>0</v>
          </cell>
          <cell r="BM250">
            <v>0</v>
          </cell>
          <cell r="BN250" t="str">
            <v/>
          </cell>
          <cell r="BO250">
            <v>0</v>
          </cell>
          <cell r="BP250">
            <v>0</v>
          </cell>
          <cell r="BQ250">
            <v>0</v>
          </cell>
          <cell r="BR250" t="str">
            <v/>
          </cell>
          <cell r="BS250">
            <v>0</v>
          </cell>
          <cell r="BT250">
            <v>0</v>
          </cell>
          <cell r="BU250">
            <v>0</v>
          </cell>
          <cell r="BV250" t="str">
            <v/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 t="str">
            <v/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 t="str">
            <v/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 t="str">
            <v/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 t="str">
            <v/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 t="str">
            <v/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 t="str">
            <v/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 t="str">
            <v/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 t="str">
            <v/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 t="str">
            <v/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 t="str">
            <v/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 t="str">
            <v/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 t="str">
            <v/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 t="str">
            <v/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 t="str">
            <v/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 t="str">
            <v/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 t="str">
            <v/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 t="str">
            <v/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 t="str">
            <v/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 t="str">
            <v/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 t="str">
            <v/>
          </cell>
          <cell r="FS250">
            <v>0</v>
          </cell>
          <cell r="FT250">
            <v>0</v>
          </cell>
          <cell r="FU250">
            <v>1.0333333333333334</v>
          </cell>
          <cell r="FW250" t="e">
            <v>#N/A</v>
          </cell>
          <cell r="FX250" t="str">
            <v>STOCK MUERTO</v>
          </cell>
          <cell r="FY250" t="str">
            <v>Si</v>
          </cell>
        </row>
        <row r="251">
          <cell r="B251" t="str">
            <v>REP-0261</v>
          </cell>
          <cell r="C251" t="str">
            <v>NO VIGENTE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M251">
            <v>0</v>
          </cell>
          <cell r="AO251">
            <v>0</v>
          </cell>
          <cell r="AP251">
            <v>0</v>
          </cell>
          <cell r="AQ251" t="str">
            <v/>
          </cell>
          <cell r="AR251">
            <v>0</v>
          </cell>
          <cell r="AS251">
            <v>0</v>
          </cell>
          <cell r="AT251">
            <v>0</v>
          </cell>
          <cell r="AU251" t="str">
            <v/>
          </cell>
          <cell r="AV251">
            <v>0</v>
          </cell>
          <cell r="AW251">
            <v>0</v>
          </cell>
          <cell r="AX251">
            <v>0</v>
          </cell>
          <cell r="AY251" t="str">
            <v/>
          </cell>
          <cell r="AZ251">
            <v>0</v>
          </cell>
          <cell r="BA251">
            <v>0</v>
          </cell>
          <cell r="BB251">
            <v>0</v>
          </cell>
          <cell r="BC251" t="str">
            <v/>
          </cell>
          <cell r="BD251">
            <v>0</v>
          </cell>
          <cell r="BE251">
            <v>0</v>
          </cell>
          <cell r="BF251" t="str">
            <v/>
          </cell>
          <cell r="BG251">
            <v>0</v>
          </cell>
          <cell r="BH251">
            <v>0</v>
          </cell>
          <cell r="BI251">
            <v>0</v>
          </cell>
          <cell r="BJ251" t="str">
            <v/>
          </cell>
          <cell r="BK251">
            <v>0</v>
          </cell>
          <cell r="BL251">
            <v>0</v>
          </cell>
          <cell r="BM251">
            <v>0</v>
          </cell>
          <cell r="BN251" t="str">
            <v/>
          </cell>
          <cell r="BO251">
            <v>0</v>
          </cell>
          <cell r="BP251">
            <v>0</v>
          </cell>
          <cell r="BQ251">
            <v>0</v>
          </cell>
          <cell r="BR251" t="str">
            <v/>
          </cell>
          <cell r="BS251">
            <v>0</v>
          </cell>
          <cell r="BT251">
            <v>0</v>
          </cell>
          <cell r="BU251">
            <v>0</v>
          </cell>
          <cell r="BV251" t="str">
            <v/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 t="str">
            <v/>
          </cell>
          <cell r="CB251">
            <v>0</v>
          </cell>
          <cell r="CD251">
            <v>0</v>
          </cell>
          <cell r="CE251">
            <v>0</v>
          </cell>
          <cell r="CF251" t="str">
            <v/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 t="str">
            <v/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 t="str">
            <v/>
          </cell>
          <cell r="CQ251">
            <v>0</v>
          </cell>
          <cell r="CS251">
            <v>0</v>
          </cell>
          <cell r="CT251">
            <v>0</v>
          </cell>
          <cell r="CU251" t="str">
            <v/>
          </cell>
          <cell r="CV251">
            <v>0</v>
          </cell>
          <cell r="CX251">
            <v>0</v>
          </cell>
          <cell r="CY251">
            <v>0</v>
          </cell>
          <cell r="CZ251" t="str">
            <v/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 t="str">
            <v/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 t="str">
            <v/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 t="str">
            <v/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 t="str">
            <v/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 t="str">
            <v/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 t="str">
            <v/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 t="str">
            <v/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 t="str">
            <v/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 t="str">
            <v/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 t="str">
            <v/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 t="str">
            <v/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 t="str">
            <v/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 t="str">
            <v/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 t="str">
            <v/>
          </cell>
          <cell r="FS251">
            <v>0</v>
          </cell>
          <cell r="FT251">
            <v>0</v>
          </cell>
          <cell r="FU251">
            <v>66.666666666666671</v>
          </cell>
          <cell r="FW251" t="str">
            <v>SIN ROTACIÓN</v>
          </cell>
          <cell r="FX251">
            <v>0</v>
          </cell>
          <cell r="FY251" t="str">
            <v>No</v>
          </cell>
        </row>
        <row r="252">
          <cell r="B252" t="str">
            <v>REP-0262</v>
          </cell>
          <cell r="C252" t="str">
            <v>AXEON</v>
          </cell>
          <cell r="D252">
            <v>0</v>
          </cell>
          <cell r="E252">
            <v>31</v>
          </cell>
          <cell r="F252">
            <v>0</v>
          </cell>
          <cell r="G252">
            <v>0</v>
          </cell>
          <cell r="H252">
            <v>3</v>
          </cell>
          <cell r="I252">
            <v>3</v>
          </cell>
          <cell r="J252">
            <v>0</v>
          </cell>
          <cell r="K252">
            <v>5</v>
          </cell>
          <cell r="L252">
            <v>5</v>
          </cell>
          <cell r="M252">
            <v>5</v>
          </cell>
          <cell r="N252">
            <v>2</v>
          </cell>
          <cell r="O252">
            <v>0</v>
          </cell>
          <cell r="P252">
            <v>1</v>
          </cell>
          <cell r="Q252">
            <v>1</v>
          </cell>
          <cell r="R252">
            <v>1</v>
          </cell>
          <cell r="S252">
            <v>0</v>
          </cell>
          <cell r="T252">
            <v>2</v>
          </cell>
          <cell r="U252">
            <v>2</v>
          </cell>
          <cell r="V252">
            <v>0</v>
          </cell>
          <cell r="W252">
            <v>0</v>
          </cell>
          <cell r="X252">
            <v>2</v>
          </cell>
          <cell r="Y252">
            <v>63</v>
          </cell>
          <cell r="AA252">
            <v>63</v>
          </cell>
          <cell r="AB252">
            <v>111</v>
          </cell>
          <cell r="AC252">
            <v>13.166666666666666</v>
          </cell>
          <cell r="AD252">
            <v>0.43888888888888888</v>
          </cell>
          <cell r="AE252">
            <v>15.666666666666666</v>
          </cell>
          <cell r="AF252">
            <v>6.25</v>
          </cell>
          <cell r="AG252">
            <v>3.5833333333333335</v>
          </cell>
          <cell r="AH252">
            <v>4.583333333333333</v>
          </cell>
          <cell r="AI252">
            <v>7.666666666666667</v>
          </cell>
          <cell r="AJ252">
            <v>7.666666666666667</v>
          </cell>
          <cell r="AK252">
            <v>7.666666666666667</v>
          </cell>
          <cell r="AL252">
            <v>2.1087340418505263</v>
          </cell>
          <cell r="AM252">
            <v>5.875</v>
          </cell>
          <cell r="AN252">
            <v>0.35893345393200449</v>
          </cell>
          <cell r="AO252">
            <v>0</v>
          </cell>
          <cell r="AP252">
            <v>161</v>
          </cell>
          <cell r="AQ252">
            <v>25.4</v>
          </cell>
          <cell r="AR252">
            <v>0</v>
          </cell>
          <cell r="AS252">
            <v>152.5</v>
          </cell>
          <cell r="AT252">
            <v>156</v>
          </cell>
          <cell r="AU252">
            <v>43.534883720930232</v>
          </cell>
          <cell r="AV252">
            <v>0</v>
          </cell>
          <cell r="AW252">
            <v>152.41666666666666</v>
          </cell>
          <cell r="AX252">
            <v>147</v>
          </cell>
          <cell r="AY252">
            <v>19.173913043478262</v>
          </cell>
          <cell r="AZ252">
            <v>0</v>
          </cell>
          <cell r="BA252">
            <v>142.66666666666666</v>
          </cell>
          <cell r="BB252">
            <v>142</v>
          </cell>
          <cell r="BC252">
            <v>22.421052631578949</v>
          </cell>
          <cell r="BD252">
            <v>0</v>
          </cell>
          <cell r="BE252">
            <v>135.66666666666666</v>
          </cell>
          <cell r="BF252">
            <v>21.421052631578945</v>
          </cell>
          <cell r="BG252">
            <v>0</v>
          </cell>
          <cell r="BH252">
            <v>129.33333333333331</v>
          </cell>
          <cell r="BI252">
            <v>63</v>
          </cell>
          <cell r="BJ252">
            <v>8.2173913043478262</v>
          </cell>
          <cell r="BK252">
            <v>0</v>
          </cell>
          <cell r="BL252">
            <v>125.16666666666667</v>
          </cell>
          <cell r="BM252">
            <v>127</v>
          </cell>
          <cell r="BN252">
            <v>26.27586206896552</v>
          </cell>
          <cell r="BO252">
            <v>0</v>
          </cell>
          <cell r="BP252">
            <v>122.16666666666667</v>
          </cell>
          <cell r="BQ252">
            <v>126</v>
          </cell>
          <cell r="BR252">
            <v>16.434782608695652</v>
          </cell>
          <cell r="BS252">
            <v>0</v>
          </cell>
          <cell r="BT252">
            <v>121.33333333333333</v>
          </cell>
          <cell r="BU252">
            <v>125</v>
          </cell>
          <cell r="BV252">
            <v>31.25</v>
          </cell>
          <cell r="BW252">
            <v>0</v>
          </cell>
          <cell r="BX252">
            <v>0</v>
          </cell>
          <cell r="BY252">
            <v>121</v>
          </cell>
          <cell r="BZ252">
            <v>117</v>
          </cell>
          <cell r="CA252">
            <v>26.59090909090909</v>
          </cell>
          <cell r="CB252">
            <v>0</v>
          </cell>
          <cell r="CC252">
            <v>0</v>
          </cell>
          <cell r="CD252">
            <v>112.6</v>
          </cell>
          <cell r="CE252">
            <v>114</v>
          </cell>
          <cell r="CF252">
            <v>25.591836734693882</v>
          </cell>
          <cell r="CG252">
            <v>0</v>
          </cell>
          <cell r="CH252">
            <v>0</v>
          </cell>
          <cell r="CI252">
            <v>108.14545454545454</v>
          </cell>
          <cell r="CJ252">
            <v>112</v>
          </cell>
          <cell r="CK252">
            <v>24.436363636363637</v>
          </cell>
          <cell r="CL252">
            <v>0</v>
          </cell>
          <cell r="CM252">
            <v>0</v>
          </cell>
          <cell r="CN252">
            <v>107.41666666666667</v>
          </cell>
          <cell r="CO252">
            <v>102</v>
          </cell>
          <cell r="CP252">
            <v>11.333333333333334</v>
          </cell>
          <cell r="CQ252">
            <v>0</v>
          </cell>
          <cell r="CR252">
            <v>0</v>
          </cell>
          <cell r="CS252">
            <v>93</v>
          </cell>
          <cell r="CT252">
            <v>91</v>
          </cell>
          <cell r="CU252">
            <v>9.5789473684210531</v>
          </cell>
          <cell r="CV252">
            <v>0</v>
          </cell>
          <cell r="CW252">
            <v>0</v>
          </cell>
          <cell r="CX252">
            <v>81.5</v>
          </cell>
          <cell r="CY252">
            <v>80</v>
          </cell>
          <cell r="CZ252">
            <v>7.5</v>
          </cell>
          <cell r="DA252">
            <v>0</v>
          </cell>
          <cell r="DB252">
            <v>0</v>
          </cell>
          <cell r="DC252">
            <v>70.25</v>
          </cell>
          <cell r="DD252">
            <v>74</v>
          </cell>
          <cell r="DE252">
            <v>6.5142857142857142</v>
          </cell>
          <cell r="DF252">
            <v>0</v>
          </cell>
          <cell r="DG252">
            <v>0</v>
          </cell>
          <cell r="DH252">
            <v>65.25</v>
          </cell>
          <cell r="DI252">
            <v>68</v>
          </cell>
          <cell r="DJ252">
            <v>8.2195121951219505</v>
          </cell>
          <cell r="DK252">
            <v>0</v>
          </cell>
          <cell r="DL252">
            <v>0</v>
          </cell>
          <cell r="DM252">
            <v>57.05</v>
          </cell>
          <cell r="DN252">
            <v>63</v>
          </cell>
          <cell r="DO252">
            <v>8.1304347826086953</v>
          </cell>
          <cell r="DP252">
            <v>0</v>
          </cell>
          <cell r="DQ252">
            <v>0</v>
          </cell>
          <cell r="DR252">
            <v>55.333333333333336</v>
          </cell>
          <cell r="DS252">
            <v>55.333333333333336</v>
          </cell>
          <cell r="DT252">
            <v>7.1304347826086953</v>
          </cell>
          <cell r="DU252">
            <v>0</v>
          </cell>
          <cell r="DV252">
            <v>0</v>
          </cell>
          <cell r="DW252">
            <v>47.666666666666671</v>
          </cell>
          <cell r="DX252">
            <v>47.666666666666671</v>
          </cell>
          <cell r="DY252">
            <v>6.1304347826086962</v>
          </cell>
          <cell r="DZ252">
            <v>0</v>
          </cell>
          <cell r="EA252">
            <v>100</v>
          </cell>
          <cell r="EB252">
            <v>140.00000000000003</v>
          </cell>
          <cell r="EC252">
            <v>140.00000000000003</v>
          </cell>
          <cell r="ED252">
            <v>18.173913043478265</v>
          </cell>
          <cell r="EE252">
            <v>0</v>
          </cell>
          <cell r="EF252">
            <v>0</v>
          </cell>
          <cell r="EG252">
            <v>132.33333333333337</v>
          </cell>
          <cell r="EH252">
            <v>132.33333333333337</v>
          </cell>
          <cell r="EI252">
            <v>17.173913043478265</v>
          </cell>
          <cell r="EJ252">
            <v>0</v>
          </cell>
          <cell r="EK252">
            <v>0</v>
          </cell>
          <cell r="EL252">
            <v>124.6666666666667</v>
          </cell>
          <cell r="EM252">
            <v>124.6666666666667</v>
          </cell>
          <cell r="EN252">
            <v>16.173913043478265</v>
          </cell>
          <cell r="EO252">
            <v>0</v>
          </cell>
          <cell r="EP252">
            <v>0</v>
          </cell>
          <cell r="EQ252">
            <v>117.00000000000003</v>
          </cell>
          <cell r="ER252">
            <v>117.00000000000003</v>
          </cell>
          <cell r="ES252">
            <v>15.173913043478263</v>
          </cell>
          <cell r="ET252">
            <v>0</v>
          </cell>
          <cell r="EU252">
            <v>0</v>
          </cell>
          <cell r="EV252">
            <v>109.33333333333336</v>
          </cell>
          <cell r="EW252">
            <v>109.33333333333336</v>
          </cell>
          <cell r="EX252">
            <v>14.173913043478263</v>
          </cell>
          <cell r="EY252">
            <v>0</v>
          </cell>
          <cell r="EZ252">
            <v>0</v>
          </cell>
          <cell r="FA252">
            <v>101.66666666666669</v>
          </cell>
          <cell r="FB252">
            <v>101.66666666666669</v>
          </cell>
          <cell r="FC252">
            <v>13.173913043478263</v>
          </cell>
          <cell r="FD252">
            <v>0</v>
          </cell>
          <cell r="FE252">
            <v>0</v>
          </cell>
          <cell r="FF252">
            <v>94.000000000000014</v>
          </cell>
          <cell r="FG252">
            <v>94.000000000000014</v>
          </cell>
          <cell r="FH252">
            <v>12.173913043478262</v>
          </cell>
          <cell r="FI252">
            <v>0</v>
          </cell>
          <cell r="FJ252">
            <v>0</v>
          </cell>
          <cell r="FK252">
            <v>86.333333333333343</v>
          </cell>
          <cell r="FL252">
            <v>86.333333333333343</v>
          </cell>
          <cell r="FM252">
            <v>11.173913043478262</v>
          </cell>
          <cell r="FN252">
            <v>0</v>
          </cell>
          <cell r="FO252">
            <v>0</v>
          </cell>
          <cell r="FP252">
            <v>78.666666666666671</v>
          </cell>
          <cell r="FQ252">
            <v>78.666666666666671</v>
          </cell>
          <cell r="FR252">
            <v>10.173913043478262</v>
          </cell>
          <cell r="FS252">
            <v>0</v>
          </cell>
          <cell r="FT252">
            <v>16</v>
          </cell>
          <cell r="FU252">
            <v>2.0333333333333332</v>
          </cell>
          <cell r="FW252" t="str">
            <v>SOBRESTOCK</v>
          </cell>
          <cell r="FX252" t="str">
            <v>A</v>
          </cell>
          <cell r="FY252" t="str">
            <v>Si</v>
          </cell>
        </row>
        <row r="253">
          <cell r="B253" t="str">
            <v>REP-0263</v>
          </cell>
          <cell r="C253" t="str">
            <v>AXEON</v>
          </cell>
          <cell r="D253">
            <v>0</v>
          </cell>
          <cell r="E253">
            <v>1317</v>
          </cell>
          <cell r="F253">
            <v>0</v>
          </cell>
          <cell r="G253">
            <v>0</v>
          </cell>
          <cell r="H253">
            <v>105</v>
          </cell>
          <cell r="I253">
            <v>107</v>
          </cell>
          <cell r="J253">
            <v>0</v>
          </cell>
          <cell r="K253">
            <v>24</v>
          </cell>
          <cell r="L253">
            <v>2</v>
          </cell>
          <cell r="M253">
            <v>6</v>
          </cell>
          <cell r="N253">
            <v>6</v>
          </cell>
          <cell r="O253">
            <v>5</v>
          </cell>
          <cell r="P253">
            <v>3</v>
          </cell>
          <cell r="Q253">
            <v>4</v>
          </cell>
          <cell r="R253">
            <v>9</v>
          </cell>
          <cell r="S253">
            <v>14</v>
          </cell>
          <cell r="T253">
            <v>4</v>
          </cell>
          <cell r="U253">
            <v>7</v>
          </cell>
          <cell r="V253">
            <v>6</v>
          </cell>
          <cell r="W253">
            <v>6</v>
          </cell>
          <cell r="X253">
            <v>9</v>
          </cell>
          <cell r="Y253">
            <v>1634</v>
          </cell>
          <cell r="AA253">
            <v>1634</v>
          </cell>
          <cell r="AB253">
            <v>931</v>
          </cell>
          <cell r="AC253">
            <v>187</v>
          </cell>
          <cell r="AD253">
            <v>6.2333333333333334</v>
          </cell>
          <cell r="AE253">
            <v>166.33333333333334</v>
          </cell>
          <cell r="AF253">
            <v>212.08333333333334</v>
          </cell>
          <cell r="AG253">
            <v>219.33333333333334</v>
          </cell>
          <cell r="AH253">
            <v>246.91666666666666</v>
          </cell>
          <cell r="AI253">
            <v>226.16666666666666</v>
          </cell>
          <cell r="AJ253">
            <v>226.16666666666666</v>
          </cell>
          <cell r="AK253">
            <v>246.91666666666666</v>
          </cell>
          <cell r="AL253">
            <v>12.996073124858388</v>
          </cell>
          <cell r="AM253">
            <v>229.64583333333331</v>
          </cell>
          <cell r="AN253">
            <v>5.6591808944316667E-2</v>
          </cell>
          <cell r="AO253">
            <v>0</v>
          </cell>
          <cell r="AP253">
            <v>1057.1666666666667</v>
          </cell>
          <cell r="AQ253">
            <v>4.8151765589782123</v>
          </cell>
          <cell r="AR253">
            <v>0</v>
          </cell>
          <cell r="AS253">
            <v>840.33333333333337</v>
          </cell>
          <cell r="AT253">
            <v>837</v>
          </cell>
          <cell r="AU253">
            <v>3.722757598220904</v>
          </cell>
          <cell r="AV253">
            <v>0</v>
          </cell>
          <cell r="AW253">
            <v>612.16666666666663</v>
          </cell>
          <cell r="AX253">
            <v>599</v>
          </cell>
          <cell r="AY253">
            <v>2.42591967600405</v>
          </cell>
          <cell r="AZ253">
            <v>0</v>
          </cell>
          <cell r="BA253">
            <v>1371.8333333333333</v>
          </cell>
          <cell r="BB253">
            <v>1589</v>
          </cell>
          <cell r="BC253">
            <v>5.2790697674418601</v>
          </cell>
          <cell r="BD253">
            <v>0</v>
          </cell>
          <cell r="BE253">
            <v>1288</v>
          </cell>
          <cell r="BF253">
            <v>4.2790697674418601</v>
          </cell>
          <cell r="BG253">
            <v>0</v>
          </cell>
          <cell r="BH253">
            <v>2187</v>
          </cell>
          <cell r="BI253">
            <v>1634</v>
          </cell>
          <cell r="BJ253">
            <v>6.6176172797840032</v>
          </cell>
          <cell r="BK253">
            <v>0</v>
          </cell>
          <cell r="BL253">
            <v>2044.1666666666667</v>
          </cell>
          <cell r="BM253">
            <v>2063</v>
          </cell>
          <cell r="BN253">
            <v>8.8477483917083628</v>
          </cell>
          <cell r="BO253">
            <v>0</v>
          </cell>
          <cell r="BP253">
            <v>1829.8333333333333</v>
          </cell>
          <cell r="BQ253">
            <v>1813</v>
          </cell>
          <cell r="BR253">
            <v>7.3425582180222753</v>
          </cell>
          <cell r="BS253">
            <v>0</v>
          </cell>
          <cell r="BT253">
            <v>1577.3333333333333</v>
          </cell>
          <cell r="BU253">
            <v>1608</v>
          </cell>
          <cell r="BV253">
            <v>6.9062276306370789</v>
          </cell>
          <cell r="BW253">
            <v>254</v>
          </cell>
          <cell r="BX253">
            <v>0</v>
          </cell>
          <cell r="BY253">
            <v>1375.1666666666667</v>
          </cell>
          <cell r="BZ253">
            <v>1378</v>
          </cell>
          <cell r="CA253">
            <v>5.8930862437633635</v>
          </cell>
          <cell r="CB253">
            <v>492</v>
          </cell>
          <cell r="CC253">
            <v>0</v>
          </cell>
          <cell r="CD253">
            <v>1144.1666666666667</v>
          </cell>
          <cell r="CE253">
            <v>1136</v>
          </cell>
          <cell r="CF253">
            <v>4.8</v>
          </cell>
          <cell r="CG253">
            <v>758</v>
          </cell>
          <cell r="CH253">
            <v>1200</v>
          </cell>
          <cell r="CI253">
            <v>1665.5</v>
          </cell>
          <cell r="CJ253">
            <v>1925</v>
          </cell>
          <cell r="CK253">
            <v>7.3896353166986568</v>
          </cell>
          <cell r="CL253">
            <v>159</v>
          </cell>
          <cell r="CM253">
            <v>0</v>
          </cell>
          <cell r="CN253">
            <v>1664.5</v>
          </cell>
          <cell r="CO253">
            <v>1698</v>
          </cell>
          <cell r="CP253">
            <v>6.5182341650671782</v>
          </cell>
          <cell r="CQ253">
            <v>419.5</v>
          </cell>
          <cell r="CR253">
            <v>0</v>
          </cell>
          <cell r="CS253">
            <v>1437.5</v>
          </cell>
          <cell r="CT253">
            <v>1479</v>
          </cell>
          <cell r="CU253">
            <v>5.8152031454783746</v>
          </cell>
          <cell r="CV253">
            <v>0</v>
          </cell>
          <cell r="CW253">
            <v>0</v>
          </cell>
          <cell r="CX253">
            <v>2424.6666666666665</v>
          </cell>
          <cell r="CY253">
            <v>1027</v>
          </cell>
          <cell r="CZ253">
            <v>3.5373134328358211</v>
          </cell>
          <cell r="DA253">
            <v>0</v>
          </cell>
          <cell r="DB253">
            <v>1200</v>
          </cell>
          <cell r="DC253">
            <v>1953</v>
          </cell>
          <cell r="DD253">
            <v>2036</v>
          </cell>
          <cell r="DE253">
            <v>6.20857239284509</v>
          </cell>
          <cell r="DF253">
            <v>0</v>
          </cell>
          <cell r="DG253">
            <v>0</v>
          </cell>
          <cell r="DH253">
            <v>1789.0833333333333</v>
          </cell>
          <cell r="DI253">
            <v>1794</v>
          </cell>
          <cell r="DJ253">
            <v>7.2284846439419512</v>
          </cell>
          <cell r="DK253">
            <v>0</v>
          </cell>
          <cell r="DL253">
            <v>0</v>
          </cell>
          <cell r="DM253">
            <v>1542.1666666666665</v>
          </cell>
          <cell r="DN253">
            <v>1634</v>
          </cell>
          <cell r="DO253">
            <v>6.5804927438407024</v>
          </cell>
          <cell r="DP253">
            <v>0</v>
          </cell>
          <cell r="DQ253">
            <v>0</v>
          </cell>
          <cell r="DR253">
            <v>1387.0833333333333</v>
          </cell>
          <cell r="DS253">
            <v>1387.0833333333333</v>
          </cell>
          <cell r="DT253">
            <v>5.5804927438407024</v>
          </cell>
          <cell r="DU253">
            <v>0</v>
          </cell>
          <cell r="DV253">
            <v>0</v>
          </cell>
          <cell r="DW253">
            <v>1140.1666666666665</v>
          </cell>
          <cell r="DX253">
            <v>1140.1666666666665</v>
          </cell>
          <cell r="DY253">
            <v>4.5804927438407015</v>
          </cell>
          <cell r="DZ253">
            <v>0</v>
          </cell>
          <cell r="EA253">
            <v>1200</v>
          </cell>
          <cell r="EB253">
            <v>2093.25</v>
          </cell>
          <cell r="EC253">
            <v>2093.25</v>
          </cell>
          <cell r="ED253">
            <v>8.4404319946000683</v>
          </cell>
          <cell r="EE253">
            <v>0</v>
          </cell>
          <cell r="EF253">
            <v>0</v>
          </cell>
          <cell r="EG253">
            <v>1846.3333333333333</v>
          </cell>
          <cell r="EH253">
            <v>1846.3333333333333</v>
          </cell>
          <cell r="EI253">
            <v>7.4404319946000674</v>
          </cell>
          <cell r="EJ253">
            <v>0</v>
          </cell>
          <cell r="EK253">
            <v>0</v>
          </cell>
          <cell r="EL253">
            <v>1599.4166666666665</v>
          </cell>
          <cell r="EM253">
            <v>1599.4166666666665</v>
          </cell>
          <cell r="EN253">
            <v>6.4404319946000674</v>
          </cell>
          <cell r="EO253">
            <v>0</v>
          </cell>
          <cell r="EP253">
            <v>0</v>
          </cell>
          <cell r="EQ253">
            <v>1352.4999999999998</v>
          </cell>
          <cell r="ER253">
            <v>1352.4999999999998</v>
          </cell>
          <cell r="ES253">
            <v>5.4404319946000665</v>
          </cell>
          <cell r="ET253">
            <v>0</v>
          </cell>
          <cell r="EU253">
            <v>0</v>
          </cell>
          <cell r="EV253">
            <v>1105.583333333333</v>
          </cell>
          <cell r="EW253">
            <v>1105.583333333333</v>
          </cell>
          <cell r="EX253">
            <v>4.4404319946000665</v>
          </cell>
          <cell r="EY253">
            <v>0</v>
          </cell>
          <cell r="EZ253">
            <v>0</v>
          </cell>
          <cell r="FA253">
            <v>858.6666666666664</v>
          </cell>
          <cell r="FB253">
            <v>858.6666666666664</v>
          </cell>
          <cell r="FC253">
            <v>3.4404319946000665</v>
          </cell>
          <cell r="FD253">
            <v>0</v>
          </cell>
          <cell r="FE253">
            <v>1000</v>
          </cell>
          <cell r="FF253">
            <v>1611.7499999999998</v>
          </cell>
          <cell r="FG253">
            <v>1611.7499999999998</v>
          </cell>
          <cell r="FH253">
            <v>6.4903813702328712</v>
          </cell>
          <cell r="FI253">
            <v>0</v>
          </cell>
          <cell r="FJ253">
            <v>0</v>
          </cell>
          <cell r="FK253">
            <v>1364.833333333333</v>
          </cell>
          <cell r="FL253">
            <v>1364.833333333333</v>
          </cell>
          <cell r="FM253">
            <v>5.4903813702328712</v>
          </cell>
          <cell r="FN253">
            <v>0</v>
          </cell>
          <cell r="FO253">
            <v>0</v>
          </cell>
          <cell r="FP253">
            <v>1117.9166666666663</v>
          </cell>
          <cell r="FQ253">
            <v>1117.9166666666663</v>
          </cell>
          <cell r="FR253">
            <v>4.4903813702328712</v>
          </cell>
          <cell r="FS253">
            <v>0</v>
          </cell>
          <cell r="FT253">
            <v>503</v>
          </cell>
          <cell r="FU253">
            <v>2.0333333333333332</v>
          </cell>
          <cell r="FW253" t="str">
            <v>SOBRESTOCK</v>
          </cell>
          <cell r="FX253" t="str">
            <v>A</v>
          </cell>
          <cell r="FY253" t="str">
            <v>Si</v>
          </cell>
        </row>
        <row r="254">
          <cell r="B254" t="str">
            <v>REP-0264</v>
          </cell>
          <cell r="C254" t="str">
            <v>AXEON</v>
          </cell>
          <cell r="D254">
            <v>0</v>
          </cell>
          <cell r="E254">
            <v>1327</v>
          </cell>
          <cell r="F254">
            <v>0</v>
          </cell>
          <cell r="G254">
            <v>0</v>
          </cell>
          <cell r="H254">
            <v>44</v>
          </cell>
          <cell r="I254">
            <v>46</v>
          </cell>
          <cell r="J254">
            <v>0</v>
          </cell>
          <cell r="K254">
            <v>17</v>
          </cell>
          <cell r="L254">
            <v>6</v>
          </cell>
          <cell r="M254">
            <v>9</v>
          </cell>
          <cell r="N254">
            <v>6</v>
          </cell>
          <cell r="O254">
            <v>5</v>
          </cell>
          <cell r="P254">
            <v>5</v>
          </cell>
          <cell r="Q254">
            <v>5</v>
          </cell>
          <cell r="R254">
            <v>9</v>
          </cell>
          <cell r="S254">
            <v>13</v>
          </cell>
          <cell r="T254">
            <v>4</v>
          </cell>
          <cell r="U254">
            <v>8</v>
          </cell>
          <cell r="V254">
            <v>8</v>
          </cell>
          <cell r="W254">
            <v>6</v>
          </cell>
          <cell r="X254">
            <v>9</v>
          </cell>
          <cell r="Y254">
            <v>1527</v>
          </cell>
          <cell r="AA254">
            <v>1527</v>
          </cell>
          <cell r="AB254">
            <v>868</v>
          </cell>
          <cell r="AC254">
            <v>180</v>
          </cell>
          <cell r="AD254">
            <v>6</v>
          </cell>
          <cell r="AE254">
            <v>158.83333333333334</v>
          </cell>
          <cell r="AF254">
            <v>197.66666666666666</v>
          </cell>
          <cell r="AG254">
            <v>213.58333333333334</v>
          </cell>
          <cell r="AH254">
            <v>247.33333333333334</v>
          </cell>
          <cell r="AI254">
            <v>212.83333333333334</v>
          </cell>
          <cell r="AJ254">
            <v>212.83333333333334</v>
          </cell>
          <cell r="AK254">
            <v>247.33333333333334</v>
          </cell>
          <cell r="AL254">
            <v>18.304181368079693</v>
          </cell>
          <cell r="AM254">
            <v>221.64583333333334</v>
          </cell>
          <cell r="AN254">
            <v>8.2583015853729222E-2</v>
          </cell>
          <cell r="AO254">
            <v>0</v>
          </cell>
          <cell r="AP254">
            <v>969.16666666666663</v>
          </cell>
          <cell r="AQ254">
            <v>4.5473441108545032</v>
          </cell>
          <cell r="AR254">
            <v>0</v>
          </cell>
          <cell r="AS254">
            <v>762.66666666666674</v>
          </cell>
          <cell r="AT254">
            <v>762</v>
          </cell>
          <cell r="AU254">
            <v>3.4768060836501902</v>
          </cell>
          <cell r="AV254">
            <v>0</v>
          </cell>
          <cell r="AW254">
            <v>542.83333333333337</v>
          </cell>
          <cell r="AX254">
            <v>544</v>
          </cell>
          <cell r="AY254">
            <v>2.1994609164420482</v>
          </cell>
          <cell r="AZ254">
            <v>0</v>
          </cell>
          <cell r="BA254">
            <v>1324.1666666666667</v>
          </cell>
          <cell r="BB254">
            <v>1456</v>
          </cell>
          <cell r="BC254">
            <v>4.6369426751592355</v>
          </cell>
          <cell r="BD254">
            <v>0</v>
          </cell>
          <cell r="BE254">
            <v>1142</v>
          </cell>
          <cell r="BF254">
            <v>3.6369426751592355</v>
          </cell>
          <cell r="BG254">
            <v>0</v>
          </cell>
          <cell r="BH254">
            <v>2028</v>
          </cell>
          <cell r="BI254">
            <v>1527</v>
          </cell>
          <cell r="BJ254">
            <v>6.1738544474393526</v>
          </cell>
          <cell r="BK254">
            <v>0</v>
          </cell>
          <cell r="BL254">
            <v>1951.6666666666667</v>
          </cell>
          <cell r="BM254">
            <v>1984</v>
          </cell>
          <cell r="BN254">
            <v>8.5701943844492448</v>
          </cell>
          <cell r="BO254">
            <v>0</v>
          </cell>
          <cell r="BP254">
            <v>1752.5</v>
          </cell>
          <cell r="BQ254">
            <v>1740</v>
          </cell>
          <cell r="BR254">
            <v>7.0350404312668458</v>
          </cell>
          <cell r="BS254">
            <v>0</v>
          </cell>
          <cell r="BT254">
            <v>1506.1666666666667</v>
          </cell>
          <cell r="BU254">
            <v>1545</v>
          </cell>
          <cell r="BV254">
            <v>6.6642703091301216</v>
          </cell>
          <cell r="BW254">
            <v>309</v>
          </cell>
          <cell r="BX254">
            <v>0</v>
          </cell>
          <cell r="BY254">
            <v>1313.1666666666667</v>
          </cell>
          <cell r="BZ254">
            <v>1322</v>
          </cell>
          <cell r="CA254">
            <v>5.8289241622574952</v>
          </cell>
          <cell r="CB254">
            <v>492</v>
          </cell>
          <cell r="CC254">
            <v>0</v>
          </cell>
          <cell r="CD254">
            <v>1095.2</v>
          </cell>
          <cell r="CE254">
            <v>1091</v>
          </cell>
          <cell r="CF254">
            <v>4.7946464242908515</v>
          </cell>
          <cell r="CG254">
            <v>729</v>
          </cell>
          <cell r="CH254">
            <v>1200</v>
          </cell>
          <cell r="CI254">
            <v>1596.6545454545455</v>
          </cell>
          <cell r="CJ254">
            <v>1824</v>
          </cell>
          <cell r="CK254">
            <v>6.966263526416296</v>
          </cell>
          <cell r="CL254">
            <v>270</v>
          </cell>
          <cell r="CM254">
            <v>0</v>
          </cell>
          <cell r="CN254">
            <v>1562.1666666666667</v>
          </cell>
          <cell r="CO254">
            <v>1518</v>
          </cell>
          <cell r="CP254">
            <v>5.7975811584977723</v>
          </cell>
          <cell r="CQ254">
            <v>531.83333333333326</v>
          </cell>
          <cell r="CR254">
            <v>0</v>
          </cell>
          <cell r="CS254">
            <v>1256.1666666666667</v>
          </cell>
          <cell r="CT254">
            <v>1327</v>
          </cell>
          <cell r="CU254">
            <v>5.2073250490516676</v>
          </cell>
          <cell r="CV254">
            <v>0</v>
          </cell>
          <cell r="CW254">
            <v>0</v>
          </cell>
          <cell r="CX254">
            <v>2272.1666666666665</v>
          </cell>
          <cell r="CY254">
            <v>975</v>
          </cell>
          <cell r="CZ254">
            <v>3.8844621513944224</v>
          </cell>
          <cell r="DA254">
            <v>0</v>
          </cell>
          <cell r="DB254">
            <v>1200</v>
          </cell>
          <cell r="DC254">
            <v>1927.6666666666667</v>
          </cell>
          <cell r="DD254">
            <v>1969</v>
          </cell>
          <cell r="DE254">
            <v>5.92722371967655</v>
          </cell>
          <cell r="DF254">
            <v>0</v>
          </cell>
          <cell r="DG254">
            <v>0</v>
          </cell>
          <cell r="DH254">
            <v>1721.6666666666667</v>
          </cell>
          <cell r="DI254">
            <v>1751</v>
          </cell>
          <cell r="DJ254">
            <v>7.045822102425876</v>
          </cell>
          <cell r="DK254">
            <v>0</v>
          </cell>
          <cell r="DL254">
            <v>0</v>
          </cell>
          <cell r="DM254">
            <v>1474.3333333333335</v>
          </cell>
          <cell r="DN254">
            <v>1527</v>
          </cell>
          <cell r="DO254">
            <v>6.1401617250673857</v>
          </cell>
          <cell r="DP254">
            <v>0</v>
          </cell>
          <cell r="DQ254">
            <v>0</v>
          </cell>
          <cell r="DR254">
            <v>1279.6666666666667</v>
          </cell>
          <cell r="DS254">
            <v>1279.6666666666667</v>
          </cell>
          <cell r="DT254">
            <v>5.1401617250673857</v>
          </cell>
          <cell r="DU254">
            <v>0</v>
          </cell>
          <cell r="DV254">
            <v>0</v>
          </cell>
          <cell r="DW254">
            <v>1032.3333333333335</v>
          </cell>
          <cell r="DX254">
            <v>1032.3333333333335</v>
          </cell>
          <cell r="DY254">
            <v>4.1401617250673866</v>
          </cell>
          <cell r="DZ254">
            <v>0</v>
          </cell>
          <cell r="EA254">
            <v>1000</v>
          </cell>
          <cell r="EB254">
            <v>1785.0000000000002</v>
          </cell>
          <cell r="EC254">
            <v>1785.0000000000002</v>
          </cell>
          <cell r="ED254">
            <v>7.183288409703505</v>
          </cell>
          <cell r="EE254">
            <v>0</v>
          </cell>
          <cell r="EF254">
            <v>0</v>
          </cell>
          <cell r="EG254">
            <v>1537.666666666667</v>
          </cell>
          <cell r="EH254">
            <v>1537.666666666667</v>
          </cell>
          <cell r="EI254">
            <v>6.183288409703505</v>
          </cell>
          <cell r="EJ254">
            <v>0</v>
          </cell>
          <cell r="EK254">
            <v>0</v>
          </cell>
          <cell r="EL254">
            <v>1290.3333333333337</v>
          </cell>
          <cell r="EM254">
            <v>1290.3333333333337</v>
          </cell>
          <cell r="EN254">
            <v>5.1832884097035059</v>
          </cell>
          <cell r="EO254">
            <v>0</v>
          </cell>
          <cell r="EP254">
            <v>0</v>
          </cell>
          <cell r="EQ254">
            <v>1043.0000000000005</v>
          </cell>
          <cell r="ER254">
            <v>1043.0000000000005</v>
          </cell>
          <cell r="ES254">
            <v>4.1832884097035059</v>
          </cell>
          <cell r="ET254">
            <v>0</v>
          </cell>
          <cell r="EU254">
            <v>0</v>
          </cell>
          <cell r="EV254">
            <v>795.66666666666708</v>
          </cell>
          <cell r="EW254">
            <v>795.66666666666708</v>
          </cell>
          <cell r="EX254">
            <v>3.1832884097035059</v>
          </cell>
          <cell r="EY254">
            <v>0</v>
          </cell>
          <cell r="EZ254">
            <v>0</v>
          </cell>
          <cell r="FA254">
            <v>548.33333333333371</v>
          </cell>
          <cell r="FB254">
            <v>548.33333333333371</v>
          </cell>
          <cell r="FC254">
            <v>2.1832884097035055</v>
          </cell>
          <cell r="FD254">
            <v>0</v>
          </cell>
          <cell r="FE254">
            <v>1300</v>
          </cell>
          <cell r="FF254">
            <v>1601.0000000000005</v>
          </cell>
          <cell r="FG254">
            <v>1601.0000000000005</v>
          </cell>
          <cell r="FH254">
            <v>6.43935309973046</v>
          </cell>
          <cell r="FI254">
            <v>0</v>
          </cell>
          <cell r="FJ254">
            <v>0</v>
          </cell>
          <cell r="FK254">
            <v>1353.6666666666672</v>
          </cell>
          <cell r="FL254">
            <v>1353.6666666666672</v>
          </cell>
          <cell r="FM254">
            <v>5.4393530997304609</v>
          </cell>
          <cell r="FN254">
            <v>0</v>
          </cell>
          <cell r="FO254">
            <v>0</v>
          </cell>
          <cell r="FP254">
            <v>1106.3333333333339</v>
          </cell>
          <cell r="FQ254">
            <v>1106.3333333333339</v>
          </cell>
          <cell r="FR254">
            <v>4.4393530997304609</v>
          </cell>
          <cell r="FS254">
            <v>0</v>
          </cell>
          <cell r="FT254">
            <v>503</v>
          </cell>
          <cell r="FU254">
            <v>2.0333333333333332</v>
          </cell>
          <cell r="FW254" t="str">
            <v>SOBRESTOCK</v>
          </cell>
          <cell r="FX254" t="str">
            <v>A</v>
          </cell>
          <cell r="FY254" t="str">
            <v>Si</v>
          </cell>
        </row>
        <row r="255">
          <cell r="B255" t="str">
            <v>REP-0265</v>
          </cell>
          <cell r="C255" t="str">
            <v>NAC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O255">
            <v>0</v>
          </cell>
          <cell r="AP255">
            <v>0</v>
          </cell>
          <cell r="AQ255" t="str">
            <v/>
          </cell>
          <cell r="AR255">
            <v>0</v>
          </cell>
          <cell r="AS255">
            <v>0</v>
          </cell>
          <cell r="AT255">
            <v>0</v>
          </cell>
          <cell r="AU255" t="str">
            <v/>
          </cell>
          <cell r="AV255">
            <v>0</v>
          </cell>
          <cell r="AW255">
            <v>0</v>
          </cell>
          <cell r="AX255">
            <v>0</v>
          </cell>
          <cell r="AY255" t="str">
            <v/>
          </cell>
          <cell r="AZ255">
            <v>0</v>
          </cell>
          <cell r="BA255">
            <v>0</v>
          </cell>
          <cell r="BB255">
            <v>0</v>
          </cell>
          <cell r="BC255" t="str">
            <v/>
          </cell>
          <cell r="BD255">
            <v>0</v>
          </cell>
          <cell r="BE255">
            <v>0</v>
          </cell>
          <cell r="BF255" t="str">
            <v/>
          </cell>
          <cell r="BG255">
            <v>0</v>
          </cell>
          <cell r="BH255">
            <v>0</v>
          </cell>
          <cell r="BI255">
            <v>0</v>
          </cell>
          <cell r="BJ255" t="str">
            <v/>
          </cell>
          <cell r="BK255">
            <v>0</v>
          </cell>
          <cell r="BL255">
            <v>0</v>
          </cell>
          <cell r="BM255">
            <v>0</v>
          </cell>
          <cell r="BN255" t="str">
            <v/>
          </cell>
          <cell r="BO255">
            <v>0</v>
          </cell>
          <cell r="BP255">
            <v>0</v>
          </cell>
          <cell r="BQ255">
            <v>0</v>
          </cell>
          <cell r="BR255" t="str">
            <v/>
          </cell>
          <cell r="BS255">
            <v>0</v>
          </cell>
          <cell r="BT255">
            <v>0</v>
          </cell>
          <cell r="BU255">
            <v>0</v>
          </cell>
          <cell r="BV255" t="str">
            <v/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 t="str">
            <v/>
          </cell>
          <cell r="CB255">
            <v>0</v>
          </cell>
          <cell r="CD255">
            <v>0</v>
          </cell>
          <cell r="CE255">
            <v>0</v>
          </cell>
          <cell r="CF255" t="str">
            <v/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 t="str">
            <v/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 t="str">
            <v/>
          </cell>
          <cell r="CQ255">
            <v>0</v>
          </cell>
          <cell r="CS255">
            <v>0</v>
          </cell>
          <cell r="CT255">
            <v>0</v>
          </cell>
          <cell r="CU255" t="str">
            <v/>
          </cell>
          <cell r="CV255">
            <v>0</v>
          </cell>
          <cell r="CX255">
            <v>0</v>
          </cell>
          <cell r="CY255">
            <v>0</v>
          </cell>
          <cell r="CZ255" t="str">
            <v/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 t="str">
            <v/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 t="str">
            <v/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 t="str">
            <v/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 t="str">
            <v/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 t="str">
            <v/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 t="str">
            <v/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 t="str">
            <v/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 t="str">
            <v/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 t="str">
            <v/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 t="str">
            <v/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 t="str">
            <v/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 t="str">
            <v/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 t="str">
            <v/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 t="str">
            <v/>
          </cell>
          <cell r="FS255">
            <v>0</v>
          </cell>
          <cell r="FT255">
            <v>0</v>
          </cell>
          <cell r="FU255">
            <v>66.666666666666671</v>
          </cell>
          <cell r="FW255" t="str">
            <v>SIN ROTACIÓN</v>
          </cell>
          <cell r="FX255" t="str">
            <v/>
          </cell>
          <cell r="FY255" t="str">
            <v>No</v>
          </cell>
        </row>
        <row r="256">
          <cell r="B256" t="str">
            <v>REP-0266</v>
          </cell>
          <cell r="C256" t="str">
            <v>NAC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A256">
            <v>0</v>
          </cell>
          <cell r="AB256">
            <v>59</v>
          </cell>
          <cell r="AC256">
            <v>4.166666666666667</v>
          </cell>
          <cell r="AD256">
            <v>0.1388888888888889</v>
          </cell>
          <cell r="AE256">
            <v>5.333333333333333</v>
          </cell>
          <cell r="AF256">
            <v>3.4166666666666665</v>
          </cell>
          <cell r="AG256">
            <v>1.9166666666666667</v>
          </cell>
          <cell r="AH256">
            <v>0.91666666666666663</v>
          </cell>
          <cell r="AI256">
            <v>0</v>
          </cell>
          <cell r="AJ256">
            <v>0</v>
          </cell>
          <cell r="AK256">
            <v>1.9166666666666667</v>
          </cell>
          <cell r="AL256">
            <v>0.91413792621690748</v>
          </cell>
          <cell r="AM256">
            <v>0.70833333333333337</v>
          </cell>
          <cell r="AN256">
            <v>1.2905476605415165</v>
          </cell>
          <cell r="AO256">
            <v>0</v>
          </cell>
          <cell r="AP256">
            <v>13.083333333333334</v>
          </cell>
          <cell r="AQ256">
            <v>3.3902439024390247</v>
          </cell>
          <cell r="AR256">
            <v>0</v>
          </cell>
          <cell r="AS256">
            <v>8.1666666666666679</v>
          </cell>
          <cell r="AT256">
            <v>9</v>
          </cell>
          <cell r="AU256">
            <v>3</v>
          </cell>
          <cell r="AV256">
            <v>0</v>
          </cell>
          <cell r="AW256">
            <v>6</v>
          </cell>
          <cell r="AX256">
            <v>9</v>
          </cell>
          <cell r="AY256">
            <v>4.695652173913043</v>
          </cell>
          <cell r="AZ256">
            <v>0</v>
          </cell>
          <cell r="BA256">
            <v>7</v>
          </cell>
          <cell r="BB256">
            <v>7</v>
          </cell>
          <cell r="BC256">
            <v>2.4705882352941173</v>
          </cell>
          <cell r="BD256">
            <v>0</v>
          </cell>
          <cell r="BE256">
            <v>4.1666666666666661</v>
          </cell>
          <cell r="BF256">
            <v>1.4705882352941173</v>
          </cell>
          <cell r="BG256">
            <v>0</v>
          </cell>
          <cell r="BH256">
            <v>1.3333333333333326</v>
          </cell>
          <cell r="BI256">
            <v>0</v>
          </cell>
          <cell r="BJ256">
            <v>0</v>
          </cell>
          <cell r="BK256">
            <v>0</v>
          </cell>
          <cell r="BL256">
            <v>3.083333333333333</v>
          </cell>
          <cell r="BM256">
            <v>5</v>
          </cell>
          <cell r="BN256">
            <v>2.6086956521739131</v>
          </cell>
          <cell r="BO256">
            <v>0</v>
          </cell>
          <cell r="BP256">
            <v>3.083333333333333</v>
          </cell>
          <cell r="BQ256">
            <v>5</v>
          </cell>
          <cell r="BR256">
            <v>2.6086956521739131</v>
          </cell>
          <cell r="BS256">
            <v>0</v>
          </cell>
          <cell r="BT256">
            <v>3.083333333333333</v>
          </cell>
          <cell r="BU256">
            <v>5</v>
          </cell>
          <cell r="BV256">
            <v>2.6086956521739131</v>
          </cell>
          <cell r="BW256">
            <v>3</v>
          </cell>
          <cell r="BX256">
            <v>0</v>
          </cell>
          <cell r="BY256">
            <v>3.083333333333333</v>
          </cell>
          <cell r="BZ256">
            <v>5</v>
          </cell>
          <cell r="CA256">
            <v>2.6086956521739131</v>
          </cell>
          <cell r="CB256">
            <v>3</v>
          </cell>
          <cell r="CC256">
            <v>0</v>
          </cell>
          <cell r="CD256">
            <v>3.083333333333333</v>
          </cell>
          <cell r="CE256">
            <v>5</v>
          </cell>
          <cell r="CF256">
            <v>2.6086956521739131</v>
          </cell>
          <cell r="CG256">
            <v>3</v>
          </cell>
          <cell r="CH256">
            <v>0</v>
          </cell>
          <cell r="CI256">
            <v>4.1666666666666661</v>
          </cell>
          <cell r="CJ256">
            <v>3</v>
          </cell>
          <cell r="CK256">
            <v>1.5652173913043477</v>
          </cell>
          <cell r="CL256">
            <v>5</v>
          </cell>
          <cell r="CM256">
            <v>0</v>
          </cell>
          <cell r="CN256">
            <v>1.0833333333333333</v>
          </cell>
          <cell r="CO256">
            <v>2</v>
          </cell>
          <cell r="CP256">
            <v>1.0434782608695652</v>
          </cell>
          <cell r="CQ256">
            <v>6.916666666666667</v>
          </cell>
          <cell r="CR256">
            <v>0</v>
          </cell>
          <cell r="CS256">
            <v>8.3333333333333259E-2</v>
          </cell>
          <cell r="CT256">
            <v>2</v>
          </cell>
          <cell r="CU256">
            <v>1.0434782608695652</v>
          </cell>
          <cell r="CV256">
            <v>0</v>
          </cell>
          <cell r="CW256">
            <v>0</v>
          </cell>
          <cell r="CX256">
            <v>8.3333333333333259E-2</v>
          </cell>
          <cell r="CY256">
            <v>2</v>
          </cell>
          <cell r="CZ256">
            <v>1.0434782608695652</v>
          </cell>
          <cell r="DA256">
            <v>1.9166666666666667</v>
          </cell>
          <cell r="DB256">
            <v>0</v>
          </cell>
          <cell r="DC256">
            <v>8.3333333333333259E-2</v>
          </cell>
          <cell r="DD256">
            <v>2</v>
          </cell>
          <cell r="DE256">
            <v>0</v>
          </cell>
          <cell r="DF256">
            <v>0</v>
          </cell>
          <cell r="DG256">
            <v>0</v>
          </cell>
          <cell r="DH256">
            <v>8.3333333333333259E-2</v>
          </cell>
          <cell r="DI256">
            <v>2</v>
          </cell>
          <cell r="DJ256">
            <v>2</v>
          </cell>
          <cell r="DK256">
            <v>0</v>
          </cell>
          <cell r="DL256">
            <v>0</v>
          </cell>
          <cell r="DM256">
            <v>-1.8333333333333335</v>
          </cell>
          <cell r="DN256">
            <v>0</v>
          </cell>
          <cell r="DO256">
            <v>0.95652173913043481</v>
          </cell>
          <cell r="DP256">
            <v>2</v>
          </cell>
          <cell r="DQ256">
            <v>0</v>
          </cell>
          <cell r="DR256">
            <v>-1.9166666666666667</v>
          </cell>
          <cell r="DS256">
            <v>-1.9166666666666667</v>
          </cell>
          <cell r="DT256">
            <v>-4.347826086956541E-2</v>
          </cell>
          <cell r="DU256">
            <v>3.916666666666667</v>
          </cell>
          <cell r="DV256">
            <v>0</v>
          </cell>
          <cell r="DW256">
            <v>-3.8333333333333335</v>
          </cell>
          <cell r="DX256">
            <v>-3.8333333333333335</v>
          </cell>
          <cell r="DY256">
            <v>-1.0434782608695654</v>
          </cell>
          <cell r="DZ256">
            <v>5.8333333333333339</v>
          </cell>
          <cell r="EA256">
            <v>0</v>
          </cell>
          <cell r="EB256">
            <v>-5.75</v>
          </cell>
          <cell r="EC256">
            <v>-5.75</v>
          </cell>
          <cell r="ED256">
            <v>-2.0434782608695654</v>
          </cell>
          <cell r="EE256">
            <v>7.75</v>
          </cell>
          <cell r="EF256">
            <v>0</v>
          </cell>
          <cell r="EG256">
            <v>-7.666666666666667</v>
          </cell>
          <cell r="EH256">
            <v>-7.666666666666667</v>
          </cell>
          <cell r="EI256">
            <v>-3.0434782608695654</v>
          </cell>
          <cell r="EJ256">
            <v>9.6666666666666679</v>
          </cell>
          <cell r="EK256">
            <v>0</v>
          </cell>
          <cell r="EL256">
            <v>-9.5833333333333339</v>
          </cell>
          <cell r="EM256">
            <v>-9.5833333333333339</v>
          </cell>
          <cell r="EN256">
            <v>-4.0434782608695654</v>
          </cell>
          <cell r="EO256">
            <v>11.583333333333334</v>
          </cell>
          <cell r="EP256">
            <v>0</v>
          </cell>
          <cell r="EQ256">
            <v>-11.5</v>
          </cell>
          <cell r="ER256">
            <v>-11.5</v>
          </cell>
          <cell r="ES256">
            <v>-5.0434782608695645</v>
          </cell>
          <cell r="ET256">
            <v>13.5</v>
          </cell>
          <cell r="EU256">
            <v>0</v>
          </cell>
          <cell r="EV256">
            <v>-13.416666666666666</v>
          </cell>
          <cell r="EW256">
            <v>-13.416666666666666</v>
          </cell>
          <cell r="EX256">
            <v>-6.0434782608695645</v>
          </cell>
          <cell r="EY256">
            <v>15.416666666666666</v>
          </cell>
          <cell r="EZ256">
            <v>0</v>
          </cell>
          <cell r="FA256">
            <v>-15.333333333333332</v>
          </cell>
          <cell r="FB256">
            <v>-15.333333333333332</v>
          </cell>
          <cell r="FC256">
            <v>-7.0434782608695645</v>
          </cell>
          <cell r="FD256">
            <v>17.333333333333332</v>
          </cell>
          <cell r="FE256">
            <v>0</v>
          </cell>
          <cell r="FF256">
            <v>-17.25</v>
          </cell>
          <cell r="FG256">
            <v>-17.25</v>
          </cell>
          <cell r="FH256">
            <v>-8.0434782608695645</v>
          </cell>
          <cell r="FI256">
            <v>19.25</v>
          </cell>
          <cell r="FJ256">
            <v>0</v>
          </cell>
          <cell r="FK256">
            <v>-19.166666666666668</v>
          </cell>
          <cell r="FL256">
            <v>-19.166666666666668</v>
          </cell>
          <cell r="FM256">
            <v>-9.0434782608695645</v>
          </cell>
          <cell r="FN256">
            <v>21.166666666666668</v>
          </cell>
          <cell r="FO256">
            <v>0</v>
          </cell>
          <cell r="FP256">
            <v>-21.083333333333336</v>
          </cell>
          <cell r="FQ256">
            <v>-21.083333333333336</v>
          </cell>
          <cell r="FR256">
            <v>-10.043478260869566</v>
          </cell>
          <cell r="FS256">
            <v>23.083333333333336</v>
          </cell>
          <cell r="FT256">
            <v>2</v>
          </cell>
          <cell r="FU256">
            <v>1.0333333333333334</v>
          </cell>
          <cell r="FW256" t="str">
            <v>SIN ROTACIÓN</v>
          </cell>
          <cell r="FX256" t="str">
            <v>B</v>
          </cell>
          <cell r="FY256" t="str">
            <v>Si</v>
          </cell>
        </row>
        <row r="257">
          <cell r="B257" t="str">
            <v>REP-0267</v>
          </cell>
          <cell r="C257" t="str">
            <v>NAC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A257">
            <v>0</v>
          </cell>
          <cell r="AB257">
            <v>0</v>
          </cell>
          <cell r="AC257">
            <v>1.6666666666666667</v>
          </cell>
          <cell r="AD257">
            <v>5.5555555555555559E-2</v>
          </cell>
          <cell r="AE257">
            <v>0.83333333333333337</v>
          </cell>
          <cell r="AF257">
            <v>0.25</v>
          </cell>
          <cell r="AG257">
            <v>0.33333333333333331</v>
          </cell>
          <cell r="AH257">
            <v>8.3333333333333329E-2</v>
          </cell>
          <cell r="AI257">
            <v>0</v>
          </cell>
          <cell r="AJ257">
            <v>0</v>
          </cell>
          <cell r="AK257">
            <v>0.33333333333333331</v>
          </cell>
          <cell r="AL257">
            <v>0.15774745405000762</v>
          </cell>
          <cell r="AM257">
            <v>0.10416666666666666</v>
          </cell>
          <cell r="AN257">
            <v>1.5143755588800734</v>
          </cell>
          <cell r="AO257">
            <v>0</v>
          </cell>
          <cell r="AP257">
            <v>0.66666666666666674</v>
          </cell>
          <cell r="AQ257">
            <v>2.0000000000000004</v>
          </cell>
          <cell r="AR257">
            <v>0</v>
          </cell>
          <cell r="AS257">
            <v>0</v>
          </cell>
          <cell r="AT257">
            <v>1</v>
          </cell>
          <cell r="AU257">
            <v>2</v>
          </cell>
          <cell r="AV257">
            <v>0</v>
          </cell>
          <cell r="AW257">
            <v>0.5</v>
          </cell>
          <cell r="AX257">
            <v>1</v>
          </cell>
          <cell r="AY257">
            <v>3</v>
          </cell>
          <cell r="AZ257">
            <v>0</v>
          </cell>
          <cell r="BA257">
            <v>0.66666666666666674</v>
          </cell>
          <cell r="BB257">
            <v>1</v>
          </cell>
          <cell r="BC257">
            <v>3</v>
          </cell>
          <cell r="BD257">
            <v>0</v>
          </cell>
          <cell r="BE257">
            <v>0.66666666666666674</v>
          </cell>
          <cell r="BF257">
            <v>2.0000000000000004</v>
          </cell>
          <cell r="BG257">
            <v>0</v>
          </cell>
          <cell r="BH257">
            <v>0.33333333333333343</v>
          </cell>
          <cell r="BI257">
            <v>0</v>
          </cell>
          <cell r="BJ257">
            <v>0</v>
          </cell>
          <cell r="BK257">
            <v>0</v>
          </cell>
          <cell r="BL257">
            <v>0.66666666666666674</v>
          </cell>
          <cell r="BM257">
            <v>1</v>
          </cell>
          <cell r="BN257">
            <v>3</v>
          </cell>
          <cell r="BO257">
            <v>0</v>
          </cell>
          <cell r="BP257">
            <v>0.66666666666666674</v>
          </cell>
          <cell r="BQ257">
            <v>1</v>
          </cell>
          <cell r="BR257">
            <v>3</v>
          </cell>
          <cell r="BS257">
            <v>0</v>
          </cell>
          <cell r="BT257">
            <v>0.66666666666666674</v>
          </cell>
          <cell r="BU257">
            <v>2</v>
          </cell>
          <cell r="BV257">
            <v>6</v>
          </cell>
          <cell r="BW257">
            <v>0</v>
          </cell>
          <cell r="BX257">
            <v>0</v>
          </cell>
          <cell r="BY257">
            <v>1.6666666666666667</v>
          </cell>
          <cell r="BZ257">
            <v>1</v>
          </cell>
          <cell r="CA257">
            <v>3</v>
          </cell>
          <cell r="CB257">
            <v>1</v>
          </cell>
          <cell r="CC257">
            <v>0</v>
          </cell>
          <cell r="CD257">
            <v>0.66666666666666674</v>
          </cell>
          <cell r="CE257">
            <v>1</v>
          </cell>
          <cell r="CF257">
            <v>3</v>
          </cell>
          <cell r="CG257">
            <v>1</v>
          </cell>
          <cell r="CH257">
            <v>0</v>
          </cell>
          <cell r="CI257">
            <v>1.3333333333333335</v>
          </cell>
          <cell r="CJ257">
            <v>1</v>
          </cell>
          <cell r="CK257">
            <v>3</v>
          </cell>
          <cell r="CL257">
            <v>1</v>
          </cell>
          <cell r="CM257">
            <v>0</v>
          </cell>
          <cell r="CN257">
            <v>0.66666666666666674</v>
          </cell>
          <cell r="CO257">
            <v>1</v>
          </cell>
          <cell r="CP257">
            <v>3</v>
          </cell>
          <cell r="CQ257">
            <v>1.3333333333333333</v>
          </cell>
          <cell r="CR257">
            <v>0</v>
          </cell>
          <cell r="CS257">
            <v>0.66666666666666674</v>
          </cell>
          <cell r="CT257">
            <v>1</v>
          </cell>
          <cell r="CU257">
            <v>3</v>
          </cell>
          <cell r="CV257">
            <v>0</v>
          </cell>
          <cell r="CW257">
            <v>0</v>
          </cell>
          <cell r="CX257">
            <v>0.66666666666666674</v>
          </cell>
          <cell r="CY257">
            <v>1</v>
          </cell>
          <cell r="CZ257">
            <v>3</v>
          </cell>
          <cell r="DA257">
            <v>0.33333333333333326</v>
          </cell>
          <cell r="DB257">
            <v>0</v>
          </cell>
          <cell r="DC257">
            <v>0.66666666666666674</v>
          </cell>
          <cell r="DD257">
            <v>1</v>
          </cell>
          <cell r="DE257">
            <v>0</v>
          </cell>
          <cell r="DF257">
            <v>0</v>
          </cell>
          <cell r="DG257">
            <v>0</v>
          </cell>
          <cell r="DH257">
            <v>0.66666666666666674</v>
          </cell>
          <cell r="DI257">
            <v>1</v>
          </cell>
          <cell r="DJ257">
            <v>2</v>
          </cell>
          <cell r="DK257">
            <v>0</v>
          </cell>
          <cell r="DL257">
            <v>0</v>
          </cell>
          <cell r="DM257">
            <v>0.33333333333333343</v>
          </cell>
          <cell r="DN257">
            <v>0</v>
          </cell>
          <cell r="DO257">
            <v>-1</v>
          </cell>
          <cell r="DP257">
            <v>1</v>
          </cell>
          <cell r="DQ257">
            <v>0</v>
          </cell>
          <cell r="DR257">
            <v>-0.33333333333333331</v>
          </cell>
          <cell r="DS257">
            <v>-0.33333333333333331</v>
          </cell>
          <cell r="DT257">
            <v>-2</v>
          </cell>
          <cell r="DU257">
            <v>1.3333333333333333</v>
          </cell>
          <cell r="DV257">
            <v>0</v>
          </cell>
          <cell r="DW257">
            <v>-0.66666666666666663</v>
          </cell>
          <cell r="DX257">
            <v>-0.66666666666666663</v>
          </cell>
          <cell r="DY257">
            <v>-3</v>
          </cell>
          <cell r="DZ257">
            <v>1.6666666666666665</v>
          </cell>
          <cell r="EA257">
            <v>0</v>
          </cell>
          <cell r="EB257">
            <v>-1</v>
          </cell>
          <cell r="EC257">
            <v>-1</v>
          </cell>
          <cell r="ED257">
            <v>-4</v>
          </cell>
          <cell r="EE257">
            <v>2</v>
          </cell>
          <cell r="EF257">
            <v>0</v>
          </cell>
          <cell r="EG257">
            <v>-1.3333333333333333</v>
          </cell>
          <cell r="EH257">
            <v>-1.3333333333333333</v>
          </cell>
          <cell r="EI257">
            <v>-4.9999999999999991</v>
          </cell>
          <cell r="EJ257">
            <v>2.333333333333333</v>
          </cell>
          <cell r="EK257">
            <v>0</v>
          </cell>
          <cell r="EL257">
            <v>-1.6666666666666665</v>
          </cell>
          <cell r="EM257">
            <v>-1.6666666666666665</v>
          </cell>
          <cell r="EN257">
            <v>-6</v>
          </cell>
          <cell r="EO257">
            <v>2.6666666666666665</v>
          </cell>
          <cell r="EP257">
            <v>0</v>
          </cell>
          <cell r="EQ257">
            <v>-1.9999999999999998</v>
          </cell>
          <cell r="ER257">
            <v>-1.9999999999999998</v>
          </cell>
          <cell r="ES257">
            <v>-7</v>
          </cell>
          <cell r="ET257">
            <v>3</v>
          </cell>
          <cell r="EU257">
            <v>0</v>
          </cell>
          <cell r="EV257">
            <v>-2.333333333333333</v>
          </cell>
          <cell r="EW257">
            <v>-2.333333333333333</v>
          </cell>
          <cell r="EX257">
            <v>-8</v>
          </cell>
          <cell r="EY257">
            <v>3.333333333333333</v>
          </cell>
          <cell r="EZ257">
            <v>0</v>
          </cell>
          <cell r="FA257">
            <v>-2.6666666666666665</v>
          </cell>
          <cell r="FB257">
            <v>-2.6666666666666665</v>
          </cell>
          <cell r="FC257">
            <v>-9</v>
          </cell>
          <cell r="FD257">
            <v>3.6666666666666665</v>
          </cell>
          <cell r="FE257">
            <v>0</v>
          </cell>
          <cell r="FF257">
            <v>-3</v>
          </cell>
          <cell r="FG257">
            <v>-3</v>
          </cell>
          <cell r="FH257">
            <v>-10</v>
          </cell>
          <cell r="FI257">
            <v>4</v>
          </cell>
          <cell r="FJ257">
            <v>0</v>
          </cell>
          <cell r="FK257">
            <v>-3.3333333333333335</v>
          </cell>
          <cell r="FL257">
            <v>-3.3333333333333335</v>
          </cell>
          <cell r="FM257">
            <v>-11.000000000000002</v>
          </cell>
          <cell r="FN257">
            <v>4.3333333333333339</v>
          </cell>
          <cell r="FO257">
            <v>0</v>
          </cell>
          <cell r="FP257">
            <v>-3.666666666666667</v>
          </cell>
          <cell r="FQ257">
            <v>-3.666666666666667</v>
          </cell>
          <cell r="FR257">
            <v>-12.000000000000002</v>
          </cell>
          <cell r="FS257">
            <v>4.666666666666667</v>
          </cell>
          <cell r="FT257">
            <v>1</v>
          </cell>
          <cell r="FU257">
            <v>1.0333333333333334</v>
          </cell>
          <cell r="FW257" t="str">
            <v>SIN ROTACIÓN</v>
          </cell>
          <cell r="FX257" t="str">
            <v>C</v>
          </cell>
          <cell r="FY257" t="str">
            <v>Si</v>
          </cell>
        </row>
        <row r="258">
          <cell r="B258" t="str">
            <v>REP-0268</v>
          </cell>
          <cell r="C258" t="str">
            <v>NAC</v>
          </cell>
          <cell r="D258">
            <v>0</v>
          </cell>
          <cell r="E258">
            <v>253</v>
          </cell>
          <cell r="F258">
            <v>0</v>
          </cell>
          <cell r="G258">
            <v>0</v>
          </cell>
          <cell r="H258">
            <v>120</v>
          </cell>
          <cell r="I258">
            <v>120</v>
          </cell>
          <cell r="J258">
            <v>0</v>
          </cell>
          <cell r="K258">
            <v>46</v>
          </cell>
          <cell r="L258">
            <v>5</v>
          </cell>
          <cell r="M258">
            <v>0</v>
          </cell>
          <cell r="N258">
            <v>0</v>
          </cell>
          <cell r="O258">
            <v>5</v>
          </cell>
          <cell r="P258">
            <v>0</v>
          </cell>
          <cell r="Q258">
            <v>1</v>
          </cell>
          <cell r="R258">
            <v>4</v>
          </cell>
          <cell r="S258">
            <v>6</v>
          </cell>
          <cell r="T258">
            <v>0</v>
          </cell>
          <cell r="U258">
            <v>0</v>
          </cell>
          <cell r="V258">
            <v>14</v>
          </cell>
          <cell r="W258">
            <v>6</v>
          </cell>
          <cell r="X258">
            <v>1</v>
          </cell>
          <cell r="Y258">
            <v>581</v>
          </cell>
          <cell r="AA258">
            <v>581</v>
          </cell>
          <cell r="AB258">
            <v>42</v>
          </cell>
          <cell r="AC258">
            <v>0.66666666666666663</v>
          </cell>
          <cell r="AD258">
            <v>2.222222222222222E-2</v>
          </cell>
          <cell r="AE258">
            <v>3.3333333333333335</v>
          </cell>
          <cell r="AF258">
            <v>0.66666666666666663</v>
          </cell>
          <cell r="AG258">
            <v>1.25</v>
          </cell>
          <cell r="AH258">
            <v>13</v>
          </cell>
          <cell r="AI258">
            <v>7.833333333333333</v>
          </cell>
          <cell r="AJ258">
            <v>7.833333333333333</v>
          </cell>
          <cell r="AK258">
            <v>7.4791666666666661</v>
          </cell>
          <cell r="AL258">
            <v>4.8143184395132241</v>
          </cell>
          <cell r="AM258">
            <v>7.4791666666666661</v>
          </cell>
          <cell r="AN258">
            <v>0.6436971729711275</v>
          </cell>
          <cell r="AO258">
            <v>0</v>
          </cell>
          <cell r="AP258">
            <v>157</v>
          </cell>
          <cell r="AQ258">
            <v>131.80000000000001</v>
          </cell>
          <cell r="AR258">
            <v>0</v>
          </cell>
          <cell r="AS258">
            <v>163</v>
          </cell>
          <cell r="AT258">
            <v>159</v>
          </cell>
          <cell r="AU258">
            <v>106</v>
          </cell>
          <cell r="AV258">
            <v>0</v>
          </cell>
          <cell r="AW258">
            <v>157.5</v>
          </cell>
          <cell r="AX258">
            <v>151</v>
          </cell>
          <cell r="AY258">
            <v>20.18941504178273</v>
          </cell>
          <cell r="AZ258">
            <v>0</v>
          </cell>
          <cell r="BA258">
            <v>149.66666666666666</v>
          </cell>
          <cell r="BB258">
            <v>145</v>
          </cell>
          <cell r="BC258">
            <v>12.083333333333334</v>
          </cell>
          <cell r="BD258">
            <v>0</v>
          </cell>
          <cell r="BE258">
            <v>133</v>
          </cell>
          <cell r="BF258">
            <v>11.083333333333334</v>
          </cell>
          <cell r="BG258">
            <v>0</v>
          </cell>
          <cell r="BH258">
            <v>121</v>
          </cell>
          <cell r="BI258">
            <v>581</v>
          </cell>
          <cell r="BJ258">
            <v>77.682451253481901</v>
          </cell>
          <cell r="BK258">
            <v>0</v>
          </cell>
          <cell r="BL258">
            <v>285.83333333333331</v>
          </cell>
          <cell r="BM258">
            <v>288</v>
          </cell>
          <cell r="BN258">
            <v>25.043478260869566</v>
          </cell>
          <cell r="BO258">
            <v>0</v>
          </cell>
          <cell r="BP258">
            <v>276.5</v>
          </cell>
          <cell r="BQ258">
            <v>286</v>
          </cell>
          <cell r="BR258">
            <v>38.239554317548752</v>
          </cell>
          <cell r="BS258">
            <v>0</v>
          </cell>
          <cell r="BT258">
            <v>276.5</v>
          </cell>
          <cell r="BU258">
            <v>284</v>
          </cell>
          <cell r="BV258">
            <v>31.555555555555557</v>
          </cell>
          <cell r="BW258">
            <v>0</v>
          </cell>
          <cell r="BX258">
            <v>0</v>
          </cell>
          <cell r="BY258">
            <v>275</v>
          </cell>
          <cell r="BZ258">
            <v>404</v>
          </cell>
          <cell r="CA258">
            <v>51.794871794871796</v>
          </cell>
          <cell r="CB258">
            <v>0</v>
          </cell>
          <cell r="CC258">
            <v>0</v>
          </cell>
          <cell r="CD258">
            <v>396.2</v>
          </cell>
          <cell r="CE258">
            <v>327</v>
          </cell>
          <cell r="CF258">
            <v>20.020408163265309</v>
          </cell>
          <cell r="CG258">
            <v>0</v>
          </cell>
          <cell r="CH258">
            <v>0</v>
          </cell>
          <cell r="CI258">
            <v>379.86666666666667</v>
          </cell>
          <cell r="CJ258">
            <v>326</v>
          </cell>
          <cell r="CK258">
            <v>20.589473684210525</v>
          </cell>
          <cell r="CL258">
            <v>0</v>
          </cell>
          <cell r="CM258">
            <v>0</v>
          </cell>
          <cell r="CN258">
            <v>310.16666666666669</v>
          </cell>
          <cell r="CO258">
            <v>316</v>
          </cell>
          <cell r="CP258">
            <v>19.957894736842103</v>
          </cell>
          <cell r="CQ258">
            <v>0</v>
          </cell>
          <cell r="CR258">
            <v>0</v>
          </cell>
          <cell r="CS258">
            <v>300.16666666666669</v>
          </cell>
          <cell r="CT258">
            <v>316</v>
          </cell>
          <cell r="CU258">
            <v>23.7</v>
          </cell>
          <cell r="CV258">
            <v>0</v>
          </cell>
          <cell r="CW258">
            <v>0</v>
          </cell>
          <cell r="CX258">
            <v>302.66666666666669</v>
          </cell>
          <cell r="CY258">
            <v>286</v>
          </cell>
          <cell r="CZ258">
            <v>22</v>
          </cell>
          <cell r="DA258">
            <v>0</v>
          </cell>
          <cell r="DB258">
            <v>0</v>
          </cell>
          <cell r="DC258">
            <v>282.4375</v>
          </cell>
          <cell r="DD258">
            <v>247</v>
          </cell>
          <cell r="DE258">
            <v>22.444007858546165</v>
          </cell>
          <cell r="DF258">
            <v>0</v>
          </cell>
          <cell r="DG258">
            <v>0</v>
          </cell>
          <cell r="DH258">
            <v>236.39583333333334</v>
          </cell>
          <cell r="DI258">
            <v>233</v>
          </cell>
          <cell r="DJ258">
            <v>30.459502382212811</v>
          </cell>
          <cell r="DK258">
            <v>0</v>
          </cell>
          <cell r="DL258">
            <v>0</v>
          </cell>
          <cell r="DM258">
            <v>228.52500000000001</v>
          </cell>
          <cell r="DN258">
            <v>581</v>
          </cell>
          <cell r="DO258">
            <v>78.612813370473546</v>
          </cell>
          <cell r="DP258">
            <v>0</v>
          </cell>
          <cell r="DQ258">
            <v>0</v>
          </cell>
          <cell r="DR258">
            <v>573.52083333333337</v>
          </cell>
          <cell r="DS258">
            <v>573.52083333333337</v>
          </cell>
          <cell r="DT258">
            <v>77.612813370473546</v>
          </cell>
          <cell r="DU258">
            <v>0</v>
          </cell>
          <cell r="DV258">
            <v>0</v>
          </cell>
          <cell r="DW258">
            <v>566.04166666666674</v>
          </cell>
          <cell r="DX258">
            <v>566.04166666666674</v>
          </cell>
          <cell r="DY258">
            <v>76.61281337047356</v>
          </cell>
          <cell r="DZ258">
            <v>0</v>
          </cell>
          <cell r="EA258">
            <v>0</v>
          </cell>
          <cell r="EB258">
            <v>558.56250000000011</v>
          </cell>
          <cell r="EC258">
            <v>558.56250000000011</v>
          </cell>
          <cell r="ED258">
            <v>75.61281337047356</v>
          </cell>
          <cell r="EE258">
            <v>0</v>
          </cell>
          <cell r="EF258">
            <v>0</v>
          </cell>
          <cell r="EG258">
            <v>551.08333333333348</v>
          </cell>
          <cell r="EH258">
            <v>551.08333333333348</v>
          </cell>
          <cell r="EI258">
            <v>74.61281337047356</v>
          </cell>
          <cell r="EJ258">
            <v>0</v>
          </cell>
          <cell r="EK258">
            <v>0</v>
          </cell>
          <cell r="EL258">
            <v>543.60416666666686</v>
          </cell>
          <cell r="EM258">
            <v>543.60416666666686</v>
          </cell>
          <cell r="EN258">
            <v>73.612813370473575</v>
          </cell>
          <cell r="EO258">
            <v>0</v>
          </cell>
          <cell r="EP258">
            <v>0</v>
          </cell>
          <cell r="EQ258">
            <v>536.12500000000023</v>
          </cell>
          <cell r="ER258">
            <v>536.12500000000023</v>
          </cell>
          <cell r="ES258">
            <v>72.612813370473575</v>
          </cell>
          <cell r="ET258">
            <v>0</v>
          </cell>
          <cell r="EU258">
            <v>0</v>
          </cell>
          <cell r="EV258">
            <v>528.6458333333336</v>
          </cell>
          <cell r="EW258">
            <v>528.6458333333336</v>
          </cell>
          <cell r="EX258">
            <v>71.612813370473575</v>
          </cell>
          <cell r="EY258">
            <v>0</v>
          </cell>
          <cell r="EZ258">
            <v>0</v>
          </cell>
          <cell r="FA258">
            <v>521.16666666666697</v>
          </cell>
          <cell r="FB258">
            <v>521.16666666666697</v>
          </cell>
          <cell r="FC258">
            <v>70.612813370473589</v>
          </cell>
          <cell r="FD258">
            <v>0</v>
          </cell>
          <cell r="FE258">
            <v>0</v>
          </cell>
          <cell r="FF258">
            <v>513.68750000000034</v>
          </cell>
          <cell r="FG258">
            <v>513.68750000000034</v>
          </cell>
          <cell r="FH258">
            <v>69.612813370473589</v>
          </cell>
          <cell r="FI258">
            <v>0</v>
          </cell>
          <cell r="FJ258">
            <v>0</v>
          </cell>
          <cell r="FK258">
            <v>506.20833333333366</v>
          </cell>
          <cell r="FL258">
            <v>506.20833333333366</v>
          </cell>
          <cell r="FM258">
            <v>68.612813370473589</v>
          </cell>
          <cell r="FN258">
            <v>0</v>
          </cell>
          <cell r="FO258">
            <v>0</v>
          </cell>
          <cell r="FP258">
            <v>498.72916666666697</v>
          </cell>
          <cell r="FQ258">
            <v>498.72916666666697</v>
          </cell>
          <cell r="FR258">
            <v>67.612813370473589</v>
          </cell>
          <cell r="FS258">
            <v>0</v>
          </cell>
          <cell r="FT258">
            <v>8</v>
          </cell>
          <cell r="FU258">
            <v>1.0333333333333334</v>
          </cell>
          <cell r="FW258" t="str">
            <v>SOBRESTOCK</v>
          </cell>
          <cell r="FX258" t="str">
            <v>A</v>
          </cell>
          <cell r="FY258" t="str">
            <v>Si</v>
          </cell>
        </row>
        <row r="259">
          <cell r="B259" t="str">
            <v>REP-0269</v>
          </cell>
          <cell r="C259" t="str">
            <v>NAC</v>
          </cell>
          <cell r="D259">
            <v>0</v>
          </cell>
          <cell r="E259">
            <v>10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1</v>
          </cell>
          <cell r="O259">
            <v>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13</v>
          </cell>
          <cell r="AA259">
            <v>13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13</v>
          </cell>
          <cell r="AQ259" t="str">
            <v/>
          </cell>
          <cell r="AR259">
            <v>0</v>
          </cell>
          <cell r="AS259">
            <v>13</v>
          </cell>
          <cell r="AT259">
            <v>13</v>
          </cell>
          <cell r="AU259" t="str">
            <v/>
          </cell>
          <cell r="AV259">
            <v>0</v>
          </cell>
          <cell r="AW259">
            <v>13</v>
          </cell>
          <cell r="AX259">
            <v>13</v>
          </cell>
          <cell r="AY259" t="str">
            <v/>
          </cell>
          <cell r="AZ259">
            <v>0</v>
          </cell>
          <cell r="BA259">
            <v>13</v>
          </cell>
          <cell r="BB259">
            <v>13</v>
          </cell>
          <cell r="BC259">
            <v>78</v>
          </cell>
          <cell r="BD259">
            <v>0</v>
          </cell>
          <cell r="BE259">
            <v>12.833333333333334</v>
          </cell>
          <cell r="BF259">
            <v>77.000000000000014</v>
          </cell>
          <cell r="BG259">
            <v>0</v>
          </cell>
          <cell r="BH259">
            <v>12.666666666666668</v>
          </cell>
          <cell r="BI259">
            <v>13</v>
          </cell>
          <cell r="BJ259" t="str">
            <v/>
          </cell>
          <cell r="BK259">
            <v>0</v>
          </cell>
          <cell r="BL259">
            <v>13</v>
          </cell>
          <cell r="BM259">
            <v>13</v>
          </cell>
          <cell r="BN259" t="str">
            <v/>
          </cell>
          <cell r="BO259">
            <v>0</v>
          </cell>
          <cell r="BP259">
            <v>13</v>
          </cell>
          <cell r="BQ259">
            <v>13</v>
          </cell>
          <cell r="BR259" t="str">
            <v/>
          </cell>
          <cell r="BS259">
            <v>0</v>
          </cell>
          <cell r="BT259">
            <v>13</v>
          </cell>
          <cell r="BU259">
            <v>13</v>
          </cell>
          <cell r="BV259" t="str">
            <v/>
          </cell>
          <cell r="BW259">
            <v>0</v>
          </cell>
          <cell r="BX259">
            <v>0</v>
          </cell>
          <cell r="BY259">
            <v>13</v>
          </cell>
          <cell r="BZ259">
            <v>13</v>
          </cell>
          <cell r="CA259" t="str">
            <v/>
          </cell>
          <cell r="CB259">
            <v>0</v>
          </cell>
          <cell r="CC259">
            <v>0</v>
          </cell>
          <cell r="CD259">
            <v>13</v>
          </cell>
          <cell r="CE259">
            <v>13</v>
          </cell>
          <cell r="CF259" t="str">
            <v/>
          </cell>
          <cell r="CG259">
            <v>0</v>
          </cell>
          <cell r="CH259">
            <v>0</v>
          </cell>
          <cell r="CI259">
            <v>13</v>
          </cell>
          <cell r="CJ259">
            <v>13</v>
          </cell>
          <cell r="CK259" t="str">
            <v/>
          </cell>
          <cell r="CL259">
            <v>0</v>
          </cell>
          <cell r="CM259">
            <v>0</v>
          </cell>
          <cell r="CN259">
            <v>13</v>
          </cell>
          <cell r="CO259">
            <v>13</v>
          </cell>
          <cell r="CP259" t="str">
            <v/>
          </cell>
          <cell r="CQ259">
            <v>0</v>
          </cell>
          <cell r="CR259">
            <v>0</v>
          </cell>
          <cell r="CS259">
            <v>13</v>
          </cell>
          <cell r="CT259">
            <v>13</v>
          </cell>
          <cell r="CU259" t="str">
            <v/>
          </cell>
          <cell r="CV259">
            <v>0</v>
          </cell>
          <cell r="CW259">
            <v>0</v>
          </cell>
          <cell r="CX259">
            <v>13</v>
          </cell>
          <cell r="CY259">
            <v>13</v>
          </cell>
          <cell r="CZ259" t="str">
            <v/>
          </cell>
          <cell r="DA259">
            <v>0</v>
          </cell>
          <cell r="DB259">
            <v>0</v>
          </cell>
          <cell r="DC259">
            <v>13</v>
          </cell>
          <cell r="DD259">
            <v>13</v>
          </cell>
          <cell r="DE259" t="str">
            <v/>
          </cell>
          <cell r="DF259">
            <v>0</v>
          </cell>
          <cell r="DG259">
            <v>0</v>
          </cell>
          <cell r="DH259">
            <v>13</v>
          </cell>
          <cell r="DI259">
            <v>13</v>
          </cell>
          <cell r="DJ259" t="str">
            <v/>
          </cell>
          <cell r="DK259">
            <v>0</v>
          </cell>
          <cell r="DL259">
            <v>0</v>
          </cell>
          <cell r="DM259">
            <v>13</v>
          </cell>
          <cell r="DN259">
            <v>13</v>
          </cell>
          <cell r="DO259" t="str">
            <v/>
          </cell>
          <cell r="DP259">
            <v>0</v>
          </cell>
          <cell r="DQ259">
            <v>0</v>
          </cell>
          <cell r="DR259">
            <v>13</v>
          </cell>
          <cell r="DS259">
            <v>13</v>
          </cell>
          <cell r="DT259" t="str">
            <v/>
          </cell>
          <cell r="DU259">
            <v>0</v>
          </cell>
          <cell r="DV259">
            <v>0</v>
          </cell>
          <cell r="DW259">
            <v>13</v>
          </cell>
          <cell r="DX259">
            <v>13</v>
          </cell>
          <cell r="DY259" t="str">
            <v/>
          </cell>
          <cell r="DZ259">
            <v>0</v>
          </cell>
          <cell r="EA259">
            <v>0</v>
          </cell>
          <cell r="EB259">
            <v>13</v>
          </cell>
          <cell r="EC259">
            <v>13</v>
          </cell>
          <cell r="ED259" t="str">
            <v/>
          </cell>
          <cell r="EE259">
            <v>0</v>
          </cell>
          <cell r="EF259">
            <v>0</v>
          </cell>
          <cell r="EG259">
            <v>13</v>
          </cell>
          <cell r="EH259">
            <v>13</v>
          </cell>
          <cell r="EI259" t="str">
            <v/>
          </cell>
          <cell r="EJ259">
            <v>0</v>
          </cell>
          <cell r="EK259">
            <v>0</v>
          </cell>
          <cell r="EL259">
            <v>13</v>
          </cell>
          <cell r="EM259">
            <v>13</v>
          </cell>
          <cell r="EN259" t="str">
            <v/>
          </cell>
          <cell r="EO259">
            <v>0</v>
          </cell>
          <cell r="EP259">
            <v>0</v>
          </cell>
          <cell r="EQ259">
            <v>13</v>
          </cell>
          <cell r="ER259">
            <v>13</v>
          </cell>
          <cell r="ES259" t="str">
            <v/>
          </cell>
          <cell r="ET259">
            <v>0</v>
          </cell>
          <cell r="EU259">
            <v>0</v>
          </cell>
          <cell r="EV259">
            <v>13</v>
          </cell>
          <cell r="EW259">
            <v>13</v>
          </cell>
          <cell r="EX259" t="str">
            <v/>
          </cell>
          <cell r="EY259">
            <v>0</v>
          </cell>
          <cell r="EZ259">
            <v>0</v>
          </cell>
          <cell r="FA259">
            <v>13</v>
          </cell>
          <cell r="FB259">
            <v>13</v>
          </cell>
          <cell r="FC259" t="str">
            <v/>
          </cell>
          <cell r="FD259">
            <v>0</v>
          </cell>
          <cell r="FE259">
            <v>0</v>
          </cell>
          <cell r="FF259">
            <v>13</v>
          </cell>
          <cell r="FG259">
            <v>13</v>
          </cell>
          <cell r="FH259" t="str">
            <v/>
          </cell>
          <cell r="FI259">
            <v>0</v>
          </cell>
          <cell r="FJ259">
            <v>0</v>
          </cell>
          <cell r="FK259">
            <v>13</v>
          </cell>
          <cell r="FL259">
            <v>13</v>
          </cell>
          <cell r="FM259" t="str">
            <v/>
          </cell>
          <cell r="FN259">
            <v>0</v>
          </cell>
          <cell r="FO259">
            <v>0</v>
          </cell>
          <cell r="FP259">
            <v>13</v>
          </cell>
          <cell r="FQ259">
            <v>13</v>
          </cell>
          <cell r="FR259" t="str">
            <v/>
          </cell>
          <cell r="FS259">
            <v>0</v>
          </cell>
          <cell r="FT259">
            <v>0</v>
          </cell>
          <cell r="FU259">
            <v>1.0333333333333334</v>
          </cell>
          <cell r="FW259" t="str">
            <v>SIN ROTACIÓN</v>
          </cell>
          <cell r="FX259" t="str">
            <v>STOCK MUERTO</v>
          </cell>
          <cell r="FY259" t="str">
            <v>Si</v>
          </cell>
        </row>
        <row r="260">
          <cell r="B260" t="str">
            <v>REP-0270</v>
          </cell>
          <cell r="C260" t="str">
            <v>NAC</v>
          </cell>
          <cell r="D260">
            <v>0</v>
          </cell>
          <cell r="E260">
            <v>2</v>
          </cell>
          <cell r="F260">
            <v>0</v>
          </cell>
          <cell r="G260">
            <v>0</v>
          </cell>
          <cell r="H260">
            <v>3</v>
          </cell>
          <cell r="I260">
            <v>3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9</v>
          </cell>
          <cell r="AA260">
            <v>9</v>
          </cell>
          <cell r="AB260">
            <v>0</v>
          </cell>
          <cell r="AC260">
            <v>0.66666666666666663</v>
          </cell>
          <cell r="AD260">
            <v>2.222222222222222E-2</v>
          </cell>
          <cell r="AE260">
            <v>0.33333333333333331</v>
          </cell>
          <cell r="AF260">
            <v>0.41666666666666669</v>
          </cell>
          <cell r="AG260">
            <v>8.3333333333333329E-2</v>
          </cell>
          <cell r="AH260">
            <v>0.16666666666666666</v>
          </cell>
          <cell r="AI260">
            <v>0.33333333333333331</v>
          </cell>
          <cell r="AJ260">
            <v>0.33333333333333331</v>
          </cell>
          <cell r="AK260">
            <v>0.33333333333333331</v>
          </cell>
          <cell r="AL260">
            <v>0.12500000000000006</v>
          </cell>
          <cell r="AM260">
            <v>0.22916666666666663</v>
          </cell>
          <cell r="AN260">
            <v>0.54545454545454575</v>
          </cell>
          <cell r="AO260">
            <v>0</v>
          </cell>
          <cell r="AP260">
            <v>9.9166666666666661</v>
          </cell>
          <cell r="AQ260">
            <v>23</v>
          </cell>
          <cell r="AR260">
            <v>0</v>
          </cell>
          <cell r="AS260">
            <v>9.1666666666666679</v>
          </cell>
          <cell r="AT260">
            <v>10</v>
          </cell>
          <cell r="AU260">
            <v>60</v>
          </cell>
          <cell r="AV260">
            <v>0</v>
          </cell>
          <cell r="AW260">
            <v>9.8333333333333339</v>
          </cell>
          <cell r="AX260">
            <v>10</v>
          </cell>
          <cell r="AY260">
            <v>30</v>
          </cell>
          <cell r="AZ260">
            <v>0</v>
          </cell>
          <cell r="BA260">
            <v>9.8333333333333339</v>
          </cell>
          <cell r="BB260">
            <v>10</v>
          </cell>
          <cell r="BC260">
            <v>60</v>
          </cell>
          <cell r="BD260">
            <v>0</v>
          </cell>
          <cell r="BE260">
            <v>9.8333333333333339</v>
          </cell>
          <cell r="BF260">
            <v>59.000000000000007</v>
          </cell>
          <cell r="BG260">
            <v>0</v>
          </cell>
          <cell r="BH260">
            <v>9.6666666666666679</v>
          </cell>
          <cell r="BI260">
            <v>9</v>
          </cell>
          <cell r="BJ260">
            <v>27</v>
          </cell>
          <cell r="BK260">
            <v>0</v>
          </cell>
          <cell r="BL260">
            <v>9.9166666666666661</v>
          </cell>
          <cell r="BM260">
            <v>10</v>
          </cell>
          <cell r="BN260">
            <v>120</v>
          </cell>
          <cell r="BO260">
            <v>0</v>
          </cell>
          <cell r="BP260">
            <v>9.9166666666666661</v>
          </cell>
          <cell r="BQ260">
            <v>10</v>
          </cell>
          <cell r="BR260">
            <v>30</v>
          </cell>
          <cell r="BS260">
            <v>0</v>
          </cell>
          <cell r="BT260">
            <v>9.9166666666666661</v>
          </cell>
          <cell r="BU260">
            <v>10</v>
          </cell>
          <cell r="BV260">
            <v>120</v>
          </cell>
          <cell r="BW260">
            <v>0</v>
          </cell>
          <cell r="BX260">
            <v>0</v>
          </cell>
          <cell r="BY260">
            <v>9.9166666666666661</v>
          </cell>
          <cell r="BZ260">
            <v>10</v>
          </cell>
          <cell r="CA260">
            <v>120</v>
          </cell>
          <cell r="CB260">
            <v>0</v>
          </cell>
          <cell r="CC260">
            <v>0</v>
          </cell>
          <cell r="CD260">
            <v>9.9166666666666661</v>
          </cell>
          <cell r="CE260">
            <v>10</v>
          </cell>
          <cell r="CF260">
            <v>120</v>
          </cell>
          <cell r="CG260">
            <v>0</v>
          </cell>
          <cell r="CH260">
            <v>0</v>
          </cell>
          <cell r="CI260">
            <v>9.8333333333333321</v>
          </cell>
          <cell r="CJ260">
            <v>8</v>
          </cell>
          <cell r="CK260">
            <v>24</v>
          </cell>
          <cell r="CL260">
            <v>0</v>
          </cell>
          <cell r="CM260">
            <v>0</v>
          </cell>
          <cell r="CN260">
            <v>7.666666666666667</v>
          </cell>
          <cell r="CO260">
            <v>8</v>
          </cell>
          <cell r="CP260">
            <v>24</v>
          </cell>
          <cell r="CQ260">
            <v>0</v>
          </cell>
          <cell r="CR260">
            <v>0</v>
          </cell>
          <cell r="CS260">
            <v>7.666666666666667</v>
          </cell>
          <cell r="CT260">
            <v>8</v>
          </cell>
          <cell r="CU260">
            <v>24</v>
          </cell>
          <cell r="CV260">
            <v>0</v>
          </cell>
          <cell r="CW260">
            <v>0</v>
          </cell>
          <cell r="CX260">
            <v>7.666666666666667</v>
          </cell>
          <cell r="CY260">
            <v>7</v>
          </cell>
          <cell r="CZ260">
            <v>14</v>
          </cell>
          <cell r="DA260">
            <v>0</v>
          </cell>
          <cell r="DB260">
            <v>0</v>
          </cell>
          <cell r="DC260">
            <v>6.5</v>
          </cell>
          <cell r="DD260">
            <v>7</v>
          </cell>
          <cell r="DE260">
            <v>12</v>
          </cell>
          <cell r="DF260">
            <v>0</v>
          </cell>
          <cell r="DG260">
            <v>0</v>
          </cell>
          <cell r="DH260">
            <v>6.5</v>
          </cell>
          <cell r="DI260">
            <v>6</v>
          </cell>
          <cell r="DJ260">
            <v>9.5</v>
          </cell>
          <cell r="DK260">
            <v>0</v>
          </cell>
          <cell r="DL260">
            <v>0</v>
          </cell>
          <cell r="DM260">
            <v>5.833333333333333</v>
          </cell>
          <cell r="DN260">
            <v>9</v>
          </cell>
          <cell r="DO260">
            <v>26</v>
          </cell>
          <cell r="DP260">
            <v>0</v>
          </cell>
          <cell r="DQ260">
            <v>0</v>
          </cell>
          <cell r="DR260">
            <v>8.6666666666666661</v>
          </cell>
          <cell r="DS260">
            <v>8.6666666666666661</v>
          </cell>
          <cell r="DT260">
            <v>25</v>
          </cell>
          <cell r="DU260">
            <v>0</v>
          </cell>
          <cell r="DV260">
            <v>0</v>
          </cell>
          <cell r="DW260">
            <v>8.3333333333333321</v>
          </cell>
          <cell r="DX260">
            <v>8.3333333333333321</v>
          </cell>
          <cell r="DY260">
            <v>23.999999999999996</v>
          </cell>
          <cell r="DZ260">
            <v>0</v>
          </cell>
          <cell r="EA260">
            <v>0</v>
          </cell>
          <cell r="EB260">
            <v>7.9999999999999991</v>
          </cell>
          <cell r="EC260">
            <v>7.9999999999999991</v>
          </cell>
          <cell r="ED260">
            <v>23</v>
          </cell>
          <cell r="EE260">
            <v>0</v>
          </cell>
          <cell r="EF260">
            <v>0</v>
          </cell>
          <cell r="EG260">
            <v>7.6666666666666661</v>
          </cell>
          <cell r="EH260">
            <v>7.6666666666666661</v>
          </cell>
          <cell r="EI260">
            <v>22</v>
          </cell>
          <cell r="EJ260">
            <v>0</v>
          </cell>
          <cell r="EK260">
            <v>0</v>
          </cell>
          <cell r="EL260">
            <v>7.333333333333333</v>
          </cell>
          <cell r="EM260">
            <v>7.333333333333333</v>
          </cell>
          <cell r="EN260">
            <v>21</v>
          </cell>
          <cell r="EO260">
            <v>0</v>
          </cell>
          <cell r="EP260">
            <v>0</v>
          </cell>
          <cell r="EQ260">
            <v>7</v>
          </cell>
          <cell r="ER260">
            <v>7</v>
          </cell>
          <cell r="ES260">
            <v>20</v>
          </cell>
          <cell r="ET260">
            <v>0</v>
          </cell>
          <cell r="EU260">
            <v>0</v>
          </cell>
          <cell r="EV260">
            <v>6.666666666666667</v>
          </cell>
          <cell r="EW260">
            <v>6.666666666666667</v>
          </cell>
          <cell r="EX260">
            <v>19.000000000000004</v>
          </cell>
          <cell r="EY260">
            <v>0</v>
          </cell>
          <cell r="EZ260">
            <v>0</v>
          </cell>
          <cell r="FA260">
            <v>6.3333333333333339</v>
          </cell>
          <cell r="FB260">
            <v>6.3333333333333339</v>
          </cell>
          <cell r="FC260">
            <v>18.000000000000004</v>
          </cell>
          <cell r="FD260">
            <v>0</v>
          </cell>
          <cell r="FE260">
            <v>0</v>
          </cell>
          <cell r="FF260">
            <v>6.0000000000000009</v>
          </cell>
          <cell r="FG260">
            <v>6.0000000000000009</v>
          </cell>
          <cell r="FH260">
            <v>17.000000000000004</v>
          </cell>
          <cell r="FI260">
            <v>0</v>
          </cell>
          <cell r="FJ260">
            <v>0</v>
          </cell>
          <cell r="FK260">
            <v>5.6666666666666679</v>
          </cell>
          <cell r="FL260">
            <v>5.6666666666666679</v>
          </cell>
          <cell r="FM260">
            <v>16.000000000000004</v>
          </cell>
          <cell r="FN260">
            <v>0</v>
          </cell>
          <cell r="FO260">
            <v>0</v>
          </cell>
          <cell r="FP260">
            <v>5.3333333333333348</v>
          </cell>
          <cell r="FQ260">
            <v>5.3333333333333348</v>
          </cell>
          <cell r="FR260">
            <v>15.000000000000005</v>
          </cell>
          <cell r="FS260">
            <v>0</v>
          </cell>
          <cell r="FT260">
            <v>1</v>
          </cell>
          <cell r="FU260">
            <v>1.0333333333333334</v>
          </cell>
          <cell r="FW260" t="str">
            <v>SOBRESTOCK</v>
          </cell>
          <cell r="FX260" t="str">
            <v>C</v>
          </cell>
          <cell r="FY260" t="str">
            <v>Si</v>
          </cell>
        </row>
        <row r="261">
          <cell r="B261" t="str">
            <v>REP-0271</v>
          </cell>
          <cell r="C261" t="str">
            <v>NAC</v>
          </cell>
          <cell r="D261">
            <v>0</v>
          </cell>
          <cell r="E261">
            <v>149</v>
          </cell>
          <cell r="F261">
            <v>0</v>
          </cell>
          <cell r="G261">
            <v>0</v>
          </cell>
          <cell r="H261">
            <v>6</v>
          </cell>
          <cell r="I261">
            <v>7</v>
          </cell>
          <cell r="J261">
            <v>0</v>
          </cell>
          <cell r="K261">
            <v>5</v>
          </cell>
          <cell r="L261">
            <v>8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1</v>
          </cell>
          <cell r="R261">
            <v>0</v>
          </cell>
          <cell r="S261">
            <v>3</v>
          </cell>
          <cell r="T261">
            <v>4</v>
          </cell>
          <cell r="U261">
            <v>1</v>
          </cell>
          <cell r="V261">
            <v>1</v>
          </cell>
          <cell r="W261">
            <v>2</v>
          </cell>
          <cell r="X261">
            <v>1</v>
          </cell>
          <cell r="Y261">
            <v>192</v>
          </cell>
          <cell r="AA261">
            <v>192</v>
          </cell>
          <cell r="AB261">
            <v>24</v>
          </cell>
          <cell r="AC261">
            <v>7</v>
          </cell>
          <cell r="AD261">
            <v>0.23333333333333334</v>
          </cell>
          <cell r="AE261">
            <v>5.083333333333333</v>
          </cell>
          <cell r="AF261">
            <v>6.583333333333333</v>
          </cell>
          <cell r="AG261">
            <v>4.416666666666667</v>
          </cell>
          <cell r="AH261">
            <v>7.75</v>
          </cell>
          <cell r="AI261">
            <v>7</v>
          </cell>
          <cell r="AJ261">
            <v>7</v>
          </cell>
          <cell r="AK261">
            <v>7.75</v>
          </cell>
          <cell r="AL261">
            <v>1.2646365310062651</v>
          </cell>
          <cell r="AM261">
            <v>6.541666666666667</v>
          </cell>
          <cell r="AN261">
            <v>0.19332023403917425</v>
          </cell>
          <cell r="AO261">
            <v>0</v>
          </cell>
          <cell r="AP261">
            <v>112.5</v>
          </cell>
          <cell r="AQ261">
            <v>17.37974683544304</v>
          </cell>
          <cell r="AR261">
            <v>0</v>
          </cell>
          <cell r="AS261">
            <v>107.83333333333334</v>
          </cell>
          <cell r="AT261">
            <v>109</v>
          </cell>
          <cell r="AU261">
            <v>23.357142857142854</v>
          </cell>
          <cell r="AV261">
            <v>0</v>
          </cell>
          <cell r="AW261">
            <v>104.33333333333333</v>
          </cell>
          <cell r="AX261">
            <v>105</v>
          </cell>
          <cell r="AY261">
            <v>13.548387096774194</v>
          </cell>
          <cell r="AZ261">
            <v>0</v>
          </cell>
          <cell r="BA261">
            <v>100.33333333333333</v>
          </cell>
          <cell r="BB261">
            <v>97</v>
          </cell>
          <cell r="BC261">
            <v>10.777777777777779</v>
          </cell>
          <cell r="BD261">
            <v>0</v>
          </cell>
          <cell r="BE261">
            <v>88</v>
          </cell>
          <cell r="BF261">
            <v>9.7777777777777786</v>
          </cell>
          <cell r="BG261">
            <v>0</v>
          </cell>
          <cell r="BH261">
            <v>79</v>
          </cell>
          <cell r="BI261">
            <v>192</v>
          </cell>
          <cell r="BJ261">
            <v>24.774193548387096</v>
          </cell>
          <cell r="BK261">
            <v>0</v>
          </cell>
          <cell r="BL261">
            <v>74.166666666666671</v>
          </cell>
          <cell r="BM261">
            <v>71</v>
          </cell>
          <cell r="BN261">
            <v>8.875</v>
          </cell>
          <cell r="BO261">
            <v>0</v>
          </cell>
          <cell r="BP261">
            <v>63</v>
          </cell>
          <cell r="BQ261">
            <v>263</v>
          </cell>
          <cell r="BR261">
            <v>33.935483870967744</v>
          </cell>
          <cell r="BS261">
            <v>0</v>
          </cell>
          <cell r="BT261">
            <v>254.66666666666666</v>
          </cell>
          <cell r="BU261">
            <v>260</v>
          </cell>
          <cell r="BV261">
            <v>30.588235294117649</v>
          </cell>
          <cell r="BW261">
            <v>0</v>
          </cell>
          <cell r="BX261">
            <v>0</v>
          </cell>
          <cell r="BY261">
            <v>251.5</v>
          </cell>
          <cell r="BZ261">
            <v>257</v>
          </cell>
          <cell r="CA261">
            <v>38.35820895522388</v>
          </cell>
          <cell r="CB261">
            <v>0</v>
          </cell>
          <cell r="CC261">
            <v>0</v>
          </cell>
          <cell r="CD261">
            <v>250.3</v>
          </cell>
          <cell r="CE261">
            <v>250</v>
          </cell>
          <cell r="CF261">
            <v>32.608695652173914</v>
          </cell>
          <cell r="CG261">
            <v>0</v>
          </cell>
          <cell r="CH261">
            <v>0</v>
          </cell>
          <cell r="CI261">
            <v>242.63333333333335</v>
          </cell>
          <cell r="CJ261">
            <v>234</v>
          </cell>
          <cell r="CK261">
            <v>27.000000000000004</v>
          </cell>
          <cell r="CL261">
            <v>0</v>
          </cell>
          <cell r="CM261">
            <v>0</v>
          </cell>
          <cell r="CN261">
            <v>225.33333333333334</v>
          </cell>
          <cell r="CO261">
            <v>233</v>
          </cell>
          <cell r="CP261">
            <v>26.884615384615387</v>
          </cell>
          <cell r="CQ261">
            <v>0</v>
          </cell>
          <cell r="CR261">
            <v>0</v>
          </cell>
          <cell r="CS261">
            <v>224.33333333333334</v>
          </cell>
          <cell r="CT261">
            <v>227</v>
          </cell>
          <cell r="CU261">
            <v>29.29032258064516</v>
          </cell>
          <cell r="CV261">
            <v>0</v>
          </cell>
          <cell r="CW261">
            <v>0</v>
          </cell>
          <cell r="CX261">
            <v>219.25</v>
          </cell>
          <cell r="CY261">
            <v>223</v>
          </cell>
          <cell r="CZ261">
            <v>28.774193548387096</v>
          </cell>
          <cell r="DA261">
            <v>0</v>
          </cell>
          <cell r="DB261">
            <v>0</v>
          </cell>
          <cell r="DC261">
            <v>215.25</v>
          </cell>
          <cell r="DD261">
            <v>213</v>
          </cell>
          <cell r="DE261">
            <v>26.322580645161292</v>
          </cell>
          <cell r="DF261">
            <v>0</v>
          </cell>
          <cell r="DG261">
            <v>0</v>
          </cell>
          <cell r="DH261">
            <v>205.25</v>
          </cell>
          <cell r="DI261">
            <v>199</v>
          </cell>
          <cell r="DJ261">
            <v>26.516129032258064</v>
          </cell>
          <cell r="DK261">
            <v>0</v>
          </cell>
          <cell r="DL261">
            <v>0</v>
          </cell>
          <cell r="DM261">
            <v>197.5</v>
          </cell>
          <cell r="DN261">
            <v>192</v>
          </cell>
          <cell r="DO261">
            <v>25.612903225806452</v>
          </cell>
          <cell r="DP261">
            <v>0</v>
          </cell>
          <cell r="DQ261">
            <v>0</v>
          </cell>
          <cell r="DR261">
            <v>184.25</v>
          </cell>
          <cell r="DS261">
            <v>184.25</v>
          </cell>
          <cell r="DT261">
            <v>24.612903225806452</v>
          </cell>
          <cell r="DU261">
            <v>0</v>
          </cell>
          <cell r="DV261">
            <v>0</v>
          </cell>
          <cell r="DW261">
            <v>176.5</v>
          </cell>
          <cell r="DX261">
            <v>176.5</v>
          </cell>
          <cell r="DY261">
            <v>23.612903225806452</v>
          </cell>
          <cell r="DZ261">
            <v>0</v>
          </cell>
          <cell r="EA261">
            <v>0</v>
          </cell>
          <cell r="EB261">
            <v>168.75</v>
          </cell>
          <cell r="EC261">
            <v>168.75</v>
          </cell>
          <cell r="ED261">
            <v>22.612903225806452</v>
          </cell>
          <cell r="EE261">
            <v>0</v>
          </cell>
          <cell r="EF261">
            <v>0</v>
          </cell>
          <cell r="EG261">
            <v>161</v>
          </cell>
          <cell r="EH261">
            <v>161</v>
          </cell>
          <cell r="EI261">
            <v>21.612903225806452</v>
          </cell>
          <cell r="EJ261">
            <v>0</v>
          </cell>
          <cell r="EK261">
            <v>0</v>
          </cell>
          <cell r="EL261">
            <v>153.25</v>
          </cell>
          <cell r="EM261">
            <v>153.25</v>
          </cell>
          <cell r="EN261">
            <v>20.612903225806452</v>
          </cell>
          <cell r="EO261">
            <v>0</v>
          </cell>
          <cell r="EP261">
            <v>0</v>
          </cell>
          <cell r="EQ261">
            <v>145.5</v>
          </cell>
          <cell r="ER261">
            <v>145.5</v>
          </cell>
          <cell r="ES261">
            <v>19.612903225806452</v>
          </cell>
          <cell r="ET261">
            <v>0</v>
          </cell>
          <cell r="EU261">
            <v>0</v>
          </cell>
          <cell r="EV261">
            <v>137.75</v>
          </cell>
          <cell r="EW261">
            <v>137.75</v>
          </cell>
          <cell r="EX261">
            <v>18.612903225806452</v>
          </cell>
          <cell r="EY261">
            <v>0</v>
          </cell>
          <cell r="EZ261">
            <v>0</v>
          </cell>
          <cell r="FA261">
            <v>130</v>
          </cell>
          <cell r="FB261">
            <v>130</v>
          </cell>
          <cell r="FC261">
            <v>17.612903225806452</v>
          </cell>
          <cell r="FD261">
            <v>0</v>
          </cell>
          <cell r="FE261">
            <v>0</v>
          </cell>
          <cell r="FF261">
            <v>122.25</v>
          </cell>
          <cell r="FG261">
            <v>122.25</v>
          </cell>
          <cell r="FH261">
            <v>16.612903225806452</v>
          </cell>
          <cell r="FI261">
            <v>0</v>
          </cell>
          <cell r="FJ261">
            <v>0</v>
          </cell>
          <cell r="FK261">
            <v>114.5</v>
          </cell>
          <cell r="FL261">
            <v>114.5</v>
          </cell>
          <cell r="FM261">
            <v>15.612903225806452</v>
          </cell>
          <cell r="FN261">
            <v>0</v>
          </cell>
          <cell r="FO261">
            <v>0</v>
          </cell>
          <cell r="FP261">
            <v>106.75</v>
          </cell>
          <cell r="FQ261">
            <v>106.75</v>
          </cell>
          <cell r="FR261">
            <v>14.612903225806452</v>
          </cell>
          <cell r="FS261">
            <v>0</v>
          </cell>
          <cell r="FT261">
            <v>9</v>
          </cell>
          <cell r="FU261">
            <v>1.0333333333333334</v>
          </cell>
          <cell r="FW261" t="str">
            <v>SOBRESTOCK</v>
          </cell>
          <cell r="FX261" t="str">
            <v>A</v>
          </cell>
          <cell r="FY261" t="str">
            <v>Si</v>
          </cell>
        </row>
        <row r="262">
          <cell r="B262" t="str">
            <v>REP-0273</v>
          </cell>
          <cell r="C262" t="str">
            <v>NAC</v>
          </cell>
          <cell r="D262">
            <v>0</v>
          </cell>
          <cell r="E262">
            <v>4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4</v>
          </cell>
          <cell r="AA262">
            <v>4</v>
          </cell>
          <cell r="AB262">
            <v>110</v>
          </cell>
          <cell r="AC262">
            <v>0.83333333333333337</v>
          </cell>
          <cell r="AD262">
            <v>2.777777777777778E-2</v>
          </cell>
          <cell r="AE262">
            <v>8.8333333333333339</v>
          </cell>
          <cell r="AF262">
            <v>0.16666666666666666</v>
          </cell>
          <cell r="AG262">
            <v>0.16666666666666666</v>
          </cell>
          <cell r="AH262">
            <v>0</v>
          </cell>
          <cell r="AI262">
            <v>0</v>
          </cell>
          <cell r="AJ262">
            <v>0</v>
          </cell>
          <cell r="AK262">
            <v>0.16666666666666666</v>
          </cell>
          <cell r="AL262">
            <v>8.3333333333333329E-2</v>
          </cell>
          <cell r="AM262">
            <v>4.1666666666666664E-2</v>
          </cell>
          <cell r="AN262">
            <v>2</v>
          </cell>
          <cell r="AO262">
            <v>0</v>
          </cell>
          <cell r="AP262">
            <v>3.8333333333333335</v>
          </cell>
          <cell r="AQ262">
            <v>23.000000000000004</v>
          </cell>
          <cell r="AR262">
            <v>0</v>
          </cell>
          <cell r="AS262">
            <v>3.666666666666667</v>
          </cell>
          <cell r="AT262">
            <v>4</v>
          </cell>
          <cell r="AU262">
            <v>24</v>
          </cell>
          <cell r="AV262">
            <v>0</v>
          </cell>
          <cell r="AW262">
            <v>3.8333333333333335</v>
          </cell>
          <cell r="AX262">
            <v>4</v>
          </cell>
          <cell r="AY262">
            <v>24</v>
          </cell>
          <cell r="AZ262">
            <v>0</v>
          </cell>
          <cell r="BA262">
            <v>3.8333333333333335</v>
          </cell>
          <cell r="BB262">
            <v>4</v>
          </cell>
          <cell r="BC262">
            <v>24</v>
          </cell>
          <cell r="BD262">
            <v>0</v>
          </cell>
          <cell r="BE262">
            <v>3.8333333333333335</v>
          </cell>
          <cell r="BF262">
            <v>23.000000000000004</v>
          </cell>
          <cell r="BG262">
            <v>0</v>
          </cell>
          <cell r="BH262">
            <v>3.666666666666667</v>
          </cell>
          <cell r="BI262">
            <v>4</v>
          </cell>
          <cell r="BJ262">
            <v>24</v>
          </cell>
          <cell r="BK262">
            <v>0</v>
          </cell>
          <cell r="BL262">
            <v>3.8333333333333335</v>
          </cell>
          <cell r="BM262">
            <v>4</v>
          </cell>
          <cell r="BN262">
            <v>24</v>
          </cell>
          <cell r="BO262">
            <v>0</v>
          </cell>
          <cell r="BP262">
            <v>3.8333333333333335</v>
          </cell>
          <cell r="BQ262">
            <v>4</v>
          </cell>
          <cell r="BR262">
            <v>24</v>
          </cell>
          <cell r="BS262">
            <v>0</v>
          </cell>
          <cell r="BT262">
            <v>3.8333333333333335</v>
          </cell>
          <cell r="BU262">
            <v>4</v>
          </cell>
          <cell r="BV262">
            <v>24</v>
          </cell>
          <cell r="BW262">
            <v>0</v>
          </cell>
          <cell r="BX262">
            <v>0</v>
          </cell>
          <cell r="BY262">
            <v>3.8333333333333335</v>
          </cell>
          <cell r="BZ262">
            <v>4</v>
          </cell>
          <cell r="CA262">
            <v>24</v>
          </cell>
          <cell r="CB262">
            <v>0</v>
          </cell>
          <cell r="CC262">
            <v>0</v>
          </cell>
          <cell r="CD262">
            <v>3.8333333333333335</v>
          </cell>
          <cell r="CE262">
            <v>4</v>
          </cell>
          <cell r="CF262">
            <v>24</v>
          </cell>
          <cell r="CG262">
            <v>0</v>
          </cell>
          <cell r="CH262">
            <v>0</v>
          </cell>
          <cell r="CI262">
            <v>3.666666666666667</v>
          </cell>
          <cell r="CJ262">
            <v>4</v>
          </cell>
          <cell r="CK262">
            <v>24</v>
          </cell>
          <cell r="CL262">
            <v>0</v>
          </cell>
          <cell r="CM262">
            <v>0</v>
          </cell>
          <cell r="CN262">
            <v>3.8333333333333335</v>
          </cell>
          <cell r="CO262">
            <v>4</v>
          </cell>
          <cell r="CP262">
            <v>24</v>
          </cell>
          <cell r="CQ262">
            <v>0</v>
          </cell>
          <cell r="CR262">
            <v>0</v>
          </cell>
          <cell r="CS262">
            <v>3.8333333333333335</v>
          </cell>
          <cell r="CT262">
            <v>4</v>
          </cell>
          <cell r="CU262">
            <v>24</v>
          </cell>
          <cell r="CV262">
            <v>0</v>
          </cell>
          <cell r="CW262">
            <v>0</v>
          </cell>
          <cell r="CX262">
            <v>3.8333333333333335</v>
          </cell>
          <cell r="CY262">
            <v>6</v>
          </cell>
          <cell r="CZ262">
            <v>36</v>
          </cell>
          <cell r="DA262">
            <v>0</v>
          </cell>
          <cell r="DB262">
            <v>0</v>
          </cell>
          <cell r="DC262">
            <v>5.833333333333333</v>
          </cell>
          <cell r="DD262">
            <v>4</v>
          </cell>
          <cell r="DE262">
            <v>18</v>
          </cell>
          <cell r="DF262">
            <v>0</v>
          </cell>
          <cell r="DG262">
            <v>0</v>
          </cell>
          <cell r="DH262">
            <v>3.8333333333333335</v>
          </cell>
          <cell r="DI262">
            <v>4</v>
          </cell>
          <cell r="DJ262">
            <v>20</v>
          </cell>
          <cell r="DK262">
            <v>0</v>
          </cell>
          <cell r="DL262">
            <v>0</v>
          </cell>
          <cell r="DM262">
            <v>3.666666666666667</v>
          </cell>
          <cell r="DN262">
            <v>4</v>
          </cell>
          <cell r="DO262">
            <v>20</v>
          </cell>
          <cell r="DP262">
            <v>0</v>
          </cell>
          <cell r="DQ262">
            <v>0</v>
          </cell>
          <cell r="DR262">
            <v>3.8333333333333335</v>
          </cell>
          <cell r="DS262">
            <v>3.8333333333333335</v>
          </cell>
          <cell r="DT262">
            <v>19.000000000000004</v>
          </cell>
          <cell r="DU262">
            <v>0</v>
          </cell>
          <cell r="DV262">
            <v>0</v>
          </cell>
          <cell r="DW262">
            <v>3.666666666666667</v>
          </cell>
          <cell r="DX262">
            <v>3.666666666666667</v>
          </cell>
          <cell r="DY262">
            <v>18.000000000000004</v>
          </cell>
          <cell r="DZ262">
            <v>0</v>
          </cell>
          <cell r="EA262">
            <v>0</v>
          </cell>
          <cell r="EB262">
            <v>3.5000000000000004</v>
          </cell>
          <cell r="EC262">
            <v>3.5000000000000004</v>
          </cell>
          <cell r="ED262">
            <v>17.000000000000004</v>
          </cell>
          <cell r="EE262">
            <v>0</v>
          </cell>
          <cell r="EF262">
            <v>0</v>
          </cell>
          <cell r="EG262">
            <v>3.3333333333333339</v>
          </cell>
          <cell r="EH262">
            <v>3.3333333333333339</v>
          </cell>
          <cell r="EI262">
            <v>16.000000000000004</v>
          </cell>
          <cell r="EJ262">
            <v>0</v>
          </cell>
          <cell r="EK262">
            <v>0</v>
          </cell>
          <cell r="EL262">
            <v>3.1666666666666674</v>
          </cell>
          <cell r="EM262">
            <v>3.1666666666666674</v>
          </cell>
          <cell r="EN262">
            <v>15.000000000000005</v>
          </cell>
          <cell r="EO262">
            <v>0</v>
          </cell>
          <cell r="EP262">
            <v>0</v>
          </cell>
          <cell r="EQ262">
            <v>3.0000000000000009</v>
          </cell>
          <cell r="ER262">
            <v>3.0000000000000009</v>
          </cell>
          <cell r="ES262">
            <v>14.000000000000005</v>
          </cell>
          <cell r="ET262">
            <v>0</v>
          </cell>
          <cell r="EU262">
            <v>0</v>
          </cell>
          <cell r="EV262">
            <v>2.8333333333333344</v>
          </cell>
          <cell r="EW262">
            <v>2.8333333333333344</v>
          </cell>
          <cell r="EX262">
            <v>13.000000000000007</v>
          </cell>
          <cell r="EY262">
            <v>0</v>
          </cell>
          <cell r="EZ262">
            <v>0</v>
          </cell>
          <cell r="FA262">
            <v>2.6666666666666679</v>
          </cell>
          <cell r="FB262">
            <v>2.6666666666666679</v>
          </cell>
          <cell r="FC262">
            <v>12.000000000000007</v>
          </cell>
          <cell r="FD262">
            <v>0</v>
          </cell>
          <cell r="FE262">
            <v>0</v>
          </cell>
          <cell r="FF262">
            <v>2.5000000000000013</v>
          </cell>
          <cell r="FG262">
            <v>2.5000000000000013</v>
          </cell>
          <cell r="FH262">
            <v>11.000000000000009</v>
          </cell>
          <cell r="FI262">
            <v>0</v>
          </cell>
          <cell r="FJ262">
            <v>0</v>
          </cell>
          <cell r="FK262">
            <v>2.3333333333333348</v>
          </cell>
          <cell r="FL262">
            <v>2.3333333333333348</v>
          </cell>
          <cell r="FM262">
            <v>10.000000000000009</v>
          </cell>
          <cell r="FN262">
            <v>0</v>
          </cell>
          <cell r="FO262">
            <v>0</v>
          </cell>
          <cell r="FP262">
            <v>2.1666666666666683</v>
          </cell>
          <cell r="FQ262">
            <v>2.1666666666666683</v>
          </cell>
          <cell r="FR262">
            <v>9.0000000000000107</v>
          </cell>
          <cell r="FS262">
            <v>0</v>
          </cell>
          <cell r="FT262">
            <v>1</v>
          </cell>
          <cell r="FU262">
            <v>1.0333333333333334</v>
          </cell>
          <cell r="FW262" t="str">
            <v>SIN ROTACIÓN</v>
          </cell>
          <cell r="FX262" t="str">
            <v>C</v>
          </cell>
          <cell r="FY262" t="str">
            <v>Si</v>
          </cell>
        </row>
        <row r="263">
          <cell r="B263" t="str">
            <v>REP-0274</v>
          </cell>
          <cell r="C263" t="str">
            <v>NAC</v>
          </cell>
          <cell r="D263">
            <v>0</v>
          </cell>
          <cell r="E263">
            <v>36</v>
          </cell>
          <cell r="F263">
            <v>0</v>
          </cell>
          <cell r="G263">
            <v>0</v>
          </cell>
          <cell r="H263">
            <v>10</v>
          </cell>
          <cell r="I263">
            <v>10</v>
          </cell>
          <cell r="J263">
            <v>0</v>
          </cell>
          <cell r="K263">
            <v>12</v>
          </cell>
          <cell r="L263">
            <v>3</v>
          </cell>
          <cell r="M263">
            <v>3</v>
          </cell>
          <cell r="N263">
            <v>4</v>
          </cell>
          <cell r="O263">
            <v>4</v>
          </cell>
          <cell r="P263">
            <v>2</v>
          </cell>
          <cell r="Q263">
            <v>2</v>
          </cell>
          <cell r="R263">
            <v>2</v>
          </cell>
          <cell r="S263">
            <v>1</v>
          </cell>
          <cell r="T263">
            <v>2</v>
          </cell>
          <cell r="U263">
            <v>0</v>
          </cell>
          <cell r="V263">
            <v>5</v>
          </cell>
          <cell r="W263">
            <v>3</v>
          </cell>
          <cell r="X263">
            <v>2</v>
          </cell>
          <cell r="Y263">
            <v>101</v>
          </cell>
          <cell r="AA263">
            <v>101</v>
          </cell>
          <cell r="AB263">
            <v>77</v>
          </cell>
          <cell r="AC263">
            <v>12.666666666666666</v>
          </cell>
          <cell r="AD263">
            <v>0.42222222222222222</v>
          </cell>
          <cell r="AE263">
            <v>9.9166666666666661</v>
          </cell>
          <cell r="AF263">
            <v>11.583333333333334</v>
          </cell>
          <cell r="AG263">
            <v>10.583333333333334</v>
          </cell>
          <cell r="AH263">
            <v>17.25</v>
          </cell>
          <cell r="AI263">
            <v>13.5</v>
          </cell>
          <cell r="AJ263">
            <v>13.5</v>
          </cell>
          <cell r="AK263">
            <v>17.25</v>
          </cell>
          <cell r="AL263">
            <v>2.5499182993447715</v>
          </cell>
          <cell r="AM263">
            <v>13.708333333333334</v>
          </cell>
          <cell r="AN263">
            <v>0.18601227715584959</v>
          </cell>
          <cell r="AO263">
            <v>0</v>
          </cell>
          <cell r="AP263">
            <v>139.88888888888889</v>
          </cell>
          <cell r="AQ263">
            <v>12.294964028776977</v>
          </cell>
          <cell r="AR263">
            <v>0</v>
          </cell>
          <cell r="AS263">
            <v>123</v>
          </cell>
          <cell r="AT263">
            <v>122</v>
          </cell>
          <cell r="AU263">
            <v>7.870967741935484</v>
          </cell>
          <cell r="AV263">
            <v>0</v>
          </cell>
          <cell r="AW263">
            <v>106.5</v>
          </cell>
          <cell r="AX263">
            <v>107</v>
          </cell>
          <cell r="AY263">
            <v>6.2028985507246377</v>
          </cell>
          <cell r="AZ263">
            <v>0</v>
          </cell>
          <cell r="BA263">
            <v>92.666666666666671</v>
          </cell>
          <cell r="BB263">
            <v>92</v>
          </cell>
          <cell r="BC263">
            <v>4.5245901639344268</v>
          </cell>
          <cell r="BD263">
            <v>0</v>
          </cell>
          <cell r="BE263">
            <v>71.666666666666671</v>
          </cell>
          <cell r="BF263">
            <v>3.5245901639344268</v>
          </cell>
          <cell r="BG263">
            <v>0</v>
          </cell>
          <cell r="BH263">
            <v>51.333333333333343</v>
          </cell>
          <cell r="BI263">
            <v>101</v>
          </cell>
          <cell r="BJ263">
            <v>5.8550724637681162</v>
          </cell>
          <cell r="BK263">
            <v>0</v>
          </cell>
          <cell r="BL263">
            <v>43.166666666666664</v>
          </cell>
          <cell r="BM263">
            <v>146</v>
          </cell>
          <cell r="BN263">
            <v>9.6415094339622645</v>
          </cell>
          <cell r="BO263">
            <v>0</v>
          </cell>
          <cell r="BP263">
            <v>130.85714285714286</v>
          </cell>
          <cell r="BQ263">
            <v>174</v>
          </cell>
          <cell r="BR263">
            <v>10.086956521739131</v>
          </cell>
          <cell r="BS263">
            <v>0</v>
          </cell>
          <cell r="BT263">
            <v>158.875</v>
          </cell>
          <cell r="BU263">
            <v>165</v>
          </cell>
          <cell r="BV263">
            <v>11.692913385826772</v>
          </cell>
          <cell r="BW263">
            <v>0</v>
          </cell>
          <cell r="BX263">
            <v>0</v>
          </cell>
          <cell r="BY263">
            <v>150.88888888888889</v>
          </cell>
          <cell r="BZ263">
            <v>152</v>
          </cell>
          <cell r="CA263">
            <v>10.857142857142858</v>
          </cell>
          <cell r="CB263">
            <v>0</v>
          </cell>
          <cell r="CC263">
            <v>0</v>
          </cell>
          <cell r="CD263">
            <v>138</v>
          </cell>
          <cell r="CE263">
            <v>143</v>
          </cell>
          <cell r="CF263">
            <v>9.862068965517242</v>
          </cell>
          <cell r="CG263">
            <v>0</v>
          </cell>
          <cell r="CH263">
            <v>0</v>
          </cell>
          <cell r="CI263">
            <v>123.5</v>
          </cell>
          <cell r="CJ263">
            <v>88</v>
          </cell>
          <cell r="CK263">
            <v>4.4745762711864403</v>
          </cell>
          <cell r="CL263">
            <v>0</v>
          </cell>
          <cell r="CM263">
            <v>0</v>
          </cell>
          <cell r="CN263">
            <v>68.333333333333329</v>
          </cell>
          <cell r="CO263">
            <v>73</v>
          </cell>
          <cell r="CP263">
            <v>3.7118644067796609</v>
          </cell>
          <cell r="CQ263">
            <v>19.666666666666671</v>
          </cell>
          <cell r="CR263">
            <v>0</v>
          </cell>
          <cell r="CS263">
            <v>53.333333333333329</v>
          </cell>
          <cell r="CT263">
            <v>157</v>
          </cell>
          <cell r="CU263">
            <v>8.486486486486486</v>
          </cell>
          <cell r="CV263">
            <v>0</v>
          </cell>
          <cell r="CW263">
            <v>0</v>
          </cell>
          <cell r="CX263">
            <v>138.5</v>
          </cell>
          <cell r="CY263">
            <v>139</v>
          </cell>
          <cell r="CZ263">
            <v>8.0579710144927539</v>
          </cell>
          <cell r="DA263">
            <v>0</v>
          </cell>
          <cell r="DB263">
            <v>0</v>
          </cell>
          <cell r="DC263">
            <v>121.75</v>
          </cell>
          <cell r="DD263">
            <v>114</v>
          </cell>
          <cell r="DE263">
            <v>3.6842105263157894</v>
          </cell>
          <cell r="DF263">
            <v>0</v>
          </cell>
          <cell r="DG263">
            <v>0</v>
          </cell>
          <cell r="DH263">
            <v>95</v>
          </cell>
          <cell r="DI263">
            <v>105</v>
          </cell>
          <cell r="DJ263">
            <v>5.2678571428571423</v>
          </cell>
          <cell r="DK263">
            <v>0</v>
          </cell>
          <cell r="DL263">
            <v>0</v>
          </cell>
          <cell r="DM263">
            <v>76.333333333333329</v>
          </cell>
          <cell r="DN263">
            <v>101</v>
          </cell>
          <cell r="DO263">
            <v>5.304347826086957</v>
          </cell>
          <cell r="DP263">
            <v>0</v>
          </cell>
          <cell r="DQ263">
            <v>0</v>
          </cell>
          <cell r="DR263">
            <v>83.75</v>
          </cell>
          <cell r="DS263">
            <v>83.75</v>
          </cell>
          <cell r="DT263">
            <v>4.304347826086957</v>
          </cell>
          <cell r="DU263">
            <v>0</v>
          </cell>
          <cell r="DV263">
            <v>0</v>
          </cell>
          <cell r="DW263">
            <v>66.5</v>
          </cell>
          <cell r="DX263">
            <v>66.5</v>
          </cell>
          <cell r="DY263">
            <v>3.3043478260869565</v>
          </cell>
          <cell r="DZ263">
            <v>0</v>
          </cell>
          <cell r="EA263">
            <v>0</v>
          </cell>
          <cell r="EB263">
            <v>49.25</v>
          </cell>
          <cell r="EC263">
            <v>49.25</v>
          </cell>
          <cell r="ED263">
            <v>2.3043478260869565</v>
          </cell>
          <cell r="EE263">
            <v>0</v>
          </cell>
          <cell r="EF263">
            <v>0</v>
          </cell>
          <cell r="EG263">
            <v>32</v>
          </cell>
          <cell r="EH263">
            <v>32</v>
          </cell>
          <cell r="EI263">
            <v>1.3043478260869565</v>
          </cell>
          <cell r="EJ263">
            <v>12</v>
          </cell>
          <cell r="EK263">
            <v>0</v>
          </cell>
          <cell r="EL263">
            <v>14.75</v>
          </cell>
          <cell r="EM263">
            <v>14.75</v>
          </cell>
          <cell r="EN263">
            <v>0.30434782608695654</v>
          </cell>
          <cell r="EO263">
            <v>29.25</v>
          </cell>
          <cell r="EP263">
            <v>0</v>
          </cell>
          <cell r="EQ263">
            <v>-2.5</v>
          </cell>
          <cell r="ER263">
            <v>-2.5</v>
          </cell>
          <cell r="ES263">
            <v>-0.69565217391304346</v>
          </cell>
          <cell r="ET263">
            <v>46.5</v>
          </cell>
          <cell r="EU263">
            <v>0</v>
          </cell>
          <cell r="EV263">
            <v>-19.75</v>
          </cell>
          <cell r="EW263">
            <v>-19.75</v>
          </cell>
          <cell r="EX263">
            <v>-1.6956521739130435</v>
          </cell>
          <cell r="EY263">
            <v>63.75</v>
          </cell>
          <cell r="EZ263">
            <v>0</v>
          </cell>
          <cell r="FA263">
            <v>-37</v>
          </cell>
          <cell r="FB263">
            <v>-37</v>
          </cell>
          <cell r="FC263">
            <v>-2.6956521739130439</v>
          </cell>
          <cell r="FD263">
            <v>81</v>
          </cell>
          <cell r="FE263">
            <v>0</v>
          </cell>
          <cell r="FF263">
            <v>-54.25</v>
          </cell>
          <cell r="FG263">
            <v>-54.25</v>
          </cell>
          <cell r="FH263">
            <v>-3.6956521739130439</v>
          </cell>
          <cell r="FI263">
            <v>98.25</v>
          </cell>
          <cell r="FJ263">
            <v>0</v>
          </cell>
          <cell r="FK263">
            <v>-71.5</v>
          </cell>
          <cell r="FL263">
            <v>-71.5</v>
          </cell>
          <cell r="FM263">
            <v>-4.6956521739130439</v>
          </cell>
          <cell r="FN263">
            <v>115.5</v>
          </cell>
          <cell r="FO263">
            <v>0</v>
          </cell>
          <cell r="FP263">
            <v>-88.75</v>
          </cell>
          <cell r="FQ263">
            <v>-88.75</v>
          </cell>
          <cell r="FR263">
            <v>-5.6956521739130439</v>
          </cell>
          <cell r="FS263">
            <v>132.75</v>
          </cell>
          <cell r="FT263">
            <v>44</v>
          </cell>
          <cell r="FU263">
            <v>1.0333333333333334</v>
          </cell>
          <cell r="FW263" t="str">
            <v>SOBRESTOCK</v>
          </cell>
          <cell r="FX263" t="str">
            <v>A</v>
          </cell>
          <cell r="FY263" t="str">
            <v>Si</v>
          </cell>
        </row>
        <row r="264">
          <cell r="B264" t="str">
            <v>REP-0275</v>
          </cell>
          <cell r="C264" t="str">
            <v>NAC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A264">
            <v>0</v>
          </cell>
          <cell r="AB264">
            <v>3</v>
          </cell>
          <cell r="AC264">
            <v>0</v>
          </cell>
          <cell r="AD264">
            <v>0</v>
          </cell>
          <cell r="AE264">
            <v>0.25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O264">
            <v>0</v>
          </cell>
          <cell r="AP264">
            <v>0</v>
          </cell>
          <cell r="AQ264" t="str">
            <v/>
          </cell>
          <cell r="AR264">
            <v>0</v>
          </cell>
          <cell r="AS264">
            <v>0</v>
          </cell>
          <cell r="AT264">
            <v>0</v>
          </cell>
          <cell r="AU264" t="str">
            <v/>
          </cell>
          <cell r="AV264">
            <v>0</v>
          </cell>
          <cell r="AW264">
            <v>0</v>
          </cell>
          <cell r="AX264">
            <v>0</v>
          </cell>
          <cell r="AY264" t="str">
            <v/>
          </cell>
          <cell r="AZ264">
            <v>0</v>
          </cell>
          <cell r="BA264">
            <v>0</v>
          </cell>
          <cell r="BB264">
            <v>0</v>
          </cell>
          <cell r="BC264" t="str">
            <v/>
          </cell>
          <cell r="BD264">
            <v>0</v>
          </cell>
          <cell r="BE264">
            <v>0</v>
          </cell>
          <cell r="BF264" t="str">
            <v/>
          </cell>
          <cell r="BG264">
            <v>0</v>
          </cell>
          <cell r="BH264">
            <v>0</v>
          </cell>
          <cell r="BI264">
            <v>0</v>
          </cell>
          <cell r="BJ264" t="str">
            <v/>
          </cell>
          <cell r="BK264">
            <v>0</v>
          </cell>
          <cell r="BL264">
            <v>0</v>
          </cell>
          <cell r="BM264">
            <v>0</v>
          </cell>
          <cell r="BN264" t="str">
            <v/>
          </cell>
          <cell r="BO264">
            <v>0</v>
          </cell>
          <cell r="BP264">
            <v>0</v>
          </cell>
          <cell r="BQ264">
            <v>0</v>
          </cell>
          <cell r="BR264" t="str">
            <v/>
          </cell>
          <cell r="BS264">
            <v>0</v>
          </cell>
          <cell r="BT264">
            <v>0</v>
          </cell>
          <cell r="BU264">
            <v>0</v>
          </cell>
          <cell r="BV264" t="str">
            <v/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 t="str">
            <v/>
          </cell>
          <cell r="CB264">
            <v>0</v>
          </cell>
          <cell r="CD264">
            <v>0</v>
          </cell>
          <cell r="CE264">
            <v>0</v>
          </cell>
          <cell r="CF264" t="str">
            <v/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 t="str">
            <v/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 t="str">
            <v/>
          </cell>
          <cell r="CQ264">
            <v>0</v>
          </cell>
          <cell r="CS264">
            <v>0</v>
          </cell>
          <cell r="CT264">
            <v>0</v>
          </cell>
          <cell r="CU264" t="str">
            <v/>
          </cell>
          <cell r="CV264">
            <v>0</v>
          </cell>
          <cell r="CX264">
            <v>0</v>
          </cell>
          <cell r="CY264">
            <v>0</v>
          </cell>
          <cell r="CZ264" t="str">
            <v/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 t="str">
            <v/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 t="str">
            <v/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 t="str">
            <v/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 t="str">
            <v/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 t="str">
            <v/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 t="str">
            <v/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 t="str">
            <v/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 t="str">
            <v/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 t="str">
            <v/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 t="str">
            <v/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 t="str">
            <v/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 t="str">
            <v/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 t="str">
            <v/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 t="str">
            <v/>
          </cell>
          <cell r="FS264">
            <v>0</v>
          </cell>
          <cell r="FT264">
            <v>0</v>
          </cell>
          <cell r="FU264">
            <v>66.666666666666671</v>
          </cell>
          <cell r="FW264" t="str">
            <v>SIN ROTACIÓN</v>
          </cell>
          <cell r="FX264" t="str">
            <v/>
          </cell>
          <cell r="FY264" t="str">
            <v>No</v>
          </cell>
        </row>
        <row r="265">
          <cell r="B265" t="str">
            <v>REP-0276</v>
          </cell>
          <cell r="C265" t="str">
            <v>NAC</v>
          </cell>
          <cell r="D265">
            <v>0</v>
          </cell>
          <cell r="E265">
            <v>16</v>
          </cell>
          <cell r="F265">
            <v>0</v>
          </cell>
          <cell r="G265">
            <v>0</v>
          </cell>
          <cell r="H265">
            <v>2</v>
          </cell>
          <cell r="I265">
            <v>2</v>
          </cell>
          <cell r="J265">
            <v>0</v>
          </cell>
          <cell r="K265">
            <v>4</v>
          </cell>
          <cell r="L265">
            <v>0</v>
          </cell>
          <cell r="M265">
            <v>2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1</v>
          </cell>
          <cell r="S265">
            <v>1</v>
          </cell>
          <cell r="T265">
            <v>1</v>
          </cell>
          <cell r="U265">
            <v>1</v>
          </cell>
          <cell r="V265">
            <v>0</v>
          </cell>
          <cell r="W265">
            <v>1</v>
          </cell>
          <cell r="X265">
            <v>1</v>
          </cell>
          <cell r="Y265">
            <v>36</v>
          </cell>
          <cell r="AA265">
            <v>36</v>
          </cell>
          <cell r="AB265">
            <v>84</v>
          </cell>
          <cell r="AC265">
            <v>2.8333333333333335</v>
          </cell>
          <cell r="AD265">
            <v>9.4444444444444456E-2</v>
          </cell>
          <cell r="AE265">
            <v>3.0833333333333335</v>
          </cell>
          <cell r="AF265">
            <v>3.1666666666666665</v>
          </cell>
          <cell r="AG265">
            <v>2.6666666666666665</v>
          </cell>
          <cell r="AH265">
            <v>4.083333333333333</v>
          </cell>
          <cell r="AI265">
            <v>2.6666666666666665</v>
          </cell>
          <cell r="AJ265">
            <v>2.6666666666666665</v>
          </cell>
          <cell r="AK265">
            <v>4.083333333333333</v>
          </cell>
          <cell r="AL265">
            <v>0.61689185077739228</v>
          </cell>
          <cell r="AM265">
            <v>3.020833333333333</v>
          </cell>
          <cell r="AN265">
            <v>0.20421247474010229</v>
          </cell>
          <cell r="AO265">
            <v>0</v>
          </cell>
          <cell r="AP265">
            <v>21.111111111111111</v>
          </cell>
          <cell r="AQ265">
            <v>6.8947368421052628</v>
          </cell>
          <cell r="AR265">
            <v>0</v>
          </cell>
          <cell r="AS265">
            <v>15</v>
          </cell>
          <cell r="AT265">
            <v>15</v>
          </cell>
          <cell r="AU265">
            <v>3</v>
          </cell>
          <cell r="AV265">
            <v>0</v>
          </cell>
          <cell r="AW265">
            <v>10</v>
          </cell>
          <cell r="AX265">
            <v>21</v>
          </cell>
          <cell r="AY265">
            <v>5.1428571428571432</v>
          </cell>
          <cell r="AZ265">
            <v>0</v>
          </cell>
          <cell r="BA265">
            <v>16.333333333333332</v>
          </cell>
          <cell r="BB265">
            <v>17</v>
          </cell>
          <cell r="BC265">
            <v>3.4</v>
          </cell>
          <cell r="BD265">
            <v>0</v>
          </cell>
          <cell r="BE265">
            <v>12</v>
          </cell>
          <cell r="BF265">
            <v>2.4</v>
          </cell>
          <cell r="BG265">
            <v>0</v>
          </cell>
          <cell r="BH265">
            <v>7</v>
          </cell>
          <cell r="BI265">
            <v>36</v>
          </cell>
          <cell r="BJ265">
            <v>8.8163265306122458</v>
          </cell>
          <cell r="BK265">
            <v>0</v>
          </cell>
          <cell r="BL265">
            <v>23.833333333333332</v>
          </cell>
          <cell r="BM265">
            <v>24</v>
          </cell>
          <cell r="BN265">
            <v>5.76</v>
          </cell>
          <cell r="BO265">
            <v>0</v>
          </cell>
          <cell r="BP265">
            <v>19.833333333333332</v>
          </cell>
          <cell r="BQ265">
            <v>18</v>
          </cell>
          <cell r="BR265">
            <v>4.4081632653061229</v>
          </cell>
          <cell r="BS265">
            <v>0</v>
          </cell>
          <cell r="BT265">
            <v>13.875</v>
          </cell>
          <cell r="BU265">
            <v>16</v>
          </cell>
          <cell r="BV265">
            <v>4.1142857142857148</v>
          </cell>
          <cell r="BW265">
            <v>22</v>
          </cell>
          <cell r="BX265">
            <v>0</v>
          </cell>
          <cell r="BY265">
            <v>12.111111111111111</v>
          </cell>
          <cell r="BZ265">
            <v>31</v>
          </cell>
          <cell r="CA265">
            <v>7.9487179487179489</v>
          </cell>
          <cell r="CB265">
            <v>7</v>
          </cell>
          <cell r="CC265">
            <v>0</v>
          </cell>
          <cell r="CD265">
            <v>27.1</v>
          </cell>
          <cell r="CE265">
            <v>26</v>
          </cell>
          <cell r="CF265">
            <v>6.6511627906976747</v>
          </cell>
          <cell r="CG265">
            <v>12</v>
          </cell>
          <cell r="CH265">
            <v>0</v>
          </cell>
          <cell r="CI265">
            <v>35.190909090909095</v>
          </cell>
          <cell r="CJ265">
            <v>33</v>
          </cell>
          <cell r="CK265">
            <v>8.0816326530612255</v>
          </cell>
          <cell r="CL265">
            <v>5</v>
          </cell>
          <cell r="CM265">
            <v>0</v>
          </cell>
          <cell r="CN265">
            <v>28.916666666666668</v>
          </cell>
          <cell r="CO265">
            <v>21</v>
          </cell>
          <cell r="CP265">
            <v>5.1428571428571432</v>
          </cell>
          <cell r="CQ265">
            <v>9.0833333333333321</v>
          </cell>
          <cell r="CR265">
            <v>0</v>
          </cell>
          <cell r="CS265">
            <v>16.916666666666668</v>
          </cell>
          <cell r="CT265">
            <v>17</v>
          </cell>
          <cell r="CU265">
            <v>4.1632653061224492</v>
          </cell>
          <cell r="CV265">
            <v>2</v>
          </cell>
          <cell r="CW265">
            <v>16</v>
          </cell>
          <cell r="CX265">
            <v>28.916666666666668</v>
          </cell>
          <cell r="CY265">
            <v>29</v>
          </cell>
          <cell r="CZ265">
            <v>7.1020408163265314</v>
          </cell>
          <cell r="DA265">
            <v>0</v>
          </cell>
          <cell r="DB265">
            <v>0</v>
          </cell>
          <cell r="DC265">
            <v>24.916666666666668</v>
          </cell>
          <cell r="DD265">
            <v>27</v>
          </cell>
          <cell r="DE265">
            <v>1.9591836734693879</v>
          </cell>
          <cell r="DF265">
            <v>0</v>
          </cell>
          <cell r="DG265">
            <v>0</v>
          </cell>
          <cell r="DH265">
            <v>22.916666666666668</v>
          </cell>
          <cell r="DI265">
            <v>21</v>
          </cell>
          <cell r="DJ265">
            <v>2.489795918367347</v>
          </cell>
          <cell r="DK265">
            <v>0</v>
          </cell>
          <cell r="DL265">
            <v>0</v>
          </cell>
          <cell r="DM265">
            <v>18.833333333333336</v>
          </cell>
          <cell r="DN265">
            <v>36</v>
          </cell>
          <cell r="DO265">
            <v>6.1632653061224492</v>
          </cell>
          <cell r="DP265">
            <v>0</v>
          </cell>
          <cell r="DQ265">
            <v>0</v>
          </cell>
          <cell r="DR265">
            <v>31.916666666666668</v>
          </cell>
          <cell r="DS265">
            <v>31.916666666666668</v>
          </cell>
          <cell r="DT265">
            <v>5.1632653061224492</v>
          </cell>
          <cell r="DU265">
            <v>0</v>
          </cell>
          <cell r="DV265">
            <v>0</v>
          </cell>
          <cell r="DW265">
            <v>27.833333333333336</v>
          </cell>
          <cell r="DX265">
            <v>27.833333333333336</v>
          </cell>
          <cell r="DY265">
            <v>4.1632653061224492</v>
          </cell>
          <cell r="DZ265">
            <v>0</v>
          </cell>
          <cell r="EA265">
            <v>0</v>
          </cell>
          <cell r="EB265">
            <v>23.750000000000004</v>
          </cell>
          <cell r="EC265">
            <v>23.750000000000004</v>
          </cell>
          <cell r="ED265">
            <v>3.16326530612245</v>
          </cell>
          <cell r="EE265">
            <v>0</v>
          </cell>
          <cell r="EF265">
            <v>0</v>
          </cell>
          <cell r="EG265">
            <v>19.666666666666671</v>
          </cell>
          <cell r="EH265">
            <v>19.666666666666671</v>
          </cell>
          <cell r="EI265">
            <v>2.16326530612245</v>
          </cell>
          <cell r="EJ265">
            <v>0</v>
          </cell>
          <cell r="EK265">
            <v>0</v>
          </cell>
          <cell r="EL265">
            <v>15.583333333333339</v>
          </cell>
          <cell r="EM265">
            <v>15.583333333333339</v>
          </cell>
          <cell r="EN265">
            <v>1.1632653061224505</v>
          </cell>
          <cell r="EO265">
            <v>3.4166666666666607</v>
          </cell>
          <cell r="EP265">
            <v>0</v>
          </cell>
          <cell r="EQ265">
            <v>11.500000000000007</v>
          </cell>
          <cell r="ER265">
            <v>11.500000000000007</v>
          </cell>
          <cell r="ES265">
            <v>0.16326530612245049</v>
          </cell>
          <cell r="ET265">
            <v>7.4999999999999929</v>
          </cell>
          <cell r="EU265">
            <v>0</v>
          </cell>
          <cell r="EV265">
            <v>7.4166666666666741</v>
          </cell>
          <cell r="EW265">
            <v>7.4166666666666741</v>
          </cell>
          <cell r="EX265">
            <v>-0.83673469387754906</v>
          </cell>
          <cell r="EY265">
            <v>11.583333333333325</v>
          </cell>
          <cell r="EZ265">
            <v>0</v>
          </cell>
          <cell r="FA265">
            <v>3.333333333333341</v>
          </cell>
          <cell r="FB265">
            <v>3.333333333333341</v>
          </cell>
          <cell r="FC265">
            <v>-1.8367346938775495</v>
          </cell>
          <cell r="FD265">
            <v>15.666666666666659</v>
          </cell>
          <cell r="FE265">
            <v>0</v>
          </cell>
          <cell r="FF265">
            <v>-0.74999999999999201</v>
          </cell>
          <cell r="FG265">
            <v>-0.74999999999999201</v>
          </cell>
          <cell r="FH265">
            <v>-2.83673469387755</v>
          </cell>
          <cell r="FI265">
            <v>19.749999999999993</v>
          </cell>
          <cell r="FJ265">
            <v>0</v>
          </cell>
          <cell r="FK265">
            <v>-4.833333333333325</v>
          </cell>
          <cell r="FL265">
            <v>-4.833333333333325</v>
          </cell>
          <cell r="FM265">
            <v>-3.8367346938775491</v>
          </cell>
          <cell r="FN265">
            <v>23.833333333333325</v>
          </cell>
          <cell r="FO265">
            <v>0</v>
          </cell>
          <cell r="FP265">
            <v>-8.9166666666666572</v>
          </cell>
          <cell r="FQ265">
            <v>-8.9166666666666572</v>
          </cell>
          <cell r="FR265">
            <v>-4.8367346938775491</v>
          </cell>
          <cell r="FS265">
            <v>27.916666666666657</v>
          </cell>
          <cell r="FT265">
            <v>19</v>
          </cell>
          <cell r="FU265">
            <v>1</v>
          </cell>
          <cell r="FW265" t="str">
            <v>SOBRESTOCK</v>
          </cell>
          <cell r="FX265" t="str">
            <v>B</v>
          </cell>
          <cell r="FY265" t="str">
            <v>Si</v>
          </cell>
        </row>
        <row r="266">
          <cell r="B266" t="str">
            <v>REP-0277</v>
          </cell>
          <cell r="C266" t="str">
            <v>NAC</v>
          </cell>
          <cell r="D266">
            <v>0</v>
          </cell>
          <cell r="E266">
            <v>76</v>
          </cell>
          <cell r="F266">
            <v>0</v>
          </cell>
          <cell r="G266">
            <v>0</v>
          </cell>
          <cell r="H266">
            <v>8</v>
          </cell>
          <cell r="I266">
            <v>8</v>
          </cell>
          <cell r="J266">
            <v>0</v>
          </cell>
          <cell r="K266">
            <v>4</v>
          </cell>
          <cell r="L266">
            <v>4</v>
          </cell>
          <cell r="M266">
            <v>2</v>
          </cell>
          <cell r="N266">
            <v>4</v>
          </cell>
          <cell r="O266">
            <v>4</v>
          </cell>
          <cell r="P266">
            <v>2</v>
          </cell>
          <cell r="Q266">
            <v>1</v>
          </cell>
          <cell r="R266">
            <v>6</v>
          </cell>
          <cell r="S266">
            <v>2</v>
          </cell>
          <cell r="T266">
            <v>2</v>
          </cell>
          <cell r="U266">
            <v>4</v>
          </cell>
          <cell r="V266">
            <v>4</v>
          </cell>
          <cell r="W266">
            <v>2</v>
          </cell>
          <cell r="X266">
            <v>3</v>
          </cell>
          <cell r="Y266">
            <v>136</v>
          </cell>
          <cell r="AA266">
            <v>136</v>
          </cell>
          <cell r="AB266">
            <v>112</v>
          </cell>
          <cell r="AC266">
            <v>10.333333333333334</v>
          </cell>
          <cell r="AD266">
            <v>0.34444444444444444</v>
          </cell>
          <cell r="AE266">
            <v>9.3333333333333339</v>
          </cell>
          <cell r="AF266">
            <v>12.75</v>
          </cell>
          <cell r="AG266">
            <v>9.9166666666666661</v>
          </cell>
          <cell r="AH266">
            <v>11.583333333333334</v>
          </cell>
          <cell r="AI266">
            <v>11.5</v>
          </cell>
          <cell r="AJ266">
            <v>11.5</v>
          </cell>
          <cell r="AK266">
            <v>11.583333333333334</v>
          </cell>
          <cell r="AL266">
            <v>1.0079544742805713</v>
          </cell>
          <cell r="AM266">
            <v>11.125</v>
          </cell>
          <cell r="AN266">
            <v>9.0602649373534502E-2</v>
          </cell>
          <cell r="AO266">
            <v>0</v>
          </cell>
          <cell r="AP266">
            <v>62.5</v>
          </cell>
          <cell r="AQ266">
            <v>4.882352941176471</v>
          </cell>
          <cell r="AR266">
            <v>0</v>
          </cell>
          <cell r="AS266">
            <v>49.5</v>
          </cell>
          <cell r="AT266">
            <v>103</v>
          </cell>
          <cell r="AU266">
            <v>9.8095238095238102</v>
          </cell>
          <cell r="AV266">
            <v>0</v>
          </cell>
          <cell r="AW266">
            <v>92.5</v>
          </cell>
          <cell r="AX266">
            <v>91</v>
          </cell>
          <cell r="AY266">
            <v>7.8561151079136691</v>
          </cell>
          <cell r="AZ266">
            <v>0</v>
          </cell>
          <cell r="BA266">
            <v>80</v>
          </cell>
          <cell r="BB266">
            <v>84</v>
          </cell>
          <cell r="BC266">
            <v>6.3</v>
          </cell>
          <cell r="BD266">
            <v>0</v>
          </cell>
          <cell r="BE266">
            <v>70.666666666666671</v>
          </cell>
          <cell r="BF266">
            <v>5.3</v>
          </cell>
          <cell r="BG266">
            <v>0</v>
          </cell>
          <cell r="BH266">
            <v>57.333333333333336</v>
          </cell>
          <cell r="BI266">
            <v>136</v>
          </cell>
          <cell r="BJ266">
            <v>11.741007194244604</v>
          </cell>
          <cell r="BK266">
            <v>0</v>
          </cell>
          <cell r="BL266">
            <v>65</v>
          </cell>
          <cell r="BM266">
            <v>70</v>
          </cell>
          <cell r="BN266">
            <v>6.2686567164179108</v>
          </cell>
          <cell r="BO266">
            <v>0</v>
          </cell>
          <cell r="BP266">
            <v>58.833333333333336</v>
          </cell>
          <cell r="BQ266">
            <v>134</v>
          </cell>
          <cell r="BR266">
            <v>11.568345323741006</v>
          </cell>
          <cell r="BS266">
            <v>0</v>
          </cell>
          <cell r="BT266">
            <v>122</v>
          </cell>
          <cell r="BU266">
            <v>122</v>
          </cell>
          <cell r="BV266">
            <v>9.76</v>
          </cell>
          <cell r="BW266">
            <v>0</v>
          </cell>
          <cell r="BX266">
            <v>0</v>
          </cell>
          <cell r="BY266">
            <v>109.5</v>
          </cell>
          <cell r="BZ266">
            <v>106</v>
          </cell>
          <cell r="CA266">
            <v>8.2597402597402585</v>
          </cell>
          <cell r="CB266">
            <v>0</v>
          </cell>
          <cell r="CC266">
            <v>0</v>
          </cell>
          <cell r="CD266">
            <v>93.166666666666671</v>
          </cell>
          <cell r="CE266">
            <v>92</v>
          </cell>
          <cell r="CF266">
            <v>7.1688311688311686</v>
          </cell>
          <cell r="CG266">
            <v>0</v>
          </cell>
          <cell r="CH266">
            <v>0</v>
          </cell>
          <cell r="CI266">
            <v>80.333333333333343</v>
          </cell>
          <cell r="CJ266">
            <v>105</v>
          </cell>
          <cell r="CK266">
            <v>8.6301369863013697</v>
          </cell>
          <cell r="CL266">
            <v>0</v>
          </cell>
          <cell r="CM266">
            <v>0</v>
          </cell>
          <cell r="CN266">
            <v>92.833333333333329</v>
          </cell>
          <cell r="CO266">
            <v>82</v>
          </cell>
          <cell r="CP266">
            <v>6.7397260273972606</v>
          </cell>
          <cell r="CQ266">
            <v>0</v>
          </cell>
          <cell r="CR266">
            <v>0</v>
          </cell>
          <cell r="CS266">
            <v>69.833333333333329</v>
          </cell>
          <cell r="CT266">
            <v>60</v>
          </cell>
          <cell r="CU266">
            <v>4.1379310344827589</v>
          </cell>
          <cell r="CV266">
            <v>0</v>
          </cell>
          <cell r="CW266">
            <v>60</v>
          </cell>
          <cell r="CX266">
            <v>105.5</v>
          </cell>
          <cell r="CY266">
            <v>103</v>
          </cell>
          <cell r="CZ266">
            <v>6.8666666666666663</v>
          </cell>
          <cell r="DA266">
            <v>0</v>
          </cell>
          <cell r="DB266">
            <v>0</v>
          </cell>
          <cell r="DC266">
            <v>89.25</v>
          </cell>
          <cell r="DD266">
            <v>88</v>
          </cell>
          <cell r="DE266">
            <v>3.5714285714285716</v>
          </cell>
          <cell r="DF266">
            <v>0</v>
          </cell>
          <cell r="DG266">
            <v>0</v>
          </cell>
          <cell r="DH266">
            <v>74</v>
          </cell>
          <cell r="DI266">
            <v>79</v>
          </cell>
          <cell r="DJ266">
            <v>5.1538461538461533</v>
          </cell>
          <cell r="DK266">
            <v>0</v>
          </cell>
          <cell r="DL266">
            <v>0</v>
          </cell>
          <cell r="DM266">
            <v>61</v>
          </cell>
          <cell r="DN266">
            <v>136</v>
          </cell>
          <cell r="DO266">
            <v>10.460431654676258</v>
          </cell>
          <cell r="DP266">
            <v>0</v>
          </cell>
          <cell r="DQ266">
            <v>0</v>
          </cell>
          <cell r="DR266">
            <v>124.41666666666667</v>
          </cell>
          <cell r="DS266">
            <v>124.41666666666667</v>
          </cell>
          <cell r="DT266">
            <v>9.4604316546762597</v>
          </cell>
          <cell r="DU266">
            <v>0</v>
          </cell>
          <cell r="DV266">
            <v>0</v>
          </cell>
          <cell r="DW266">
            <v>112.83333333333334</v>
          </cell>
          <cell r="DX266">
            <v>112.83333333333334</v>
          </cell>
          <cell r="DY266">
            <v>8.4604316546762597</v>
          </cell>
          <cell r="DZ266">
            <v>0</v>
          </cell>
          <cell r="EA266">
            <v>0</v>
          </cell>
          <cell r="EB266">
            <v>101.25000000000001</v>
          </cell>
          <cell r="EC266">
            <v>101.25000000000001</v>
          </cell>
          <cell r="ED266">
            <v>7.4604316546762597</v>
          </cell>
          <cell r="EE266">
            <v>0</v>
          </cell>
          <cell r="EF266">
            <v>0</v>
          </cell>
          <cell r="EG266">
            <v>89.666666666666686</v>
          </cell>
          <cell r="EH266">
            <v>89.666666666666686</v>
          </cell>
          <cell r="EI266">
            <v>6.4604316546762606</v>
          </cell>
          <cell r="EJ266">
            <v>0</v>
          </cell>
          <cell r="EK266">
            <v>0</v>
          </cell>
          <cell r="EL266">
            <v>78.083333333333357</v>
          </cell>
          <cell r="EM266">
            <v>78.083333333333357</v>
          </cell>
          <cell r="EN266">
            <v>5.4604316546762615</v>
          </cell>
          <cell r="EO266">
            <v>0</v>
          </cell>
          <cell r="EP266">
            <v>0</v>
          </cell>
          <cell r="EQ266">
            <v>66.500000000000028</v>
          </cell>
          <cell r="ER266">
            <v>66.500000000000028</v>
          </cell>
          <cell r="ES266">
            <v>4.4604316546762615</v>
          </cell>
          <cell r="ET266">
            <v>0</v>
          </cell>
          <cell r="EU266">
            <v>0</v>
          </cell>
          <cell r="EV266">
            <v>54.916666666666693</v>
          </cell>
          <cell r="EW266">
            <v>54.916666666666693</v>
          </cell>
          <cell r="EX266">
            <v>3.4604316546762615</v>
          </cell>
          <cell r="EY266">
            <v>0</v>
          </cell>
          <cell r="EZ266">
            <v>0</v>
          </cell>
          <cell r="FA266">
            <v>43.333333333333357</v>
          </cell>
          <cell r="FB266">
            <v>43.333333333333357</v>
          </cell>
          <cell r="FC266">
            <v>2.460431654676261</v>
          </cell>
          <cell r="FD266">
            <v>0</v>
          </cell>
          <cell r="FE266">
            <v>0</v>
          </cell>
          <cell r="FF266">
            <v>31.750000000000021</v>
          </cell>
          <cell r="FG266">
            <v>31.750000000000021</v>
          </cell>
          <cell r="FH266">
            <v>1.460431654676261</v>
          </cell>
          <cell r="FI266">
            <v>6.2499999999999787</v>
          </cell>
          <cell r="FJ266">
            <v>0</v>
          </cell>
          <cell r="FK266">
            <v>20.166666666666686</v>
          </cell>
          <cell r="FL266">
            <v>20.166666666666686</v>
          </cell>
          <cell r="FM266">
            <v>0.46043165467626079</v>
          </cell>
          <cell r="FN266">
            <v>17.833333333333314</v>
          </cell>
          <cell r="FO266">
            <v>0</v>
          </cell>
          <cell r="FP266">
            <v>8.5833333333333517</v>
          </cell>
          <cell r="FQ266">
            <v>8.5833333333333517</v>
          </cell>
          <cell r="FR266">
            <v>-0.53956834532373943</v>
          </cell>
          <cell r="FS266">
            <v>29.41666666666665</v>
          </cell>
          <cell r="FT266">
            <v>38</v>
          </cell>
          <cell r="FU266">
            <v>1.0333333333333334</v>
          </cell>
          <cell r="FW266" t="str">
            <v>SOBRESTOCK</v>
          </cell>
          <cell r="FX266" t="str">
            <v>A</v>
          </cell>
          <cell r="FY266" t="str">
            <v>Si</v>
          </cell>
        </row>
        <row r="267">
          <cell r="B267" t="str">
            <v>REP-0278</v>
          </cell>
          <cell r="C267" t="str">
            <v>NAC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6</v>
          </cell>
          <cell r="I267">
            <v>6</v>
          </cell>
          <cell r="J267">
            <v>0</v>
          </cell>
          <cell r="K267">
            <v>6</v>
          </cell>
          <cell r="L267">
            <v>1</v>
          </cell>
          <cell r="M267">
            <v>0</v>
          </cell>
          <cell r="N267">
            <v>2</v>
          </cell>
          <cell r="O267">
            <v>0</v>
          </cell>
          <cell r="P267">
            <v>1</v>
          </cell>
          <cell r="Q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V267">
            <v>1</v>
          </cell>
          <cell r="W267">
            <v>1</v>
          </cell>
          <cell r="X267">
            <v>1</v>
          </cell>
          <cell r="Y267">
            <v>30</v>
          </cell>
          <cell r="AA267">
            <v>30</v>
          </cell>
          <cell r="AB267">
            <v>68</v>
          </cell>
          <cell r="AC267">
            <v>1.1666666666666667</v>
          </cell>
          <cell r="AD267">
            <v>3.888888888888889E-2</v>
          </cell>
          <cell r="AE267">
            <v>1.1666666666666667</v>
          </cell>
          <cell r="AF267">
            <v>1.5</v>
          </cell>
          <cell r="AG267">
            <v>0.58333333333333337</v>
          </cell>
          <cell r="AH267">
            <v>1.5</v>
          </cell>
          <cell r="AI267">
            <v>1.6666666666666667</v>
          </cell>
          <cell r="AJ267">
            <v>1.6666666666666667</v>
          </cell>
          <cell r="AK267">
            <v>1.6666666666666667</v>
          </cell>
          <cell r="AL267">
            <v>0.51986020200591376</v>
          </cell>
          <cell r="AM267">
            <v>1.3541666666666667</v>
          </cell>
          <cell r="AN267">
            <v>0.3838967645582132</v>
          </cell>
          <cell r="AO267">
            <v>0</v>
          </cell>
          <cell r="AP267">
            <v>74</v>
          </cell>
          <cell r="AQ267">
            <v>49</v>
          </cell>
          <cell r="AR267">
            <v>0</v>
          </cell>
          <cell r="AS267">
            <v>72</v>
          </cell>
          <cell r="AT267">
            <v>73</v>
          </cell>
          <cell r="AU267">
            <v>73</v>
          </cell>
          <cell r="AV267">
            <v>0</v>
          </cell>
          <cell r="AW267">
            <v>72</v>
          </cell>
          <cell r="AX267">
            <v>72</v>
          </cell>
          <cell r="AY267">
            <v>43.199999999999996</v>
          </cell>
          <cell r="AZ267">
            <v>0</v>
          </cell>
          <cell r="BA267">
            <v>71.166666666666671</v>
          </cell>
          <cell r="BB267">
            <v>69</v>
          </cell>
          <cell r="BC267">
            <v>59.142857142857139</v>
          </cell>
          <cell r="BD267">
            <v>0</v>
          </cell>
          <cell r="BE267">
            <v>67.833333333333329</v>
          </cell>
          <cell r="BF267">
            <v>58.142857142857132</v>
          </cell>
          <cell r="BG267">
            <v>0</v>
          </cell>
          <cell r="BH267">
            <v>66.666666666666657</v>
          </cell>
          <cell r="BI267">
            <v>30</v>
          </cell>
          <cell r="BJ267">
            <v>18</v>
          </cell>
          <cell r="BK267">
            <v>0</v>
          </cell>
          <cell r="BL267">
            <v>65</v>
          </cell>
          <cell r="BM267">
            <v>67</v>
          </cell>
          <cell r="BN267">
            <v>67</v>
          </cell>
          <cell r="BO267">
            <v>0</v>
          </cell>
          <cell r="BP267">
            <v>66</v>
          </cell>
          <cell r="BQ267">
            <v>58</v>
          </cell>
          <cell r="BR267">
            <v>34.799999999999997</v>
          </cell>
          <cell r="BS267">
            <v>0</v>
          </cell>
          <cell r="BT267">
            <v>57.25</v>
          </cell>
          <cell r="BU267">
            <v>64</v>
          </cell>
          <cell r="BV267">
            <v>64</v>
          </cell>
          <cell r="BW267">
            <v>0</v>
          </cell>
          <cell r="BX267">
            <v>0</v>
          </cell>
          <cell r="BY267">
            <v>63</v>
          </cell>
          <cell r="BZ267">
            <v>63</v>
          </cell>
          <cell r="CA267">
            <v>70</v>
          </cell>
          <cell r="CB267">
            <v>0</v>
          </cell>
          <cell r="CC267">
            <v>0</v>
          </cell>
          <cell r="CD267">
            <v>62.1</v>
          </cell>
          <cell r="CE267">
            <v>58</v>
          </cell>
          <cell r="CF267">
            <v>34.799999999999997</v>
          </cell>
          <cell r="CG267">
            <v>0</v>
          </cell>
          <cell r="CH267">
            <v>0</v>
          </cell>
          <cell r="CI267">
            <v>60.433333333333337</v>
          </cell>
          <cell r="CJ267">
            <v>54</v>
          </cell>
          <cell r="CK267">
            <v>27</v>
          </cell>
          <cell r="CL267">
            <v>0</v>
          </cell>
          <cell r="CM267">
            <v>0</v>
          </cell>
          <cell r="CN267">
            <v>52</v>
          </cell>
          <cell r="CO267">
            <v>41</v>
          </cell>
          <cell r="CP267">
            <v>20.5</v>
          </cell>
          <cell r="CQ267">
            <v>0</v>
          </cell>
          <cell r="CR267">
            <v>0</v>
          </cell>
          <cell r="CS267">
            <v>39</v>
          </cell>
          <cell r="CT267">
            <v>39</v>
          </cell>
          <cell r="CU267">
            <v>18</v>
          </cell>
          <cell r="CV267">
            <v>0</v>
          </cell>
          <cell r="CW267">
            <v>0</v>
          </cell>
          <cell r="CX267">
            <v>36.833333333333336</v>
          </cell>
          <cell r="CY267">
            <v>36</v>
          </cell>
          <cell r="CZ267">
            <v>16.615384615384617</v>
          </cell>
          <cell r="DA267">
            <v>0</v>
          </cell>
          <cell r="DB267">
            <v>0</v>
          </cell>
          <cell r="DC267">
            <v>33.666666666666664</v>
          </cell>
          <cell r="DD267">
            <v>32</v>
          </cell>
          <cell r="DE267">
            <v>5.2</v>
          </cell>
          <cell r="DF267">
            <v>0</v>
          </cell>
          <cell r="DG267">
            <v>0</v>
          </cell>
          <cell r="DH267">
            <v>29.5</v>
          </cell>
          <cell r="DI267">
            <v>32</v>
          </cell>
          <cell r="DJ267">
            <v>9.2222222222222214</v>
          </cell>
          <cell r="DK267">
            <v>0</v>
          </cell>
          <cell r="DL267">
            <v>0</v>
          </cell>
          <cell r="DM267">
            <v>27.7</v>
          </cell>
          <cell r="DN267">
            <v>30</v>
          </cell>
          <cell r="DO267">
            <v>8.6</v>
          </cell>
          <cell r="DP267">
            <v>0</v>
          </cell>
          <cell r="DQ267">
            <v>0</v>
          </cell>
          <cell r="DR267">
            <v>28.333333333333332</v>
          </cell>
          <cell r="DS267">
            <v>28.333333333333332</v>
          </cell>
          <cell r="DT267">
            <v>7.5999999999999988</v>
          </cell>
          <cell r="DU267">
            <v>0</v>
          </cell>
          <cell r="DV267">
            <v>0</v>
          </cell>
          <cell r="DW267">
            <v>26.666666666666664</v>
          </cell>
          <cell r="DX267">
            <v>26.666666666666664</v>
          </cell>
          <cell r="DY267">
            <v>6.5999999999999988</v>
          </cell>
          <cell r="DZ267">
            <v>0</v>
          </cell>
          <cell r="EA267">
            <v>0</v>
          </cell>
          <cell r="EB267">
            <v>24.999999999999996</v>
          </cell>
          <cell r="EC267">
            <v>24.999999999999996</v>
          </cell>
          <cell r="ED267">
            <v>5.5999999999999979</v>
          </cell>
          <cell r="EE267">
            <v>0</v>
          </cell>
          <cell r="EF267">
            <v>0</v>
          </cell>
          <cell r="EG267">
            <v>23.333333333333329</v>
          </cell>
          <cell r="EH267">
            <v>23.333333333333329</v>
          </cell>
          <cell r="EI267">
            <v>4.599999999999997</v>
          </cell>
          <cell r="EJ267">
            <v>0</v>
          </cell>
          <cell r="EK267">
            <v>0</v>
          </cell>
          <cell r="EL267">
            <v>21.666666666666661</v>
          </cell>
          <cell r="EM267">
            <v>21.666666666666661</v>
          </cell>
          <cell r="EN267">
            <v>3.5999999999999961</v>
          </cell>
          <cell r="EO267">
            <v>0</v>
          </cell>
          <cell r="EP267">
            <v>0</v>
          </cell>
          <cell r="EQ267">
            <v>19.999999999999993</v>
          </cell>
          <cell r="ER267">
            <v>19.999999999999993</v>
          </cell>
          <cell r="ES267">
            <v>2.5999999999999956</v>
          </cell>
          <cell r="ET267">
            <v>0</v>
          </cell>
          <cell r="EU267">
            <v>0</v>
          </cell>
          <cell r="EV267">
            <v>18.333333333333325</v>
          </cell>
          <cell r="EW267">
            <v>18.333333333333325</v>
          </cell>
          <cell r="EX267">
            <v>1.599999999999995</v>
          </cell>
          <cell r="EY267">
            <v>0.66666666666667496</v>
          </cell>
          <cell r="EZ267">
            <v>0</v>
          </cell>
          <cell r="FA267">
            <v>16.666666666666657</v>
          </cell>
          <cell r="FB267">
            <v>16.666666666666657</v>
          </cell>
          <cell r="FC267">
            <v>0.59999999999999432</v>
          </cell>
          <cell r="FD267">
            <v>2.3333333333333428</v>
          </cell>
          <cell r="FE267">
            <v>0</v>
          </cell>
          <cell r="FF267">
            <v>14.999999999999991</v>
          </cell>
          <cell r="FG267">
            <v>14.999999999999991</v>
          </cell>
          <cell r="FH267">
            <v>-0.40000000000000524</v>
          </cell>
          <cell r="FI267">
            <v>4.0000000000000089</v>
          </cell>
          <cell r="FJ267">
            <v>0</v>
          </cell>
          <cell r="FK267">
            <v>13.333333333333325</v>
          </cell>
          <cell r="FL267">
            <v>13.333333333333325</v>
          </cell>
          <cell r="FM267">
            <v>-1.4000000000000048</v>
          </cell>
          <cell r="FN267">
            <v>5.666666666666675</v>
          </cell>
          <cell r="FO267">
            <v>0</v>
          </cell>
          <cell r="FP267">
            <v>11.666666666666659</v>
          </cell>
          <cell r="FQ267">
            <v>11.666666666666659</v>
          </cell>
          <cell r="FR267">
            <v>-2.4000000000000048</v>
          </cell>
          <cell r="FS267">
            <v>7.333333333333341</v>
          </cell>
          <cell r="FT267">
            <v>19</v>
          </cell>
          <cell r="FU267">
            <v>1.0333333333333334</v>
          </cell>
          <cell r="FW267" t="str">
            <v>SOBRESTOCK</v>
          </cell>
          <cell r="FX267" t="str">
            <v>B</v>
          </cell>
          <cell r="FY267" t="str">
            <v>Si</v>
          </cell>
        </row>
        <row r="268">
          <cell r="B268" t="str">
            <v>REP-0279</v>
          </cell>
          <cell r="C268" t="str">
            <v>NAC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M268">
            <v>0</v>
          </cell>
          <cell r="AO268">
            <v>0</v>
          </cell>
          <cell r="AP268">
            <v>0</v>
          </cell>
          <cell r="AQ268" t="str">
            <v/>
          </cell>
          <cell r="AR268">
            <v>0</v>
          </cell>
          <cell r="AS268">
            <v>0</v>
          </cell>
          <cell r="AT268">
            <v>0</v>
          </cell>
          <cell r="AU268" t="str">
            <v/>
          </cell>
          <cell r="AV268">
            <v>0</v>
          </cell>
          <cell r="AW268">
            <v>0</v>
          </cell>
          <cell r="AX268">
            <v>0</v>
          </cell>
          <cell r="AY268" t="str">
            <v/>
          </cell>
          <cell r="AZ268">
            <v>0</v>
          </cell>
          <cell r="BA268">
            <v>0</v>
          </cell>
          <cell r="BB268">
            <v>0</v>
          </cell>
          <cell r="BC268" t="str">
            <v/>
          </cell>
          <cell r="BD268">
            <v>0</v>
          </cell>
          <cell r="BE268">
            <v>0</v>
          </cell>
          <cell r="BF268" t="str">
            <v/>
          </cell>
          <cell r="BG268">
            <v>0</v>
          </cell>
          <cell r="BH268">
            <v>0</v>
          </cell>
          <cell r="BI268">
            <v>0</v>
          </cell>
          <cell r="BJ268" t="str">
            <v/>
          </cell>
          <cell r="BK268">
            <v>0</v>
          </cell>
          <cell r="BL268">
            <v>0</v>
          </cell>
          <cell r="BM268">
            <v>0</v>
          </cell>
          <cell r="BN268" t="str">
            <v/>
          </cell>
          <cell r="BO268">
            <v>0</v>
          </cell>
          <cell r="BP268">
            <v>0</v>
          </cell>
          <cell r="BQ268">
            <v>0</v>
          </cell>
          <cell r="BR268" t="str">
            <v/>
          </cell>
          <cell r="BS268">
            <v>0</v>
          </cell>
          <cell r="BT268">
            <v>0</v>
          </cell>
          <cell r="BU268">
            <v>0</v>
          </cell>
          <cell r="BV268" t="str">
            <v/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 t="str">
            <v/>
          </cell>
          <cell r="CB268">
            <v>0</v>
          </cell>
          <cell r="CD268">
            <v>0</v>
          </cell>
          <cell r="CE268">
            <v>0</v>
          </cell>
          <cell r="CF268" t="str">
            <v/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 t="str">
            <v/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 t="str">
            <v/>
          </cell>
          <cell r="CQ268">
            <v>0</v>
          </cell>
          <cell r="CS268">
            <v>0</v>
          </cell>
          <cell r="CT268">
            <v>0</v>
          </cell>
          <cell r="CU268" t="str">
            <v/>
          </cell>
          <cell r="CV268">
            <v>0</v>
          </cell>
          <cell r="CX268">
            <v>0</v>
          </cell>
          <cell r="CY268">
            <v>0</v>
          </cell>
          <cell r="CZ268" t="str">
            <v/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 t="str">
            <v/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 t="str">
            <v/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 t="str">
            <v/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 t="str">
            <v/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 t="str">
            <v/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 t="str">
            <v/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 t="str">
            <v/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 t="str">
            <v/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 t="str">
            <v/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 t="str">
            <v/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 t="str">
            <v/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 t="str">
            <v/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 t="str">
            <v/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 t="str">
            <v/>
          </cell>
          <cell r="FS268">
            <v>0</v>
          </cell>
          <cell r="FT268">
            <v>0</v>
          </cell>
          <cell r="FU268">
            <v>66.666666666666671</v>
          </cell>
          <cell r="FW268" t="str">
            <v>SIN ROTACIÓN</v>
          </cell>
          <cell r="FX268" t="str">
            <v/>
          </cell>
          <cell r="FY268" t="str">
            <v>No</v>
          </cell>
        </row>
        <row r="269">
          <cell r="B269" t="str">
            <v>REP-0280</v>
          </cell>
          <cell r="C269" t="str">
            <v>NAC</v>
          </cell>
          <cell r="D269">
            <v>0</v>
          </cell>
          <cell r="E269">
            <v>33</v>
          </cell>
          <cell r="F269">
            <v>0</v>
          </cell>
          <cell r="G269">
            <v>0</v>
          </cell>
          <cell r="H269">
            <v>4</v>
          </cell>
          <cell r="I269">
            <v>4</v>
          </cell>
          <cell r="J269">
            <v>0</v>
          </cell>
          <cell r="K269">
            <v>0</v>
          </cell>
          <cell r="L269">
            <v>1</v>
          </cell>
          <cell r="M269">
            <v>4</v>
          </cell>
          <cell r="N269">
            <v>0</v>
          </cell>
          <cell r="O269">
            <v>1</v>
          </cell>
          <cell r="P269">
            <v>1</v>
          </cell>
          <cell r="Q269">
            <v>1</v>
          </cell>
          <cell r="R269">
            <v>0</v>
          </cell>
          <cell r="S269">
            <v>0</v>
          </cell>
          <cell r="T269">
            <v>1</v>
          </cell>
          <cell r="U269">
            <v>1</v>
          </cell>
          <cell r="V269">
            <v>0</v>
          </cell>
          <cell r="W269">
            <v>2</v>
          </cell>
          <cell r="X269">
            <v>1</v>
          </cell>
          <cell r="Y269">
            <v>54</v>
          </cell>
          <cell r="AA269">
            <v>54</v>
          </cell>
          <cell r="AB269">
            <v>100</v>
          </cell>
          <cell r="AC269">
            <v>7.333333333333333</v>
          </cell>
          <cell r="AD269">
            <v>0.24444444444444444</v>
          </cell>
          <cell r="AE269">
            <v>6.916666666666667</v>
          </cell>
          <cell r="AF269">
            <v>8.0833333333333339</v>
          </cell>
          <cell r="AG269">
            <v>6.166666666666667</v>
          </cell>
          <cell r="AH269">
            <v>10.083333333333334</v>
          </cell>
          <cell r="AI269">
            <v>10.666666666666666</v>
          </cell>
          <cell r="AJ269">
            <v>10.666666666666666</v>
          </cell>
          <cell r="AK269">
            <v>10.666666666666666</v>
          </cell>
          <cell r="AL269">
            <v>1.96903106459328</v>
          </cell>
          <cell r="AM269">
            <v>9.3958333333333321</v>
          </cell>
          <cell r="AN269">
            <v>0.20956428181924047</v>
          </cell>
          <cell r="AO269">
            <v>0</v>
          </cell>
          <cell r="AP269">
            <v>25.555555555555557</v>
          </cell>
          <cell r="AQ269">
            <v>3.4536082474226797</v>
          </cell>
          <cell r="AR269">
            <v>0</v>
          </cell>
          <cell r="AS269">
            <v>13</v>
          </cell>
          <cell r="AT269">
            <v>43</v>
          </cell>
          <cell r="AU269">
            <v>3.7391304347826089</v>
          </cell>
          <cell r="AV269">
            <v>0</v>
          </cell>
          <cell r="AW269">
            <v>31.5</v>
          </cell>
          <cell r="AX269">
            <v>33</v>
          </cell>
          <cell r="AY269">
            <v>3.09375</v>
          </cell>
          <cell r="AZ269">
            <v>0</v>
          </cell>
          <cell r="BA269">
            <v>22.666666666666664</v>
          </cell>
          <cell r="BB269">
            <v>27</v>
          </cell>
          <cell r="BC269">
            <v>2.1315789473684212</v>
          </cell>
          <cell r="BD269">
            <v>0</v>
          </cell>
          <cell r="BE269">
            <v>14.333333333333334</v>
          </cell>
          <cell r="BF269">
            <v>1.1315789473684212</v>
          </cell>
          <cell r="BG269">
            <v>0</v>
          </cell>
          <cell r="BH269">
            <v>1.6666666666666679</v>
          </cell>
          <cell r="BI269">
            <v>54</v>
          </cell>
          <cell r="BJ269">
            <v>5.0625</v>
          </cell>
          <cell r="BK269">
            <v>0</v>
          </cell>
          <cell r="BL269">
            <v>22.666666666666664</v>
          </cell>
          <cell r="BM269">
            <v>24</v>
          </cell>
          <cell r="BN269">
            <v>2.3013698630136985</v>
          </cell>
          <cell r="BO269">
            <v>0</v>
          </cell>
          <cell r="BP269">
            <v>13.571428571428571</v>
          </cell>
          <cell r="BQ269">
            <v>42</v>
          </cell>
          <cell r="BR269">
            <v>3.9375</v>
          </cell>
          <cell r="BS269">
            <v>0</v>
          </cell>
          <cell r="BT269">
            <v>31.75</v>
          </cell>
          <cell r="BU269">
            <v>30</v>
          </cell>
          <cell r="BV269">
            <v>2.8723404255319149</v>
          </cell>
          <cell r="BW269">
            <v>12</v>
          </cell>
          <cell r="BX269">
            <v>0</v>
          </cell>
          <cell r="BY269">
            <v>19.555555555555557</v>
          </cell>
          <cell r="BZ269">
            <v>52</v>
          </cell>
          <cell r="CA269">
            <v>5.1147540983606561</v>
          </cell>
          <cell r="CB269">
            <v>0</v>
          </cell>
          <cell r="CC269">
            <v>0</v>
          </cell>
          <cell r="CD269">
            <v>41.833333333333336</v>
          </cell>
          <cell r="CE269">
            <v>40</v>
          </cell>
          <cell r="CF269">
            <v>3.5820895522388061</v>
          </cell>
          <cell r="CG269">
            <v>4</v>
          </cell>
          <cell r="CH269">
            <v>0</v>
          </cell>
          <cell r="CI269">
            <v>34.666666666666671</v>
          </cell>
          <cell r="CJ269">
            <v>62</v>
          </cell>
          <cell r="CK269">
            <v>6.1487603305785123</v>
          </cell>
          <cell r="CL269">
            <v>0</v>
          </cell>
          <cell r="CM269">
            <v>0</v>
          </cell>
          <cell r="CN269">
            <v>51.916666666666664</v>
          </cell>
          <cell r="CO269">
            <v>47</v>
          </cell>
          <cell r="CP269">
            <v>4.661157024793388</v>
          </cell>
          <cell r="CQ269">
            <v>0</v>
          </cell>
          <cell r="CR269">
            <v>0</v>
          </cell>
          <cell r="CS269">
            <v>36.916666666666664</v>
          </cell>
          <cell r="CT269">
            <v>28</v>
          </cell>
          <cell r="CU269">
            <v>2.2400000000000002</v>
          </cell>
          <cell r="CV269">
            <v>0</v>
          </cell>
          <cell r="CW269">
            <v>30</v>
          </cell>
          <cell r="CX269">
            <v>45.5</v>
          </cell>
          <cell r="CY269">
            <v>48</v>
          </cell>
          <cell r="CZ269">
            <v>3.8918918918918917</v>
          </cell>
          <cell r="DA269">
            <v>0</v>
          </cell>
          <cell r="DB269">
            <v>0</v>
          </cell>
          <cell r="DC269">
            <v>37</v>
          </cell>
          <cell r="DD269">
            <v>40</v>
          </cell>
          <cell r="DE269">
            <v>1.9534883720930232</v>
          </cell>
          <cell r="DF269">
            <v>0</v>
          </cell>
          <cell r="DG269">
            <v>0</v>
          </cell>
          <cell r="DH269">
            <v>29.25</v>
          </cell>
          <cell r="DI269">
            <v>30</v>
          </cell>
          <cell r="DJ269">
            <v>3.0377358490566038</v>
          </cell>
          <cell r="DK269">
            <v>0</v>
          </cell>
          <cell r="DL269">
            <v>0</v>
          </cell>
          <cell r="DM269">
            <v>18.649999999999999</v>
          </cell>
          <cell r="DN269">
            <v>54</v>
          </cell>
          <cell r="DO269">
            <v>5.28125</v>
          </cell>
          <cell r="DP269">
            <v>0</v>
          </cell>
          <cell r="DQ269">
            <v>0</v>
          </cell>
          <cell r="DR269">
            <v>43.333333333333336</v>
          </cell>
          <cell r="DS269">
            <v>43.333333333333336</v>
          </cell>
          <cell r="DT269">
            <v>4.28125</v>
          </cell>
          <cell r="DU269">
            <v>0</v>
          </cell>
          <cell r="DV269">
            <v>0</v>
          </cell>
          <cell r="DW269">
            <v>32.666666666666671</v>
          </cell>
          <cell r="DX269">
            <v>32.666666666666671</v>
          </cell>
          <cell r="DY269">
            <v>3.2812500000000004</v>
          </cell>
          <cell r="DZ269">
            <v>0</v>
          </cell>
          <cell r="EA269">
            <v>0</v>
          </cell>
          <cell r="EB269">
            <v>22.000000000000007</v>
          </cell>
          <cell r="EC269">
            <v>22.000000000000007</v>
          </cell>
          <cell r="ED269">
            <v>2.2812500000000009</v>
          </cell>
          <cell r="EE269">
            <v>0</v>
          </cell>
          <cell r="EF269">
            <v>0</v>
          </cell>
          <cell r="EG269">
            <v>11.333333333333341</v>
          </cell>
          <cell r="EH269">
            <v>11.333333333333341</v>
          </cell>
          <cell r="EI269">
            <v>1.2812500000000007</v>
          </cell>
          <cell r="EJ269">
            <v>7.666666666666659</v>
          </cell>
          <cell r="EK269">
            <v>0</v>
          </cell>
          <cell r="EL269">
            <v>0.66666666666667496</v>
          </cell>
          <cell r="EM269">
            <v>0.66666666666667496</v>
          </cell>
          <cell r="EN269">
            <v>0.28125000000000067</v>
          </cell>
          <cell r="EO269">
            <v>18.333333333333325</v>
          </cell>
          <cell r="EP269">
            <v>0</v>
          </cell>
          <cell r="EQ269">
            <v>-9.9999999999999911</v>
          </cell>
          <cell r="ER269">
            <v>-9.9999999999999911</v>
          </cell>
          <cell r="ES269">
            <v>-0.71874999999999956</v>
          </cell>
          <cell r="ET269">
            <v>28.999999999999993</v>
          </cell>
          <cell r="EU269">
            <v>0</v>
          </cell>
          <cell r="EV269">
            <v>-20.666666666666657</v>
          </cell>
          <cell r="EW269">
            <v>-20.666666666666657</v>
          </cell>
          <cell r="EX269">
            <v>-1.7187499999999991</v>
          </cell>
          <cell r="EY269">
            <v>39.666666666666657</v>
          </cell>
          <cell r="EZ269">
            <v>0</v>
          </cell>
          <cell r="FA269">
            <v>-31.333333333333321</v>
          </cell>
          <cell r="FB269">
            <v>-31.333333333333321</v>
          </cell>
          <cell r="FC269">
            <v>-2.7187499999999991</v>
          </cell>
          <cell r="FD269">
            <v>50.333333333333321</v>
          </cell>
          <cell r="FE269">
            <v>0</v>
          </cell>
          <cell r="FF269">
            <v>-41.999999999999986</v>
          </cell>
          <cell r="FG269">
            <v>-41.999999999999986</v>
          </cell>
          <cell r="FH269">
            <v>-3.7187499999999991</v>
          </cell>
          <cell r="FI269">
            <v>60.999999999999986</v>
          </cell>
          <cell r="FJ269">
            <v>0</v>
          </cell>
          <cell r="FK269">
            <v>-52.66666666666665</v>
          </cell>
          <cell r="FL269">
            <v>-52.66666666666665</v>
          </cell>
          <cell r="FM269">
            <v>-4.7187499999999991</v>
          </cell>
          <cell r="FN269">
            <v>71.666666666666657</v>
          </cell>
          <cell r="FO269">
            <v>0</v>
          </cell>
          <cell r="FP269">
            <v>-63.333333333333314</v>
          </cell>
          <cell r="FQ269">
            <v>-63.333333333333314</v>
          </cell>
          <cell r="FR269">
            <v>-5.7187499999999982</v>
          </cell>
          <cell r="FS269">
            <v>82.333333333333314</v>
          </cell>
          <cell r="FT269">
            <v>19</v>
          </cell>
          <cell r="FU269">
            <v>1.0333333333333334</v>
          </cell>
          <cell r="FW269" t="str">
            <v>SOBRESTOCK</v>
          </cell>
          <cell r="FX269" t="str">
            <v>A</v>
          </cell>
          <cell r="FY269" t="str">
            <v>Si</v>
          </cell>
        </row>
        <row r="270">
          <cell r="B270" t="str">
            <v>REP-0281</v>
          </cell>
          <cell r="C270" t="str">
            <v>NAC</v>
          </cell>
          <cell r="D270">
            <v>0</v>
          </cell>
          <cell r="E270">
            <v>15</v>
          </cell>
          <cell r="F270">
            <v>0</v>
          </cell>
          <cell r="G270">
            <v>0</v>
          </cell>
          <cell r="H270">
            <v>7</v>
          </cell>
          <cell r="I270">
            <v>7</v>
          </cell>
          <cell r="J270">
            <v>0</v>
          </cell>
          <cell r="K270">
            <v>9</v>
          </cell>
          <cell r="L270">
            <v>3</v>
          </cell>
          <cell r="M270">
            <v>2</v>
          </cell>
          <cell r="N270">
            <v>1</v>
          </cell>
          <cell r="O270">
            <v>1</v>
          </cell>
          <cell r="P270">
            <v>1</v>
          </cell>
          <cell r="Q270">
            <v>1</v>
          </cell>
          <cell r="R270">
            <v>1</v>
          </cell>
          <cell r="S270">
            <v>1</v>
          </cell>
          <cell r="T270">
            <v>1</v>
          </cell>
          <cell r="U270">
            <v>1</v>
          </cell>
          <cell r="V270">
            <v>1</v>
          </cell>
          <cell r="W270">
            <v>1</v>
          </cell>
          <cell r="X270">
            <v>1</v>
          </cell>
          <cell r="Y270">
            <v>54</v>
          </cell>
          <cell r="AA270">
            <v>54</v>
          </cell>
          <cell r="AB270">
            <v>66</v>
          </cell>
          <cell r="AC270">
            <v>1</v>
          </cell>
          <cell r="AD270">
            <v>3.3333333333333333E-2</v>
          </cell>
          <cell r="AE270">
            <v>0.91666666666666663</v>
          </cell>
          <cell r="AF270">
            <v>1.3333333333333333</v>
          </cell>
          <cell r="AG270">
            <v>0.41666666666666669</v>
          </cell>
          <cell r="AH270">
            <v>1.1666666666666667</v>
          </cell>
          <cell r="AI270">
            <v>0.83333333333333337</v>
          </cell>
          <cell r="AJ270">
            <v>0.83333333333333337</v>
          </cell>
          <cell r="AK270">
            <v>1.1666666666666667</v>
          </cell>
          <cell r="AL270">
            <v>0.30712978315966616</v>
          </cell>
          <cell r="AM270">
            <v>0.81250000000000011</v>
          </cell>
          <cell r="AN270">
            <v>0.37800588696574289</v>
          </cell>
          <cell r="AO270">
            <v>0</v>
          </cell>
          <cell r="AP270">
            <v>63.222222222222221</v>
          </cell>
          <cell r="AQ270">
            <v>47</v>
          </cell>
          <cell r="AR270">
            <v>0</v>
          </cell>
          <cell r="AS270">
            <v>61.333333333333329</v>
          </cell>
          <cell r="AT270">
            <v>62</v>
          </cell>
          <cell r="AU270">
            <v>62</v>
          </cell>
          <cell r="AV270">
            <v>0</v>
          </cell>
          <cell r="AW270">
            <v>61</v>
          </cell>
          <cell r="AX270">
            <v>61</v>
          </cell>
          <cell r="AY270">
            <v>52.285714285714285</v>
          </cell>
          <cell r="AZ270">
            <v>0</v>
          </cell>
          <cell r="BA270">
            <v>60</v>
          </cell>
          <cell r="BB270">
            <v>58</v>
          </cell>
          <cell r="BC270">
            <v>58</v>
          </cell>
          <cell r="BD270">
            <v>0</v>
          </cell>
          <cell r="BE270">
            <v>57</v>
          </cell>
          <cell r="BF270">
            <v>57</v>
          </cell>
          <cell r="BG270">
            <v>0</v>
          </cell>
          <cell r="BH270">
            <v>56</v>
          </cell>
          <cell r="BI270">
            <v>54</v>
          </cell>
          <cell r="BJ270">
            <v>46.285714285714285</v>
          </cell>
          <cell r="BK270">
            <v>0</v>
          </cell>
          <cell r="BL270">
            <v>55.166666666666664</v>
          </cell>
          <cell r="BM270">
            <v>57</v>
          </cell>
          <cell r="BN270">
            <v>68.399999999999991</v>
          </cell>
          <cell r="BO270">
            <v>0</v>
          </cell>
          <cell r="BP270">
            <v>56.166666666666664</v>
          </cell>
          <cell r="BQ270">
            <v>54</v>
          </cell>
          <cell r="BR270">
            <v>46.285714285714285</v>
          </cell>
          <cell r="BS270">
            <v>0</v>
          </cell>
          <cell r="BT270">
            <v>53.375</v>
          </cell>
          <cell r="BU270">
            <v>54</v>
          </cell>
          <cell r="BV270">
            <v>69.428571428571431</v>
          </cell>
          <cell r="BW270">
            <v>0</v>
          </cell>
          <cell r="BX270">
            <v>0</v>
          </cell>
          <cell r="BY270">
            <v>53.222222222222221</v>
          </cell>
          <cell r="BZ270">
            <v>54</v>
          </cell>
          <cell r="CA270">
            <v>77.142857142857153</v>
          </cell>
          <cell r="CB270">
            <v>0</v>
          </cell>
          <cell r="CC270">
            <v>0</v>
          </cell>
          <cell r="CD270">
            <v>53.3</v>
          </cell>
          <cell r="CE270">
            <v>50</v>
          </cell>
          <cell r="CF270">
            <v>42.857142857142854</v>
          </cell>
          <cell r="CG270">
            <v>0</v>
          </cell>
          <cell r="CH270">
            <v>0</v>
          </cell>
          <cell r="CI270">
            <v>52.133333333333333</v>
          </cell>
          <cell r="CJ270">
            <v>47</v>
          </cell>
          <cell r="CK270">
            <v>31.333333333333332</v>
          </cell>
          <cell r="CL270">
            <v>0</v>
          </cell>
          <cell r="CM270">
            <v>0</v>
          </cell>
          <cell r="CN270">
            <v>45.5</v>
          </cell>
          <cell r="CO270">
            <v>36</v>
          </cell>
          <cell r="CP270">
            <v>24</v>
          </cell>
          <cell r="CQ270">
            <v>0</v>
          </cell>
          <cell r="CR270">
            <v>0</v>
          </cell>
          <cell r="CS270">
            <v>34.5</v>
          </cell>
          <cell r="CT270">
            <v>35</v>
          </cell>
          <cell r="CU270">
            <v>23.333333333333332</v>
          </cell>
          <cell r="CV270">
            <v>0</v>
          </cell>
          <cell r="CW270">
            <v>20</v>
          </cell>
          <cell r="CX270">
            <v>53.5</v>
          </cell>
          <cell r="CY270">
            <v>57</v>
          </cell>
          <cell r="CZ270">
            <v>48.857142857142854</v>
          </cell>
          <cell r="DA270">
            <v>0</v>
          </cell>
          <cell r="DB270">
            <v>0</v>
          </cell>
          <cell r="DC270">
            <v>55.666666666666664</v>
          </cell>
          <cell r="DD270">
            <v>54</v>
          </cell>
          <cell r="DE270">
            <v>23.333333333333332</v>
          </cell>
          <cell r="DF270">
            <v>0</v>
          </cell>
          <cell r="DG270">
            <v>0</v>
          </cell>
          <cell r="DH270">
            <v>52.5</v>
          </cell>
          <cell r="DI270">
            <v>53</v>
          </cell>
          <cell r="DJ270">
            <v>31.142857142857142</v>
          </cell>
          <cell r="DK270">
            <v>0</v>
          </cell>
          <cell r="DL270">
            <v>0</v>
          </cell>
          <cell r="DM270">
            <v>51.333333333333336</v>
          </cell>
          <cell r="DN270">
            <v>54</v>
          </cell>
          <cell r="DO270">
            <v>31.999999999999996</v>
          </cell>
          <cell r="DP270">
            <v>0</v>
          </cell>
          <cell r="DQ270">
            <v>0</v>
          </cell>
          <cell r="DR270">
            <v>52.833333333333336</v>
          </cell>
          <cell r="DS270">
            <v>52.833333333333336</v>
          </cell>
          <cell r="DT270">
            <v>31</v>
          </cell>
          <cell r="DU270">
            <v>0</v>
          </cell>
          <cell r="DV270">
            <v>0</v>
          </cell>
          <cell r="DW270">
            <v>51.666666666666671</v>
          </cell>
          <cell r="DX270">
            <v>51.666666666666671</v>
          </cell>
          <cell r="DY270">
            <v>30.000000000000004</v>
          </cell>
          <cell r="DZ270">
            <v>0</v>
          </cell>
          <cell r="EA270">
            <v>0</v>
          </cell>
          <cell r="EB270">
            <v>50.500000000000007</v>
          </cell>
          <cell r="EC270">
            <v>50.500000000000007</v>
          </cell>
          <cell r="ED270">
            <v>29.000000000000004</v>
          </cell>
          <cell r="EE270">
            <v>0</v>
          </cell>
          <cell r="EF270">
            <v>0</v>
          </cell>
          <cell r="EG270">
            <v>49.333333333333343</v>
          </cell>
          <cell r="EH270">
            <v>49.333333333333343</v>
          </cell>
          <cell r="EI270">
            <v>28.000000000000007</v>
          </cell>
          <cell r="EJ270">
            <v>0</v>
          </cell>
          <cell r="EK270">
            <v>0</v>
          </cell>
          <cell r="EL270">
            <v>48.166666666666679</v>
          </cell>
          <cell r="EM270">
            <v>48.166666666666679</v>
          </cell>
          <cell r="EN270">
            <v>27.000000000000007</v>
          </cell>
          <cell r="EO270">
            <v>0</v>
          </cell>
          <cell r="EP270">
            <v>0</v>
          </cell>
          <cell r="EQ270">
            <v>47.000000000000014</v>
          </cell>
          <cell r="ER270">
            <v>47.000000000000014</v>
          </cell>
          <cell r="ES270">
            <v>26.000000000000011</v>
          </cell>
          <cell r="ET270">
            <v>0</v>
          </cell>
          <cell r="EU270">
            <v>0</v>
          </cell>
          <cell r="EV270">
            <v>45.83333333333335</v>
          </cell>
          <cell r="EW270">
            <v>45.83333333333335</v>
          </cell>
          <cell r="EX270">
            <v>25.000000000000014</v>
          </cell>
          <cell r="EY270">
            <v>0</v>
          </cell>
          <cell r="EZ270">
            <v>0</v>
          </cell>
          <cell r="FA270">
            <v>44.666666666666686</v>
          </cell>
          <cell r="FB270">
            <v>44.666666666666686</v>
          </cell>
          <cell r="FC270">
            <v>24.000000000000014</v>
          </cell>
          <cell r="FD270">
            <v>0</v>
          </cell>
          <cell r="FE270">
            <v>0</v>
          </cell>
          <cell r="FF270">
            <v>43.500000000000021</v>
          </cell>
          <cell r="FG270">
            <v>43.500000000000021</v>
          </cell>
          <cell r="FH270">
            <v>23.000000000000018</v>
          </cell>
          <cell r="FI270">
            <v>0</v>
          </cell>
          <cell r="FJ270">
            <v>0</v>
          </cell>
          <cell r="FK270">
            <v>42.333333333333357</v>
          </cell>
          <cell r="FL270">
            <v>42.333333333333357</v>
          </cell>
          <cell r="FM270">
            <v>22.000000000000018</v>
          </cell>
          <cell r="FN270">
            <v>0</v>
          </cell>
          <cell r="FO270">
            <v>0</v>
          </cell>
          <cell r="FP270">
            <v>41.166666666666693</v>
          </cell>
          <cell r="FQ270">
            <v>41.166666666666693</v>
          </cell>
          <cell r="FR270">
            <v>21.000000000000021</v>
          </cell>
          <cell r="FS270">
            <v>0</v>
          </cell>
          <cell r="FT270">
            <v>19</v>
          </cell>
          <cell r="FU270">
            <v>1</v>
          </cell>
          <cell r="FW270" t="str">
            <v>SOBRESTOCK</v>
          </cell>
          <cell r="FX270" t="str">
            <v>B</v>
          </cell>
          <cell r="FY270" t="str">
            <v>Si</v>
          </cell>
        </row>
        <row r="271">
          <cell r="B271" t="str">
            <v>REP-0282</v>
          </cell>
          <cell r="C271" t="str">
            <v>NAC</v>
          </cell>
          <cell r="D271">
            <v>0</v>
          </cell>
          <cell r="E271">
            <v>123</v>
          </cell>
          <cell r="F271">
            <v>0</v>
          </cell>
          <cell r="G271">
            <v>0</v>
          </cell>
          <cell r="H271">
            <v>2</v>
          </cell>
          <cell r="I271">
            <v>2</v>
          </cell>
          <cell r="J271">
            <v>0</v>
          </cell>
          <cell r="K271">
            <v>6</v>
          </cell>
          <cell r="L271">
            <v>2</v>
          </cell>
          <cell r="M271">
            <v>4</v>
          </cell>
          <cell r="N271">
            <v>4</v>
          </cell>
          <cell r="O271">
            <v>1</v>
          </cell>
          <cell r="P271">
            <v>1</v>
          </cell>
          <cell r="Q271">
            <v>0</v>
          </cell>
          <cell r="R271">
            <v>3</v>
          </cell>
          <cell r="S271">
            <v>2</v>
          </cell>
          <cell r="T271">
            <v>1</v>
          </cell>
          <cell r="U271">
            <v>1</v>
          </cell>
          <cell r="V271">
            <v>1</v>
          </cell>
          <cell r="W271">
            <v>1</v>
          </cell>
          <cell r="X271">
            <v>1</v>
          </cell>
          <cell r="Y271">
            <v>155</v>
          </cell>
          <cell r="AA271">
            <v>155</v>
          </cell>
          <cell r="AB271">
            <v>68</v>
          </cell>
          <cell r="AC271">
            <v>2</v>
          </cell>
          <cell r="AD271">
            <v>6.6666666666666666E-2</v>
          </cell>
          <cell r="AE271">
            <v>1.5</v>
          </cell>
          <cell r="AF271">
            <v>1.0833333333333333</v>
          </cell>
          <cell r="AG271">
            <v>0.58333333333333337</v>
          </cell>
          <cell r="AH271">
            <v>1.9166666666666667</v>
          </cell>
          <cell r="AI271">
            <v>1</v>
          </cell>
          <cell r="AJ271">
            <v>1</v>
          </cell>
          <cell r="AK271">
            <v>1.9166666666666667</v>
          </cell>
          <cell r="AL271">
            <v>0.56314263701981382</v>
          </cell>
          <cell r="AM271">
            <v>1.125</v>
          </cell>
          <cell r="AN271">
            <v>0.50057123290650118</v>
          </cell>
          <cell r="AO271">
            <v>0</v>
          </cell>
          <cell r="AP271">
            <v>153.66666666666666</v>
          </cell>
          <cell r="AQ271">
            <v>142.07692307692307</v>
          </cell>
          <cell r="AR271">
            <v>0</v>
          </cell>
          <cell r="AS271">
            <v>151</v>
          </cell>
          <cell r="AT271">
            <v>151</v>
          </cell>
          <cell r="AU271">
            <v>75.5</v>
          </cell>
          <cell r="AV271">
            <v>0</v>
          </cell>
          <cell r="AW271">
            <v>149</v>
          </cell>
          <cell r="AX271">
            <v>149</v>
          </cell>
          <cell r="AY271">
            <v>77.739130434782609</v>
          </cell>
          <cell r="AZ271">
            <v>0</v>
          </cell>
          <cell r="BA271">
            <v>147.33333333333334</v>
          </cell>
          <cell r="BB271">
            <v>148</v>
          </cell>
          <cell r="BC271">
            <v>74</v>
          </cell>
          <cell r="BD271">
            <v>0</v>
          </cell>
          <cell r="BE271">
            <v>146</v>
          </cell>
          <cell r="BF271">
            <v>73</v>
          </cell>
          <cell r="BG271">
            <v>0</v>
          </cell>
          <cell r="BH271">
            <v>144</v>
          </cell>
          <cell r="BI271">
            <v>155</v>
          </cell>
          <cell r="BJ271">
            <v>80.869565217391298</v>
          </cell>
          <cell r="BK271">
            <v>0</v>
          </cell>
          <cell r="BL271">
            <v>143.5</v>
          </cell>
          <cell r="BM271">
            <v>146</v>
          </cell>
          <cell r="BN271">
            <v>113.55555555555554</v>
          </cell>
          <cell r="BO271">
            <v>0</v>
          </cell>
          <cell r="BP271">
            <v>144.71428571428572</v>
          </cell>
          <cell r="BQ271">
            <v>143</v>
          </cell>
          <cell r="BR271">
            <v>74.608695652173907</v>
          </cell>
          <cell r="BS271">
            <v>0</v>
          </cell>
          <cell r="BT271">
            <v>141.625</v>
          </cell>
          <cell r="BU271">
            <v>142</v>
          </cell>
          <cell r="BV271">
            <v>106.5</v>
          </cell>
          <cell r="BW271">
            <v>0</v>
          </cell>
          <cell r="BX271">
            <v>0</v>
          </cell>
          <cell r="BY271">
            <v>140.66666666666666</v>
          </cell>
          <cell r="BZ271">
            <v>142</v>
          </cell>
          <cell r="CA271">
            <v>118.33333333333334</v>
          </cell>
          <cell r="CB271">
            <v>0</v>
          </cell>
          <cell r="CC271">
            <v>0</v>
          </cell>
          <cell r="CD271">
            <v>140.80000000000001</v>
          </cell>
          <cell r="CE271">
            <v>131</v>
          </cell>
          <cell r="CF271">
            <v>49.125</v>
          </cell>
          <cell r="CG271">
            <v>0</v>
          </cell>
          <cell r="CH271">
            <v>0</v>
          </cell>
          <cell r="CI271">
            <v>138.13333333333335</v>
          </cell>
          <cell r="CJ271">
            <v>159</v>
          </cell>
          <cell r="CK271">
            <v>68.142857142857139</v>
          </cell>
          <cell r="CL271">
            <v>0</v>
          </cell>
          <cell r="CM271">
            <v>0</v>
          </cell>
          <cell r="CN271">
            <v>156.66666666666666</v>
          </cell>
          <cell r="CO271">
            <v>145</v>
          </cell>
          <cell r="CP271">
            <v>62.142857142857139</v>
          </cell>
          <cell r="CQ271">
            <v>0</v>
          </cell>
          <cell r="CR271">
            <v>0</v>
          </cell>
          <cell r="CS271">
            <v>142.66666666666666</v>
          </cell>
          <cell r="CT271">
            <v>142</v>
          </cell>
          <cell r="CU271">
            <v>65.538461538461547</v>
          </cell>
          <cell r="CV271">
            <v>0</v>
          </cell>
          <cell r="CW271">
            <v>0</v>
          </cell>
          <cell r="CX271">
            <v>139.83333333333334</v>
          </cell>
          <cell r="CY271">
            <v>139</v>
          </cell>
          <cell r="CZ271">
            <v>72.521739130434781</v>
          </cell>
          <cell r="DA271">
            <v>0</v>
          </cell>
          <cell r="DB271">
            <v>0</v>
          </cell>
          <cell r="DC271">
            <v>137.08333333333334</v>
          </cell>
          <cell r="DD271">
            <v>164</v>
          </cell>
          <cell r="DE271">
            <v>75.65217391304347</v>
          </cell>
          <cell r="DF271">
            <v>0</v>
          </cell>
          <cell r="DG271">
            <v>0</v>
          </cell>
          <cell r="DH271">
            <v>162.08333333333334</v>
          </cell>
          <cell r="DI271">
            <v>163</v>
          </cell>
          <cell r="DJ271">
            <v>77.130434782608688</v>
          </cell>
          <cell r="DK271">
            <v>0</v>
          </cell>
          <cell r="DL271">
            <v>0</v>
          </cell>
          <cell r="DM271">
            <v>160.16666666666669</v>
          </cell>
          <cell r="DN271">
            <v>155</v>
          </cell>
          <cell r="DO271">
            <v>72.956521739130437</v>
          </cell>
          <cell r="DP271">
            <v>0</v>
          </cell>
          <cell r="DQ271">
            <v>0</v>
          </cell>
          <cell r="DR271">
            <v>153.08333333333334</v>
          </cell>
          <cell r="DS271">
            <v>153.08333333333334</v>
          </cell>
          <cell r="DT271">
            <v>71.956521739130437</v>
          </cell>
          <cell r="DU271">
            <v>0</v>
          </cell>
          <cell r="DV271">
            <v>0</v>
          </cell>
          <cell r="DW271">
            <v>151.16666666666669</v>
          </cell>
          <cell r="DX271">
            <v>151.16666666666669</v>
          </cell>
          <cell r="DY271">
            <v>70.956521739130437</v>
          </cell>
          <cell r="DZ271">
            <v>0</v>
          </cell>
          <cell r="EA271">
            <v>0</v>
          </cell>
          <cell r="EB271">
            <v>149.25000000000003</v>
          </cell>
          <cell r="EC271">
            <v>149.25000000000003</v>
          </cell>
          <cell r="ED271">
            <v>69.956521739130451</v>
          </cell>
          <cell r="EE271">
            <v>0</v>
          </cell>
          <cell r="EF271">
            <v>0</v>
          </cell>
          <cell r="EG271">
            <v>147.33333333333337</v>
          </cell>
          <cell r="EH271">
            <v>147.33333333333337</v>
          </cell>
          <cell r="EI271">
            <v>68.956521739130451</v>
          </cell>
          <cell r="EJ271">
            <v>0</v>
          </cell>
          <cell r="EK271">
            <v>0</v>
          </cell>
          <cell r="EL271">
            <v>145.41666666666671</v>
          </cell>
          <cell r="EM271">
            <v>145.41666666666671</v>
          </cell>
          <cell r="EN271">
            <v>67.956521739130451</v>
          </cell>
          <cell r="EO271">
            <v>0</v>
          </cell>
          <cell r="EP271">
            <v>0</v>
          </cell>
          <cell r="EQ271">
            <v>143.50000000000006</v>
          </cell>
          <cell r="ER271">
            <v>143.50000000000006</v>
          </cell>
          <cell r="ES271">
            <v>66.956521739130466</v>
          </cell>
          <cell r="ET271">
            <v>0</v>
          </cell>
          <cell r="EU271">
            <v>0</v>
          </cell>
          <cell r="EV271">
            <v>141.5833333333334</v>
          </cell>
          <cell r="EW271">
            <v>141.5833333333334</v>
          </cell>
          <cell r="EX271">
            <v>65.956521739130466</v>
          </cell>
          <cell r="EY271">
            <v>0</v>
          </cell>
          <cell r="EZ271">
            <v>0</v>
          </cell>
          <cell r="FA271">
            <v>139.66666666666674</v>
          </cell>
          <cell r="FB271">
            <v>139.66666666666674</v>
          </cell>
          <cell r="FC271">
            <v>64.956521739130466</v>
          </cell>
          <cell r="FD271">
            <v>0</v>
          </cell>
          <cell r="FE271">
            <v>0</v>
          </cell>
          <cell r="FF271">
            <v>137.75000000000009</v>
          </cell>
          <cell r="FG271">
            <v>137.75000000000009</v>
          </cell>
          <cell r="FH271">
            <v>63.95652173913048</v>
          </cell>
          <cell r="FI271">
            <v>0</v>
          </cell>
          <cell r="FJ271">
            <v>0</v>
          </cell>
          <cell r="FK271">
            <v>135.83333333333343</v>
          </cell>
          <cell r="FL271">
            <v>135.83333333333343</v>
          </cell>
          <cell r="FM271">
            <v>62.95652173913048</v>
          </cell>
          <cell r="FN271">
            <v>0</v>
          </cell>
          <cell r="FO271">
            <v>0</v>
          </cell>
          <cell r="FP271">
            <v>133.91666666666677</v>
          </cell>
          <cell r="FQ271">
            <v>133.91666666666677</v>
          </cell>
          <cell r="FR271">
            <v>61.956521739130487</v>
          </cell>
          <cell r="FS271">
            <v>0</v>
          </cell>
          <cell r="FT271">
            <v>19</v>
          </cell>
          <cell r="FU271">
            <v>1.0333333333333334</v>
          </cell>
          <cell r="FW271" t="str">
            <v>SOBRESTOCK</v>
          </cell>
          <cell r="FX271" t="str">
            <v>B</v>
          </cell>
          <cell r="FY271" t="str">
            <v>Si</v>
          </cell>
        </row>
        <row r="272">
          <cell r="B272" t="str">
            <v>REP-0283</v>
          </cell>
          <cell r="C272" t="str">
            <v>NAC</v>
          </cell>
          <cell r="D272">
            <v>0</v>
          </cell>
          <cell r="E272">
            <v>23</v>
          </cell>
          <cell r="F272">
            <v>0</v>
          </cell>
          <cell r="G272">
            <v>0</v>
          </cell>
          <cell r="H272">
            <v>1</v>
          </cell>
          <cell r="I272">
            <v>1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1</v>
          </cell>
          <cell r="V272">
            <v>0</v>
          </cell>
          <cell r="W272">
            <v>1</v>
          </cell>
          <cell r="X272">
            <v>0</v>
          </cell>
          <cell r="Y272">
            <v>27</v>
          </cell>
          <cell r="AA272">
            <v>27</v>
          </cell>
          <cell r="AB272">
            <v>62</v>
          </cell>
          <cell r="AC272">
            <v>0</v>
          </cell>
          <cell r="AD272">
            <v>0</v>
          </cell>
          <cell r="AE272">
            <v>8.3333333333333329E-2</v>
          </cell>
          <cell r="AF272">
            <v>0.33333333333333331</v>
          </cell>
          <cell r="AG272">
            <v>0</v>
          </cell>
          <cell r="AH272">
            <v>0.25</v>
          </cell>
          <cell r="AI272">
            <v>0.5</v>
          </cell>
          <cell r="AJ272">
            <v>0.5</v>
          </cell>
          <cell r="AK272">
            <v>0.5</v>
          </cell>
          <cell r="AL272">
            <v>0.23935677693908453</v>
          </cell>
          <cell r="AM272">
            <v>0.3125</v>
          </cell>
          <cell r="AN272">
            <v>0.76594168620507053</v>
          </cell>
          <cell r="AO272">
            <v>0</v>
          </cell>
          <cell r="AP272">
            <v>29.666666666666668</v>
          </cell>
          <cell r="AQ272">
            <v>89.000000000000014</v>
          </cell>
          <cell r="AR272">
            <v>0</v>
          </cell>
          <cell r="AS272">
            <v>29.333333333333336</v>
          </cell>
          <cell r="AT272">
            <v>30</v>
          </cell>
          <cell r="AU272" t="str">
            <v/>
          </cell>
          <cell r="AV272">
            <v>0</v>
          </cell>
          <cell r="AW272">
            <v>30</v>
          </cell>
          <cell r="AX272">
            <v>29</v>
          </cell>
          <cell r="AY272">
            <v>58</v>
          </cell>
          <cell r="AZ272">
            <v>0</v>
          </cell>
          <cell r="BA272">
            <v>28.666666666666668</v>
          </cell>
          <cell r="BB272">
            <v>28</v>
          </cell>
          <cell r="BC272">
            <v>84</v>
          </cell>
          <cell r="BD272">
            <v>0</v>
          </cell>
          <cell r="BE272">
            <v>27.666666666666668</v>
          </cell>
          <cell r="BF272">
            <v>83.000000000000014</v>
          </cell>
          <cell r="BG272">
            <v>0</v>
          </cell>
          <cell r="BH272">
            <v>27.333333333333336</v>
          </cell>
          <cell r="BI272">
            <v>27</v>
          </cell>
          <cell r="BJ272">
            <v>54</v>
          </cell>
          <cell r="BK272">
            <v>0</v>
          </cell>
          <cell r="BL272">
            <v>27.666666666666668</v>
          </cell>
          <cell r="BM272">
            <v>28</v>
          </cell>
          <cell r="BN272">
            <v>84</v>
          </cell>
          <cell r="BO272">
            <v>0</v>
          </cell>
          <cell r="BP272">
            <v>27.666666666666668</v>
          </cell>
          <cell r="BQ272">
            <v>27</v>
          </cell>
          <cell r="BR272">
            <v>54</v>
          </cell>
          <cell r="BS272">
            <v>0</v>
          </cell>
          <cell r="BT272">
            <v>26.666666666666668</v>
          </cell>
          <cell r="BU272">
            <v>26</v>
          </cell>
          <cell r="BV272">
            <v>78</v>
          </cell>
          <cell r="BW272">
            <v>0</v>
          </cell>
          <cell r="BX272">
            <v>0</v>
          </cell>
          <cell r="BY272">
            <v>25.666666666666668</v>
          </cell>
          <cell r="BZ272">
            <v>26</v>
          </cell>
          <cell r="CA272">
            <v>86.666666666666671</v>
          </cell>
          <cell r="CB272">
            <v>0</v>
          </cell>
          <cell r="CC272">
            <v>0</v>
          </cell>
          <cell r="CD272">
            <v>25.7</v>
          </cell>
          <cell r="CE272">
            <v>26</v>
          </cell>
          <cell r="CF272">
            <v>95.333333333333343</v>
          </cell>
          <cell r="CG272">
            <v>0</v>
          </cell>
          <cell r="CH272">
            <v>0</v>
          </cell>
          <cell r="CI272">
            <v>25.427272727272726</v>
          </cell>
          <cell r="CJ272">
            <v>38</v>
          </cell>
          <cell r="CK272">
            <v>152</v>
          </cell>
          <cell r="CL272">
            <v>0</v>
          </cell>
          <cell r="CM272">
            <v>0</v>
          </cell>
          <cell r="CN272">
            <v>37.75</v>
          </cell>
          <cell r="CO272">
            <v>26</v>
          </cell>
          <cell r="CP272">
            <v>104</v>
          </cell>
          <cell r="CQ272">
            <v>0</v>
          </cell>
          <cell r="CR272">
            <v>0</v>
          </cell>
          <cell r="CS272">
            <v>25.75</v>
          </cell>
          <cell r="CT272">
            <v>26</v>
          </cell>
          <cell r="CU272">
            <v>104</v>
          </cell>
          <cell r="CV272">
            <v>0</v>
          </cell>
          <cell r="CW272">
            <v>0</v>
          </cell>
          <cell r="CX272">
            <v>25.75</v>
          </cell>
          <cell r="CY272">
            <v>26</v>
          </cell>
          <cell r="CZ272">
            <v>39</v>
          </cell>
          <cell r="DA272">
            <v>0</v>
          </cell>
          <cell r="DB272">
            <v>0</v>
          </cell>
          <cell r="DC272">
            <v>25.5</v>
          </cell>
          <cell r="DD272">
            <v>26</v>
          </cell>
          <cell r="DE272">
            <v>33.333333333333336</v>
          </cell>
          <cell r="DF272">
            <v>0</v>
          </cell>
          <cell r="DG272">
            <v>0</v>
          </cell>
          <cell r="DH272">
            <v>25.25</v>
          </cell>
          <cell r="DI272">
            <v>26</v>
          </cell>
          <cell r="DJ272">
            <v>43.666666666666671</v>
          </cell>
          <cell r="DK272">
            <v>0</v>
          </cell>
          <cell r="DL272">
            <v>0</v>
          </cell>
          <cell r="DM272">
            <v>24.65</v>
          </cell>
          <cell r="DN272">
            <v>27</v>
          </cell>
          <cell r="DO272">
            <v>54</v>
          </cell>
          <cell r="DP272">
            <v>0</v>
          </cell>
          <cell r="DQ272">
            <v>0</v>
          </cell>
          <cell r="DR272">
            <v>26.5</v>
          </cell>
          <cell r="DS272">
            <v>26.5</v>
          </cell>
          <cell r="DT272">
            <v>53</v>
          </cell>
          <cell r="DU272">
            <v>0</v>
          </cell>
          <cell r="DV272">
            <v>0</v>
          </cell>
          <cell r="DW272">
            <v>26</v>
          </cell>
          <cell r="DX272">
            <v>26</v>
          </cell>
          <cell r="DY272">
            <v>52</v>
          </cell>
          <cell r="DZ272">
            <v>0</v>
          </cell>
          <cell r="EA272">
            <v>0</v>
          </cell>
          <cell r="EB272">
            <v>25.5</v>
          </cell>
          <cell r="EC272">
            <v>25.5</v>
          </cell>
          <cell r="ED272">
            <v>51</v>
          </cell>
          <cell r="EE272">
            <v>0</v>
          </cell>
          <cell r="EF272">
            <v>0</v>
          </cell>
          <cell r="EG272">
            <v>25</v>
          </cell>
          <cell r="EH272">
            <v>25</v>
          </cell>
          <cell r="EI272">
            <v>50</v>
          </cell>
          <cell r="EJ272">
            <v>0</v>
          </cell>
          <cell r="EK272">
            <v>0</v>
          </cell>
          <cell r="EL272">
            <v>24.5</v>
          </cell>
          <cell r="EM272">
            <v>24.5</v>
          </cell>
          <cell r="EN272">
            <v>49</v>
          </cell>
          <cell r="EO272">
            <v>0</v>
          </cell>
          <cell r="EP272">
            <v>0</v>
          </cell>
          <cell r="EQ272">
            <v>24</v>
          </cell>
          <cell r="ER272">
            <v>24</v>
          </cell>
          <cell r="ES272">
            <v>48</v>
          </cell>
          <cell r="ET272">
            <v>0</v>
          </cell>
          <cell r="EU272">
            <v>0</v>
          </cell>
          <cell r="EV272">
            <v>23.5</v>
          </cell>
          <cell r="EW272">
            <v>23.5</v>
          </cell>
          <cell r="EX272">
            <v>47</v>
          </cell>
          <cell r="EY272">
            <v>0</v>
          </cell>
          <cell r="EZ272">
            <v>0</v>
          </cell>
          <cell r="FA272">
            <v>23</v>
          </cell>
          <cell r="FB272">
            <v>23</v>
          </cell>
          <cell r="FC272">
            <v>46</v>
          </cell>
          <cell r="FD272">
            <v>0</v>
          </cell>
          <cell r="FE272">
            <v>0</v>
          </cell>
          <cell r="FF272">
            <v>22.5</v>
          </cell>
          <cell r="FG272">
            <v>22.5</v>
          </cell>
          <cell r="FH272">
            <v>45</v>
          </cell>
          <cell r="FI272">
            <v>0</v>
          </cell>
          <cell r="FJ272">
            <v>0</v>
          </cell>
          <cell r="FK272">
            <v>22</v>
          </cell>
          <cell r="FL272">
            <v>22</v>
          </cell>
          <cell r="FM272">
            <v>44</v>
          </cell>
          <cell r="FN272">
            <v>0</v>
          </cell>
          <cell r="FO272">
            <v>0</v>
          </cell>
          <cell r="FP272">
            <v>21.5</v>
          </cell>
          <cell r="FQ272">
            <v>21.5</v>
          </cell>
          <cell r="FR272">
            <v>43</v>
          </cell>
          <cell r="FS272">
            <v>0</v>
          </cell>
          <cell r="FT272">
            <v>1</v>
          </cell>
          <cell r="FU272">
            <v>1</v>
          </cell>
          <cell r="FW272" t="str">
            <v>SOBRESTOCK</v>
          </cell>
          <cell r="FX272" t="str">
            <v>C</v>
          </cell>
          <cell r="FY272" t="str">
            <v>Si</v>
          </cell>
        </row>
        <row r="273">
          <cell r="B273" t="str">
            <v>REP-0284</v>
          </cell>
          <cell r="C273" t="str">
            <v>NAC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AA273">
            <v>0</v>
          </cell>
          <cell r="AB273">
            <v>711</v>
          </cell>
          <cell r="AC273">
            <v>179.33333333333334</v>
          </cell>
          <cell r="AD273">
            <v>5.9777777777777779</v>
          </cell>
          <cell r="AE273">
            <v>143.83333333333334</v>
          </cell>
          <cell r="AF273">
            <v>25.666666666666668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O273">
            <v>0</v>
          </cell>
          <cell r="AP273">
            <v>0</v>
          </cell>
          <cell r="AQ273">
            <v>-1</v>
          </cell>
          <cell r="AR273">
            <v>0</v>
          </cell>
          <cell r="AS273">
            <v>-51.333333333333336</v>
          </cell>
          <cell r="AT273">
            <v>0</v>
          </cell>
          <cell r="AU273" t="str">
            <v/>
          </cell>
          <cell r="AV273">
            <v>0</v>
          </cell>
          <cell r="AW273">
            <v>0</v>
          </cell>
          <cell r="AX273">
            <v>0</v>
          </cell>
          <cell r="AY273" t="str">
            <v/>
          </cell>
          <cell r="AZ273">
            <v>0</v>
          </cell>
          <cell r="BA273">
            <v>0</v>
          </cell>
          <cell r="BB273">
            <v>0</v>
          </cell>
          <cell r="BC273" t="str">
            <v/>
          </cell>
          <cell r="BD273">
            <v>0</v>
          </cell>
          <cell r="BE273">
            <v>0</v>
          </cell>
          <cell r="BF273" t="str">
            <v/>
          </cell>
          <cell r="BG273">
            <v>0</v>
          </cell>
          <cell r="BH273">
            <v>0</v>
          </cell>
          <cell r="BI273">
            <v>0</v>
          </cell>
          <cell r="BJ273" t="str">
            <v/>
          </cell>
          <cell r="BK273">
            <v>0</v>
          </cell>
          <cell r="BL273">
            <v>0</v>
          </cell>
          <cell r="BM273">
            <v>0</v>
          </cell>
          <cell r="BN273" t="str">
            <v/>
          </cell>
          <cell r="BO273">
            <v>0</v>
          </cell>
          <cell r="BP273">
            <v>0</v>
          </cell>
          <cell r="BQ273">
            <v>0</v>
          </cell>
          <cell r="BR273" t="str">
            <v/>
          </cell>
          <cell r="BS273">
            <v>0</v>
          </cell>
          <cell r="BT273">
            <v>0</v>
          </cell>
          <cell r="BU273">
            <v>0</v>
          </cell>
          <cell r="BV273" t="str">
            <v/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 t="str">
            <v/>
          </cell>
          <cell r="CB273">
            <v>0</v>
          </cell>
          <cell r="CD273">
            <v>0</v>
          </cell>
          <cell r="CE273">
            <v>0</v>
          </cell>
          <cell r="CF273" t="str">
            <v/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 t="str">
            <v/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 t="str">
            <v/>
          </cell>
          <cell r="CQ273">
            <v>0</v>
          </cell>
          <cell r="CS273">
            <v>0</v>
          </cell>
          <cell r="CT273">
            <v>0</v>
          </cell>
          <cell r="CU273" t="str">
            <v/>
          </cell>
          <cell r="CV273">
            <v>0</v>
          </cell>
          <cell r="CX273">
            <v>0</v>
          </cell>
          <cell r="CY273">
            <v>0</v>
          </cell>
          <cell r="CZ273" t="str">
            <v/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 t="str">
            <v/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 t="str">
            <v/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 t="str">
            <v/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 t="str">
            <v/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 t="str">
            <v/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 t="str">
            <v/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 t="str">
            <v/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 t="str">
            <v/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 t="str">
            <v/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 t="str">
            <v/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 t="str">
            <v/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 t="str">
            <v/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 t="str">
            <v/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 t="str">
            <v/>
          </cell>
          <cell r="FS273">
            <v>0</v>
          </cell>
          <cell r="FT273">
            <v>0</v>
          </cell>
          <cell r="FU273">
            <v>66.666666666666671</v>
          </cell>
          <cell r="FW273" t="str">
            <v>SIN ROTACIÓN</v>
          </cell>
          <cell r="FX273" t="str">
            <v/>
          </cell>
          <cell r="FY273" t="str">
            <v>No</v>
          </cell>
        </row>
        <row r="274">
          <cell r="B274" t="str">
            <v>REP-0286</v>
          </cell>
          <cell r="C274" t="str">
            <v>NAC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AA274">
            <v>0</v>
          </cell>
          <cell r="AB274">
            <v>1</v>
          </cell>
          <cell r="AC274">
            <v>0</v>
          </cell>
          <cell r="AD274">
            <v>0</v>
          </cell>
          <cell r="AE274">
            <v>8.3333333333333329E-2</v>
          </cell>
          <cell r="AF274">
            <v>8.3333333333333329E-2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M274">
            <v>0</v>
          </cell>
          <cell r="AO274">
            <v>0</v>
          </cell>
          <cell r="AP274">
            <v>0</v>
          </cell>
          <cell r="AQ274">
            <v>-1</v>
          </cell>
          <cell r="AR274">
            <v>0</v>
          </cell>
          <cell r="AS274">
            <v>-0.16666666666666666</v>
          </cell>
          <cell r="AT274">
            <v>0</v>
          </cell>
          <cell r="AU274" t="str">
            <v/>
          </cell>
          <cell r="AV274">
            <v>0</v>
          </cell>
          <cell r="AW274">
            <v>0</v>
          </cell>
          <cell r="AX274">
            <v>0</v>
          </cell>
          <cell r="AY274" t="str">
            <v/>
          </cell>
          <cell r="AZ274">
            <v>0</v>
          </cell>
          <cell r="BA274">
            <v>0</v>
          </cell>
          <cell r="BB274">
            <v>0</v>
          </cell>
          <cell r="BC274" t="str">
            <v/>
          </cell>
          <cell r="BD274">
            <v>0</v>
          </cell>
          <cell r="BE274">
            <v>0</v>
          </cell>
          <cell r="BF274" t="str">
            <v/>
          </cell>
          <cell r="BG274">
            <v>0</v>
          </cell>
          <cell r="BH274">
            <v>0</v>
          </cell>
          <cell r="BI274">
            <v>0</v>
          </cell>
          <cell r="BJ274" t="str">
            <v/>
          </cell>
          <cell r="BK274">
            <v>0</v>
          </cell>
          <cell r="BL274">
            <v>0</v>
          </cell>
          <cell r="BM274">
            <v>0</v>
          </cell>
          <cell r="BN274" t="str">
            <v/>
          </cell>
          <cell r="BO274">
            <v>0</v>
          </cell>
          <cell r="BP274">
            <v>0</v>
          </cell>
          <cell r="BQ274">
            <v>0</v>
          </cell>
          <cell r="BR274" t="str">
            <v/>
          </cell>
          <cell r="BS274">
            <v>0</v>
          </cell>
          <cell r="BT274">
            <v>0</v>
          </cell>
          <cell r="BU274">
            <v>0</v>
          </cell>
          <cell r="BV274" t="str">
            <v/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 t="str">
            <v/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 t="str">
            <v/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 t="str">
            <v/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 t="str">
            <v/>
          </cell>
          <cell r="CQ274">
            <v>0</v>
          </cell>
          <cell r="CS274">
            <v>0</v>
          </cell>
          <cell r="CT274">
            <v>0</v>
          </cell>
          <cell r="CU274" t="str">
            <v/>
          </cell>
          <cell r="CV274">
            <v>0</v>
          </cell>
          <cell r="CX274">
            <v>0</v>
          </cell>
          <cell r="CY274">
            <v>0</v>
          </cell>
          <cell r="CZ274" t="str">
            <v/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 t="str">
            <v/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 t="str">
            <v/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 t="str">
            <v/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 t="str">
            <v/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 t="str">
            <v/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 t="str">
            <v/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 t="str">
            <v/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 t="str">
            <v/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 t="str">
            <v/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 t="str">
            <v/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 t="str">
            <v/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 t="str">
            <v/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 t="str">
            <v/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 t="str">
            <v/>
          </cell>
          <cell r="FS274">
            <v>0</v>
          </cell>
          <cell r="FT274">
            <v>0</v>
          </cell>
          <cell r="FU274">
            <v>66.666666666666671</v>
          </cell>
          <cell r="FW274" t="str">
            <v>SIN ROTACIÓN</v>
          </cell>
          <cell r="FX274" t="str">
            <v/>
          </cell>
          <cell r="FY274" t="str">
            <v>No</v>
          </cell>
        </row>
        <row r="275">
          <cell r="B275" t="str">
            <v>REP-0287</v>
          </cell>
          <cell r="C275" t="str">
            <v>NAC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AA275">
            <v>0</v>
          </cell>
          <cell r="AB275">
            <v>4</v>
          </cell>
          <cell r="AC275">
            <v>0.66666666666666663</v>
          </cell>
          <cell r="AD275">
            <v>2.222222222222222E-2</v>
          </cell>
          <cell r="AE275">
            <v>0.66666666666666663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1</v>
          </cell>
          <cell r="AQ275" t="str">
            <v/>
          </cell>
          <cell r="AR275">
            <v>0</v>
          </cell>
          <cell r="AS275">
            <v>1</v>
          </cell>
          <cell r="AT275">
            <v>1</v>
          </cell>
          <cell r="AU275" t="str">
            <v/>
          </cell>
          <cell r="AV275">
            <v>0</v>
          </cell>
          <cell r="AW275">
            <v>1</v>
          </cell>
          <cell r="AX275">
            <v>1</v>
          </cell>
          <cell r="AY275" t="str">
            <v/>
          </cell>
          <cell r="AZ275">
            <v>0</v>
          </cell>
          <cell r="BA275">
            <v>1</v>
          </cell>
          <cell r="BB275">
            <v>1</v>
          </cell>
          <cell r="BC275" t="str">
            <v/>
          </cell>
          <cell r="BD275">
            <v>0</v>
          </cell>
          <cell r="BE275">
            <v>1</v>
          </cell>
          <cell r="BF275" t="str">
            <v/>
          </cell>
          <cell r="BG275">
            <v>0</v>
          </cell>
          <cell r="BH275">
            <v>1</v>
          </cell>
          <cell r="BI275">
            <v>0</v>
          </cell>
          <cell r="BJ275" t="str">
            <v/>
          </cell>
          <cell r="BK275">
            <v>0</v>
          </cell>
          <cell r="BL275">
            <v>1</v>
          </cell>
          <cell r="BM275">
            <v>1</v>
          </cell>
          <cell r="BN275" t="str">
            <v/>
          </cell>
          <cell r="BO275">
            <v>0</v>
          </cell>
          <cell r="BP275">
            <v>1</v>
          </cell>
          <cell r="BQ275">
            <v>1</v>
          </cell>
          <cell r="BR275" t="str">
            <v/>
          </cell>
          <cell r="BS275">
            <v>0</v>
          </cell>
          <cell r="BT275">
            <v>1</v>
          </cell>
          <cell r="BU275">
            <v>1</v>
          </cell>
          <cell r="BV275" t="str">
            <v/>
          </cell>
          <cell r="BW275">
            <v>0</v>
          </cell>
          <cell r="BX275">
            <v>0</v>
          </cell>
          <cell r="BY275">
            <v>1</v>
          </cell>
          <cell r="BZ275">
            <v>1</v>
          </cell>
          <cell r="CA275" t="str">
            <v/>
          </cell>
          <cell r="CB275">
            <v>0</v>
          </cell>
          <cell r="CC275">
            <v>0</v>
          </cell>
          <cell r="CD275">
            <v>1</v>
          </cell>
          <cell r="CE275">
            <v>1</v>
          </cell>
          <cell r="CF275" t="str">
            <v/>
          </cell>
          <cell r="CG275">
            <v>0</v>
          </cell>
          <cell r="CH275">
            <v>0</v>
          </cell>
          <cell r="CI275">
            <v>1</v>
          </cell>
          <cell r="CJ275">
            <v>1</v>
          </cell>
          <cell r="CK275" t="str">
            <v/>
          </cell>
          <cell r="CL275">
            <v>0</v>
          </cell>
          <cell r="CM275">
            <v>0</v>
          </cell>
          <cell r="CN275">
            <v>1</v>
          </cell>
          <cell r="CO275">
            <v>1</v>
          </cell>
          <cell r="CP275" t="str">
            <v/>
          </cell>
          <cell r="CQ275">
            <v>0</v>
          </cell>
          <cell r="CR275">
            <v>0</v>
          </cell>
          <cell r="CS275">
            <v>1</v>
          </cell>
          <cell r="CT275">
            <v>0</v>
          </cell>
          <cell r="CU275" t="str">
            <v/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 t="str">
            <v/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 t="str">
            <v/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 t="str">
            <v/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 t="str">
            <v/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 t="str">
            <v/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 t="str">
            <v/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 t="str">
            <v/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 t="str">
            <v/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 t="str">
            <v/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 t="str">
            <v/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 t="str">
            <v/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 t="str">
            <v/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 t="str">
            <v/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 t="str">
            <v/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 t="str">
            <v/>
          </cell>
          <cell r="FS275">
            <v>0</v>
          </cell>
          <cell r="FT275">
            <v>0</v>
          </cell>
          <cell r="FU275">
            <v>1.0333333333333334</v>
          </cell>
          <cell r="FW275" t="e">
            <v>#N/A</v>
          </cell>
          <cell r="FX275" t="str">
            <v>STOCK MUERTO</v>
          </cell>
          <cell r="FY275" t="str">
            <v>Si</v>
          </cell>
        </row>
        <row r="276">
          <cell r="B276" t="str">
            <v>REP-0289</v>
          </cell>
          <cell r="C276" t="str">
            <v>NAC</v>
          </cell>
          <cell r="D276">
            <v>0</v>
          </cell>
          <cell r="E276">
            <v>12</v>
          </cell>
          <cell r="F276">
            <v>0</v>
          </cell>
          <cell r="G276">
            <v>0</v>
          </cell>
          <cell r="H276">
            <v>10</v>
          </cell>
          <cell r="I276">
            <v>10</v>
          </cell>
          <cell r="J276">
            <v>0</v>
          </cell>
          <cell r="K276">
            <v>11</v>
          </cell>
          <cell r="L276">
            <v>6</v>
          </cell>
          <cell r="M276">
            <v>4</v>
          </cell>
          <cell r="N276">
            <v>4</v>
          </cell>
          <cell r="O276">
            <v>3</v>
          </cell>
          <cell r="P276">
            <v>0</v>
          </cell>
          <cell r="Q276">
            <v>1</v>
          </cell>
          <cell r="R276">
            <v>0</v>
          </cell>
          <cell r="S276">
            <v>2</v>
          </cell>
          <cell r="T276">
            <v>4</v>
          </cell>
          <cell r="U276">
            <v>0</v>
          </cell>
          <cell r="V276">
            <v>0</v>
          </cell>
          <cell r="W276">
            <v>4</v>
          </cell>
          <cell r="X276">
            <v>4</v>
          </cell>
          <cell r="Y276">
            <v>75</v>
          </cell>
          <cell r="AA276">
            <v>75</v>
          </cell>
          <cell r="AB276">
            <v>20</v>
          </cell>
          <cell r="AC276">
            <v>4.5</v>
          </cell>
          <cell r="AD276">
            <v>0.15</v>
          </cell>
          <cell r="AE276">
            <v>3.9166666666666665</v>
          </cell>
          <cell r="AF276">
            <v>3.25</v>
          </cell>
          <cell r="AG276">
            <v>2.8333333333333335</v>
          </cell>
          <cell r="AH276">
            <v>4.5</v>
          </cell>
          <cell r="AI276">
            <v>3.5</v>
          </cell>
          <cell r="AJ276">
            <v>3.5</v>
          </cell>
          <cell r="AK276">
            <v>4.5</v>
          </cell>
          <cell r="AL276">
            <v>0.61350541064352859</v>
          </cell>
          <cell r="AM276">
            <v>3.5833333333333335</v>
          </cell>
          <cell r="AN276">
            <v>0.17121081227261262</v>
          </cell>
          <cell r="AO276">
            <v>0</v>
          </cell>
          <cell r="AP276">
            <v>140.83333333333334</v>
          </cell>
          <cell r="AQ276">
            <v>43.92307692307692</v>
          </cell>
          <cell r="AR276">
            <v>0</v>
          </cell>
          <cell r="AS276">
            <v>139</v>
          </cell>
          <cell r="AT276">
            <v>139</v>
          </cell>
          <cell r="AU276">
            <v>39.714285714285715</v>
          </cell>
          <cell r="AV276">
            <v>0</v>
          </cell>
          <cell r="AW276">
            <v>135.5</v>
          </cell>
          <cell r="AX276">
            <v>135</v>
          </cell>
          <cell r="AY276">
            <v>30</v>
          </cell>
          <cell r="AZ276">
            <v>0</v>
          </cell>
          <cell r="BA276">
            <v>131.33333333333334</v>
          </cell>
          <cell r="BB276">
            <v>132</v>
          </cell>
          <cell r="BC276">
            <v>28.285714285714285</v>
          </cell>
          <cell r="BD276">
            <v>0</v>
          </cell>
          <cell r="BE276">
            <v>127.33333333333333</v>
          </cell>
          <cell r="BF276">
            <v>27.285714285714285</v>
          </cell>
          <cell r="BG276">
            <v>0</v>
          </cell>
          <cell r="BH276">
            <v>122.66666666666666</v>
          </cell>
          <cell r="BI276">
            <v>75</v>
          </cell>
          <cell r="BJ276">
            <v>16.666666666666668</v>
          </cell>
          <cell r="BK276">
            <v>0</v>
          </cell>
          <cell r="BL276">
            <v>103</v>
          </cell>
          <cell r="BM276">
            <v>114</v>
          </cell>
          <cell r="BN276">
            <v>21.375</v>
          </cell>
          <cell r="BO276">
            <v>0</v>
          </cell>
          <cell r="BP276">
            <v>108.66666666666667</v>
          </cell>
          <cell r="BQ276">
            <v>792</v>
          </cell>
          <cell r="BR276">
            <v>176</v>
          </cell>
          <cell r="BS276">
            <v>0</v>
          </cell>
          <cell r="BT276">
            <v>786.33333333333337</v>
          </cell>
          <cell r="BU276">
            <v>103</v>
          </cell>
          <cell r="BV276">
            <v>19.93548387096774</v>
          </cell>
          <cell r="BW276">
            <v>0</v>
          </cell>
          <cell r="BX276">
            <v>0</v>
          </cell>
          <cell r="BY276">
            <v>97.833333333333329</v>
          </cell>
          <cell r="BZ276">
            <v>101</v>
          </cell>
          <cell r="CA276">
            <v>20.2</v>
          </cell>
          <cell r="CB276">
            <v>0</v>
          </cell>
          <cell r="CC276">
            <v>0</v>
          </cell>
          <cell r="CD276">
            <v>96</v>
          </cell>
          <cell r="CE276">
            <v>94</v>
          </cell>
          <cell r="CF276">
            <v>17.625</v>
          </cell>
          <cell r="CG276">
            <v>0</v>
          </cell>
          <cell r="CH276">
            <v>0</v>
          </cell>
          <cell r="CI276">
            <v>90.666666666666671</v>
          </cell>
          <cell r="CJ276">
            <v>91</v>
          </cell>
          <cell r="CK276">
            <v>20.222222222222221</v>
          </cell>
          <cell r="CL276">
            <v>0</v>
          </cell>
          <cell r="CM276">
            <v>0</v>
          </cell>
          <cell r="CN276">
            <v>86.5</v>
          </cell>
          <cell r="CO276">
            <v>92</v>
          </cell>
          <cell r="CP276">
            <v>20.444444444444443</v>
          </cell>
          <cell r="CQ276">
            <v>0</v>
          </cell>
          <cell r="CR276">
            <v>0</v>
          </cell>
          <cell r="CS276">
            <v>87.5</v>
          </cell>
          <cell r="CT276">
            <v>86</v>
          </cell>
          <cell r="CU276">
            <v>19.111111111111111</v>
          </cell>
          <cell r="CV276">
            <v>0</v>
          </cell>
          <cell r="CW276">
            <v>0</v>
          </cell>
          <cell r="CX276">
            <v>81.5</v>
          </cell>
          <cell r="CY276">
            <v>83</v>
          </cell>
          <cell r="CZ276">
            <v>18.444444444444443</v>
          </cell>
          <cell r="DA276">
            <v>0</v>
          </cell>
          <cell r="DB276">
            <v>0</v>
          </cell>
          <cell r="DC276">
            <v>78.5</v>
          </cell>
          <cell r="DD276">
            <v>76</v>
          </cell>
          <cell r="DE276">
            <v>15.777777777777779</v>
          </cell>
          <cell r="DF276">
            <v>0</v>
          </cell>
          <cell r="DG276">
            <v>0</v>
          </cell>
          <cell r="DH276">
            <v>71.5</v>
          </cell>
          <cell r="DI276">
            <v>70</v>
          </cell>
          <cell r="DJ276">
            <v>16.444444444444443</v>
          </cell>
          <cell r="DK276">
            <v>0</v>
          </cell>
          <cell r="DL276">
            <v>0</v>
          </cell>
          <cell r="DM276">
            <v>67</v>
          </cell>
          <cell r="DN276">
            <v>75</v>
          </cell>
          <cell r="DO276">
            <v>17.555555555555557</v>
          </cell>
          <cell r="DP276">
            <v>0</v>
          </cell>
          <cell r="DQ276">
            <v>0</v>
          </cell>
          <cell r="DR276">
            <v>70.5</v>
          </cell>
          <cell r="DS276">
            <v>70.5</v>
          </cell>
          <cell r="DT276">
            <v>16.555555555555557</v>
          </cell>
          <cell r="DU276">
            <v>0</v>
          </cell>
          <cell r="DV276">
            <v>0</v>
          </cell>
          <cell r="DW276">
            <v>66</v>
          </cell>
          <cell r="DX276">
            <v>66</v>
          </cell>
          <cell r="DY276">
            <v>15.555555555555555</v>
          </cell>
          <cell r="DZ276">
            <v>0</v>
          </cell>
          <cell r="EA276">
            <v>0</v>
          </cell>
          <cell r="EB276">
            <v>61.5</v>
          </cell>
          <cell r="EC276">
            <v>61.5</v>
          </cell>
          <cell r="ED276">
            <v>14.555555555555555</v>
          </cell>
          <cell r="EE276">
            <v>0</v>
          </cell>
          <cell r="EF276">
            <v>0</v>
          </cell>
          <cell r="EG276">
            <v>57</v>
          </cell>
          <cell r="EH276">
            <v>57</v>
          </cell>
          <cell r="EI276">
            <v>13.555555555555555</v>
          </cell>
          <cell r="EJ276">
            <v>0</v>
          </cell>
          <cell r="EK276">
            <v>0</v>
          </cell>
          <cell r="EL276">
            <v>52.5</v>
          </cell>
          <cell r="EM276">
            <v>52.5</v>
          </cell>
          <cell r="EN276">
            <v>12.555555555555555</v>
          </cell>
          <cell r="EO276">
            <v>0</v>
          </cell>
          <cell r="EP276">
            <v>0</v>
          </cell>
          <cell r="EQ276">
            <v>48</v>
          </cell>
          <cell r="ER276">
            <v>48</v>
          </cell>
          <cell r="ES276">
            <v>11.555555555555555</v>
          </cell>
          <cell r="ET276">
            <v>0</v>
          </cell>
          <cell r="EU276">
            <v>0</v>
          </cell>
          <cell r="EV276">
            <v>43.5</v>
          </cell>
          <cell r="EW276">
            <v>43.5</v>
          </cell>
          <cell r="EX276">
            <v>10.555555555555555</v>
          </cell>
          <cell r="EY276">
            <v>0</v>
          </cell>
          <cell r="EZ276">
            <v>0</v>
          </cell>
          <cell r="FA276">
            <v>39</v>
          </cell>
          <cell r="FB276">
            <v>39</v>
          </cell>
          <cell r="FC276">
            <v>9.5555555555555554</v>
          </cell>
          <cell r="FD276">
            <v>0</v>
          </cell>
          <cell r="FE276">
            <v>0</v>
          </cell>
          <cell r="FF276">
            <v>34.5</v>
          </cell>
          <cell r="FG276">
            <v>34.5</v>
          </cell>
          <cell r="FH276">
            <v>8.5555555555555554</v>
          </cell>
          <cell r="FI276">
            <v>0</v>
          </cell>
          <cell r="FJ276">
            <v>0</v>
          </cell>
          <cell r="FK276">
            <v>30</v>
          </cell>
          <cell r="FL276">
            <v>30</v>
          </cell>
          <cell r="FM276">
            <v>7.5555555555555554</v>
          </cell>
          <cell r="FN276">
            <v>0</v>
          </cell>
          <cell r="FO276">
            <v>0</v>
          </cell>
          <cell r="FP276">
            <v>25.5</v>
          </cell>
          <cell r="FQ276">
            <v>25.5</v>
          </cell>
          <cell r="FR276">
            <v>6.5555555555555554</v>
          </cell>
          <cell r="FS276">
            <v>0</v>
          </cell>
          <cell r="FT276">
            <v>5</v>
          </cell>
          <cell r="FU276">
            <v>1</v>
          </cell>
          <cell r="FW276" t="str">
            <v>SOBRESTOCK</v>
          </cell>
          <cell r="FX276" t="str">
            <v>B</v>
          </cell>
          <cell r="FY276" t="str">
            <v>Si</v>
          </cell>
        </row>
        <row r="277">
          <cell r="B277" t="str">
            <v>REP-0290</v>
          </cell>
          <cell r="C277" t="str">
            <v>NAC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11</v>
          </cell>
          <cell r="I277">
            <v>11</v>
          </cell>
          <cell r="J277">
            <v>0</v>
          </cell>
          <cell r="K277">
            <v>1</v>
          </cell>
          <cell r="L277">
            <v>2</v>
          </cell>
          <cell r="M277">
            <v>2</v>
          </cell>
          <cell r="N277">
            <v>0</v>
          </cell>
          <cell r="O277">
            <v>0</v>
          </cell>
          <cell r="P277">
            <v>2</v>
          </cell>
          <cell r="Q277">
            <v>0</v>
          </cell>
          <cell r="R277">
            <v>0</v>
          </cell>
          <cell r="S277">
            <v>0</v>
          </cell>
          <cell r="T277">
            <v>2</v>
          </cell>
          <cell r="U277">
            <v>0</v>
          </cell>
          <cell r="V277">
            <v>0</v>
          </cell>
          <cell r="W277">
            <v>3</v>
          </cell>
          <cell r="X277">
            <v>3</v>
          </cell>
          <cell r="Y277">
            <v>37</v>
          </cell>
          <cell r="AA277">
            <v>37</v>
          </cell>
          <cell r="AB277">
            <v>21</v>
          </cell>
          <cell r="AC277">
            <v>7.166666666666667</v>
          </cell>
          <cell r="AD277">
            <v>0.2388888888888889</v>
          </cell>
          <cell r="AE277">
            <v>5.25</v>
          </cell>
          <cell r="AF277">
            <v>4.416666666666667</v>
          </cell>
          <cell r="AG277">
            <v>4</v>
          </cell>
          <cell r="AH277">
            <v>4.416666666666667</v>
          </cell>
          <cell r="AI277">
            <v>2.3333333333333335</v>
          </cell>
          <cell r="AJ277">
            <v>2.3333333333333335</v>
          </cell>
          <cell r="AK277">
            <v>4.416666666666667</v>
          </cell>
          <cell r="AL277">
            <v>1.09581484986524</v>
          </cell>
          <cell r="AM277">
            <v>3.2708333333333339</v>
          </cell>
          <cell r="AN277">
            <v>0.33502619613714341</v>
          </cell>
          <cell r="AO277">
            <v>0</v>
          </cell>
          <cell r="AP277">
            <v>95.444444444444443</v>
          </cell>
          <cell r="AQ277">
            <v>21.641509433962263</v>
          </cell>
          <cell r="AR277">
            <v>0</v>
          </cell>
          <cell r="AS277">
            <v>91.166666666666657</v>
          </cell>
          <cell r="AT277">
            <v>93</v>
          </cell>
          <cell r="AU277">
            <v>21.461538461538463</v>
          </cell>
          <cell r="AV277">
            <v>0</v>
          </cell>
          <cell r="AW277">
            <v>88.666666666666671</v>
          </cell>
          <cell r="AX277">
            <v>85</v>
          </cell>
          <cell r="AY277">
            <v>19.245283018867923</v>
          </cell>
          <cell r="AZ277">
            <v>0</v>
          </cell>
          <cell r="BA277">
            <v>79.833333333333329</v>
          </cell>
          <cell r="BB277">
            <v>82</v>
          </cell>
          <cell r="BC277">
            <v>13.666666666666666</v>
          </cell>
          <cell r="BD277">
            <v>0</v>
          </cell>
          <cell r="BE277">
            <v>76</v>
          </cell>
          <cell r="BF277">
            <v>12.666666666666666</v>
          </cell>
          <cell r="BG277">
            <v>0</v>
          </cell>
          <cell r="BH277">
            <v>70</v>
          </cell>
          <cell r="BI277">
            <v>37</v>
          </cell>
          <cell r="BJ277">
            <v>8.3773584905660368</v>
          </cell>
          <cell r="BK277">
            <v>0</v>
          </cell>
          <cell r="BL277">
            <v>59</v>
          </cell>
          <cell r="BM277">
            <v>69</v>
          </cell>
          <cell r="BN277">
            <v>13.8</v>
          </cell>
          <cell r="BO277">
            <v>0</v>
          </cell>
          <cell r="BP277">
            <v>64</v>
          </cell>
          <cell r="BQ277">
            <v>61</v>
          </cell>
          <cell r="BR277">
            <v>13.811320754716981</v>
          </cell>
          <cell r="BS277">
            <v>0</v>
          </cell>
          <cell r="BT277">
            <v>55.666666666666664</v>
          </cell>
          <cell r="BU277">
            <v>59</v>
          </cell>
          <cell r="BV277">
            <v>12.951219512195122</v>
          </cell>
          <cell r="BW277">
            <v>0</v>
          </cell>
          <cell r="BX277">
            <v>0</v>
          </cell>
          <cell r="BY277">
            <v>54.444444444444443</v>
          </cell>
          <cell r="BZ277">
            <v>55</v>
          </cell>
          <cell r="CA277">
            <v>12.222222222222221</v>
          </cell>
          <cell r="CB277">
            <v>0</v>
          </cell>
          <cell r="CC277">
            <v>0</v>
          </cell>
          <cell r="CD277">
            <v>50.5</v>
          </cell>
          <cell r="CE277">
            <v>51</v>
          </cell>
          <cell r="CF277">
            <v>10.928571428571427</v>
          </cell>
          <cell r="CG277">
            <v>0</v>
          </cell>
          <cell r="CH277">
            <v>0</v>
          </cell>
          <cell r="CI277">
            <v>45.833333333333336</v>
          </cell>
          <cell r="CJ277">
            <v>47</v>
          </cell>
          <cell r="CK277">
            <v>10.641509433962263</v>
          </cell>
          <cell r="CL277">
            <v>0</v>
          </cell>
          <cell r="CM277">
            <v>0</v>
          </cell>
          <cell r="CN277">
            <v>42.583333333333336</v>
          </cell>
          <cell r="CO277">
            <v>45</v>
          </cell>
          <cell r="CP277">
            <v>10.188679245283017</v>
          </cell>
          <cell r="CQ277">
            <v>0</v>
          </cell>
          <cell r="CR277">
            <v>0</v>
          </cell>
          <cell r="CS277">
            <v>40.583333333333336</v>
          </cell>
          <cell r="CT277">
            <v>36</v>
          </cell>
          <cell r="CU277">
            <v>8.1509433962264151</v>
          </cell>
          <cell r="CV277">
            <v>0</v>
          </cell>
          <cell r="CW277">
            <v>0</v>
          </cell>
          <cell r="CX277">
            <v>31.583333333333332</v>
          </cell>
          <cell r="CY277">
            <v>41</v>
          </cell>
          <cell r="CZ277">
            <v>9.2830188679245271</v>
          </cell>
          <cell r="DA277">
            <v>0</v>
          </cell>
          <cell r="DB277">
            <v>0</v>
          </cell>
          <cell r="DC277">
            <v>36.583333333333336</v>
          </cell>
          <cell r="DD277">
            <v>35</v>
          </cell>
          <cell r="DE277">
            <v>6.7924528301886786</v>
          </cell>
          <cell r="DF277">
            <v>0</v>
          </cell>
          <cell r="DG277">
            <v>0</v>
          </cell>
          <cell r="DH277">
            <v>30.583333333333332</v>
          </cell>
          <cell r="DI277">
            <v>33</v>
          </cell>
          <cell r="DJ277">
            <v>8.3396226415094326</v>
          </cell>
          <cell r="DK277">
            <v>0</v>
          </cell>
          <cell r="DL277">
            <v>0</v>
          </cell>
          <cell r="DM277">
            <v>26.166666666666664</v>
          </cell>
          <cell r="DN277">
            <v>37</v>
          </cell>
          <cell r="DO277">
            <v>9.2452830188679229</v>
          </cell>
          <cell r="DP277">
            <v>0</v>
          </cell>
          <cell r="DQ277">
            <v>0</v>
          </cell>
          <cell r="DR277">
            <v>32.583333333333336</v>
          </cell>
          <cell r="DS277">
            <v>32.583333333333336</v>
          </cell>
          <cell r="DT277">
            <v>8.2452830188679247</v>
          </cell>
          <cell r="DU277">
            <v>0</v>
          </cell>
          <cell r="DV277">
            <v>0</v>
          </cell>
          <cell r="DW277">
            <v>28.166666666666668</v>
          </cell>
          <cell r="DX277">
            <v>28.166666666666668</v>
          </cell>
          <cell r="DY277">
            <v>7.2452830188679247</v>
          </cell>
          <cell r="DZ277">
            <v>0</v>
          </cell>
          <cell r="EA277">
            <v>0</v>
          </cell>
          <cell r="EB277">
            <v>23.75</v>
          </cell>
          <cell r="EC277">
            <v>23.75</v>
          </cell>
          <cell r="ED277">
            <v>6.2452830188679238</v>
          </cell>
          <cell r="EE277">
            <v>0</v>
          </cell>
          <cell r="EF277">
            <v>0</v>
          </cell>
          <cell r="EG277">
            <v>19.333333333333332</v>
          </cell>
          <cell r="EH277">
            <v>19.333333333333332</v>
          </cell>
          <cell r="EI277">
            <v>5.2452830188679247</v>
          </cell>
          <cell r="EJ277">
            <v>0</v>
          </cell>
          <cell r="EK277">
            <v>0</v>
          </cell>
          <cell r="EL277">
            <v>14.916666666666664</v>
          </cell>
          <cell r="EM277">
            <v>14.916666666666664</v>
          </cell>
          <cell r="EN277">
            <v>4.2452830188679238</v>
          </cell>
          <cell r="EO277">
            <v>0</v>
          </cell>
          <cell r="EP277">
            <v>0</v>
          </cell>
          <cell r="EQ277">
            <v>10.499999999999996</v>
          </cell>
          <cell r="ER277">
            <v>10.499999999999996</v>
          </cell>
          <cell r="ES277">
            <v>3.2452830188679238</v>
          </cell>
          <cell r="ET277">
            <v>0</v>
          </cell>
          <cell r="EU277">
            <v>0</v>
          </cell>
          <cell r="EV277">
            <v>6.0833333333333295</v>
          </cell>
          <cell r="EW277">
            <v>6.0833333333333295</v>
          </cell>
          <cell r="EX277">
            <v>2.2452830188679238</v>
          </cell>
          <cell r="EY277">
            <v>0</v>
          </cell>
          <cell r="EZ277">
            <v>0</v>
          </cell>
          <cell r="FA277">
            <v>1.6666666666666625</v>
          </cell>
          <cell r="FB277">
            <v>1.6666666666666625</v>
          </cell>
          <cell r="FC277">
            <v>1.2452830188679236</v>
          </cell>
          <cell r="FD277">
            <v>3.3333333333333375</v>
          </cell>
          <cell r="FE277">
            <v>0</v>
          </cell>
          <cell r="FF277">
            <v>-2.7500000000000044</v>
          </cell>
          <cell r="FG277">
            <v>-2.7500000000000044</v>
          </cell>
          <cell r="FH277">
            <v>0.24528301886792359</v>
          </cell>
          <cell r="FI277">
            <v>7.7500000000000044</v>
          </cell>
          <cell r="FJ277">
            <v>0</v>
          </cell>
          <cell r="FK277">
            <v>-7.1666666666666714</v>
          </cell>
          <cell r="FL277">
            <v>-7.1666666666666714</v>
          </cell>
          <cell r="FM277">
            <v>-0.75471698113207619</v>
          </cell>
          <cell r="FN277">
            <v>12.166666666666671</v>
          </cell>
          <cell r="FO277">
            <v>0</v>
          </cell>
          <cell r="FP277">
            <v>-11.583333333333339</v>
          </cell>
          <cell r="FQ277">
            <v>-11.583333333333339</v>
          </cell>
          <cell r="FR277">
            <v>-1.7547169811320766</v>
          </cell>
          <cell r="FS277">
            <v>16.583333333333339</v>
          </cell>
          <cell r="FT277">
            <v>5</v>
          </cell>
          <cell r="FU277">
            <v>1</v>
          </cell>
          <cell r="FW277" t="str">
            <v>SOBRESTOCK</v>
          </cell>
          <cell r="FX277" t="str">
            <v>B</v>
          </cell>
          <cell r="FY277" t="str">
            <v>Si</v>
          </cell>
        </row>
        <row r="278">
          <cell r="B278" t="str">
            <v>REP-0292</v>
          </cell>
          <cell r="C278" t="str">
            <v>NAC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AA278">
            <v>0</v>
          </cell>
          <cell r="AB278">
            <v>3</v>
          </cell>
          <cell r="AC278">
            <v>0.16666666666666666</v>
          </cell>
          <cell r="AD278">
            <v>5.5555555555555549E-3</v>
          </cell>
          <cell r="AE278">
            <v>0.25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O278">
            <v>0</v>
          </cell>
          <cell r="AP278">
            <v>0</v>
          </cell>
          <cell r="AQ278" t="str">
            <v/>
          </cell>
          <cell r="AR278">
            <v>0</v>
          </cell>
          <cell r="AS278">
            <v>0</v>
          </cell>
          <cell r="AT278">
            <v>0</v>
          </cell>
          <cell r="AU278" t="str">
            <v/>
          </cell>
          <cell r="AV278">
            <v>0</v>
          </cell>
          <cell r="AW278">
            <v>0</v>
          </cell>
          <cell r="AX278">
            <v>0</v>
          </cell>
          <cell r="AY278" t="str">
            <v/>
          </cell>
          <cell r="AZ278">
            <v>0</v>
          </cell>
          <cell r="BA278">
            <v>0</v>
          </cell>
          <cell r="BB278">
            <v>0</v>
          </cell>
          <cell r="BC278" t="str">
            <v/>
          </cell>
          <cell r="BD278">
            <v>0</v>
          </cell>
          <cell r="BE278">
            <v>0</v>
          </cell>
          <cell r="BF278" t="str">
            <v/>
          </cell>
          <cell r="BG278">
            <v>0</v>
          </cell>
          <cell r="BH278">
            <v>0</v>
          </cell>
          <cell r="BI278">
            <v>0</v>
          </cell>
          <cell r="BJ278" t="str">
            <v/>
          </cell>
          <cell r="BK278">
            <v>0</v>
          </cell>
          <cell r="BL278">
            <v>0</v>
          </cell>
          <cell r="BM278">
            <v>0</v>
          </cell>
          <cell r="BN278" t="str">
            <v/>
          </cell>
          <cell r="BO278">
            <v>0</v>
          </cell>
          <cell r="BP278">
            <v>0</v>
          </cell>
          <cell r="BQ278">
            <v>0</v>
          </cell>
          <cell r="BR278" t="str">
            <v/>
          </cell>
          <cell r="BS278">
            <v>0</v>
          </cell>
          <cell r="BT278">
            <v>0</v>
          </cell>
          <cell r="BU278">
            <v>0</v>
          </cell>
          <cell r="BV278" t="str">
            <v/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 t="str">
            <v/>
          </cell>
          <cell r="CB278">
            <v>0</v>
          </cell>
          <cell r="CD278">
            <v>0</v>
          </cell>
          <cell r="CE278">
            <v>0</v>
          </cell>
          <cell r="CF278" t="str">
            <v/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 t="str">
            <v/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 t="str">
            <v/>
          </cell>
          <cell r="CQ278">
            <v>0</v>
          </cell>
          <cell r="CS278">
            <v>0</v>
          </cell>
          <cell r="CT278">
            <v>0</v>
          </cell>
          <cell r="CU278" t="str">
            <v/>
          </cell>
          <cell r="CV278">
            <v>0</v>
          </cell>
          <cell r="CX278">
            <v>0</v>
          </cell>
          <cell r="CY278">
            <v>0</v>
          </cell>
          <cell r="CZ278" t="str">
            <v/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 t="str">
            <v/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 t="str">
            <v/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 t="str">
            <v/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 t="str">
            <v/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 t="str">
            <v/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 t="str">
            <v/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 t="str">
            <v/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 t="str">
            <v/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 t="str">
            <v/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 t="str">
            <v/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 t="str">
            <v/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 t="str">
            <v/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 t="str">
            <v/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 t="str">
            <v/>
          </cell>
          <cell r="FS278">
            <v>0</v>
          </cell>
          <cell r="FT278">
            <v>0</v>
          </cell>
          <cell r="FU278">
            <v>66.666666666666671</v>
          </cell>
          <cell r="FW278" t="str">
            <v>SIN ROTACIÓN</v>
          </cell>
          <cell r="FX278" t="str">
            <v/>
          </cell>
          <cell r="FY278" t="str">
            <v>No</v>
          </cell>
        </row>
        <row r="279">
          <cell r="B279" t="str">
            <v>REP-0293</v>
          </cell>
          <cell r="C279" t="str">
            <v>NAC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O279">
            <v>0</v>
          </cell>
          <cell r="AP279">
            <v>0</v>
          </cell>
          <cell r="AQ279" t="str">
            <v/>
          </cell>
          <cell r="AR279">
            <v>0</v>
          </cell>
          <cell r="AS279">
            <v>0</v>
          </cell>
          <cell r="AT279">
            <v>0</v>
          </cell>
          <cell r="AU279" t="str">
            <v/>
          </cell>
          <cell r="AV279">
            <v>0</v>
          </cell>
          <cell r="AW279">
            <v>0</v>
          </cell>
          <cell r="AX279">
            <v>0</v>
          </cell>
          <cell r="AY279" t="str">
            <v/>
          </cell>
          <cell r="AZ279">
            <v>0</v>
          </cell>
          <cell r="BA279">
            <v>0</v>
          </cell>
          <cell r="BB279">
            <v>0</v>
          </cell>
          <cell r="BC279" t="str">
            <v/>
          </cell>
          <cell r="BD279">
            <v>0</v>
          </cell>
          <cell r="BE279">
            <v>0</v>
          </cell>
          <cell r="BF279" t="str">
            <v/>
          </cell>
          <cell r="BG279">
            <v>0</v>
          </cell>
          <cell r="BH279">
            <v>0</v>
          </cell>
          <cell r="BI279">
            <v>0</v>
          </cell>
          <cell r="BJ279" t="str">
            <v/>
          </cell>
          <cell r="BK279">
            <v>0</v>
          </cell>
          <cell r="BL279">
            <v>0</v>
          </cell>
          <cell r="BM279">
            <v>0</v>
          </cell>
          <cell r="BN279" t="str">
            <v/>
          </cell>
          <cell r="BO279">
            <v>0</v>
          </cell>
          <cell r="BP279">
            <v>0</v>
          </cell>
          <cell r="BQ279">
            <v>0</v>
          </cell>
          <cell r="BR279" t="str">
            <v/>
          </cell>
          <cell r="BS279">
            <v>0</v>
          </cell>
          <cell r="BT279">
            <v>0</v>
          </cell>
          <cell r="BU279">
            <v>0</v>
          </cell>
          <cell r="BV279" t="str">
            <v/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 t="str">
            <v/>
          </cell>
          <cell r="CB279">
            <v>0</v>
          </cell>
          <cell r="CD279">
            <v>0</v>
          </cell>
          <cell r="CE279">
            <v>0</v>
          </cell>
          <cell r="CF279" t="str">
            <v/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 t="str">
            <v/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 t="str">
            <v/>
          </cell>
          <cell r="CQ279">
            <v>0</v>
          </cell>
          <cell r="CS279">
            <v>0</v>
          </cell>
          <cell r="CT279">
            <v>0</v>
          </cell>
          <cell r="CU279" t="str">
            <v/>
          </cell>
          <cell r="CV279">
            <v>0</v>
          </cell>
          <cell r="CX279">
            <v>0</v>
          </cell>
          <cell r="CY279">
            <v>0</v>
          </cell>
          <cell r="CZ279" t="str">
            <v/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 t="str">
            <v/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 t="str">
            <v/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 t="str">
            <v/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 t="str">
            <v/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 t="str">
            <v/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 t="str">
            <v/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 t="str">
            <v/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 t="str">
            <v/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 t="str">
            <v/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 t="str">
            <v/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 t="str">
            <v/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 t="str">
            <v/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 t="str">
            <v/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 t="str">
            <v/>
          </cell>
          <cell r="FS279">
            <v>0</v>
          </cell>
          <cell r="FT279">
            <v>0</v>
          </cell>
          <cell r="FU279">
            <v>66.666666666666671</v>
          </cell>
          <cell r="FW279" t="str">
            <v>SIN ROTACIÓN</v>
          </cell>
          <cell r="FX279" t="str">
            <v/>
          </cell>
          <cell r="FY279" t="str">
            <v>No</v>
          </cell>
        </row>
        <row r="280">
          <cell r="B280" t="str">
            <v>REP-0294</v>
          </cell>
          <cell r="C280" t="str">
            <v>NAC</v>
          </cell>
          <cell r="D280">
            <v>0</v>
          </cell>
          <cell r="E280">
            <v>78</v>
          </cell>
          <cell r="F280">
            <v>0</v>
          </cell>
          <cell r="G280">
            <v>0</v>
          </cell>
          <cell r="H280">
            <v>8</v>
          </cell>
          <cell r="I280">
            <v>8</v>
          </cell>
          <cell r="J280">
            <v>0</v>
          </cell>
          <cell r="K280">
            <v>13</v>
          </cell>
          <cell r="L280">
            <v>7</v>
          </cell>
          <cell r="M280">
            <v>2</v>
          </cell>
          <cell r="N280">
            <v>3</v>
          </cell>
          <cell r="O280">
            <v>1</v>
          </cell>
          <cell r="P280">
            <v>3</v>
          </cell>
          <cell r="Q280">
            <v>1</v>
          </cell>
          <cell r="R280">
            <v>0</v>
          </cell>
          <cell r="S280">
            <v>5</v>
          </cell>
          <cell r="T280">
            <v>4</v>
          </cell>
          <cell r="U280">
            <v>5</v>
          </cell>
          <cell r="V280">
            <v>2</v>
          </cell>
          <cell r="W280">
            <v>5</v>
          </cell>
          <cell r="X280">
            <v>7</v>
          </cell>
          <cell r="Y280">
            <v>152</v>
          </cell>
          <cell r="AA280">
            <v>152</v>
          </cell>
          <cell r="AB280">
            <v>170</v>
          </cell>
          <cell r="AC280">
            <v>26.333333333333332</v>
          </cell>
          <cell r="AD280">
            <v>0.87777777777777777</v>
          </cell>
          <cell r="AE280">
            <v>25.666666666666668</v>
          </cell>
          <cell r="AF280">
            <v>31.5</v>
          </cell>
          <cell r="AG280">
            <v>37.166666666666664</v>
          </cell>
          <cell r="AH280">
            <v>41.333333333333336</v>
          </cell>
          <cell r="AI280">
            <v>36</v>
          </cell>
          <cell r="AJ280">
            <v>36</v>
          </cell>
          <cell r="AK280">
            <v>41.333333333333336</v>
          </cell>
          <cell r="AL280">
            <v>3.5091151147958786</v>
          </cell>
          <cell r="AM280">
            <v>37.625</v>
          </cell>
          <cell r="AN280">
            <v>9.3265518001219364E-2</v>
          </cell>
          <cell r="AO280">
            <v>0</v>
          </cell>
          <cell r="AP280">
            <v>96.333333333333343</v>
          </cell>
          <cell r="AQ280">
            <v>2.7499999999999996</v>
          </cell>
          <cell r="AR280">
            <v>0</v>
          </cell>
          <cell r="AS280">
            <v>62.666666666666679</v>
          </cell>
          <cell r="AT280">
            <v>147</v>
          </cell>
          <cell r="AU280">
            <v>3.8017241379310347</v>
          </cell>
          <cell r="AV280">
            <v>0</v>
          </cell>
          <cell r="AW280">
            <v>108.33333333333334</v>
          </cell>
          <cell r="AX280">
            <v>232</v>
          </cell>
          <cell r="AY280">
            <v>5.6129032258064511</v>
          </cell>
          <cell r="AZ280">
            <v>0</v>
          </cell>
          <cell r="BA280">
            <v>194.16666666666666</v>
          </cell>
          <cell r="BB280">
            <v>155</v>
          </cell>
          <cell r="BC280">
            <v>2.5833333333333335</v>
          </cell>
          <cell r="BD280">
            <v>0</v>
          </cell>
          <cell r="BE280">
            <v>95</v>
          </cell>
          <cell r="BF280">
            <v>1.5833333333333333</v>
          </cell>
          <cell r="BG280">
            <v>0</v>
          </cell>
          <cell r="BH280">
            <v>35</v>
          </cell>
          <cell r="BI280">
            <v>152</v>
          </cell>
          <cell r="BJ280">
            <v>3.6774193548387095</v>
          </cell>
          <cell r="BK280">
            <v>0</v>
          </cell>
          <cell r="BL280">
            <v>30.333333333333336</v>
          </cell>
          <cell r="BM280">
            <v>144</v>
          </cell>
          <cell r="BN280">
            <v>3.3359073359073359</v>
          </cell>
          <cell r="BO280">
            <v>0</v>
          </cell>
          <cell r="BP280">
            <v>100.83333333333334</v>
          </cell>
          <cell r="BQ280">
            <v>99</v>
          </cell>
          <cell r="BR280">
            <v>2.3951612903225805</v>
          </cell>
          <cell r="BS280">
            <v>0</v>
          </cell>
          <cell r="BT280">
            <v>54.833333333333336</v>
          </cell>
          <cell r="BU280">
            <v>276</v>
          </cell>
          <cell r="BV280">
            <v>6.3206106870229011</v>
          </cell>
          <cell r="BW280">
            <v>0</v>
          </cell>
          <cell r="BX280">
            <v>0</v>
          </cell>
          <cell r="BY280">
            <v>232.33333333333334</v>
          </cell>
          <cell r="BZ280">
            <v>229</v>
          </cell>
          <cell r="CA280">
            <v>5.5990220048899761</v>
          </cell>
          <cell r="CB280">
            <v>0</v>
          </cell>
          <cell r="CC280">
            <v>0</v>
          </cell>
          <cell r="CD280">
            <v>188.1</v>
          </cell>
          <cell r="CE280">
            <v>181</v>
          </cell>
          <cell r="CF280">
            <v>4.3566739606126914</v>
          </cell>
          <cell r="CG280">
            <v>0</v>
          </cell>
          <cell r="CH280">
            <v>0</v>
          </cell>
          <cell r="CI280">
            <v>146.55454545454546</v>
          </cell>
          <cell r="CJ280">
            <v>168</v>
          </cell>
          <cell r="CK280">
            <v>4.064516129032258</v>
          </cell>
          <cell r="CL280">
            <v>0</v>
          </cell>
          <cell r="CM280">
            <v>0</v>
          </cell>
          <cell r="CN280">
            <v>126.66666666666666</v>
          </cell>
          <cell r="CO280">
            <v>124</v>
          </cell>
          <cell r="CP280">
            <v>2.7555555555555555</v>
          </cell>
          <cell r="CQ280">
            <v>0</v>
          </cell>
          <cell r="CR280">
            <v>0</v>
          </cell>
          <cell r="CS280">
            <v>79</v>
          </cell>
          <cell r="CT280">
            <v>289</v>
          </cell>
          <cell r="CU280">
            <v>6.9919354838709671</v>
          </cell>
          <cell r="CV280">
            <v>0</v>
          </cell>
          <cell r="CW280">
            <v>0</v>
          </cell>
          <cell r="CX280">
            <v>247.66666666666666</v>
          </cell>
          <cell r="CY280">
            <v>256</v>
          </cell>
          <cell r="CZ280">
            <v>6.193548387096774</v>
          </cell>
          <cell r="DA280">
            <v>0</v>
          </cell>
          <cell r="DB280">
            <v>0</v>
          </cell>
          <cell r="DC280">
            <v>214.66666666666666</v>
          </cell>
          <cell r="DD280">
            <v>206</v>
          </cell>
          <cell r="DE280">
            <v>3.9677419354838706</v>
          </cell>
          <cell r="DF280">
            <v>0</v>
          </cell>
          <cell r="DG280">
            <v>0</v>
          </cell>
          <cell r="DH280">
            <v>164.66666666666666</v>
          </cell>
          <cell r="DI280">
            <v>165</v>
          </cell>
          <cell r="DJ280">
            <v>4.975806451612903</v>
          </cell>
          <cell r="DK280">
            <v>0</v>
          </cell>
          <cell r="DL280">
            <v>0</v>
          </cell>
          <cell r="DM280">
            <v>123.33333333333331</v>
          </cell>
          <cell r="DN280">
            <v>152</v>
          </cell>
          <cell r="DO280">
            <v>4.661290322580645</v>
          </cell>
          <cell r="DP280">
            <v>0</v>
          </cell>
          <cell r="DQ280">
            <v>0</v>
          </cell>
          <cell r="DR280">
            <v>110.66666666666666</v>
          </cell>
          <cell r="DS280">
            <v>110.66666666666666</v>
          </cell>
          <cell r="DT280">
            <v>3.661290322580645</v>
          </cell>
          <cell r="DU280">
            <v>0</v>
          </cell>
          <cell r="DV280">
            <v>0</v>
          </cell>
          <cell r="DW280">
            <v>69.333333333333314</v>
          </cell>
          <cell r="DX280">
            <v>69.333333333333314</v>
          </cell>
          <cell r="DY280">
            <v>2.6612903225806446</v>
          </cell>
          <cell r="DZ280">
            <v>0</v>
          </cell>
          <cell r="EA280">
            <v>0</v>
          </cell>
          <cell r="EB280">
            <v>27.999999999999979</v>
          </cell>
          <cell r="EC280">
            <v>27.999999999999979</v>
          </cell>
          <cell r="ED280">
            <v>1.6612903225806446</v>
          </cell>
          <cell r="EE280">
            <v>14.000000000000021</v>
          </cell>
          <cell r="EF280">
            <v>0</v>
          </cell>
          <cell r="EG280">
            <v>-13.333333333333357</v>
          </cell>
          <cell r="EH280">
            <v>-13.333333333333357</v>
          </cell>
          <cell r="EI280">
            <v>0.66129032258064457</v>
          </cell>
          <cell r="EJ280">
            <v>55.333333333333357</v>
          </cell>
          <cell r="EK280">
            <v>0</v>
          </cell>
          <cell r="EL280">
            <v>-54.666666666666693</v>
          </cell>
          <cell r="EM280">
            <v>-54.666666666666693</v>
          </cell>
          <cell r="EN280">
            <v>-0.33870967741935498</v>
          </cell>
          <cell r="EO280">
            <v>96.666666666666686</v>
          </cell>
          <cell r="EP280">
            <v>0</v>
          </cell>
          <cell r="EQ280">
            <v>-96.000000000000028</v>
          </cell>
          <cell r="ER280">
            <v>-96.000000000000028</v>
          </cell>
          <cell r="ES280">
            <v>-1.3387096774193554</v>
          </cell>
          <cell r="ET280">
            <v>138.00000000000003</v>
          </cell>
          <cell r="EU280">
            <v>0</v>
          </cell>
          <cell r="EV280">
            <v>-137.33333333333337</v>
          </cell>
          <cell r="EW280">
            <v>-137.33333333333337</v>
          </cell>
          <cell r="EX280">
            <v>-2.3387096774193559</v>
          </cell>
          <cell r="EY280">
            <v>179.33333333333337</v>
          </cell>
          <cell r="EZ280">
            <v>0</v>
          </cell>
          <cell r="FA280">
            <v>-178.66666666666671</v>
          </cell>
          <cell r="FB280">
            <v>-178.66666666666671</v>
          </cell>
          <cell r="FC280">
            <v>-3.3387096774193559</v>
          </cell>
          <cell r="FD280">
            <v>220.66666666666671</v>
          </cell>
          <cell r="FE280">
            <v>0</v>
          </cell>
          <cell r="FF280">
            <v>-220.00000000000006</v>
          </cell>
          <cell r="FG280">
            <v>-220.00000000000006</v>
          </cell>
          <cell r="FH280">
            <v>-4.3387096774193559</v>
          </cell>
          <cell r="FI280">
            <v>262.00000000000006</v>
          </cell>
          <cell r="FJ280">
            <v>0</v>
          </cell>
          <cell r="FK280">
            <v>-261.33333333333337</v>
          </cell>
          <cell r="FL280">
            <v>-261.33333333333337</v>
          </cell>
          <cell r="FM280">
            <v>-5.338709677419355</v>
          </cell>
          <cell r="FN280">
            <v>303.33333333333337</v>
          </cell>
          <cell r="FO280">
            <v>0</v>
          </cell>
          <cell r="FP280">
            <v>-302.66666666666669</v>
          </cell>
          <cell r="FQ280">
            <v>-302.66666666666669</v>
          </cell>
          <cell r="FR280">
            <v>-6.3387096774193541</v>
          </cell>
          <cell r="FS280">
            <v>344.66666666666669</v>
          </cell>
          <cell r="FT280">
            <v>42</v>
          </cell>
          <cell r="FU280">
            <v>1</v>
          </cell>
          <cell r="FW280" t="str">
            <v>SOBRESTOCK</v>
          </cell>
          <cell r="FX280" t="str">
            <v>A</v>
          </cell>
          <cell r="FY280" t="str">
            <v>Si</v>
          </cell>
        </row>
        <row r="281">
          <cell r="B281" t="str">
            <v>REP-0295</v>
          </cell>
          <cell r="C281" t="str">
            <v>NAC</v>
          </cell>
          <cell r="D281">
            <v>0</v>
          </cell>
          <cell r="E281">
            <v>266</v>
          </cell>
          <cell r="F281">
            <v>0</v>
          </cell>
          <cell r="G281">
            <v>0</v>
          </cell>
          <cell r="H281">
            <v>38</v>
          </cell>
          <cell r="I281">
            <v>38</v>
          </cell>
          <cell r="J281">
            <v>0</v>
          </cell>
          <cell r="K281">
            <v>8</v>
          </cell>
          <cell r="L281">
            <v>9</v>
          </cell>
          <cell r="M281">
            <v>4</v>
          </cell>
          <cell r="N281">
            <v>3</v>
          </cell>
          <cell r="O281">
            <v>1</v>
          </cell>
          <cell r="P281">
            <v>4</v>
          </cell>
          <cell r="Q281">
            <v>0</v>
          </cell>
          <cell r="R281">
            <v>5</v>
          </cell>
          <cell r="S281">
            <v>2</v>
          </cell>
          <cell r="T281">
            <v>5</v>
          </cell>
          <cell r="U281">
            <v>0</v>
          </cell>
          <cell r="V281">
            <v>2</v>
          </cell>
          <cell r="W281">
            <v>4</v>
          </cell>
          <cell r="X281">
            <v>13</v>
          </cell>
          <cell r="Y281">
            <v>402</v>
          </cell>
          <cell r="AA281">
            <v>402</v>
          </cell>
          <cell r="AB281">
            <v>151</v>
          </cell>
          <cell r="AC281">
            <v>26.666666666666668</v>
          </cell>
          <cell r="AD281">
            <v>0.88888888888888895</v>
          </cell>
          <cell r="AE281">
            <v>25.583333333333332</v>
          </cell>
          <cell r="AF281">
            <v>33.75</v>
          </cell>
          <cell r="AG281">
            <v>37.833333333333336</v>
          </cell>
          <cell r="AH281">
            <v>32.833333333333336</v>
          </cell>
          <cell r="AI281">
            <v>31.666666666666668</v>
          </cell>
          <cell r="AJ281">
            <v>31.666666666666668</v>
          </cell>
          <cell r="AK281">
            <v>37.833333333333336</v>
          </cell>
          <cell r="AL281">
            <v>2.5492373587234112</v>
          </cell>
          <cell r="AM281">
            <v>33.5</v>
          </cell>
          <cell r="AN281">
            <v>7.609663757383317E-2</v>
          </cell>
          <cell r="AO281">
            <v>0</v>
          </cell>
          <cell r="AP281">
            <v>119.16666666666666</v>
          </cell>
          <cell r="AQ281">
            <v>3.0956521739130429</v>
          </cell>
          <cell r="AR281">
            <v>0</v>
          </cell>
          <cell r="AS281">
            <v>80.333333333333314</v>
          </cell>
          <cell r="AT281">
            <v>166</v>
          </cell>
          <cell r="AU281">
            <v>4.3304347826086955</v>
          </cell>
          <cell r="AV281">
            <v>0</v>
          </cell>
          <cell r="AW281">
            <v>127.66666666666666</v>
          </cell>
          <cell r="AX281">
            <v>251</v>
          </cell>
          <cell r="AY281">
            <v>6.6343612334801758</v>
          </cell>
          <cell r="AZ281">
            <v>0</v>
          </cell>
          <cell r="BA281">
            <v>213.16666666666666</v>
          </cell>
          <cell r="BB281">
            <v>211</v>
          </cell>
          <cell r="BC281">
            <v>4.4265734265734267</v>
          </cell>
          <cell r="BD281">
            <v>0</v>
          </cell>
          <cell r="BE281">
            <v>163.33333333333334</v>
          </cell>
          <cell r="BF281">
            <v>3.4265734265734271</v>
          </cell>
          <cell r="BG281">
            <v>0</v>
          </cell>
          <cell r="BH281">
            <v>115.66666666666669</v>
          </cell>
          <cell r="BI281">
            <v>402</v>
          </cell>
          <cell r="BJ281">
            <v>10.625550660792952</v>
          </cell>
          <cell r="BK281">
            <v>0</v>
          </cell>
          <cell r="BL281">
            <v>94.166666666666657</v>
          </cell>
          <cell r="BM281">
            <v>211</v>
          </cell>
          <cell r="BN281">
            <v>5.5770925110132152</v>
          </cell>
          <cell r="BO281">
            <v>0</v>
          </cell>
          <cell r="BP281">
            <v>173.16666666666666</v>
          </cell>
          <cell r="BQ281">
            <v>173</v>
          </cell>
          <cell r="BR281">
            <v>4.5726872246696031</v>
          </cell>
          <cell r="BS281">
            <v>0</v>
          </cell>
          <cell r="BT281">
            <v>135.16666666666666</v>
          </cell>
          <cell r="BU281">
            <v>347</v>
          </cell>
          <cell r="BV281">
            <v>9.1718061674008808</v>
          </cell>
          <cell r="BW281">
            <v>0</v>
          </cell>
          <cell r="BX281">
            <v>0</v>
          </cell>
          <cell r="BY281">
            <v>309.16666666666669</v>
          </cell>
          <cell r="BZ281">
            <v>309</v>
          </cell>
          <cell r="CA281">
            <v>8.1674008810572687</v>
          </cell>
          <cell r="CB281">
            <v>0</v>
          </cell>
          <cell r="CC281">
            <v>0</v>
          </cell>
          <cell r="CD281">
            <v>271.16666666666669</v>
          </cell>
          <cell r="CE281">
            <v>279</v>
          </cell>
          <cell r="CF281">
            <v>7.3744493392070476</v>
          </cell>
          <cell r="CG281">
            <v>0</v>
          </cell>
          <cell r="CH281">
            <v>0</v>
          </cell>
          <cell r="CI281">
            <v>233.33333333333334</v>
          </cell>
          <cell r="CJ281">
            <v>300</v>
          </cell>
          <cell r="CK281">
            <v>7.9295154185022021</v>
          </cell>
          <cell r="CL281">
            <v>0</v>
          </cell>
          <cell r="CM281">
            <v>0</v>
          </cell>
          <cell r="CN281">
            <v>262.16666666666669</v>
          </cell>
          <cell r="CO281">
            <v>294</v>
          </cell>
          <cell r="CP281">
            <v>7.7368421052631575</v>
          </cell>
          <cell r="CQ281">
            <v>0</v>
          </cell>
          <cell r="CR281">
            <v>0</v>
          </cell>
          <cell r="CS281">
            <v>256</v>
          </cell>
          <cell r="CT281">
            <v>495</v>
          </cell>
          <cell r="CU281">
            <v>13.083700440528634</v>
          </cell>
          <cell r="CV281">
            <v>0</v>
          </cell>
          <cell r="CW281">
            <v>0</v>
          </cell>
          <cell r="CX281">
            <v>457.16666666666669</v>
          </cell>
          <cell r="CY281">
            <v>451</v>
          </cell>
          <cell r="CZ281">
            <v>11.920704845814978</v>
          </cell>
          <cell r="DA281">
            <v>0</v>
          </cell>
          <cell r="DB281">
            <v>0</v>
          </cell>
          <cell r="DC281">
            <v>413.16666666666669</v>
          </cell>
          <cell r="DD281">
            <v>423</v>
          </cell>
          <cell r="DE281">
            <v>10.176211453744493</v>
          </cell>
          <cell r="DF281">
            <v>0</v>
          </cell>
          <cell r="DG281">
            <v>0</v>
          </cell>
          <cell r="DH281">
            <v>385.16666666666669</v>
          </cell>
          <cell r="DI281">
            <v>385</v>
          </cell>
          <cell r="DJ281">
            <v>11.171806167400881</v>
          </cell>
          <cell r="DK281">
            <v>0</v>
          </cell>
          <cell r="DL281">
            <v>0</v>
          </cell>
          <cell r="DM281">
            <v>347.33333333333337</v>
          </cell>
          <cell r="DN281">
            <v>402</v>
          </cell>
          <cell r="DO281">
            <v>11.621145374449339</v>
          </cell>
          <cell r="DP281">
            <v>0</v>
          </cell>
          <cell r="DQ281">
            <v>0</v>
          </cell>
          <cell r="DR281">
            <v>364.16666666666669</v>
          </cell>
          <cell r="DS281">
            <v>364.16666666666669</v>
          </cell>
          <cell r="DT281">
            <v>10.621145374449339</v>
          </cell>
          <cell r="DU281">
            <v>0</v>
          </cell>
          <cell r="DV281">
            <v>0</v>
          </cell>
          <cell r="DW281">
            <v>326.33333333333337</v>
          </cell>
          <cell r="DX281">
            <v>326.33333333333337</v>
          </cell>
          <cell r="DY281">
            <v>9.6211453744493394</v>
          </cell>
          <cell r="DZ281">
            <v>0</v>
          </cell>
          <cell r="EA281">
            <v>0</v>
          </cell>
          <cell r="EB281">
            <v>288.50000000000006</v>
          </cell>
          <cell r="EC281">
            <v>288.50000000000006</v>
          </cell>
          <cell r="ED281">
            <v>8.6211453744493411</v>
          </cell>
          <cell r="EE281">
            <v>0</v>
          </cell>
          <cell r="EF281">
            <v>0</v>
          </cell>
          <cell r="EG281">
            <v>250.66666666666671</v>
          </cell>
          <cell r="EH281">
            <v>250.66666666666671</v>
          </cell>
          <cell r="EI281">
            <v>7.6211453744493403</v>
          </cell>
          <cell r="EJ281">
            <v>0</v>
          </cell>
          <cell r="EK281">
            <v>0</v>
          </cell>
          <cell r="EL281">
            <v>212.83333333333337</v>
          </cell>
          <cell r="EM281">
            <v>212.83333333333337</v>
          </cell>
          <cell r="EN281">
            <v>6.6211453744493403</v>
          </cell>
          <cell r="EO281">
            <v>0</v>
          </cell>
          <cell r="EP281">
            <v>0</v>
          </cell>
          <cell r="EQ281">
            <v>175.00000000000003</v>
          </cell>
          <cell r="ER281">
            <v>175.00000000000003</v>
          </cell>
          <cell r="ES281">
            <v>5.6211453744493394</v>
          </cell>
          <cell r="ET281">
            <v>0</v>
          </cell>
          <cell r="EU281">
            <v>0</v>
          </cell>
          <cell r="EV281">
            <v>137.16666666666669</v>
          </cell>
          <cell r="EW281">
            <v>137.16666666666669</v>
          </cell>
          <cell r="EX281">
            <v>4.6211453744493394</v>
          </cell>
          <cell r="EY281">
            <v>0</v>
          </cell>
          <cell r="EZ281">
            <v>0</v>
          </cell>
          <cell r="FA281">
            <v>99.333333333333343</v>
          </cell>
          <cell r="FB281">
            <v>99.333333333333343</v>
          </cell>
          <cell r="FC281">
            <v>3.6211453744493394</v>
          </cell>
          <cell r="FD281">
            <v>0</v>
          </cell>
          <cell r="FE281">
            <v>0</v>
          </cell>
          <cell r="FF281">
            <v>61.500000000000007</v>
          </cell>
          <cell r="FG281">
            <v>61.500000000000007</v>
          </cell>
          <cell r="FH281">
            <v>2.6211453744493394</v>
          </cell>
          <cell r="FI281">
            <v>0</v>
          </cell>
          <cell r="FJ281">
            <v>0</v>
          </cell>
          <cell r="FK281">
            <v>23.666666666666671</v>
          </cell>
          <cell r="FL281">
            <v>23.666666666666671</v>
          </cell>
          <cell r="FM281">
            <v>1.6211453744493394</v>
          </cell>
          <cell r="FN281">
            <v>14.333333333333329</v>
          </cell>
          <cell r="FO281">
            <v>0</v>
          </cell>
          <cell r="FP281">
            <v>-14.166666666666664</v>
          </cell>
          <cell r="FQ281">
            <v>-14.166666666666664</v>
          </cell>
          <cell r="FR281">
            <v>0.62114537444933937</v>
          </cell>
          <cell r="FS281">
            <v>52.166666666666664</v>
          </cell>
          <cell r="FT281">
            <v>38</v>
          </cell>
          <cell r="FU281">
            <v>1</v>
          </cell>
          <cell r="FW281" t="str">
            <v>SOBRESTOCK</v>
          </cell>
          <cell r="FX281" t="str">
            <v>A</v>
          </cell>
          <cell r="FY281" t="str">
            <v>Si</v>
          </cell>
        </row>
        <row r="282">
          <cell r="B282" t="str">
            <v>REP-0296</v>
          </cell>
          <cell r="C282" t="str">
            <v>NAC</v>
          </cell>
          <cell r="D282">
            <v>0</v>
          </cell>
          <cell r="E282">
            <v>1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1</v>
          </cell>
          <cell r="L282">
            <v>1</v>
          </cell>
          <cell r="M282">
            <v>2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6</v>
          </cell>
          <cell r="AA282">
            <v>6</v>
          </cell>
          <cell r="AB282">
            <v>1</v>
          </cell>
          <cell r="AC282">
            <v>0.16666666666666666</v>
          </cell>
          <cell r="AD282">
            <v>5.5555555555555549E-3</v>
          </cell>
          <cell r="AE282">
            <v>0.16666666666666666</v>
          </cell>
          <cell r="AF282">
            <v>0.41666666666666669</v>
          </cell>
          <cell r="AG282">
            <v>0.25</v>
          </cell>
          <cell r="AH282">
            <v>8.3333333333333329E-2</v>
          </cell>
          <cell r="AI282">
            <v>0</v>
          </cell>
          <cell r="AJ282">
            <v>0</v>
          </cell>
          <cell r="AK282">
            <v>0.25</v>
          </cell>
          <cell r="AL282">
            <v>0.11785113019775792</v>
          </cell>
          <cell r="AM282">
            <v>8.3333333333333329E-2</v>
          </cell>
          <cell r="AN282">
            <v>1.4142135623730951</v>
          </cell>
          <cell r="AO282">
            <v>0</v>
          </cell>
          <cell r="AP282">
            <v>8.75</v>
          </cell>
          <cell r="AQ282">
            <v>20.6</v>
          </cell>
          <cell r="AR282">
            <v>0</v>
          </cell>
          <cell r="AS282">
            <v>8.1666666666666679</v>
          </cell>
          <cell r="AT282">
            <v>9</v>
          </cell>
          <cell r="AU282">
            <v>36</v>
          </cell>
          <cell r="AV282">
            <v>0</v>
          </cell>
          <cell r="AW282">
            <v>8.75</v>
          </cell>
          <cell r="AX282">
            <v>9</v>
          </cell>
          <cell r="AY282">
            <v>36</v>
          </cell>
          <cell r="AZ282">
            <v>0</v>
          </cell>
          <cell r="BA282">
            <v>8.75</v>
          </cell>
          <cell r="BB282">
            <v>9</v>
          </cell>
          <cell r="BC282">
            <v>36</v>
          </cell>
          <cell r="BD282">
            <v>0</v>
          </cell>
          <cell r="BE282">
            <v>8.75</v>
          </cell>
          <cell r="BF282">
            <v>35</v>
          </cell>
          <cell r="BG282">
            <v>0</v>
          </cell>
          <cell r="BH282">
            <v>8.5</v>
          </cell>
          <cell r="BI282">
            <v>6</v>
          </cell>
          <cell r="BJ282">
            <v>24</v>
          </cell>
          <cell r="BK282">
            <v>0</v>
          </cell>
          <cell r="BL282">
            <v>7.75</v>
          </cell>
          <cell r="BM282">
            <v>9</v>
          </cell>
          <cell r="BN282">
            <v>36</v>
          </cell>
          <cell r="BO282">
            <v>0</v>
          </cell>
          <cell r="BP282">
            <v>8.75</v>
          </cell>
          <cell r="BQ282">
            <v>8</v>
          </cell>
          <cell r="BR282">
            <v>32</v>
          </cell>
          <cell r="BS282">
            <v>0</v>
          </cell>
          <cell r="BT282">
            <v>7.75</v>
          </cell>
          <cell r="BU282">
            <v>8</v>
          </cell>
          <cell r="BV282">
            <v>32</v>
          </cell>
          <cell r="BW282">
            <v>0</v>
          </cell>
          <cell r="BX282">
            <v>0</v>
          </cell>
          <cell r="BY282">
            <v>7.75</v>
          </cell>
          <cell r="BZ282">
            <v>8</v>
          </cell>
          <cell r="CA282">
            <v>32</v>
          </cell>
          <cell r="CB282">
            <v>0</v>
          </cell>
          <cell r="CC282">
            <v>0</v>
          </cell>
          <cell r="CD282">
            <v>7.75</v>
          </cell>
          <cell r="CE282">
            <v>8</v>
          </cell>
          <cell r="CF282">
            <v>32</v>
          </cell>
          <cell r="CG282">
            <v>0</v>
          </cell>
          <cell r="CH282">
            <v>0</v>
          </cell>
          <cell r="CI282">
            <v>7.5</v>
          </cell>
          <cell r="CJ282">
            <v>8</v>
          </cell>
          <cell r="CK282">
            <v>32</v>
          </cell>
          <cell r="CL282">
            <v>0</v>
          </cell>
          <cell r="CM282">
            <v>0</v>
          </cell>
          <cell r="CN282">
            <v>7.75</v>
          </cell>
          <cell r="CO282">
            <v>9</v>
          </cell>
          <cell r="CP282">
            <v>36</v>
          </cell>
          <cell r="CQ282">
            <v>0</v>
          </cell>
          <cell r="CR282">
            <v>0</v>
          </cell>
          <cell r="CS282">
            <v>8.75</v>
          </cell>
          <cell r="CT282">
            <v>9</v>
          </cell>
          <cell r="CU282">
            <v>36</v>
          </cell>
          <cell r="CV282">
            <v>0</v>
          </cell>
          <cell r="CW282">
            <v>0</v>
          </cell>
          <cell r="CX282">
            <v>8.75</v>
          </cell>
          <cell r="CY282">
            <v>11</v>
          </cell>
          <cell r="CZ282">
            <v>44</v>
          </cell>
          <cell r="DA282">
            <v>0</v>
          </cell>
          <cell r="DB282">
            <v>0</v>
          </cell>
          <cell r="DC282">
            <v>10.75</v>
          </cell>
          <cell r="DD282">
            <v>8</v>
          </cell>
          <cell r="DE282">
            <v>28</v>
          </cell>
          <cell r="DF282">
            <v>0</v>
          </cell>
          <cell r="DG282">
            <v>0</v>
          </cell>
          <cell r="DH282">
            <v>7.75</v>
          </cell>
          <cell r="DI282">
            <v>8</v>
          </cell>
          <cell r="DJ282">
            <v>30</v>
          </cell>
          <cell r="DK282">
            <v>0</v>
          </cell>
          <cell r="DL282">
            <v>0</v>
          </cell>
          <cell r="DM282">
            <v>7.5</v>
          </cell>
          <cell r="DN282">
            <v>6</v>
          </cell>
          <cell r="DO282">
            <v>22</v>
          </cell>
          <cell r="DP282">
            <v>0</v>
          </cell>
          <cell r="DQ282">
            <v>0</v>
          </cell>
          <cell r="DR282">
            <v>5.75</v>
          </cell>
          <cell r="DS282">
            <v>5.75</v>
          </cell>
          <cell r="DT282">
            <v>21</v>
          </cell>
          <cell r="DU282">
            <v>0</v>
          </cell>
          <cell r="DV282">
            <v>0</v>
          </cell>
          <cell r="DW282">
            <v>5.5</v>
          </cell>
          <cell r="DX282">
            <v>5.5</v>
          </cell>
          <cell r="DY282">
            <v>20</v>
          </cell>
          <cell r="DZ282">
            <v>0</v>
          </cell>
          <cell r="EA282">
            <v>0</v>
          </cell>
          <cell r="EB282">
            <v>5.25</v>
          </cell>
          <cell r="EC282">
            <v>5.25</v>
          </cell>
          <cell r="ED282">
            <v>19</v>
          </cell>
          <cell r="EE282">
            <v>0</v>
          </cell>
          <cell r="EF282">
            <v>0</v>
          </cell>
          <cell r="EG282">
            <v>5</v>
          </cell>
          <cell r="EH282">
            <v>5</v>
          </cell>
          <cell r="EI282">
            <v>18</v>
          </cell>
          <cell r="EJ282">
            <v>0</v>
          </cell>
          <cell r="EK282">
            <v>0</v>
          </cell>
          <cell r="EL282">
            <v>4.75</v>
          </cell>
          <cell r="EM282">
            <v>4.75</v>
          </cell>
          <cell r="EN282">
            <v>17</v>
          </cell>
          <cell r="EO282">
            <v>0</v>
          </cell>
          <cell r="EP282">
            <v>0</v>
          </cell>
          <cell r="EQ282">
            <v>4.5</v>
          </cell>
          <cell r="ER282">
            <v>4.5</v>
          </cell>
          <cell r="ES282">
            <v>16</v>
          </cell>
          <cell r="ET282">
            <v>0</v>
          </cell>
          <cell r="EU282">
            <v>0</v>
          </cell>
          <cell r="EV282">
            <v>4.25</v>
          </cell>
          <cell r="EW282">
            <v>4.25</v>
          </cell>
          <cell r="EX282">
            <v>15</v>
          </cell>
          <cell r="EY282">
            <v>0</v>
          </cell>
          <cell r="EZ282">
            <v>0</v>
          </cell>
          <cell r="FA282">
            <v>4</v>
          </cell>
          <cell r="FB282">
            <v>4</v>
          </cell>
          <cell r="FC282">
            <v>14</v>
          </cell>
          <cell r="FD282">
            <v>0</v>
          </cell>
          <cell r="FE282">
            <v>0</v>
          </cell>
          <cell r="FF282">
            <v>3.75</v>
          </cell>
          <cell r="FG282">
            <v>3.75</v>
          </cell>
          <cell r="FH282">
            <v>13</v>
          </cell>
          <cell r="FI282">
            <v>0</v>
          </cell>
          <cell r="FJ282">
            <v>0</v>
          </cell>
          <cell r="FK282">
            <v>3.5</v>
          </cell>
          <cell r="FL282">
            <v>3.5</v>
          </cell>
          <cell r="FM282">
            <v>12</v>
          </cell>
          <cell r="FN282">
            <v>0</v>
          </cell>
          <cell r="FO282">
            <v>0</v>
          </cell>
          <cell r="FP282">
            <v>3.25</v>
          </cell>
          <cell r="FQ282">
            <v>3.25</v>
          </cell>
          <cell r="FR282">
            <v>11</v>
          </cell>
          <cell r="FS282">
            <v>0</v>
          </cell>
          <cell r="FT282">
            <v>1</v>
          </cell>
          <cell r="FU282">
            <v>1</v>
          </cell>
          <cell r="FW282" t="str">
            <v>SIN ROTACIÓN</v>
          </cell>
          <cell r="FX282" t="str">
            <v>C</v>
          </cell>
          <cell r="FY282" t="str">
            <v>Si</v>
          </cell>
        </row>
        <row r="283">
          <cell r="B283" t="str">
            <v>REP-0297</v>
          </cell>
          <cell r="C283" t="str">
            <v>NO VIGENTE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AA283">
            <v>0</v>
          </cell>
          <cell r="AB283">
            <v>1</v>
          </cell>
          <cell r="AC283">
            <v>0.16666666666666666</v>
          </cell>
          <cell r="AD283">
            <v>5.5555555555555549E-3</v>
          </cell>
          <cell r="AE283">
            <v>0.16666666666666666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O283">
            <v>0</v>
          </cell>
          <cell r="AP283">
            <v>0</v>
          </cell>
          <cell r="AQ283" t="str">
            <v/>
          </cell>
          <cell r="AR283">
            <v>0</v>
          </cell>
          <cell r="AS283">
            <v>0</v>
          </cell>
          <cell r="AT283">
            <v>0</v>
          </cell>
          <cell r="AU283" t="str">
            <v/>
          </cell>
          <cell r="AV283">
            <v>0</v>
          </cell>
          <cell r="AW283">
            <v>0</v>
          </cell>
          <cell r="AX283">
            <v>0</v>
          </cell>
          <cell r="AY283" t="str">
            <v/>
          </cell>
          <cell r="AZ283">
            <v>0</v>
          </cell>
          <cell r="BA283">
            <v>0</v>
          </cell>
          <cell r="BB283">
            <v>0</v>
          </cell>
          <cell r="BC283" t="str">
            <v/>
          </cell>
          <cell r="BD283">
            <v>0</v>
          </cell>
          <cell r="BE283">
            <v>0</v>
          </cell>
          <cell r="BF283" t="str">
            <v/>
          </cell>
          <cell r="BG283">
            <v>0</v>
          </cell>
          <cell r="BH283">
            <v>0</v>
          </cell>
          <cell r="BI283">
            <v>0</v>
          </cell>
          <cell r="BJ283" t="str">
            <v/>
          </cell>
          <cell r="BK283">
            <v>0</v>
          </cell>
          <cell r="BL283">
            <v>0</v>
          </cell>
          <cell r="BM283">
            <v>0</v>
          </cell>
          <cell r="BN283" t="str">
            <v/>
          </cell>
          <cell r="BO283">
            <v>0</v>
          </cell>
          <cell r="BP283">
            <v>0</v>
          </cell>
          <cell r="BQ283">
            <v>0</v>
          </cell>
          <cell r="BR283" t="str">
            <v/>
          </cell>
          <cell r="BS283">
            <v>0</v>
          </cell>
          <cell r="BT283">
            <v>0</v>
          </cell>
          <cell r="BU283">
            <v>0</v>
          </cell>
          <cell r="BV283" t="str">
            <v/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 t="str">
            <v/>
          </cell>
          <cell r="CB283">
            <v>0</v>
          </cell>
          <cell r="CD283">
            <v>0</v>
          </cell>
          <cell r="CE283">
            <v>0</v>
          </cell>
          <cell r="CF283" t="str">
            <v/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 t="str">
            <v/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 t="str">
            <v/>
          </cell>
          <cell r="CQ283">
            <v>0</v>
          </cell>
          <cell r="CS283">
            <v>0</v>
          </cell>
          <cell r="CT283">
            <v>0</v>
          </cell>
          <cell r="CU283" t="str">
            <v/>
          </cell>
          <cell r="CV283">
            <v>0</v>
          </cell>
          <cell r="CX283">
            <v>0</v>
          </cell>
          <cell r="CY283">
            <v>0</v>
          </cell>
          <cell r="CZ283" t="str">
            <v/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 t="str">
            <v/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 t="str">
            <v/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 t="str">
            <v/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 t="str">
            <v/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 t="str">
            <v/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 t="str">
            <v/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 t="str">
            <v/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 t="str">
            <v/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 t="str">
            <v/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 t="str">
            <v/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 t="str">
            <v/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 t="str">
            <v/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 t="str">
            <v/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 t="str">
            <v/>
          </cell>
          <cell r="FS283">
            <v>0</v>
          </cell>
          <cell r="FT283">
            <v>0</v>
          </cell>
          <cell r="FU283">
            <v>66.666666666666671</v>
          </cell>
          <cell r="FW283" t="str">
            <v>SIN ROTACIÓN</v>
          </cell>
          <cell r="FX283">
            <v>0</v>
          </cell>
          <cell r="FY283" t="str">
            <v>No</v>
          </cell>
        </row>
        <row r="284">
          <cell r="B284" t="str">
            <v>REP-0298</v>
          </cell>
          <cell r="C284" t="str">
            <v>NAC</v>
          </cell>
          <cell r="D284">
            <v>0</v>
          </cell>
          <cell r="E284">
            <v>1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1</v>
          </cell>
          <cell r="AA284">
            <v>1</v>
          </cell>
          <cell r="AB284">
            <v>9</v>
          </cell>
          <cell r="AC284">
            <v>0.66666666666666663</v>
          </cell>
          <cell r="AD284">
            <v>2.222222222222222E-2</v>
          </cell>
          <cell r="AE284">
            <v>1.0833333333333333</v>
          </cell>
          <cell r="AF284">
            <v>0</v>
          </cell>
          <cell r="AG284">
            <v>0</v>
          </cell>
          <cell r="AH284">
            <v>8.3333333333333329E-2</v>
          </cell>
          <cell r="AI284">
            <v>0</v>
          </cell>
          <cell r="AJ284">
            <v>0</v>
          </cell>
          <cell r="AK284">
            <v>8.3333333333333329E-2</v>
          </cell>
          <cell r="AL284">
            <v>4.1666666666666664E-2</v>
          </cell>
          <cell r="AM284">
            <v>2.0833333333333332E-2</v>
          </cell>
          <cell r="AN284">
            <v>2</v>
          </cell>
          <cell r="AO284">
            <v>0</v>
          </cell>
          <cell r="AP284">
            <v>2</v>
          </cell>
          <cell r="AQ284" t="str">
            <v/>
          </cell>
          <cell r="AR284">
            <v>0</v>
          </cell>
          <cell r="AS284">
            <v>2</v>
          </cell>
          <cell r="AT284">
            <v>2</v>
          </cell>
          <cell r="AU284" t="str">
            <v/>
          </cell>
          <cell r="AV284">
            <v>0</v>
          </cell>
          <cell r="AW284">
            <v>2</v>
          </cell>
          <cell r="AX284">
            <v>2</v>
          </cell>
          <cell r="AY284">
            <v>24</v>
          </cell>
          <cell r="AZ284">
            <v>0</v>
          </cell>
          <cell r="BA284">
            <v>2</v>
          </cell>
          <cell r="BB284">
            <v>2</v>
          </cell>
          <cell r="BC284" t="str">
            <v/>
          </cell>
          <cell r="BD284">
            <v>0</v>
          </cell>
          <cell r="BE284">
            <v>2</v>
          </cell>
          <cell r="BF284" t="str">
            <v/>
          </cell>
          <cell r="BG284">
            <v>0</v>
          </cell>
          <cell r="BH284">
            <v>2</v>
          </cell>
          <cell r="BI284">
            <v>1</v>
          </cell>
          <cell r="BJ284">
            <v>12</v>
          </cell>
          <cell r="BK284">
            <v>0</v>
          </cell>
          <cell r="BL284">
            <v>2</v>
          </cell>
          <cell r="BM284">
            <v>2</v>
          </cell>
          <cell r="BN284" t="str">
            <v/>
          </cell>
          <cell r="BO284">
            <v>0</v>
          </cell>
          <cell r="BP284">
            <v>2</v>
          </cell>
          <cell r="BQ284">
            <v>2</v>
          </cell>
          <cell r="BR284">
            <v>24</v>
          </cell>
          <cell r="BS284">
            <v>0</v>
          </cell>
          <cell r="BT284">
            <v>2</v>
          </cell>
          <cell r="BU284">
            <v>2</v>
          </cell>
          <cell r="BV284" t="str">
            <v/>
          </cell>
          <cell r="BW284">
            <v>0</v>
          </cell>
          <cell r="BX284">
            <v>0</v>
          </cell>
          <cell r="BY284">
            <v>2</v>
          </cell>
          <cell r="BZ284">
            <v>2</v>
          </cell>
          <cell r="CA284" t="str">
            <v/>
          </cell>
          <cell r="CB284">
            <v>0</v>
          </cell>
          <cell r="CC284">
            <v>0</v>
          </cell>
          <cell r="CD284">
            <v>2</v>
          </cell>
          <cell r="CE284">
            <v>1</v>
          </cell>
          <cell r="CF284">
            <v>6</v>
          </cell>
          <cell r="CG284">
            <v>1</v>
          </cell>
          <cell r="CH284">
            <v>0</v>
          </cell>
          <cell r="CI284">
            <v>2.8333333333333335</v>
          </cell>
          <cell r="CJ284">
            <v>1</v>
          </cell>
          <cell r="CK284">
            <v>6</v>
          </cell>
          <cell r="CL284">
            <v>1</v>
          </cell>
          <cell r="CM284">
            <v>0</v>
          </cell>
          <cell r="CN284">
            <v>0.83333333333333337</v>
          </cell>
          <cell r="CO284">
            <v>1</v>
          </cell>
          <cell r="CP284">
            <v>6</v>
          </cell>
          <cell r="CQ284">
            <v>1.1666666666666665</v>
          </cell>
          <cell r="CR284">
            <v>0</v>
          </cell>
          <cell r="CS284">
            <v>0.83333333333333337</v>
          </cell>
          <cell r="CT284">
            <v>1</v>
          </cell>
          <cell r="CU284">
            <v>6</v>
          </cell>
          <cell r="CV284">
            <v>0</v>
          </cell>
          <cell r="CW284">
            <v>0</v>
          </cell>
          <cell r="CX284">
            <v>0.83333333333333337</v>
          </cell>
          <cell r="CY284">
            <v>1</v>
          </cell>
          <cell r="CZ284">
            <v>12</v>
          </cell>
          <cell r="DA284">
            <v>0.16666666666666663</v>
          </cell>
          <cell r="DB284">
            <v>0</v>
          </cell>
          <cell r="DC284">
            <v>0.91666666666666663</v>
          </cell>
          <cell r="DD284">
            <v>1</v>
          </cell>
          <cell r="DE284">
            <v>0</v>
          </cell>
          <cell r="DF284">
            <v>0</v>
          </cell>
          <cell r="DG284">
            <v>0</v>
          </cell>
          <cell r="DH284">
            <v>0.83333333333333337</v>
          </cell>
          <cell r="DI284">
            <v>1</v>
          </cell>
          <cell r="DJ284">
            <v>2</v>
          </cell>
          <cell r="DK284">
            <v>0</v>
          </cell>
          <cell r="DL284">
            <v>0</v>
          </cell>
          <cell r="DM284">
            <v>0.75</v>
          </cell>
          <cell r="DN284">
            <v>1</v>
          </cell>
          <cell r="DO284">
            <v>2</v>
          </cell>
          <cell r="DP284">
            <v>0</v>
          </cell>
          <cell r="DQ284">
            <v>0</v>
          </cell>
          <cell r="DR284">
            <v>0.91666666666666663</v>
          </cell>
          <cell r="DS284">
            <v>0.91666666666666663</v>
          </cell>
          <cell r="DT284">
            <v>0.99999999999999956</v>
          </cell>
          <cell r="DU284">
            <v>8.333333333333337E-2</v>
          </cell>
          <cell r="DV284">
            <v>0</v>
          </cell>
          <cell r="DW284">
            <v>0.83333333333333326</v>
          </cell>
          <cell r="DX284">
            <v>0.83333333333333326</v>
          </cell>
          <cell r="DY284">
            <v>-8.8817841970012523E-16</v>
          </cell>
          <cell r="DZ284">
            <v>0.16666666666666674</v>
          </cell>
          <cell r="EA284">
            <v>0</v>
          </cell>
          <cell r="EB284">
            <v>0.74999999999999989</v>
          </cell>
          <cell r="EC284">
            <v>0.74999999999999989</v>
          </cell>
          <cell r="ED284">
            <v>-1.0000000000000013</v>
          </cell>
          <cell r="EE284">
            <v>0.25000000000000011</v>
          </cell>
          <cell r="EF284">
            <v>0</v>
          </cell>
          <cell r="EG284">
            <v>0.66666666666666652</v>
          </cell>
          <cell r="EH284">
            <v>0.66666666666666652</v>
          </cell>
          <cell r="EI284">
            <v>-2.0000000000000018</v>
          </cell>
          <cell r="EJ284">
            <v>0.33333333333333348</v>
          </cell>
          <cell r="EK284">
            <v>0</v>
          </cell>
          <cell r="EL284">
            <v>0.58333333333333315</v>
          </cell>
          <cell r="EM284">
            <v>0.58333333333333315</v>
          </cell>
          <cell r="EN284">
            <v>-3.0000000000000027</v>
          </cell>
          <cell r="EO284">
            <v>0.41666666666666685</v>
          </cell>
          <cell r="EP284">
            <v>0</v>
          </cell>
          <cell r="EQ284">
            <v>0.49999999999999983</v>
          </cell>
          <cell r="ER284">
            <v>0.49999999999999983</v>
          </cell>
          <cell r="ES284">
            <v>-4.0000000000000027</v>
          </cell>
          <cell r="ET284">
            <v>0.50000000000000022</v>
          </cell>
          <cell r="EU284">
            <v>0</v>
          </cell>
          <cell r="EV284">
            <v>0.41666666666666652</v>
          </cell>
          <cell r="EW284">
            <v>0.41666666666666652</v>
          </cell>
          <cell r="EX284">
            <v>-5.0000000000000018</v>
          </cell>
          <cell r="EY284">
            <v>0.58333333333333348</v>
          </cell>
          <cell r="EZ284">
            <v>0</v>
          </cell>
          <cell r="FA284">
            <v>0.3333333333333332</v>
          </cell>
          <cell r="FB284">
            <v>0.3333333333333332</v>
          </cell>
          <cell r="FC284">
            <v>-6.0000000000000018</v>
          </cell>
          <cell r="FD284">
            <v>0.66666666666666674</v>
          </cell>
          <cell r="FE284">
            <v>0</v>
          </cell>
          <cell r="FF284">
            <v>0.24999999999999989</v>
          </cell>
          <cell r="FG284">
            <v>0.24999999999999989</v>
          </cell>
          <cell r="FH284">
            <v>-7.0000000000000018</v>
          </cell>
          <cell r="FI284">
            <v>0.75000000000000011</v>
          </cell>
          <cell r="FJ284">
            <v>0</v>
          </cell>
          <cell r="FK284">
            <v>0.16666666666666657</v>
          </cell>
          <cell r="FL284">
            <v>0.16666666666666657</v>
          </cell>
          <cell r="FM284">
            <v>-8.0000000000000018</v>
          </cell>
          <cell r="FN284">
            <v>0.83333333333333348</v>
          </cell>
          <cell r="FO284">
            <v>0</v>
          </cell>
          <cell r="FP284">
            <v>8.3333333333333245E-2</v>
          </cell>
          <cell r="FQ284">
            <v>8.3333333333333245E-2</v>
          </cell>
          <cell r="FR284">
            <v>-9.0000000000000018</v>
          </cell>
          <cell r="FS284">
            <v>0.91666666666666674</v>
          </cell>
          <cell r="FT284">
            <v>1</v>
          </cell>
          <cell r="FU284">
            <v>3</v>
          </cell>
          <cell r="FW284" t="str">
            <v>SIN ROTACIÓN</v>
          </cell>
          <cell r="FX284" t="str">
            <v>C</v>
          </cell>
          <cell r="FY284" t="str">
            <v>Si</v>
          </cell>
        </row>
        <row r="285">
          <cell r="B285" t="str">
            <v>REP-0299</v>
          </cell>
          <cell r="C285" t="str">
            <v>NAC</v>
          </cell>
          <cell r="D285">
            <v>0</v>
          </cell>
          <cell r="E285">
            <v>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2</v>
          </cell>
          <cell r="O285">
            <v>0</v>
          </cell>
          <cell r="P285">
            <v>0</v>
          </cell>
          <cell r="Q285">
            <v>1</v>
          </cell>
          <cell r="R285">
            <v>2</v>
          </cell>
          <cell r="S285">
            <v>0</v>
          </cell>
          <cell r="T285">
            <v>0</v>
          </cell>
          <cell r="U285">
            <v>0</v>
          </cell>
          <cell r="V285">
            <v>2</v>
          </cell>
          <cell r="W285">
            <v>0</v>
          </cell>
          <cell r="X285">
            <v>1</v>
          </cell>
          <cell r="Y285">
            <v>9</v>
          </cell>
          <cell r="AA285">
            <v>9</v>
          </cell>
          <cell r="AB285">
            <v>1</v>
          </cell>
          <cell r="AC285">
            <v>0.16666666666666666</v>
          </cell>
          <cell r="AD285">
            <v>5.5555555555555549E-3</v>
          </cell>
          <cell r="AE285">
            <v>0.16666666666666666</v>
          </cell>
          <cell r="AF285">
            <v>0.33333333333333331</v>
          </cell>
          <cell r="AG285">
            <v>0.25</v>
          </cell>
          <cell r="AH285">
            <v>0.16666666666666666</v>
          </cell>
          <cell r="AI285">
            <v>0.16666666666666666</v>
          </cell>
          <cell r="AJ285">
            <v>0.16666666666666666</v>
          </cell>
          <cell r="AK285">
            <v>0.25</v>
          </cell>
          <cell r="AL285">
            <v>4.1666666666666817E-2</v>
          </cell>
          <cell r="AM285">
            <v>0.18749999999999997</v>
          </cell>
          <cell r="AN285">
            <v>0.22222222222222307</v>
          </cell>
          <cell r="AO285">
            <v>0</v>
          </cell>
          <cell r="AP285">
            <v>11.666666666666666</v>
          </cell>
          <cell r="AQ285">
            <v>35</v>
          </cell>
          <cell r="AR285">
            <v>0</v>
          </cell>
          <cell r="AS285">
            <v>11.333333333333332</v>
          </cell>
          <cell r="AT285">
            <v>12</v>
          </cell>
          <cell r="AU285">
            <v>48</v>
          </cell>
          <cell r="AV285">
            <v>0</v>
          </cell>
          <cell r="AW285">
            <v>11.75</v>
          </cell>
          <cell r="AX285">
            <v>12</v>
          </cell>
          <cell r="AY285">
            <v>48</v>
          </cell>
          <cell r="AZ285">
            <v>0</v>
          </cell>
          <cell r="BA285">
            <v>11.75</v>
          </cell>
          <cell r="BB285">
            <v>12</v>
          </cell>
          <cell r="BC285">
            <v>48</v>
          </cell>
          <cell r="BD285">
            <v>0</v>
          </cell>
          <cell r="BE285">
            <v>11.75</v>
          </cell>
          <cell r="BF285">
            <v>47</v>
          </cell>
          <cell r="BG285">
            <v>0</v>
          </cell>
          <cell r="BH285">
            <v>11.5</v>
          </cell>
          <cell r="BI285">
            <v>9</v>
          </cell>
          <cell r="BJ285">
            <v>36</v>
          </cell>
          <cell r="BK285">
            <v>0</v>
          </cell>
          <cell r="BL285">
            <v>10.75</v>
          </cell>
          <cell r="BM285">
            <v>10</v>
          </cell>
          <cell r="BN285">
            <v>30</v>
          </cell>
          <cell r="BO285">
            <v>0</v>
          </cell>
          <cell r="BP285">
            <v>9.6666666666666661</v>
          </cell>
          <cell r="BQ285">
            <v>10</v>
          </cell>
          <cell r="BR285">
            <v>40</v>
          </cell>
          <cell r="BS285">
            <v>0</v>
          </cell>
          <cell r="BT285">
            <v>9.6666666666666661</v>
          </cell>
          <cell r="BU285">
            <v>10</v>
          </cell>
          <cell r="BV285">
            <v>30</v>
          </cell>
          <cell r="BW285">
            <v>0</v>
          </cell>
          <cell r="BX285">
            <v>0</v>
          </cell>
          <cell r="BY285">
            <v>9.6666666666666661</v>
          </cell>
          <cell r="BZ285">
            <v>10</v>
          </cell>
          <cell r="CA285">
            <v>30</v>
          </cell>
          <cell r="CB285">
            <v>0</v>
          </cell>
          <cell r="CC285">
            <v>0</v>
          </cell>
          <cell r="CD285">
            <v>9.6666666666666661</v>
          </cell>
          <cell r="CE285">
            <v>10</v>
          </cell>
          <cell r="CF285">
            <v>30</v>
          </cell>
          <cell r="CG285">
            <v>0</v>
          </cell>
          <cell r="CH285">
            <v>0</v>
          </cell>
          <cell r="CI285">
            <v>9.3333333333333321</v>
          </cell>
          <cell r="CJ285">
            <v>10</v>
          </cell>
          <cell r="CK285">
            <v>30</v>
          </cell>
          <cell r="CL285">
            <v>0</v>
          </cell>
          <cell r="CM285">
            <v>0</v>
          </cell>
          <cell r="CN285">
            <v>9.6666666666666661</v>
          </cell>
          <cell r="CO285">
            <v>10</v>
          </cell>
          <cell r="CP285">
            <v>30</v>
          </cell>
          <cell r="CQ285">
            <v>0</v>
          </cell>
          <cell r="CR285">
            <v>0</v>
          </cell>
          <cell r="CS285">
            <v>9.6666666666666661</v>
          </cell>
          <cell r="CT285">
            <v>10</v>
          </cell>
          <cell r="CU285">
            <v>40</v>
          </cell>
          <cell r="CV285">
            <v>0</v>
          </cell>
          <cell r="CW285">
            <v>0</v>
          </cell>
          <cell r="CX285">
            <v>9.75</v>
          </cell>
          <cell r="CY285">
            <v>8</v>
          </cell>
          <cell r="CZ285">
            <v>32</v>
          </cell>
          <cell r="DA285">
            <v>0</v>
          </cell>
          <cell r="DB285">
            <v>0</v>
          </cell>
          <cell r="DC285">
            <v>7.75</v>
          </cell>
          <cell r="DD285">
            <v>10</v>
          </cell>
          <cell r="DE285">
            <v>36</v>
          </cell>
          <cell r="DF285">
            <v>0</v>
          </cell>
          <cell r="DG285">
            <v>0</v>
          </cell>
          <cell r="DH285">
            <v>9.75</v>
          </cell>
          <cell r="DI285">
            <v>10</v>
          </cell>
          <cell r="DJ285">
            <v>38</v>
          </cell>
          <cell r="DK285">
            <v>0</v>
          </cell>
          <cell r="DL285">
            <v>0</v>
          </cell>
          <cell r="DM285">
            <v>9.5</v>
          </cell>
          <cell r="DN285">
            <v>9</v>
          </cell>
          <cell r="DO285">
            <v>34</v>
          </cell>
          <cell r="DP285">
            <v>0</v>
          </cell>
          <cell r="DQ285">
            <v>0</v>
          </cell>
          <cell r="DR285">
            <v>8.75</v>
          </cell>
          <cell r="DS285">
            <v>8.75</v>
          </cell>
          <cell r="DT285">
            <v>33</v>
          </cell>
          <cell r="DU285">
            <v>0</v>
          </cell>
          <cell r="DV285">
            <v>0</v>
          </cell>
          <cell r="DW285">
            <v>8.5</v>
          </cell>
          <cell r="DX285">
            <v>8.5</v>
          </cell>
          <cell r="DY285">
            <v>32</v>
          </cell>
          <cell r="DZ285">
            <v>0</v>
          </cell>
          <cell r="EA285">
            <v>0</v>
          </cell>
          <cell r="EB285">
            <v>8.25</v>
          </cell>
          <cell r="EC285">
            <v>8.25</v>
          </cell>
          <cell r="ED285">
            <v>31</v>
          </cell>
          <cell r="EE285">
            <v>0</v>
          </cell>
          <cell r="EF285">
            <v>0</v>
          </cell>
          <cell r="EG285">
            <v>8</v>
          </cell>
          <cell r="EH285">
            <v>8</v>
          </cell>
          <cell r="EI285">
            <v>30</v>
          </cell>
          <cell r="EJ285">
            <v>0</v>
          </cell>
          <cell r="EK285">
            <v>0</v>
          </cell>
          <cell r="EL285">
            <v>7.75</v>
          </cell>
          <cell r="EM285">
            <v>7.75</v>
          </cell>
          <cell r="EN285">
            <v>29</v>
          </cell>
          <cell r="EO285">
            <v>0</v>
          </cell>
          <cell r="EP285">
            <v>0</v>
          </cell>
          <cell r="EQ285">
            <v>7.5</v>
          </cell>
          <cell r="ER285">
            <v>7.5</v>
          </cell>
          <cell r="ES285">
            <v>28</v>
          </cell>
          <cell r="ET285">
            <v>0</v>
          </cell>
          <cell r="EU285">
            <v>0</v>
          </cell>
          <cell r="EV285">
            <v>7.25</v>
          </cell>
          <cell r="EW285">
            <v>7.25</v>
          </cell>
          <cell r="EX285">
            <v>27</v>
          </cell>
          <cell r="EY285">
            <v>0</v>
          </cell>
          <cell r="EZ285">
            <v>0</v>
          </cell>
          <cell r="FA285">
            <v>7</v>
          </cell>
          <cell r="FB285">
            <v>7</v>
          </cell>
          <cell r="FC285">
            <v>26</v>
          </cell>
          <cell r="FD285">
            <v>0</v>
          </cell>
          <cell r="FE285">
            <v>0</v>
          </cell>
          <cell r="FF285">
            <v>6.75</v>
          </cell>
          <cell r="FG285">
            <v>6.75</v>
          </cell>
          <cell r="FH285">
            <v>25</v>
          </cell>
          <cell r="FI285">
            <v>0</v>
          </cell>
          <cell r="FJ285">
            <v>0</v>
          </cell>
          <cell r="FK285">
            <v>6.5</v>
          </cell>
          <cell r="FL285">
            <v>6.5</v>
          </cell>
          <cell r="FM285">
            <v>24</v>
          </cell>
          <cell r="FN285">
            <v>0</v>
          </cell>
          <cell r="FO285">
            <v>0</v>
          </cell>
          <cell r="FP285">
            <v>6.25</v>
          </cell>
          <cell r="FQ285">
            <v>6.25</v>
          </cell>
          <cell r="FR285">
            <v>23</v>
          </cell>
          <cell r="FS285">
            <v>0</v>
          </cell>
          <cell r="FT285">
            <v>1</v>
          </cell>
          <cell r="FU285">
            <v>1</v>
          </cell>
          <cell r="FW285" t="str">
            <v>SOBRESTOCK</v>
          </cell>
          <cell r="FX285" t="str">
            <v>C</v>
          </cell>
          <cell r="FY285" t="str">
            <v>Si</v>
          </cell>
        </row>
        <row r="286">
          <cell r="B286" t="str">
            <v>REP-0300</v>
          </cell>
          <cell r="C286" t="str">
            <v>NAC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1</v>
          </cell>
          <cell r="J286">
            <v>0</v>
          </cell>
          <cell r="K286">
            <v>1</v>
          </cell>
          <cell r="L286">
            <v>2</v>
          </cell>
          <cell r="M286">
            <v>2</v>
          </cell>
          <cell r="N286">
            <v>1</v>
          </cell>
          <cell r="O286">
            <v>1</v>
          </cell>
          <cell r="P286">
            <v>2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1</v>
          </cell>
          <cell r="V286">
            <v>1</v>
          </cell>
          <cell r="W286">
            <v>1</v>
          </cell>
          <cell r="X286">
            <v>1</v>
          </cell>
          <cell r="Y286">
            <v>15</v>
          </cell>
          <cell r="AA286">
            <v>15</v>
          </cell>
          <cell r="AB286">
            <v>3</v>
          </cell>
          <cell r="AC286">
            <v>1.3333333333333333</v>
          </cell>
          <cell r="AD286">
            <v>4.4444444444444439E-2</v>
          </cell>
          <cell r="AE286">
            <v>0.91666666666666663</v>
          </cell>
          <cell r="AF286">
            <v>0.5</v>
          </cell>
          <cell r="AG286">
            <v>0.75</v>
          </cell>
          <cell r="AH286">
            <v>1.5833333333333333</v>
          </cell>
          <cell r="AI286">
            <v>1.8333333333333333</v>
          </cell>
          <cell r="AJ286">
            <v>1.8333333333333333</v>
          </cell>
          <cell r="AK286">
            <v>1.8333333333333333</v>
          </cell>
          <cell r="AL286">
            <v>0.5137011669140823</v>
          </cell>
          <cell r="AM286">
            <v>1.4999999999999998</v>
          </cell>
          <cell r="AN286">
            <v>0.34246744460938827</v>
          </cell>
          <cell r="AO286">
            <v>0</v>
          </cell>
          <cell r="AP286">
            <v>14.5</v>
          </cell>
          <cell r="AQ286">
            <v>15</v>
          </cell>
          <cell r="AR286">
            <v>0</v>
          </cell>
          <cell r="AS286">
            <v>13.666666666666668</v>
          </cell>
          <cell r="AT286">
            <v>14</v>
          </cell>
          <cell r="AU286">
            <v>12</v>
          </cell>
          <cell r="AV286">
            <v>0</v>
          </cell>
          <cell r="AW286">
            <v>12.833333333333334</v>
          </cell>
          <cell r="AX286">
            <v>12</v>
          </cell>
          <cell r="AY286">
            <v>6.5454545454545459</v>
          </cell>
          <cell r="AZ286">
            <v>0</v>
          </cell>
          <cell r="BA286">
            <v>10.5</v>
          </cell>
          <cell r="BB286">
            <v>12</v>
          </cell>
          <cell r="BC286">
            <v>9</v>
          </cell>
          <cell r="BD286">
            <v>0</v>
          </cell>
          <cell r="BE286">
            <v>10.666666666666666</v>
          </cell>
          <cell r="BF286">
            <v>8</v>
          </cell>
          <cell r="BG286">
            <v>0</v>
          </cell>
          <cell r="BH286">
            <v>9.3333333333333321</v>
          </cell>
          <cell r="BI286">
            <v>15</v>
          </cell>
          <cell r="BJ286">
            <v>8.1818181818181817</v>
          </cell>
          <cell r="BK286">
            <v>0</v>
          </cell>
          <cell r="BL286">
            <v>19.833333333333332</v>
          </cell>
          <cell r="BM286">
            <v>21</v>
          </cell>
          <cell r="BN286">
            <v>18.375</v>
          </cell>
          <cell r="BO286">
            <v>0</v>
          </cell>
          <cell r="BP286">
            <v>19.857142857142858</v>
          </cell>
          <cell r="BQ286">
            <v>18</v>
          </cell>
          <cell r="BR286">
            <v>9.8181818181818183</v>
          </cell>
          <cell r="BS286">
            <v>0</v>
          </cell>
          <cell r="BT286">
            <v>16.5</v>
          </cell>
          <cell r="BU286">
            <v>16</v>
          </cell>
          <cell r="BV286">
            <v>10.666666666666666</v>
          </cell>
          <cell r="BW286">
            <v>0</v>
          </cell>
          <cell r="BX286">
            <v>0</v>
          </cell>
          <cell r="BY286">
            <v>14.5</v>
          </cell>
          <cell r="BZ286">
            <v>16</v>
          </cell>
          <cell r="CA286">
            <v>10.666666666666666</v>
          </cell>
          <cell r="CB286">
            <v>0</v>
          </cell>
          <cell r="CC286">
            <v>0</v>
          </cell>
          <cell r="CD286">
            <v>14.5</v>
          </cell>
          <cell r="CE286">
            <v>16</v>
          </cell>
          <cell r="CF286">
            <v>12</v>
          </cell>
          <cell r="CG286">
            <v>0</v>
          </cell>
          <cell r="CH286">
            <v>0</v>
          </cell>
          <cell r="CI286">
            <v>13.166666666666666</v>
          </cell>
          <cell r="CJ286">
            <v>13</v>
          </cell>
          <cell r="CK286">
            <v>6.5</v>
          </cell>
          <cell r="CL286">
            <v>0</v>
          </cell>
          <cell r="CM286">
            <v>0</v>
          </cell>
          <cell r="CN286">
            <v>11</v>
          </cell>
          <cell r="CO286">
            <v>9</v>
          </cell>
          <cell r="CP286">
            <v>4.5</v>
          </cell>
          <cell r="CQ286">
            <v>0</v>
          </cell>
          <cell r="CR286">
            <v>0</v>
          </cell>
          <cell r="CS286">
            <v>7</v>
          </cell>
          <cell r="CT286">
            <v>23</v>
          </cell>
          <cell r="CU286">
            <v>11.5</v>
          </cell>
          <cell r="CV286">
            <v>0</v>
          </cell>
          <cell r="CW286">
            <v>0</v>
          </cell>
          <cell r="CX286">
            <v>21</v>
          </cell>
          <cell r="CY286">
            <v>19</v>
          </cell>
          <cell r="CZ286">
            <v>7.125</v>
          </cell>
          <cell r="DA286">
            <v>0</v>
          </cell>
          <cell r="DB286">
            <v>0</v>
          </cell>
          <cell r="DC286">
            <v>16.5</v>
          </cell>
          <cell r="DD286">
            <v>18</v>
          </cell>
          <cell r="DE286">
            <v>-0.5</v>
          </cell>
          <cell r="DF286">
            <v>2.5</v>
          </cell>
          <cell r="DG286">
            <v>0</v>
          </cell>
          <cell r="DH286">
            <v>16</v>
          </cell>
          <cell r="DI286">
            <v>15</v>
          </cell>
          <cell r="DJ286">
            <v>0.18181818181818188</v>
          </cell>
          <cell r="DK286">
            <v>3</v>
          </cell>
          <cell r="DL286">
            <v>0</v>
          </cell>
          <cell r="DM286">
            <v>16.8</v>
          </cell>
          <cell r="DN286">
            <v>15</v>
          </cell>
          <cell r="DO286">
            <v>-0.1818181818181821</v>
          </cell>
          <cell r="DP286">
            <v>4</v>
          </cell>
          <cell r="DQ286">
            <v>0</v>
          </cell>
          <cell r="DR286">
            <v>13.166666666666666</v>
          </cell>
          <cell r="DS286">
            <v>13.166666666666666</v>
          </cell>
          <cell r="DT286">
            <v>-1.1818181818181821</v>
          </cell>
          <cell r="DU286">
            <v>5.8333333333333339</v>
          </cell>
          <cell r="DV286">
            <v>0</v>
          </cell>
          <cell r="DW286">
            <v>11.333333333333332</v>
          </cell>
          <cell r="DX286">
            <v>11.333333333333332</v>
          </cell>
          <cell r="DY286">
            <v>-2.1818181818181825</v>
          </cell>
          <cell r="DZ286">
            <v>7.6666666666666679</v>
          </cell>
          <cell r="EA286">
            <v>0</v>
          </cell>
          <cell r="EB286">
            <v>9.4999999999999982</v>
          </cell>
          <cell r="EC286">
            <v>9.4999999999999982</v>
          </cell>
          <cell r="ED286">
            <v>-3.1818181818181834</v>
          </cell>
          <cell r="EE286">
            <v>9.5000000000000018</v>
          </cell>
          <cell r="EF286">
            <v>0</v>
          </cell>
          <cell r="EG286">
            <v>7.6666666666666652</v>
          </cell>
          <cell r="EH286">
            <v>7.6666666666666652</v>
          </cell>
          <cell r="EI286">
            <v>-4.1818181818181834</v>
          </cell>
          <cell r="EJ286">
            <v>11.333333333333336</v>
          </cell>
          <cell r="EK286">
            <v>0</v>
          </cell>
          <cell r="EL286">
            <v>5.8333333333333321</v>
          </cell>
          <cell r="EM286">
            <v>5.8333333333333321</v>
          </cell>
          <cell r="EN286">
            <v>-5.1818181818181825</v>
          </cell>
          <cell r="EO286">
            <v>13.166666666666668</v>
          </cell>
          <cell r="EP286">
            <v>0</v>
          </cell>
          <cell r="EQ286">
            <v>3.9999999999999991</v>
          </cell>
          <cell r="ER286">
            <v>3.9999999999999991</v>
          </cell>
          <cell r="ES286">
            <v>-6.1818181818181817</v>
          </cell>
          <cell r="ET286">
            <v>15</v>
          </cell>
          <cell r="EU286">
            <v>0</v>
          </cell>
          <cell r="EV286">
            <v>2.1666666666666661</v>
          </cell>
          <cell r="EW286">
            <v>2.1666666666666661</v>
          </cell>
          <cell r="EX286">
            <v>-7.1818181818181834</v>
          </cell>
          <cell r="EY286">
            <v>16.833333333333336</v>
          </cell>
          <cell r="EZ286">
            <v>0</v>
          </cell>
          <cell r="FA286">
            <v>0.33333333333333282</v>
          </cell>
          <cell r="FB286">
            <v>0.33333333333333282</v>
          </cell>
          <cell r="FC286">
            <v>-8.1818181818181834</v>
          </cell>
          <cell r="FD286">
            <v>18.666666666666668</v>
          </cell>
          <cell r="FE286">
            <v>0</v>
          </cell>
          <cell r="FF286">
            <v>-1.5000000000000004</v>
          </cell>
          <cell r="FG286">
            <v>-1.5000000000000004</v>
          </cell>
          <cell r="FH286">
            <v>-9.1818181818181817</v>
          </cell>
          <cell r="FI286">
            <v>20.5</v>
          </cell>
          <cell r="FJ286">
            <v>0</v>
          </cell>
          <cell r="FK286">
            <v>-3.3333333333333339</v>
          </cell>
          <cell r="FL286">
            <v>-3.3333333333333339</v>
          </cell>
          <cell r="FM286">
            <v>-10.181818181818183</v>
          </cell>
          <cell r="FN286">
            <v>22.333333333333336</v>
          </cell>
          <cell r="FO286">
            <v>0</v>
          </cell>
          <cell r="FP286">
            <v>-5.166666666666667</v>
          </cell>
          <cell r="FQ286">
            <v>-5.166666666666667</v>
          </cell>
          <cell r="FR286">
            <v>-11.181818181818183</v>
          </cell>
          <cell r="FS286">
            <v>24.166666666666668</v>
          </cell>
          <cell r="FT286">
            <v>19</v>
          </cell>
          <cell r="FU286">
            <v>1</v>
          </cell>
          <cell r="FW286" t="str">
            <v>STOCK OK</v>
          </cell>
          <cell r="FX286" t="str">
            <v>B</v>
          </cell>
          <cell r="FY286" t="str">
            <v>Si</v>
          </cell>
        </row>
        <row r="287">
          <cell r="B287" t="str">
            <v>REP-0301</v>
          </cell>
          <cell r="C287" t="str">
            <v>NAC</v>
          </cell>
          <cell r="D287">
            <v>0</v>
          </cell>
          <cell r="E287">
            <v>8</v>
          </cell>
          <cell r="F287">
            <v>0</v>
          </cell>
          <cell r="G287">
            <v>0</v>
          </cell>
          <cell r="H287">
            <v>2</v>
          </cell>
          <cell r="I287">
            <v>2</v>
          </cell>
          <cell r="J287">
            <v>0</v>
          </cell>
          <cell r="K287">
            <v>1</v>
          </cell>
          <cell r="L287">
            <v>0</v>
          </cell>
          <cell r="M287">
            <v>0</v>
          </cell>
          <cell r="N287">
            <v>1</v>
          </cell>
          <cell r="O287">
            <v>1</v>
          </cell>
          <cell r="P287">
            <v>0</v>
          </cell>
          <cell r="Q287">
            <v>1</v>
          </cell>
          <cell r="R287">
            <v>3</v>
          </cell>
          <cell r="S287">
            <v>1</v>
          </cell>
          <cell r="T287">
            <v>0</v>
          </cell>
          <cell r="U287">
            <v>1</v>
          </cell>
          <cell r="V287">
            <v>1</v>
          </cell>
          <cell r="W287">
            <v>0</v>
          </cell>
          <cell r="X287">
            <v>2</v>
          </cell>
          <cell r="Y287">
            <v>24</v>
          </cell>
          <cell r="AA287">
            <v>24</v>
          </cell>
          <cell r="AB287">
            <v>3</v>
          </cell>
          <cell r="AC287">
            <v>0.66666666666666663</v>
          </cell>
          <cell r="AD287">
            <v>2.222222222222222E-2</v>
          </cell>
          <cell r="AE287">
            <v>0.58333333333333337</v>
          </cell>
          <cell r="AF287">
            <v>0.16666666666666666</v>
          </cell>
          <cell r="AG287">
            <v>0.58333333333333337</v>
          </cell>
          <cell r="AH287">
            <v>0.5</v>
          </cell>
          <cell r="AI287">
            <v>0</v>
          </cell>
          <cell r="AJ287">
            <v>0</v>
          </cell>
          <cell r="AK287">
            <v>0.58333333333333337</v>
          </cell>
          <cell r="AL287">
            <v>0.31457643480294795</v>
          </cell>
          <cell r="AM287">
            <v>0.27083333333333337</v>
          </cell>
          <cell r="AN287">
            <v>1.1615129900416539</v>
          </cell>
          <cell r="AO287">
            <v>0</v>
          </cell>
          <cell r="AP287">
            <v>28.416666666666668</v>
          </cell>
          <cell r="AQ287">
            <v>42.5</v>
          </cell>
          <cell r="AR287">
            <v>0</v>
          </cell>
          <cell r="AS287">
            <v>27</v>
          </cell>
          <cell r="AT287">
            <v>27</v>
          </cell>
          <cell r="AU287">
            <v>27</v>
          </cell>
          <cell r="AV287">
            <v>0</v>
          </cell>
          <cell r="AW287">
            <v>26</v>
          </cell>
          <cell r="AX287">
            <v>26</v>
          </cell>
          <cell r="AY287">
            <v>44.571428571428569</v>
          </cell>
          <cell r="AZ287">
            <v>0</v>
          </cell>
          <cell r="BA287">
            <v>25.333333333333332</v>
          </cell>
          <cell r="BB287">
            <v>26</v>
          </cell>
          <cell r="BC287">
            <v>26</v>
          </cell>
          <cell r="BD287">
            <v>0</v>
          </cell>
          <cell r="BE287">
            <v>25</v>
          </cell>
          <cell r="BF287">
            <v>25</v>
          </cell>
          <cell r="BG287">
            <v>0</v>
          </cell>
          <cell r="BH287">
            <v>24</v>
          </cell>
          <cell r="BI287">
            <v>24</v>
          </cell>
          <cell r="BJ287">
            <v>41.142857142857139</v>
          </cell>
          <cell r="BK287">
            <v>0</v>
          </cell>
          <cell r="BL287">
            <v>25.416666666666668</v>
          </cell>
          <cell r="BM287">
            <v>25</v>
          </cell>
          <cell r="BN287">
            <v>42.857142857142854</v>
          </cell>
          <cell r="BO287">
            <v>0</v>
          </cell>
          <cell r="BP287">
            <v>24.416666666666668</v>
          </cell>
          <cell r="BQ287">
            <v>25</v>
          </cell>
          <cell r="BR287">
            <v>42.857142857142854</v>
          </cell>
          <cell r="BS287">
            <v>0</v>
          </cell>
          <cell r="BT287">
            <v>24.416666666666668</v>
          </cell>
          <cell r="BU287">
            <v>24</v>
          </cell>
          <cell r="BV287">
            <v>41.142857142857139</v>
          </cell>
          <cell r="BW287">
            <v>0</v>
          </cell>
          <cell r="BX287">
            <v>0</v>
          </cell>
          <cell r="BY287">
            <v>23.416666666666668</v>
          </cell>
          <cell r="BZ287">
            <v>24</v>
          </cell>
          <cell r="CA287">
            <v>41.142857142857139</v>
          </cell>
          <cell r="CB287">
            <v>0</v>
          </cell>
          <cell r="CC287">
            <v>0</v>
          </cell>
          <cell r="CD287">
            <v>23.416666666666668</v>
          </cell>
          <cell r="CE287">
            <v>24</v>
          </cell>
          <cell r="CF287">
            <v>41.142857142857139</v>
          </cell>
          <cell r="CG287">
            <v>0</v>
          </cell>
          <cell r="CH287">
            <v>0</v>
          </cell>
          <cell r="CI287">
            <v>22.833333333333336</v>
          </cell>
          <cell r="CJ287">
            <v>24</v>
          </cell>
          <cell r="CK287">
            <v>41.142857142857139</v>
          </cell>
          <cell r="CL287">
            <v>0</v>
          </cell>
          <cell r="CM287">
            <v>0</v>
          </cell>
          <cell r="CN287">
            <v>23.416666666666668</v>
          </cell>
          <cell r="CO287">
            <v>23</v>
          </cell>
          <cell r="CP287">
            <v>23</v>
          </cell>
          <cell r="CQ287">
            <v>0</v>
          </cell>
          <cell r="CR287">
            <v>0</v>
          </cell>
          <cell r="CS287">
            <v>22</v>
          </cell>
          <cell r="CT287">
            <v>23</v>
          </cell>
          <cell r="CU287">
            <v>39.428571428571423</v>
          </cell>
          <cell r="CV287">
            <v>0</v>
          </cell>
          <cell r="CW287">
            <v>0</v>
          </cell>
          <cell r="CX287">
            <v>22.416666666666668</v>
          </cell>
          <cell r="CY287">
            <v>21</v>
          </cell>
          <cell r="CZ287">
            <v>36</v>
          </cell>
          <cell r="DA287">
            <v>0</v>
          </cell>
          <cell r="DB287">
            <v>0</v>
          </cell>
          <cell r="DC287">
            <v>20.416666666666668</v>
          </cell>
          <cell r="DD287">
            <v>24</v>
          </cell>
          <cell r="DE287">
            <v>39.428571428571423</v>
          </cell>
          <cell r="DF287">
            <v>0</v>
          </cell>
          <cell r="DG287">
            <v>0</v>
          </cell>
          <cell r="DH287">
            <v>23.416666666666668</v>
          </cell>
          <cell r="DI287">
            <v>24</v>
          </cell>
          <cell r="DJ287">
            <v>41.428571428571423</v>
          </cell>
          <cell r="DK287">
            <v>0</v>
          </cell>
          <cell r="DL287">
            <v>0</v>
          </cell>
          <cell r="DM287">
            <v>22.833333333333336</v>
          </cell>
          <cell r="DN287">
            <v>24</v>
          </cell>
          <cell r="DO287">
            <v>41.428571428571423</v>
          </cell>
          <cell r="DP287">
            <v>0</v>
          </cell>
          <cell r="DQ287">
            <v>0</v>
          </cell>
          <cell r="DR287">
            <v>23.416666666666668</v>
          </cell>
          <cell r="DS287">
            <v>23.416666666666668</v>
          </cell>
          <cell r="DT287">
            <v>40.428571428571431</v>
          </cell>
          <cell r="DU287">
            <v>0</v>
          </cell>
          <cell r="DV287">
            <v>0</v>
          </cell>
          <cell r="DW287">
            <v>22.833333333333336</v>
          </cell>
          <cell r="DX287">
            <v>22.833333333333336</v>
          </cell>
          <cell r="DY287">
            <v>39.428571428571431</v>
          </cell>
          <cell r="DZ287">
            <v>0</v>
          </cell>
          <cell r="EA287">
            <v>0</v>
          </cell>
          <cell r="EB287">
            <v>22.250000000000004</v>
          </cell>
          <cell r="EC287">
            <v>22.250000000000004</v>
          </cell>
          <cell r="ED287">
            <v>38.428571428571431</v>
          </cell>
          <cell r="EE287">
            <v>0</v>
          </cell>
          <cell r="EF287">
            <v>0</v>
          </cell>
          <cell r="EG287">
            <v>21.666666666666671</v>
          </cell>
          <cell r="EH287">
            <v>21.666666666666671</v>
          </cell>
          <cell r="EI287">
            <v>37.428571428571438</v>
          </cell>
          <cell r="EJ287">
            <v>0</v>
          </cell>
          <cell r="EK287">
            <v>0</v>
          </cell>
          <cell r="EL287">
            <v>21.083333333333339</v>
          </cell>
          <cell r="EM287">
            <v>21.083333333333339</v>
          </cell>
          <cell r="EN287">
            <v>36.428571428571438</v>
          </cell>
          <cell r="EO287">
            <v>0</v>
          </cell>
          <cell r="EP287">
            <v>0</v>
          </cell>
          <cell r="EQ287">
            <v>20.500000000000007</v>
          </cell>
          <cell r="ER287">
            <v>20.500000000000007</v>
          </cell>
          <cell r="ES287">
            <v>35.428571428571438</v>
          </cell>
          <cell r="ET287">
            <v>0</v>
          </cell>
          <cell r="EU287">
            <v>0</v>
          </cell>
          <cell r="EV287">
            <v>19.916666666666675</v>
          </cell>
          <cell r="EW287">
            <v>19.916666666666675</v>
          </cell>
          <cell r="EX287">
            <v>34.428571428571438</v>
          </cell>
          <cell r="EY287">
            <v>0</v>
          </cell>
          <cell r="EZ287">
            <v>0</v>
          </cell>
          <cell r="FA287">
            <v>19.333333333333343</v>
          </cell>
          <cell r="FB287">
            <v>19.333333333333343</v>
          </cell>
          <cell r="FC287">
            <v>33.428571428571445</v>
          </cell>
          <cell r="FD287">
            <v>0</v>
          </cell>
          <cell r="FE287">
            <v>0</v>
          </cell>
          <cell r="FF287">
            <v>18.750000000000011</v>
          </cell>
          <cell r="FG287">
            <v>18.750000000000011</v>
          </cell>
          <cell r="FH287">
            <v>32.428571428571445</v>
          </cell>
          <cell r="FI287">
            <v>0</v>
          </cell>
          <cell r="FJ287">
            <v>0</v>
          </cell>
          <cell r="FK287">
            <v>18.166666666666679</v>
          </cell>
          <cell r="FL287">
            <v>18.166666666666679</v>
          </cell>
          <cell r="FM287">
            <v>31.428571428571448</v>
          </cell>
          <cell r="FN287">
            <v>0</v>
          </cell>
          <cell r="FO287">
            <v>0</v>
          </cell>
          <cell r="FP287">
            <v>17.583333333333346</v>
          </cell>
          <cell r="FQ287">
            <v>17.583333333333346</v>
          </cell>
          <cell r="FR287">
            <v>30.428571428571448</v>
          </cell>
          <cell r="FS287">
            <v>0</v>
          </cell>
          <cell r="FT287">
            <v>1</v>
          </cell>
          <cell r="FU287">
            <v>1</v>
          </cell>
          <cell r="FW287" t="str">
            <v>SIN ROTACIÓN</v>
          </cell>
          <cell r="FX287" t="str">
            <v>C</v>
          </cell>
          <cell r="FY287" t="str">
            <v>Si</v>
          </cell>
        </row>
        <row r="288">
          <cell r="B288" t="str">
            <v>REP-0304</v>
          </cell>
          <cell r="C288" t="str">
            <v>OSBORNE</v>
          </cell>
          <cell r="D288">
            <v>0</v>
          </cell>
          <cell r="E288">
            <v>0</v>
          </cell>
          <cell r="F288">
            <v>0</v>
          </cell>
          <cell r="G288">
            <v>1500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1500</v>
          </cell>
          <cell r="AA288">
            <v>1500</v>
          </cell>
          <cell r="AB288">
            <v>700</v>
          </cell>
          <cell r="AC288">
            <v>100</v>
          </cell>
          <cell r="AD288">
            <v>3.3333333333333335</v>
          </cell>
          <cell r="AE288">
            <v>108.33333333333333</v>
          </cell>
          <cell r="AF288">
            <v>129.16666666666666</v>
          </cell>
          <cell r="AG288">
            <v>158.33333333333334</v>
          </cell>
          <cell r="AH288">
            <v>150</v>
          </cell>
          <cell r="AI288">
            <v>125</v>
          </cell>
          <cell r="AJ288">
            <v>125</v>
          </cell>
          <cell r="AK288">
            <v>139.58333333333334</v>
          </cell>
          <cell r="AL288">
            <v>15.590239111558063</v>
          </cell>
          <cell r="AM288">
            <v>139.58333333333334</v>
          </cell>
          <cell r="AN288">
            <v>0.11169126527683387</v>
          </cell>
          <cell r="AO288">
            <v>0</v>
          </cell>
          <cell r="AP288">
            <v>3850</v>
          </cell>
          <cell r="AQ288">
            <v>19.25</v>
          </cell>
          <cell r="AR288">
            <v>0</v>
          </cell>
          <cell r="AS288">
            <v>3733.333333333333</v>
          </cell>
          <cell r="AT288">
            <v>3850</v>
          </cell>
          <cell r="AU288">
            <v>24.315789473684209</v>
          </cell>
          <cell r="AV288">
            <v>0</v>
          </cell>
          <cell r="AW288">
            <v>3691.6666666666665</v>
          </cell>
          <cell r="AX288">
            <v>3850</v>
          </cell>
          <cell r="AY288">
            <v>27.582089552238806</v>
          </cell>
          <cell r="AZ288">
            <v>0</v>
          </cell>
          <cell r="BA288">
            <v>3691.6666666666665</v>
          </cell>
          <cell r="BB288">
            <v>3650</v>
          </cell>
          <cell r="BC288">
            <v>21.900000000000002</v>
          </cell>
          <cell r="BD288">
            <v>0</v>
          </cell>
          <cell r="BE288">
            <v>3483.3333333333335</v>
          </cell>
          <cell r="BF288">
            <v>20.900000000000002</v>
          </cell>
          <cell r="BG288">
            <v>0</v>
          </cell>
          <cell r="BH288">
            <v>3316.666666666667</v>
          </cell>
          <cell r="BI288">
            <v>1500</v>
          </cell>
          <cell r="BJ288">
            <v>10.746268656716417</v>
          </cell>
          <cell r="BK288">
            <v>0</v>
          </cell>
          <cell r="BL288">
            <v>3241.6666666666665</v>
          </cell>
          <cell r="BM288">
            <v>3250</v>
          </cell>
          <cell r="BN288">
            <v>20.526315789473681</v>
          </cell>
          <cell r="BO288">
            <v>0</v>
          </cell>
          <cell r="BP288">
            <v>3091.6666666666665</v>
          </cell>
          <cell r="BQ288">
            <v>2750</v>
          </cell>
          <cell r="BR288">
            <v>19.701492537313431</v>
          </cell>
          <cell r="BS288">
            <v>0</v>
          </cell>
          <cell r="BT288">
            <v>2566.6666666666665</v>
          </cell>
          <cell r="BU288">
            <v>2650</v>
          </cell>
          <cell r="BV288">
            <v>13.25</v>
          </cell>
          <cell r="BW288">
            <v>0</v>
          </cell>
          <cell r="BX288">
            <v>0</v>
          </cell>
          <cell r="BY288">
            <v>2450</v>
          </cell>
          <cell r="BZ288">
            <v>2650</v>
          </cell>
          <cell r="CA288">
            <v>15.9</v>
          </cell>
          <cell r="CB288">
            <v>0</v>
          </cell>
          <cell r="CC288">
            <v>0</v>
          </cell>
          <cell r="CD288">
            <v>2483.3333333333335</v>
          </cell>
          <cell r="CE288">
            <v>2650</v>
          </cell>
          <cell r="CF288">
            <v>16.736842105263158</v>
          </cell>
          <cell r="CG288">
            <v>0</v>
          </cell>
          <cell r="CH288">
            <v>0</v>
          </cell>
          <cell r="CI288">
            <v>2325</v>
          </cell>
          <cell r="CJ288">
            <v>2250</v>
          </cell>
          <cell r="CK288">
            <v>11.739130434782609</v>
          </cell>
          <cell r="CL288">
            <v>0</v>
          </cell>
          <cell r="CM288">
            <v>0</v>
          </cell>
          <cell r="CN288">
            <v>2058.3333333333335</v>
          </cell>
          <cell r="CO288">
            <v>2250</v>
          </cell>
          <cell r="CP288">
            <v>11.739130434782609</v>
          </cell>
          <cell r="CQ288">
            <v>0</v>
          </cell>
          <cell r="CR288">
            <v>0</v>
          </cell>
          <cell r="CS288">
            <v>2058.3333333333335</v>
          </cell>
          <cell r="CT288">
            <v>2050</v>
          </cell>
          <cell r="CU288">
            <v>12.94736842105263</v>
          </cell>
          <cell r="CV288">
            <v>0</v>
          </cell>
          <cell r="CW288">
            <v>0</v>
          </cell>
          <cell r="CX288">
            <v>1891.6666666666667</v>
          </cell>
          <cell r="CY288">
            <v>2050</v>
          </cell>
          <cell r="CZ288">
            <v>12.94736842105263</v>
          </cell>
          <cell r="DA288">
            <v>0</v>
          </cell>
          <cell r="DB288">
            <v>0</v>
          </cell>
          <cell r="DC288">
            <v>1891.6666666666667</v>
          </cell>
          <cell r="DD288">
            <v>1950</v>
          </cell>
          <cell r="DE288">
            <v>11.28</v>
          </cell>
          <cell r="DF288">
            <v>0</v>
          </cell>
          <cell r="DG288">
            <v>0</v>
          </cell>
          <cell r="DH288">
            <v>1791.6666666666667</v>
          </cell>
          <cell r="DI288">
            <v>1950</v>
          </cell>
          <cell r="DJ288">
            <v>17.043298969072161</v>
          </cell>
          <cell r="DK288">
            <v>0</v>
          </cell>
          <cell r="DL288">
            <v>0</v>
          </cell>
          <cell r="DM288">
            <v>1670.4166666666667</v>
          </cell>
          <cell r="DN288">
            <v>1500</v>
          </cell>
          <cell r="DO288">
            <v>11.707462686567164</v>
          </cell>
          <cell r="DP288">
            <v>0</v>
          </cell>
          <cell r="DQ288">
            <v>0</v>
          </cell>
          <cell r="DR288">
            <v>1360.4166666666667</v>
          </cell>
          <cell r="DS288">
            <v>1360.4166666666667</v>
          </cell>
          <cell r="DT288">
            <v>10.707462686567164</v>
          </cell>
          <cell r="DU288">
            <v>0</v>
          </cell>
          <cell r="DV288">
            <v>0</v>
          </cell>
          <cell r="DW288">
            <v>1220.8333333333335</v>
          </cell>
          <cell r="DX288">
            <v>1220.8333333333335</v>
          </cell>
          <cell r="DY288">
            <v>9.7074626865671654</v>
          </cell>
          <cell r="DZ288">
            <v>0</v>
          </cell>
          <cell r="EA288">
            <v>0</v>
          </cell>
          <cell r="EB288">
            <v>1081.2500000000002</v>
          </cell>
          <cell r="EC288">
            <v>1081.2500000000002</v>
          </cell>
          <cell r="ED288">
            <v>8.7074626865671654</v>
          </cell>
          <cell r="EE288">
            <v>0</v>
          </cell>
          <cell r="EF288">
            <v>0</v>
          </cell>
          <cell r="EG288">
            <v>941.66666666666686</v>
          </cell>
          <cell r="EH288">
            <v>941.66666666666686</v>
          </cell>
          <cell r="EI288">
            <v>7.7074626865671654</v>
          </cell>
          <cell r="EJ288">
            <v>0</v>
          </cell>
          <cell r="EK288">
            <v>0</v>
          </cell>
          <cell r="EL288">
            <v>802.08333333333348</v>
          </cell>
          <cell r="EM288">
            <v>802.08333333333348</v>
          </cell>
          <cell r="EN288">
            <v>6.7074626865671654</v>
          </cell>
          <cell r="EO288">
            <v>0</v>
          </cell>
          <cell r="EP288">
            <v>0</v>
          </cell>
          <cell r="EQ288">
            <v>662.50000000000011</v>
          </cell>
          <cell r="ER288">
            <v>662.50000000000011</v>
          </cell>
          <cell r="ES288">
            <v>5.7074626865671654</v>
          </cell>
          <cell r="ET288">
            <v>0</v>
          </cell>
          <cell r="EU288">
            <v>0</v>
          </cell>
          <cell r="EV288">
            <v>522.91666666666674</v>
          </cell>
          <cell r="EW288">
            <v>522.91666666666674</v>
          </cell>
          <cell r="EX288">
            <v>4.7074626865671645</v>
          </cell>
          <cell r="EY288">
            <v>0</v>
          </cell>
          <cell r="EZ288">
            <v>0</v>
          </cell>
          <cell r="FA288">
            <v>383.33333333333337</v>
          </cell>
          <cell r="FB288">
            <v>383.33333333333337</v>
          </cell>
          <cell r="FC288">
            <v>3.7074626865671645</v>
          </cell>
          <cell r="FD288">
            <v>0</v>
          </cell>
          <cell r="FE288">
            <v>0</v>
          </cell>
          <cell r="FF288">
            <v>243.75000000000003</v>
          </cell>
          <cell r="FG288">
            <v>243.75000000000003</v>
          </cell>
          <cell r="FH288">
            <v>2.7074626865671645</v>
          </cell>
          <cell r="FI288">
            <v>0</v>
          </cell>
          <cell r="FJ288">
            <v>2000</v>
          </cell>
          <cell r="FK288">
            <v>2104.1666666666665</v>
          </cell>
          <cell r="FL288">
            <v>2104.1666666666665</v>
          </cell>
          <cell r="FM288">
            <v>16.035820895522384</v>
          </cell>
          <cell r="FN288">
            <v>0</v>
          </cell>
          <cell r="FO288">
            <v>0</v>
          </cell>
          <cell r="FP288">
            <v>1964.5833333333333</v>
          </cell>
          <cell r="FQ288">
            <v>1964.5833333333333</v>
          </cell>
          <cell r="FR288">
            <v>15.035820895522386</v>
          </cell>
          <cell r="FS288">
            <v>0</v>
          </cell>
          <cell r="FT288">
            <v>145</v>
          </cell>
          <cell r="FU288">
            <v>1.0333333333333334</v>
          </cell>
          <cell r="FW288" t="str">
            <v>SOBRESTOCK</v>
          </cell>
          <cell r="FX288" t="str">
            <v>A</v>
          </cell>
          <cell r="FY288" t="str">
            <v>Si</v>
          </cell>
        </row>
        <row r="289">
          <cell r="B289" t="str">
            <v>REP-0305</v>
          </cell>
          <cell r="C289" t="str">
            <v>OSBORNE</v>
          </cell>
          <cell r="D289">
            <v>0</v>
          </cell>
          <cell r="E289">
            <v>0</v>
          </cell>
          <cell r="F289">
            <v>0</v>
          </cell>
          <cell r="G289">
            <v>8650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8650</v>
          </cell>
          <cell r="AA289">
            <v>8650</v>
          </cell>
          <cell r="AB289">
            <v>11890</v>
          </cell>
          <cell r="AC289">
            <v>1325</v>
          </cell>
          <cell r="AD289">
            <v>44.166666666666664</v>
          </cell>
          <cell r="AE289">
            <v>1628.3333333333333</v>
          </cell>
          <cell r="AF289">
            <v>1616.6666666666667</v>
          </cell>
          <cell r="AG289">
            <v>1240.8333333333333</v>
          </cell>
          <cell r="AH289">
            <v>1841.6666666666667</v>
          </cell>
          <cell r="AI289">
            <v>1750</v>
          </cell>
          <cell r="AJ289">
            <v>1750</v>
          </cell>
          <cell r="AK289">
            <v>1841.6666666666667</v>
          </cell>
          <cell r="AL289">
            <v>237.03785445460821</v>
          </cell>
          <cell r="AM289">
            <v>1645.625</v>
          </cell>
          <cell r="AN289">
            <v>0.14404123324245086</v>
          </cell>
          <cell r="AO289">
            <v>0</v>
          </cell>
          <cell r="AP289">
            <v>-1106.6666666666667</v>
          </cell>
          <cell r="AQ289">
            <v>-0.59175257731958764</v>
          </cell>
          <cell r="AR289">
            <v>0</v>
          </cell>
          <cell r="AS289">
            <v>-2690</v>
          </cell>
          <cell r="AT289">
            <v>7350</v>
          </cell>
          <cell r="AU289">
            <v>4.3880597014925371</v>
          </cell>
          <cell r="AV289">
            <v>0</v>
          </cell>
          <cell r="AW289">
            <v>5675</v>
          </cell>
          <cell r="AX289">
            <v>4900</v>
          </cell>
          <cell r="AY289">
            <v>2.6606334841628958</v>
          </cell>
          <cell r="AZ289">
            <v>0</v>
          </cell>
          <cell r="BA289">
            <v>2966.666666666667</v>
          </cell>
          <cell r="BB289">
            <v>3750</v>
          </cell>
          <cell r="BC289">
            <v>1.6187050359712232</v>
          </cell>
          <cell r="BD289">
            <v>0</v>
          </cell>
          <cell r="BE289">
            <v>1433.3333333333335</v>
          </cell>
          <cell r="BF289">
            <v>0.61870503597122317</v>
          </cell>
          <cell r="BG289">
            <v>0</v>
          </cell>
          <cell r="BH289">
            <v>-883.33333333333303</v>
          </cell>
          <cell r="BI289">
            <v>8650</v>
          </cell>
          <cell r="BJ289">
            <v>4.6968325791855206</v>
          </cell>
          <cell r="BK289">
            <v>0</v>
          </cell>
          <cell r="BL289">
            <v>-841.66666666666674</v>
          </cell>
          <cell r="BM289">
            <v>7950</v>
          </cell>
          <cell r="BN289">
            <v>4.3818897637795278</v>
          </cell>
          <cell r="BO289">
            <v>0</v>
          </cell>
          <cell r="BP289">
            <v>6135.7142857142862</v>
          </cell>
          <cell r="BQ289">
            <v>6900</v>
          </cell>
          <cell r="BR289">
            <v>3.746606334841629</v>
          </cell>
          <cell r="BS289">
            <v>0</v>
          </cell>
          <cell r="BT289">
            <v>5166.666666666667</v>
          </cell>
          <cell r="BU289">
            <v>4550</v>
          </cell>
          <cell r="BV289">
            <v>2.5754716981132075</v>
          </cell>
          <cell r="BW289">
            <v>2516</v>
          </cell>
          <cell r="BX289">
            <v>0</v>
          </cell>
          <cell r="BY289">
            <v>2783.333333333333</v>
          </cell>
          <cell r="BZ289">
            <v>2650</v>
          </cell>
          <cell r="CA289">
            <v>1.4654377880184333</v>
          </cell>
          <cell r="CB289">
            <v>4584</v>
          </cell>
          <cell r="CC289">
            <v>0</v>
          </cell>
          <cell r="CD289">
            <v>10841.666666666666</v>
          </cell>
          <cell r="CE289">
            <v>0</v>
          </cell>
          <cell r="CF289">
            <v>0</v>
          </cell>
          <cell r="CG289">
            <v>7934</v>
          </cell>
          <cell r="CH289">
            <v>0</v>
          </cell>
          <cell r="CI289">
            <v>16792.333333333332</v>
          </cell>
          <cell r="CJ289">
            <v>9200</v>
          </cell>
          <cell r="CK289">
            <v>4.5061224489795917</v>
          </cell>
          <cell r="CL289">
            <v>0</v>
          </cell>
          <cell r="CM289">
            <v>0</v>
          </cell>
          <cell r="CN289">
            <v>7158.333333333333</v>
          </cell>
          <cell r="CO289">
            <v>6600</v>
          </cell>
          <cell r="CP289">
            <v>2.693877551020408</v>
          </cell>
          <cell r="CQ289">
            <v>1007.666666666667</v>
          </cell>
          <cell r="CR289">
            <v>0</v>
          </cell>
          <cell r="CS289">
            <v>4150</v>
          </cell>
          <cell r="CT289">
            <v>5650</v>
          </cell>
          <cell r="CU289">
            <v>2.8851063829787233</v>
          </cell>
          <cell r="CV289">
            <v>0</v>
          </cell>
          <cell r="CW289">
            <v>0</v>
          </cell>
          <cell r="CX289">
            <v>3691.666666666667</v>
          </cell>
          <cell r="CY289">
            <v>3700</v>
          </cell>
          <cell r="CZ289">
            <v>1.9220779220779221</v>
          </cell>
          <cell r="DA289">
            <v>0</v>
          </cell>
          <cell r="DB289">
            <v>10000</v>
          </cell>
          <cell r="DC289">
            <v>11825</v>
          </cell>
          <cell r="DD289">
            <v>2200</v>
          </cell>
          <cell r="DE289">
            <v>0.15786666666666666</v>
          </cell>
          <cell r="DF289">
            <v>0</v>
          </cell>
          <cell r="DG289">
            <v>10000</v>
          </cell>
          <cell r="DH289">
            <v>10325</v>
          </cell>
          <cell r="DI289">
            <v>10400</v>
          </cell>
          <cell r="DJ289">
            <v>6.613212669683258</v>
          </cell>
          <cell r="DK289">
            <v>0</v>
          </cell>
          <cell r="DL289">
            <v>0</v>
          </cell>
          <cell r="DM289">
            <v>8483.3333333333339</v>
          </cell>
          <cell r="DN289">
            <v>8650</v>
          </cell>
          <cell r="DO289">
            <v>5.6629864253393665</v>
          </cell>
          <cell r="DP289">
            <v>0</v>
          </cell>
          <cell r="DQ289">
            <v>0</v>
          </cell>
          <cell r="DR289">
            <v>6808.333333333333</v>
          </cell>
          <cell r="DS289">
            <v>6808.333333333333</v>
          </cell>
          <cell r="DT289">
            <v>4.6629864253393656</v>
          </cell>
          <cell r="DU289">
            <v>0</v>
          </cell>
          <cell r="DV289">
            <v>0</v>
          </cell>
          <cell r="DW289">
            <v>4966.6666666666661</v>
          </cell>
          <cell r="DX289">
            <v>4966.6666666666661</v>
          </cell>
          <cell r="DY289">
            <v>3.662986425339366</v>
          </cell>
          <cell r="DZ289">
            <v>0</v>
          </cell>
          <cell r="EA289">
            <v>0</v>
          </cell>
          <cell r="EB289">
            <v>3124.9999999999991</v>
          </cell>
          <cell r="EC289">
            <v>3124.9999999999991</v>
          </cell>
          <cell r="ED289">
            <v>2.662986425339366</v>
          </cell>
          <cell r="EE289">
            <v>0</v>
          </cell>
          <cell r="EF289">
            <v>0</v>
          </cell>
          <cell r="EG289">
            <v>1283.3333333333323</v>
          </cell>
          <cell r="EH289">
            <v>1283.3333333333323</v>
          </cell>
          <cell r="EI289">
            <v>1.662986425339366</v>
          </cell>
          <cell r="EJ289">
            <v>620.66666666666765</v>
          </cell>
          <cell r="EK289">
            <v>10000</v>
          </cell>
          <cell r="EL289">
            <v>9441.6666666666661</v>
          </cell>
          <cell r="EM289">
            <v>9441.6666666666661</v>
          </cell>
          <cell r="EN289">
            <v>6.092850678733031</v>
          </cell>
          <cell r="EO289">
            <v>0</v>
          </cell>
          <cell r="EP289">
            <v>0</v>
          </cell>
          <cell r="EQ289">
            <v>7599.9999999999991</v>
          </cell>
          <cell r="ER289">
            <v>7599.9999999999991</v>
          </cell>
          <cell r="ES289">
            <v>5.092850678733031</v>
          </cell>
          <cell r="ET289">
            <v>0</v>
          </cell>
          <cell r="EU289">
            <v>0</v>
          </cell>
          <cell r="EV289">
            <v>5758.3333333333321</v>
          </cell>
          <cell r="EW289">
            <v>5758.3333333333321</v>
          </cell>
          <cell r="EX289">
            <v>4.092850678733031</v>
          </cell>
          <cell r="EY289">
            <v>0</v>
          </cell>
          <cell r="EZ289">
            <v>0</v>
          </cell>
          <cell r="FA289">
            <v>3916.6666666666652</v>
          </cell>
          <cell r="FB289">
            <v>3916.6666666666652</v>
          </cell>
          <cell r="FC289">
            <v>3.092850678733031</v>
          </cell>
          <cell r="FD289">
            <v>0</v>
          </cell>
          <cell r="FE289">
            <v>0</v>
          </cell>
          <cell r="FF289">
            <v>2074.9999999999982</v>
          </cell>
          <cell r="FG289">
            <v>2074.9999999999982</v>
          </cell>
          <cell r="FH289">
            <v>2.0928506787330305</v>
          </cell>
          <cell r="FI289">
            <v>0</v>
          </cell>
          <cell r="FJ289">
            <v>10000</v>
          </cell>
          <cell r="FK289">
            <v>10233.333333333332</v>
          </cell>
          <cell r="FL289">
            <v>10233.333333333332</v>
          </cell>
          <cell r="FM289">
            <v>6.5227149321266964</v>
          </cell>
          <cell r="FN289">
            <v>0</v>
          </cell>
          <cell r="FO289">
            <v>0</v>
          </cell>
          <cell r="FP289">
            <v>8391.6666666666661</v>
          </cell>
          <cell r="FQ289">
            <v>8391.6666666666661</v>
          </cell>
          <cell r="FR289">
            <v>5.5227149321266964</v>
          </cell>
          <cell r="FS289">
            <v>0</v>
          </cell>
          <cell r="FT289">
            <v>1904</v>
          </cell>
          <cell r="FU289">
            <v>1.0333333333333334</v>
          </cell>
          <cell r="FW289" t="str">
            <v>SOBRESTOCK</v>
          </cell>
          <cell r="FX289" t="str">
            <v>A</v>
          </cell>
          <cell r="FY289" t="str">
            <v>Si</v>
          </cell>
        </row>
        <row r="290">
          <cell r="B290" t="str">
            <v>REP-0306</v>
          </cell>
          <cell r="C290" t="str">
            <v>NO VIGENTE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O290">
            <v>0</v>
          </cell>
          <cell r="AP290">
            <v>0</v>
          </cell>
          <cell r="AQ290" t="str">
            <v/>
          </cell>
          <cell r="AR290">
            <v>0</v>
          </cell>
          <cell r="AS290">
            <v>0</v>
          </cell>
          <cell r="AT290">
            <v>0</v>
          </cell>
          <cell r="AU290" t="str">
            <v/>
          </cell>
          <cell r="AV290">
            <v>0</v>
          </cell>
          <cell r="AW290">
            <v>0</v>
          </cell>
          <cell r="AX290">
            <v>0</v>
          </cell>
          <cell r="AY290" t="str">
            <v/>
          </cell>
          <cell r="AZ290">
            <v>0</v>
          </cell>
          <cell r="BA290">
            <v>0</v>
          </cell>
          <cell r="BB290">
            <v>0</v>
          </cell>
          <cell r="BC290" t="str">
            <v/>
          </cell>
          <cell r="BD290">
            <v>0</v>
          </cell>
          <cell r="BE290">
            <v>0</v>
          </cell>
          <cell r="BF290" t="str">
            <v/>
          </cell>
          <cell r="BG290">
            <v>0</v>
          </cell>
          <cell r="BH290">
            <v>0</v>
          </cell>
          <cell r="BI290">
            <v>0</v>
          </cell>
          <cell r="BJ290" t="str">
            <v/>
          </cell>
          <cell r="BK290">
            <v>0</v>
          </cell>
          <cell r="BL290">
            <v>0</v>
          </cell>
          <cell r="BM290">
            <v>0</v>
          </cell>
          <cell r="BN290" t="str">
            <v/>
          </cell>
          <cell r="BO290">
            <v>0</v>
          </cell>
          <cell r="BP290">
            <v>0</v>
          </cell>
          <cell r="BQ290">
            <v>0</v>
          </cell>
          <cell r="BR290" t="str">
            <v/>
          </cell>
          <cell r="BS290">
            <v>0</v>
          </cell>
          <cell r="BT290">
            <v>0</v>
          </cell>
          <cell r="BU290">
            <v>0</v>
          </cell>
          <cell r="BV290" t="str">
            <v/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 t="str">
            <v/>
          </cell>
          <cell r="CB290">
            <v>0</v>
          </cell>
          <cell r="CD290">
            <v>0</v>
          </cell>
          <cell r="CE290">
            <v>0</v>
          </cell>
          <cell r="CF290" t="str">
            <v/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 t="str">
            <v/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 t="str">
            <v/>
          </cell>
          <cell r="CQ290">
            <v>0</v>
          </cell>
          <cell r="CS290">
            <v>0</v>
          </cell>
          <cell r="CT290">
            <v>0</v>
          </cell>
          <cell r="CU290" t="str">
            <v/>
          </cell>
          <cell r="CV290">
            <v>0</v>
          </cell>
          <cell r="CX290">
            <v>0</v>
          </cell>
          <cell r="CY290">
            <v>0</v>
          </cell>
          <cell r="CZ290" t="str">
            <v/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 t="str">
            <v/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 t="str">
            <v/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 t="str">
            <v/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 t="str">
            <v/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 t="str">
            <v/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 t="str">
            <v/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 t="str">
            <v/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 t="str">
            <v/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 t="str">
            <v/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 t="str">
            <v/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 t="str">
            <v/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 t="str">
            <v/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 t="str">
            <v/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 t="str">
            <v/>
          </cell>
          <cell r="FS290">
            <v>0</v>
          </cell>
          <cell r="FT290">
            <v>0</v>
          </cell>
          <cell r="FU290">
            <v>66.666666666666671</v>
          </cell>
          <cell r="FW290" t="str">
            <v>SIN ROTACIÓN</v>
          </cell>
          <cell r="FX290">
            <v>0</v>
          </cell>
          <cell r="FY290" t="str">
            <v>No</v>
          </cell>
        </row>
        <row r="291">
          <cell r="B291" t="str">
            <v>REP-0307</v>
          </cell>
          <cell r="C291" t="str">
            <v>MIX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833.33333333333394</v>
          </cell>
          <cell r="AQ291" t="str">
            <v/>
          </cell>
          <cell r="AR291">
            <v>0</v>
          </cell>
          <cell r="AS291">
            <v>10000</v>
          </cell>
          <cell r="AT291">
            <v>10000</v>
          </cell>
          <cell r="AU291" t="str">
            <v/>
          </cell>
          <cell r="AV291">
            <v>0</v>
          </cell>
          <cell r="AW291">
            <v>10000</v>
          </cell>
          <cell r="AX291">
            <v>0</v>
          </cell>
          <cell r="AY291" t="str">
            <v/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-9166.6666666666661</v>
          </cell>
          <cell r="BF291">
            <v>-1</v>
          </cell>
          <cell r="BG291">
            <v>0</v>
          </cell>
          <cell r="BH291">
            <v>-18333.333333333332</v>
          </cell>
          <cell r="BI291">
            <v>0</v>
          </cell>
          <cell r="BJ291" t="str">
            <v/>
          </cell>
          <cell r="BK291">
            <v>0</v>
          </cell>
          <cell r="BL291">
            <v>-8333.3333333333339</v>
          </cell>
          <cell r="BM291">
            <v>0</v>
          </cell>
          <cell r="BN291">
            <v>0</v>
          </cell>
          <cell r="BO291">
            <v>0</v>
          </cell>
          <cell r="BP291">
            <v>-8333.3333333333339</v>
          </cell>
          <cell r="BQ291">
            <v>7500</v>
          </cell>
          <cell r="BR291" t="str">
            <v/>
          </cell>
          <cell r="BS291">
            <v>0</v>
          </cell>
          <cell r="BT291">
            <v>-3333.3333333333339</v>
          </cell>
          <cell r="BU291">
            <v>7500</v>
          </cell>
          <cell r="BV291">
            <v>0.81818181818181823</v>
          </cell>
          <cell r="BW291">
            <v>65834</v>
          </cell>
          <cell r="BX291">
            <v>0</v>
          </cell>
          <cell r="BY291">
            <v>-1666.6666666666661</v>
          </cell>
          <cell r="BZ291">
            <v>0</v>
          </cell>
          <cell r="CA291">
            <v>0</v>
          </cell>
          <cell r="CB291">
            <v>90000</v>
          </cell>
          <cell r="CC291">
            <v>0</v>
          </cell>
          <cell r="CD291">
            <v>-11250</v>
          </cell>
          <cell r="CE291">
            <v>0</v>
          </cell>
          <cell r="CF291">
            <v>0</v>
          </cell>
          <cell r="CG291">
            <v>90000</v>
          </cell>
          <cell r="CH291">
            <v>0</v>
          </cell>
          <cell r="CI291">
            <v>67500</v>
          </cell>
          <cell r="CJ291">
            <v>9000</v>
          </cell>
          <cell r="CK291">
            <v>1.1368421052631579</v>
          </cell>
          <cell r="CL291">
            <v>54334</v>
          </cell>
          <cell r="CM291">
            <v>0</v>
          </cell>
          <cell r="CN291">
            <v>1083.333333333333</v>
          </cell>
          <cell r="CO291">
            <v>0</v>
          </cell>
          <cell r="CP291">
            <v>0</v>
          </cell>
          <cell r="CQ291">
            <v>62250.666666666664</v>
          </cell>
          <cell r="CR291">
            <v>0</v>
          </cell>
          <cell r="CS291">
            <v>-7916.666666666667</v>
          </cell>
          <cell r="CT291">
            <v>0</v>
          </cell>
          <cell r="CU291">
            <v>0</v>
          </cell>
          <cell r="CV291">
            <v>16098</v>
          </cell>
          <cell r="CW291">
            <v>0</v>
          </cell>
          <cell r="CX291">
            <v>-7916.666666666667</v>
          </cell>
          <cell r="CY291">
            <v>0</v>
          </cell>
          <cell r="CZ291">
            <v>0</v>
          </cell>
          <cell r="DA291">
            <v>24014.666666666668</v>
          </cell>
          <cell r="DB291">
            <v>0</v>
          </cell>
          <cell r="DC291">
            <v>-3020.8333333333335</v>
          </cell>
          <cell r="DD291">
            <v>0</v>
          </cell>
          <cell r="DE291">
            <v>-2.0336842105263155</v>
          </cell>
          <cell r="DF291">
            <v>7045.8333333333339</v>
          </cell>
          <cell r="DG291">
            <v>0</v>
          </cell>
          <cell r="DH291">
            <v>-1979.1666666666667</v>
          </cell>
          <cell r="DI291">
            <v>0</v>
          </cell>
          <cell r="DJ291" t="str">
            <v/>
          </cell>
          <cell r="DK291">
            <v>0</v>
          </cell>
          <cell r="DL291">
            <v>0</v>
          </cell>
          <cell r="DM291">
            <v>-1979.1666666666667</v>
          </cell>
          <cell r="DN291">
            <v>0</v>
          </cell>
          <cell r="DO291" t="str">
            <v/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 t="str">
            <v/>
          </cell>
          <cell r="DU291">
            <v>0</v>
          </cell>
          <cell r="DV291">
            <v>85000</v>
          </cell>
          <cell r="DW291">
            <v>85000</v>
          </cell>
          <cell r="DX291">
            <v>85000</v>
          </cell>
          <cell r="DY291" t="str">
            <v/>
          </cell>
          <cell r="DZ291">
            <v>0</v>
          </cell>
          <cell r="EA291">
            <v>0</v>
          </cell>
          <cell r="EB291">
            <v>85000</v>
          </cell>
          <cell r="EC291">
            <v>85000</v>
          </cell>
          <cell r="ED291" t="str">
            <v/>
          </cell>
          <cell r="EE291">
            <v>0</v>
          </cell>
          <cell r="EF291">
            <v>0</v>
          </cell>
          <cell r="EG291">
            <v>85000</v>
          </cell>
          <cell r="EH291">
            <v>85000</v>
          </cell>
          <cell r="EI291" t="str">
            <v/>
          </cell>
          <cell r="EJ291">
            <v>0</v>
          </cell>
          <cell r="EK291">
            <v>0</v>
          </cell>
          <cell r="EL291">
            <v>85000</v>
          </cell>
          <cell r="EM291">
            <v>85000</v>
          </cell>
          <cell r="EN291" t="str">
            <v/>
          </cell>
          <cell r="EO291">
            <v>0</v>
          </cell>
          <cell r="EP291">
            <v>0</v>
          </cell>
          <cell r="EQ291">
            <v>85000</v>
          </cell>
          <cell r="ER291">
            <v>85000</v>
          </cell>
          <cell r="ES291" t="str">
            <v/>
          </cell>
          <cell r="ET291">
            <v>0</v>
          </cell>
          <cell r="EU291">
            <v>0</v>
          </cell>
          <cell r="EV291">
            <v>85000</v>
          </cell>
          <cell r="EW291">
            <v>85000</v>
          </cell>
          <cell r="EX291" t="str">
            <v/>
          </cell>
          <cell r="EY291">
            <v>0</v>
          </cell>
          <cell r="EZ291">
            <v>0</v>
          </cell>
          <cell r="FA291">
            <v>85000</v>
          </cell>
          <cell r="FB291">
            <v>85000</v>
          </cell>
          <cell r="FC291" t="str">
            <v/>
          </cell>
          <cell r="FD291">
            <v>0</v>
          </cell>
          <cell r="FE291">
            <v>0</v>
          </cell>
          <cell r="FF291">
            <v>85000</v>
          </cell>
          <cell r="FG291">
            <v>85000</v>
          </cell>
          <cell r="FH291" t="str">
            <v/>
          </cell>
          <cell r="FI291">
            <v>0</v>
          </cell>
          <cell r="FJ291">
            <v>0</v>
          </cell>
          <cell r="FK291">
            <v>85000</v>
          </cell>
          <cell r="FL291">
            <v>85000</v>
          </cell>
          <cell r="FM291" t="str">
            <v/>
          </cell>
          <cell r="FN291">
            <v>0</v>
          </cell>
          <cell r="FO291">
            <v>0</v>
          </cell>
          <cell r="FP291">
            <v>85000</v>
          </cell>
          <cell r="FQ291">
            <v>85000</v>
          </cell>
          <cell r="FR291" t="str">
            <v/>
          </cell>
          <cell r="FS291">
            <v>0</v>
          </cell>
          <cell r="FT291">
            <v>0</v>
          </cell>
          <cell r="FU291">
            <v>2.0333333333333332</v>
          </cell>
          <cell r="FW291" t="str">
            <v>SIN ROTACIÓN</v>
          </cell>
          <cell r="FX291" t="str">
            <v>STOCK MUERTO</v>
          </cell>
          <cell r="FY291" t="str">
            <v>Si</v>
          </cell>
        </row>
        <row r="292">
          <cell r="B292" t="str">
            <v>REP-0308</v>
          </cell>
          <cell r="C292" t="str">
            <v>OSBORNE</v>
          </cell>
          <cell r="D292">
            <v>0</v>
          </cell>
          <cell r="E292">
            <v>0</v>
          </cell>
          <cell r="F292">
            <v>0</v>
          </cell>
          <cell r="G292">
            <v>2500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2500</v>
          </cell>
          <cell r="AA292">
            <v>2500</v>
          </cell>
          <cell r="AB292">
            <v>0</v>
          </cell>
          <cell r="AC292">
            <v>33.333333333333336</v>
          </cell>
          <cell r="AD292">
            <v>1.1111111111111112</v>
          </cell>
          <cell r="AE292">
            <v>16.666666666666668</v>
          </cell>
          <cell r="AF292">
            <v>41.666666666666664</v>
          </cell>
          <cell r="AG292">
            <v>20.833333333333332</v>
          </cell>
          <cell r="AH292">
            <v>116.66666666666667</v>
          </cell>
          <cell r="AI292">
            <v>133.33333333333334</v>
          </cell>
          <cell r="AJ292">
            <v>133.33333333333334</v>
          </cell>
          <cell r="AK292">
            <v>101.04166666666669</v>
          </cell>
          <cell r="AL292">
            <v>54.04634071280352</v>
          </cell>
          <cell r="AM292">
            <v>101.04166666666669</v>
          </cell>
          <cell r="AN292">
            <v>0.53489161942568419</v>
          </cell>
          <cell r="AO292">
            <v>0</v>
          </cell>
          <cell r="AP292">
            <v>4914.5555555555557</v>
          </cell>
          <cell r="AQ292">
            <v>120.416</v>
          </cell>
          <cell r="AR292">
            <v>0</v>
          </cell>
          <cell r="AS292">
            <v>4759</v>
          </cell>
          <cell r="AT292">
            <v>4759</v>
          </cell>
          <cell r="AU292">
            <v>31.726666666666667</v>
          </cell>
          <cell r="AV292">
            <v>0</v>
          </cell>
          <cell r="AW292">
            <v>4609</v>
          </cell>
          <cell r="AX292">
            <v>4459</v>
          </cell>
          <cell r="AY292">
            <v>44.130309278350509</v>
          </cell>
          <cell r="AZ292">
            <v>0</v>
          </cell>
          <cell r="BA292">
            <v>4259</v>
          </cell>
          <cell r="BB292">
            <v>4459</v>
          </cell>
          <cell r="BC292">
            <v>22.295000000000002</v>
          </cell>
          <cell r="BD292">
            <v>0</v>
          </cell>
          <cell r="BE292">
            <v>4259</v>
          </cell>
          <cell r="BF292">
            <v>21.295000000000002</v>
          </cell>
          <cell r="BG292">
            <v>0</v>
          </cell>
          <cell r="BH292">
            <v>4059</v>
          </cell>
          <cell r="BI292">
            <v>2500</v>
          </cell>
          <cell r="BJ292">
            <v>24.742268041237107</v>
          </cell>
          <cell r="BK292">
            <v>0</v>
          </cell>
          <cell r="BL292">
            <v>4009</v>
          </cell>
          <cell r="BM292">
            <v>4159</v>
          </cell>
          <cell r="BN292">
            <v>31.192499999999999</v>
          </cell>
          <cell r="BO292">
            <v>0</v>
          </cell>
          <cell r="BP292">
            <v>4025.6666666666665</v>
          </cell>
          <cell r="BQ292">
            <v>3959</v>
          </cell>
          <cell r="BR292">
            <v>39.181855670103083</v>
          </cell>
          <cell r="BS292">
            <v>0</v>
          </cell>
          <cell r="BT292">
            <v>3821.5</v>
          </cell>
          <cell r="BU292">
            <v>3759</v>
          </cell>
          <cell r="BV292">
            <v>26.023846153846151</v>
          </cell>
          <cell r="BW292">
            <v>0</v>
          </cell>
          <cell r="BX292">
            <v>0</v>
          </cell>
          <cell r="BY292">
            <v>3614.5555555555557</v>
          </cell>
          <cell r="BZ292">
            <v>3759</v>
          </cell>
          <cell r="CA292">
            <v>28.915384615384614</v>
          </cell>
          <cell r="CB292">
            <v>0</v>
          </cell>
          <cell r="CC292">
            <v>0</v>
          </cell>
          <cell r="CD292">
            <v>3629</v>
          </cell>
          <cell r="CE292">
            <v>3659</v>
          </cell>
          <cell r="CF292">
            <v>28.749285714285715</v>
          </cell>
          <cell r="CG292">
            <v>0</v>
          </cell>
          <cell r="CH292">
            <v>0</v>
          </cell>
          <cell r="CI292">
            <v>3501.7272727272725</v>
          </cell>
          <cell r="CJ292">
            <v>3100</v>
          </cell>
          <cell r="CK292">
            <v>26.571428571428569</v>
          </cell>
          <cell r="CL292">
            <v>0</v>
          </cell>
          <cell r="CM292">
            <v>0</v>
          </cell>
          <cell r="CN292">
            <v>2983.3333333333335</v>
          </cell>
          <cell r="CO292">
            <v>2700</v>
          </cell>
          <cell r="CP292">
            <v>6.75</v>
          </cell>
          <cell r="CQ292">
            <v>0</v>
          </cell>
          <cell r="CR292">
            <v>0</v>
          </cell>
          <cell r="CS292">
            <v>2300</v>
          </cell>
          <cell r="CT292">
            <v>2700</v>
          </cell>
          <cell r="CU292">
            <v>13.5</v>
          </cell>
          <cell r="CV292">
            <v>0</v>
          </cell>
          <cell r="CW292">
            <v>0</v>
          </cell>
          <cell r="CX292">
            <v>2500</v>
          </cell>
          <cell r="CY292">
            <v>2700</v>
          </cell>
          <cell r="CZ292">
            <v>20.25</v>
          </cell>
          <cell r="DA292">
            <v>0</v>
          </cell>
          <cell r="DB292">
            <v>0</v>
          </cell>
          <cell r="DC292">
            <v>2575</v>
          </cell>
          <cell r="DD292">
            <v>2700</v>
          </cell>
          <cell r="DE292">
            <v>17.173333333333332</v>
          </cell>
          <cell r="DF292">
            <v>0</v>
          </cell>
          <cell r="DG292">
            <v>0</v>
          </cell>
          <cell r="DH292">
            <v>2550</v>
          </cell>
          <cell r="DI292">
            <v>2700</v>
          </cell>
          <cell r="DJ292">
            <v>31.169230769230769</v>
          </cell>
          <cell r="DK292">
            <v>0</v>
          </cell>
          <cell r="DL292">
            <v>0</v>
          </cell>
          <cell r="DM292">
            <v>2460.625</v>
          </cell>
          <cell r="DN292">
            <v>2500</v>
          </cell>
          <cell r="DO292">
            <v>25.703092783505149</v>
          </cell>
          <cell r="DP292">
            <v>0</v>
          </cell>
          <cell r="DQ292">
            <v>0</v>
          </cell>
          <cell r="DR292">
            <v>2398.9583333333335</v>
          </cell>
          <cell r="DS292">
            <v>2398.9583333333335</v>
          </cell>
          <cell r="DT292">
            <v>24.703092783505152</v>
          </cell>
          <cell r="DU292">
            <v>0</v>
          </cell>
          <cell r="DV292">
            <v>0</v>
          </cell>
          <cell r="DW292">
            <v>2297.916666666667</v>
          </cell>
          <cell r="DX292">
            <v>2297.916666666667</v>
          </cell>
          <cell r="DY292">
            <v>23.703092783505152</v>
          </cell>
          <cell r="DZ292">
            <v>0</v>
          </cell>
          <cell r="EA292">
            <v>0</v>
          </cell>
          <cell r="EB292">
            <v>2196.8750000000005</v>
          </cell>
          <cell r="EC292">
            <v>2196.8750000000005</v>
          </cell>
          <cell r="ED292">
            <v>22.703092783505156</v>
          </cell>
          <cell r="EE292">
            <v>0</v>
          </cell>
          <cell r="EF292">
            <v>0</v>
          </cell>
          <cell r="EG292">
            <v>2095.8333333333339</v>
          </cell>
          <cell r="EH292">
            <v>2095.8333333333339</v>
          </cell>
          <cell r="EI292">
            <v>21.703092783505156</v>
          </cell>
          <cell r="EJ292">
            <v>0</v>
          </cell>
          <cell r="EK292">
            <v>0</v>
          </cell>
          <cell r="EL292">
            <v>1994.7916666666672</v>
          </cell>
          <cell r="EM292">
            <v>1994.7916666666672</v>
          </cell>
          <cell r="EN292">
            <v>20.703092783505156</v>
          </cell>
          <cell r="EO292">
            <v>0</v>
          </cell>
          <cell r="EP292">
            <v>0</v>
          </cell>
          <cell r="EQ292">
            <v>1893.7500000000005</v>
          </cell>
          <cell r="ER292">
            <v>1893.7500000000005</v>
          </cell>
          <cell r="ES292">
            <v>19.703092783505156</v>
          </cell>
          <cell r="ET292">
            <v>0</v>
          </cell>
          <cell r="EU292">
            <v>0</v>
          </cell>
          <cell r="EV292">
            <v>1792.7083333333337</v>
          </cell>
          <cell r="EW292">
            <v>1792.7083333333337</v>
          </cell>
          <cell r="EX292">
            <v>18.703092783505156</v>
          </cell>
          <cell r="EY292">
            <v>0</v>
          </cell>
          <cell r="EZ292">
            <v>0</v>
          </cell>
          <cell r="FA292">
            <v>1691.666666666667</v>
          </cell>
          <cell r="FB292">
            <v>1691.666666666667</v>
          </cell>
          <cell r="FC292">
            <v>17.703092783505156</v>
          </cell>
          <cell r="FD292">
            <v>0</v>
          </cell>
          <cell r="FE292">
            <v>0</v>
          </cell>
          <cell r="FF292">
            <v>1590.6250000000002</v>
          </cell>
          <cell r="FG292">
            <v>1590.6250000000002</v>
          </cell>
          <cell r="FH292">
            <v>16.703092783505156</v>
          </cell>
          <cell r="FI292">
            <v>0</v>
          </cell>
          <cell r="FJ292">
            <v>0</v>
          </cell>
          <cell r="FK292">
            <v>1489.5833333333335</v>
          </cell>
          <cell r="FL292">
            <v>1489.5833333333335</v>
          </cell>
          <cell r="FM292">
            <v>15.703092783505154</v>
          </cell>
          <cell r="FN292">
            <v>0</v>
          </cell>
          <cell r="FO292">
            <v>0</v>
          </cell>
          <cell r="FP292">
            <v>1388.5416666666667</v>
          </cell>
          <cell r="FQ292">
            <v>1388.5416666666667</v>
          </cell>
          <cell r="FR292">
            <v>14.703092783505152</v>
          </cell>
          <cell r="FS292">
            <v>0</v>
          </cell>
          <cell r="FT292">
            <v>105</v>
          </cell>
          <cell r="FU292">
            <v>1.0333333333333334</v>
          </cell>
          <cell r="FW292" t="str">
            <v>SOBRESTOCK</v>
          </cell>
          <cell r="FX292" t="str">
            <v>A</v>
          </cell>
          <cell r="FY292" t="str">
            <v>Si</v>
          </cell>
        </row>
        <row r="293">
          <cell r="B293" t="str">
            <v>REP-0309</v>
          </cell>
          <cell r="C293" t="str">
            <v>MIX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-10833.333333333334</v>
          </cell>
          <cell r="AQ293" t="str">
            <v/>
          </cell>
          <cell r="AR293">
            <v>0</v>
          </cell>
          <cell r="AS293">
            <v>0</v>
          </cell>
          <cell r="AT293">
            <v>0</v>
          </cell>
          <cell r="AU293" t="str">
            <v/>
          </cell>
          <cell r="AV293">
            <v>0</v>
          </cell>
          <cell r="AW293">
            <v>0</v>
          </cell>
          <cell r="AX293">
            <v>0</v>
          </cell>
          <cell r="AY293" t="str">
            <v/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-6666.666666666667</v>
          </cell>
          <cell r="BF293">
            <v>-1</v>
          </cell>
          <cell r="BG293">
            <v>0</v>
          </cell>
          <cell r="BH293">
            <v>-13333.333333333334</v>
          </cell>
          <cell r="BI293">
            <v>0</v>
          </cell>
          <cell r="BJ293" t="str">
            <v/>
          </cell>
          <cell r="BK293">
            <v>0</v>
          </cell>
          <cell r="BL293">
            <v>-7500</v>
          </cell>
          <cell r="BM293">
            <v>0</v>
          </cell>
          <cell r="BN293">
            <v>0</v>
          </cell>
          <cell r="BO293">
            <v>0</v>
          </cell>
          <cell r="BP293">
            <v>-7500</v>
          </cell>
          <cell r="BQ293">
            <v>8500</v>
          </cell>
          <cell r="BR293" t="str">
            <v/>
          </cell>
          <cell r="BS293">
            <v>0</v>
          </cell>
          <cell r="BT293">
            <v>-2333.3333333333339</v>
          </cell>
          <cell r="BU293">
            <v>8500</v>
          </cell>
          <cell r="BV293">
            <v>0.7846153846153846</v>
          </cell>
          <cell r="BW293">
            <v>78166</v>
          </cell>
          <cell r="BX293">
            <v>0</v>
          </cell>
          <cell r="BY293">
            <v>-2333.3333333333339</v>
          </cell>
          <cell r="BZ293">
            <v>0</v>
          </cell>
          <cell r="CA293">
            <v>0</v>
          </cell>
          <cell r="CB293">
            <v>101334</v>
          </cell>
          <cell r="CC293">
            <v>0</v>
          </cell>
          <cell r="CD293">
            <v>-12666.666666666666</v>
          </cell>
          <cell r="CE293">
            <v>0</v>
          </cell>
          <cell r="CF293">
            <v>0</v>
          </cell>
          <cell r="CG293">
            <v>101334</v>
          </cell>
          <cell r="CH293">
            <v>0</v>
          </cell>
          <cell r="CI293">
            <v>76000.666666666657</v>
          </cell>
          <cell r="CJ293">
            <v>15000</v>
          </cell>
          <cell r="CK293">
            <v>1.7647058823529411</v>
          </cell>
          <cell r="CL293">
            <v>53000</v>
          </cell>
          <cell r="CM293">
            <v>0</v>
          </cell>
          <cell r="CN293">
            <v>6500</v>
          </cell>
          <cell r="CO293">
            <v>0</v>
          </cell>
          <cell r="CP293">
            <v>0</v>
          </cell>
          <cell r="CQ293">
            <v>61500</v>
          </cell>
          <cell r="CR293">
            <v>0</v>
          </cell>
          <cell r="CS293">
            <v>-8500</v>
          </cell>
          <cell r="CT293">
            <v>0</v>
          </cell>
          <cell r="CU293">
            <v>0</v>
          </cell>
          <cell r="CV293">
            <v>16267</v>
          </cell>
          <cell r="CW293">
            <v>0</v>
          </cell>
          <cell r="CX293">
            <v>-8000</v>
          </cell>
          <cell r="CY293">
            <v>0</v>
          </cell>
          <cell r="CZ293">
            <v>0</v>
          </cell>
          <cell r="DA293">
            <v>24267</v>
          </cell>
          <cell r="DB293">
            <v>0</v>
          </cell>
          <cell r="DC293">
            <v>-6166.666666666667</v>
          </cell>
          <cell r="DD293">
            <v>0</v>
          </cell>
          <cell r="DE293">
            <v>-2.0335000000000001</v>
          </cell>
          <cell r="DF293">
            <v>10233.666666666668</v>
          </cell>
          <cell r="DG293">
            <v>0</v>
          </cell>
          <cell r="DH293">
            <v>-2000</v>
          </cell>
          <cell r="DI293">
            <v>0</v>
          </cell>
          <cell r="DJ293" t="str">
            <v/>
          </cell>
          <cell r="DK293">
            <v>0</v>
          </cell>
          <cell r="DL293">
            <v>0</v>
          </cell>
          <cell r="DM293">
            <v>-2000</v>
          </cell>
          <cell r="DN293">
            <v>0</v>
          </cell>
          <cell r="DO293" t="str">
            <v/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 t="str">
            <v/>
          </cell>
          <cell r="DU293">
            <v>0</v>
          </cell>
          <cell r="DV293">
            <v>85000</v>
          </cell>
          <cell r="DW293">
            <v>85000</v>
          </cell>
          <cell r="DX293">
            <v>85000</v>
          </cell>
          <cell r="DY293" t="str">
            <v/>
          </cell>
          <cell r="DZ293">
            <v>0</v>
          </cell>
          <cell r="EA293">
            <v>0</v>
          </cell>
          <cell r="EB293">
            <v>85000</v>
          </cell>
          <cell r="EC293">
            <v>85000</v>
          </cell>
          <cell r="ED293" t="str">
            <v/>
          </cell>
          <cell r="EE293">
            <v>0</v>
          </cell>
          <cell r="EF293">
            <v>0</v>
          </cell>
          <cell r="EG293">
            <v>85000</v>
          </cell>
          <cell r="EH293">
            <v>85000</v>
          </cell>
          <cell r="EI293" t="str">
            <v/>
          </cell>
          <cell r="EJ293">
            <v>0</v>
          </cell>
          <cell r="EK293">
            <v>0</v>
          </cell>
          <cell r="EL293">
            <v>85000</v>
          </cell>
          <cell r="EM293">
            <v>85000</v>
          </cell>
          <cell r="EN293" t="str">
            <v/>
          </cell>
          <cell r="EO293">
            <v>0</v>
          </cell>
          <cell r="EP293">
            <v>0</v>
          </cell>
          <cell r="EQ293">
            <v>85000</v>
          </cell>
          <cell r="ER293">
            <v>85000</v>
          </cell>
          <cell r="ES293" t="str">
            <v/>
          </cell>
          <cell r="ET293">
            <v>0</v>
          </cell>
          <cell r="EU293">
            <v>0</v>
          </cell>
          <cell r="EV293">
            <v>85000</v>
          </cell>
          <cell r="EW293">
            <v>85000</v>
          </cell>
          <cell r="EX293" t="str">
            <v/>
          </cell>
          <cell r="EY293">
            <v>0</v>
          </cell>
          <cell r="EZ293">
            <v>0</v>
          </cell>
          <cell r="FA293">
            <v>85000</v>
          </cell>
          <cell r="FB293">
            <v>85000</v>
          </cell>
          <cell r="FC293" t="str">
            <v/>
          </cell>
          <cell r="FD293">
            <v>0</v>
          </cell>
          <cell r="FE293">
            <v>0</v>
          </cell>
          <cell r="FF293">
            <v>85000</v>
          </cell>
          <cell r="FG293">
            <v>85000</v>
          </cell>
          <cell r="FH293" t="str">
            <v/>
          </cell>
          <cell r="FI293">
            <v>0</v>
          </cell>
          <cell r="FJ293">
            <v>0</v>
          </cell>
          <cell r="FK293">
            <v>85000</v>
          </cell>
          <cell r="FL293">
            <v>85000</v>
          </cell>
          <cell r="FM293" t="str">
            <v/>
          </cell>
          <cell r="FN293">
            <v>0</v>
          </cell>
          <cell r="FO293">
            <v>0</v>
          </cell>
          <cell r="FP293">
            <v>85000</v>
          </cell>
          <cell r="FQ293">
            <v>85000</v>
          </cell>
          <cell r="FR293" t="str">
            <v/>
          </cell>
          <cell r="FS293">
            <v>0</v>
          </cell>
          <cell r="FT293">
            <v>0</v>
          </cell>
          <cell r="FU293">
            <v>2.0333333333333332</v>
          </cell>
          <cell r="FW293" t="str">
            <v>SIN ROTACIÓN</v>
          </cell>
          <cell r="FX293" t="str">
            <v>STOCK MUERTO</v>
          </cell>
          <cell r="FY293" t="str">
            <v>Si</v>
          </cell>
        </row>
        <row r="294">
          <cell r="B294" t="str">
            <v>REP-0310</v>
          </cell>
          <cell r="C294" t="str">
            <v>NO VIGENTE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O294">
            <v>0</v>
          </cell>
          <cell r="AP294">
            <v>0</v>
          </cell>
          <cell r="AQ294" t="str">
            <v/>
          </cell>
          <cell r="AR294">
            <v>0</v>
          </cell>
          <cell r="AS294">
            <v>0</v>
          </cell>
          <cell r="AT294">
            <v>0</v>
          </cell>
          <cell r="AU294" t="str">
            <v/>
          </cell>
          <cell r="AV294">
            <v>0</v>
          </cell>
          <cell r="AW294">
            <v>0</v>
          </cell>
          <cell r="AX294">
            <v>0</v>
          </cell>
          <cell r="AY294" t="str">
            <v/>
          </cell>
          <cell r="AZ294">
            <v>0</v>
          </cell>
          <cell r="BA294">
            <v>0</v>
          </cell>
          <cell r="BB294">
            <v>0</v>
          </cell>
          <cell r="BC294" t="str">
            <v/>
          </cell>
          <cell r="BD294">
            <v>0</v>
          </cell>
          <cell r="BE294">
            <v>0</v>
          </cell>
          <cell r="BF294" t="str">
            <v/>
          </cell>
          <cell r="BG294">
            <v>0</v>
          </cell>
          <cell r="BH294">
            <v>0</v>
          </cell>
          <cell r="BI294">
            <v>0</v>
          </cell>
          <cell r="BJ294" t="str">
            <v/>
          </cell>
          <cell r="BK294">
            <v>0</v>
          </cell>
          <cell r="BL294">
            <v>0</v>
          </cell>
          <cell r="BM294">
            <v>0</v>
          </cell>
          <cell r="BN294" t="str">
            <v/>
          </cell>
          <cell r="BO294">
            <v>0</v>
          </cell>
          <cell r="BP294">
            <v>0</v>
          </cell>
          <cell r="BQ294">
            <v>0</v>
          </cell>
          <cell r="BR294" t="str">
            <v/>
          </cell>
          <cell r="BS294">
            <v>0</v>
          </cell>
          <cell r="BT294">
            <v>0</v>
          </cell>
          <cell r="BU294">
            <v>0</v>
          </cell>
          <cell r="BV294" t="str">
            <v/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 t="str">
            <v/>
          </cell>
          <cell r="CB294">
            <v>0</v>
          </cell>
          <cell r="CD294">
            <v>0</v>
          </cell>
          <cell r="CE294">
            <v>0</v>
          </cell>
          <cell r="CF294" t="str">
            <v/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 t="str">
            <v/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 t="str">
            <v/>
          </cell>
          <cell r="CQ294">
            <v>0</v>
          </cell>
          <cell r="CS294">
            <v>0</v>
          </cell>
          <cell r="CT294">
            <v>0</v>
          </cell>
          <cell r="CU294" t="str">
            <v/>
          </cell>
          <cell r="CV294">
            <v>0</v>
          </cell>
          <cell r="CX294">
            <v>0</v>
          </cell>
          <cell r="CY294">
            <v>0</v>
          </cell>
          <cell r="CZ294" t="str">
            <v/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 t="str">
            <v/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 t="str">
            <v/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 t="str">
            <v/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 t="str">
            <v/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 t="str">
            <v/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 t="str">
            <v/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 t="str">
            <v/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 t="str">
            <v/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 t="str">
            <v/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 t="str">
            <v/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 t="str">
            <v/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 t="str">
            <v/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 t="str">
            <v/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 t="str">
            <v/>
          </cell>
          <cell r="FS294">
            <v>0</v>
          </cell>
          <cell r="FT294">
            <v>0</v>
          </cell>
          <cell r="FU294">
            <v>66.666666666666671</v>
          </cell>
          <cell r="FW294" t="str">
            <v>SIN ROTACIÓN</v>
          </cell>
          <cell r="FX294">
            <v>0</v>
          </cell>
          <cell r="FY294" t="str">
            <v>No</v>
          </cell>
        </row>
        <row r="295">
          <cell r="B295" t="str">
            <v>REP-0311</v>
          </cell>
          <cell r="C295" t="str">
            <v>OSBORNE</v>
          </cell>
          <cell r="D295">
            <v>0</v>
          </cell>
          <cell r="E295">
            <v>0</v>
          </cell>
          <cell r="F295">
            <v>0</v>
          </cell>
          <cell r="G295">
            <v>1500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1500</v>
          </cell>
          <cell r="AA295">
            <v>1500</v>
          </cell>
          <cell r="AB295">
            <v>0</v>
          </cell>
          <cell r="AC295">
            <v>0</v>
          </cell>
          <cell r="AD295">
            <v>0</v>
          </cell>
          <cell r="AE295">
            <v>166.66666666666666</v>
          </cell>
          <cell r="AF295">
            <v>150</v>
          </cell>
          <cell r="AG295">
            <v>216.66666666666666</v>
          </cell>
          <cell r="AH295">
            <v>245.83333333333334</v>
          </cell>
          <cell r="AI295">
            <v>350</v>
          </cell>
          <cell r="AJ295">
            <v>350</v>
          </cell>
          <cell r="AK295">
            <v>315.27777777777777</v>
          </cell>
          <cell r="AL295">
            <v>69.586659933788667</v>
          </cell>
          <cell r="AM295">
            <v>290.625</v>
          </cell>
          <cell r="AN295">
            <v>0.23943796966464917</v>
          </cell>
          <cell r="AO295">
            <v>0</v>
          </cell>
          <cell r="AP295">
            <v>283.33333333333331</v>
          </cell>
          <cell r="AQ295">
            <v>1.2</v>
          </cell>
          <cell r="AR295">
            <v>0</v>
          </cell>
          <cell r="AS295">
            <v>250</v>
          </cell>
          <cell r="AT295">
            <v>550</v>
          </cell>
          <cell r="AU295">
            <v>2.5384615384615388</v>
          </cell>
          <cell r="AV295">
            <v>0</v>
          </cell>
          <cell r="AW295">
            <v>333.33333333333337</v>
          </cell>
          <cell r="AX295">
            <v>2000</v>
          </cell>
          <cell r="AY295">
            <v>6.3436123348017626</v>
          </cell>
          <cell r="AZ295">
            <v>0</v>
          </cell>
          <cell r="BA295">
            <v>1783.3333333333333</v>
          </cell>
          <cell r="BB295">
            <v>1700</v>
          </cell>
          <cell r="BC295">
            <v>6</v>
          </cell>
          <cell r="BD295">
            <v>0</v>
          </cell>
          <cell r="BE295">
            <v>1416.6666666666667</v>
          </cell>
          <cell r="BF295">
            <v>5.0000000000000009</v>
          </cell>
          <cell r="BG295">
            <v>0</v>
          </cell>
          <cell r="BH295">
            <v>1133.3333333333335</v>
          </cell>
          <cell r="BI295">
            <v>1500</v>
          </cell>
          <cell r="BJ295">
            <v>4.7577092511013213</v>
          </cell>
          <cell r="BK295">
            <v>0</v>
          </cell>
          <cell r="BL295">
            <v>391.66666666666669</v>
          </cell>
          <cell r="BM295">
            <v>700</v>
          </cell>
          <cell r="BN295">
            <v>2.2702702702702706</v>
          </cell>
          <cell r="BO295">
            <v>0</v>
          </cell>
          <cell r="BP295">
            <v>391.66666666666669</v>
          </cell>
          <cell r="BQ295">
            <v>400</v>
          </cell>
          <cell r="BR295">
            <v>1.2687224669603525</v>
          </cell>
          <cell r="BS295">
            <v>0</v>
          </cell>
          <cell r="BT295">
            <v>41.666666666666686</v>
          </cell>
          <cell r="BU295">
            <v>2400</v>
          </cell>
          <cell r="BV295">
            <v>9</v>
          </cell>
          <cell r="BW295">
            <v>0</v>
          </cell>
          <cell r="BX295">
            <v>0</v>
          </cell>
          <cell r="BY295">
            <v>2133.3333333333335</v>
          </cell>
          <cell r="BZ295">
            <v>2400</v>
          </cell>
          <cell r="CA295">
            <v>11.076923076923077</v>
          </cell>
          <cell r="CB295">
            <v>0</v>
          </cell>
          <cell r="CC295">
            <v>0</v>
          </cell>
          <cell r="CD295">
            <v>2183.3333333333335</v>
          </cell>
          <cell r="CE295">
            <v>1600</v>
          </cell>
          <cell r="CF295">
            <v>5.9661016949152543</v>
          </cell>
          <cell r="CG295">
            <v>0</v>
          </cell>
          <cell r="CH295">
            <v>0</v>
          </cell>
          <cell r="CI295">
            <v>1915.1515151515152</v>
          </cell>
          <cell r="CJ295">
            <v>1600</v>
          </cell>
          <cell r="CK295">
            <v>6.508474576271186</v>
          </cell>
          <cell r="CL295">
            <v>0</v>
          </cell>
          <cell r="CM295">
            <v>0</v>
          </cell>
          <cell r="CN295">
            <v>1354.1666666666667</v>
          </cell>
          <cell r="CO295">
            <v>600</v>
          </cell>
          <cell r="CP295">
            <v>2.7906976744186047</v>
          </cell>
          <cell r="CQ295">
            <v>0</v>
          </cell>
          <cell r="CR295">
            <v>0</v>
          </cell>
          <cell r="CS295">
            <v>385</v>
          </cell>
          <cell r="CT295">
            <v>300</v>
          </cell>
          <cell r="CU295">
            <v>1.3953488372093024</v>
          </cell>
          <cell r="CV295">
            <v>372</v>
          </cell>
          <cell r="CW295">
            <v>2000</v>
          </cell>
          <cell r="CX295">
            <v>2085</v>
          </cell>
          <cell r="CY295">
            <v>2100</v>
          </cell>
          <cell r="CZ295">
            <v>9.7674418604651159</v>
          </cell>
          <cell r="DA295">
            <v>0</v>
          </cell>
          <cell r="DB295">
            <v>0</v>
          </cell>
          <cell r="DC295">
            <v>1765.2777777777778</v>
          </cell>
          <cell r="DD295">
            <v>2100</v>
          </cell>
          <cell r="DE295">
            <v>5.4522821576763487</v>
          </cell>
          <cell r="DF295">
            <v>0</v>
          </cell>
          <cell r="DG295">
            <v>0</v>
          </cell>
          <cell r="DH295">
            <v>1765.2777777777778</v>
          </cell>
          <cell r="DI295">
            <v>2100</v>
          </cell>
          <cell r="DJ295">
            <v>8.8795811518324612</v>
          </cell>
          <cell r="DK295">
            <v>0</v>
          </cell>
          <cell r="DL295">
            <v>0</v>
          </cell>
          <cell r="DM295">
            <v>1500</v>
          </cell>
          <cell r="DN295">
            <v>1500</v>
          </cell>
          <cell r="DO295">
            <v>5.7237004405286349</v>
          </cell>
          <cell r="DP295">
            <v>0</v>
          </cell>
          <cell r="DQ295">
            <v>0</v>
          </cell>
          <cell r="DR295">
            <v>1184.7222222222222</v>
          </cell>
          <cell r="DS295">
            <v>1184.7222222222222</v>
          </cell>
          <cell r="DT295">
            <v>4.7237004405286349</v>
          </cell>
          <cell r="DU295">
            <v>0</v>
          </cell>
          <cell r="DV295">
            <v>0</v>
          </cell>
          <cell r="DW295">
            <v>869.44444444444434</v>
          </cell>
          <cell r="DX295">
            <v>869.44444444444434</v>
          </cell>
          <cell r="DY295">
            <v>3.723700440528634</v>
          </cell>
          <cell r="DZ295">
            <v>0</v>
          </cell>
          <cell r="EA295">
            <v>0</v>
          </cell>
          <cell r="EB295">
            <v>554.16666666666652</v>
          </cell>
          <cell r="EC295">
            <v>554.16666666666652</v>
          </cell>
          <cell r="ED295">
            <v>2.723700440528634</v>
          </cell>
          <cell r="EE295">
            <v>0</v>
          </cell>
          <cell r="EF295">
            <v>0</v>
          </cell>
          <cell r="EG295">
            <v>238.88888888888874</v>
          </cell>
          <cell r="EH295">
            <v>238.88888888888874</v>
          </cell>
          <cell r="EI295">
            <v>1.723700440528634</v>
          </cell>
          <cell r="EJ295">
            <v>87.111111111111256</v>
          </cell>
          <cell r="EK295">
            <v>0</v>
          </cell>
          <cell r="EL295">
            <v>-76.388888888889028</v>
          </cell>
          <cell r="EM295">
            <v>-76.388888888889028</v>
          </cell>
          <cell r="EN295">
            <v>0.7237004405286338</v>
          </cell>
          <cell r="EO295">
            <v>402.38888888888903</v>
          </cell>
          <cell r="EP295">
            <v>2000</v>
          </cell>
          <cell r="EQ295">
            <v>1608.333333333333</v>
          </cell>
          <cell r="ER295">
            <v>1608.333333333333</v>
          </cell>
          <cell r="ES295">
            <v>6.0673127753303957</v>
          </cell>
          <cell r="ET295">
            <v>0</v>
          </cell>
          <cell r="EU295">
            <v>0</v>
          </cell>
          <cell r="EV295">
            <v>1293.0555555555552</v>
          </cell>
          <cell r="EW295">
            <v>1293.0555555555552</v>
          </cell>
          <cell r="EX295">
            <v>5.0673127753303948</v>
          </cell>
          <cell r="EY295">
            <v>0</v>
          </cell>
          <cell r="EZ295">
            <v>0</v>
          </cell>
          <cell r="FA295">
            <v>977.77777777777737</v>
          </cell>
          <cell r="FB295">
            <v>977.77777777777737</v>
          </cell>
          <cell r="FC295">
            <v>4.0673127753303948</v>
          </cell>
          <cell r="FD295">
            <v>0</v>
          </cell>
          <cell r="FE295">
            <v>0</v>
          </cell>
          <cell r="FF295">
            <v>662.49999999999955</v>
          </cell>
          <cell r="FG295">
            <v>662.49999999999955</v>
          </cell>
          <cell r="FH295">
            <v>3.0673127753303948</v>
          </cell>
          <cell r="FI295">
            <v>0</v>
          </cell>
          <cell r="FJ295">
            <v>2000</v>
          </cell>
          <cell r="FK295">
            <v>2347.2222222222217</v>
          </cell>
          <cell r="FL295">
            <v>2347.2222222222217</v>
          </cell>
          <cell r="FM295">
            <v>8.4109251101321583</v>
          </cell>
          <cell r="FN295">
            <v>0</v>
          </cell>
          <cell r="FO295">
            <v>0</v>
          </cell>
          <cell r="FP295">
            <v>2031.9444444444439</v>
          </cell>
          <cell r="FQ295">
            <v>2031.9444444444439</v>
          </cell>
          <cell r="FR295">
            <v>7.4109251101321574</v>
          </cell>
          <cell r="FS295">
            <v>0</v>
          </cell>
          <cell r="FT295">
            <v>326</v>
          </cell>
          <cell r="FU295">
            <v>1.0333333333333334</v>
          </cell>
          <cell r="FW295" t="str">
            <v>SOBRESTOCK</v>
          </cell>
          <cell r="FX295" t="str">
            <v>A</v>
          </cell>
          <cell r="FY295" t="str">
            <v>Si</v>
          </cell>
        </row>
        <row r="296">
          <cell r="B296" t="str">
            <v>REP-0312</v>
          </cell>
          <cell r="C296" t="str">
            <v>OSBORNE</v>
          </cell>
          <cell r="D296">
            <v>0</v>
          </cell>
          <cell r="E296">
            <v>0</v>
          </cell>
          <cell r="F296">
            <v>0</v>
          </cell>
          <cell r="G296">
            <v>550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550</v>
          </cell>
          <cell r="AA296">
            <v>550</v>
          </cell>
          <cell r="AB296">
            <v>650</v>
          </cell>
          <cell r="AC296">
            <v>83.333333333333329</v>
          </cell>
          <cell r="AD296">
            <v>2.7777777777777777</v>
          </cell>
          <cell r="AE296">
            <v>95.833333333333329</v>
          </cell>
          <cell r="AF296">
            <v>954.16666666666663</v>
          </cell>
          <cell r="AG296">
            <v>720</v>
          </cell>
          <cell r="AH296">
            <v>983.33333333333337</v>
          </cell>
          <cell r="AI296">
            <v>825</v>
          </cell>
          <cell r="AJ296">
            <v>825</v>
          </cell>
          <cell r="AK296">
            <v>877.77777777777783</v>
          </cell>
          <cell r="AL296">
            <v>107.37460386681528</v>
          </cell>
          <cell r="AM296">
            <v>838.33333333333337</v>
          </cell>
          <cell r="AN296">
            <v>0.12808103840972002</v>
          </cell>
          <cell r="AO296">
            <v>0</v>
          </cell>
          <cell r="AP296">
            <v>1593.3333333333335</v>
          </cell>
          <cell r="AQ296">
            <v>1.7353711790393016</v>
          </cell>
          <cell r="AR296">
            <v>0</v>
          </cell>
          <cell r="AS296">
            <v>701.66666666666686</v>
          </cell>
          <cell r="AT296">
            <v>810</v>
          </cell>
          <cell r="AU296">
            <v>0.9</v>
          </cell>
          <cell r="AV296">
            <v>0</v>
          </cell>
          <cell r="AW296">
            <v>-90</v>
          </cell>
          <cell r="AX296">
            <v>4510</v>
          </cell>
          <cell r="AY296">
            <v>5.1379746835443036</v>
          </cell>
          <cell r="AZ296">
            <v>0</v>
          </cell>
          <cell r="BA296">
            <v>3476.666666666667</v>
          </cell>
          <cell r="BB296">
            <v>3510</v>
          </cell>
          <cell r="BC296">
            <v>2.5682926829268293</v>
          </cell>
          <cell r="BD296">
            <v>0</v>
          </cell>
          <cell r="BE296">
            <v>2143.333333333333</v>
          </cell>
          <cell r="BF296">
            <v>1.5682926829268289</v>
          </cell>
          <cell r="BG296">
            <v>0</v>
          </cell>
          <cell r="BH296">
            <v>776.66666666666629</v>
          </cell>
          <cell r="BI296">
            <v>550</v>
          </cell>
          <cell r="BJ296">
            <v>0.62658227848101267</v>
          </cell>
          <cell r="BK296">
            <v>0</v>
          </cell>
          <cell r="BL296">
            <v>801.66666666666663</v>
          </cell>
          <cell r="BM296">
            <v>260</v>
          </cell>
          <cell r="BN296">
            <v>0.24761904761904763</v>
          </cell>
          <cell r="BO296">
            <v>0</v>
          </cell>
          <cell r="BP296">
            <v>9210</v>
          </cell>
          <cell r="BQ296">
            <v>0</v>
          </cell>
          <cell r="BR296">
            <v>0</v>
          </cell>
          <cell r="BS296">
            <v>0</v>
          </cell>
          <cell r="BT296">
            <v>-958.33333333333337</v>
          </cell>
          <cell r="BU296">
            <v>8300</v>
          </cell>
          <cell r="BV296">
            <v>8.1639344262295079</v>
          </cell>
          <cell r="BW296">
            <v>0</v>
          </cell>
          <cell r="BX296">
            <v>0</v>
          </cell>
          <cell r="BY296">
            <v>7283.333333333333</v>
          </cell>
          <cell r="BZ296">
            <v>7550</v>
          </cell>
          <cell r="CA296">
            <v>7.6262626262626263</v>
          </cell>
          <cell r="CB296">
            <v>0</v>
          </cell>
          <cell r="CC296">
            <v>0</v>
          </cell>
          <cell r="CD296">
            <v>6560</v>
          </cell>
          <cell r="CE296">
            <v>6150</v>
          </cell>
          <cell r="CF296">
            <v>5.8110236220472444</v>
          </cell>
          <cell r="CG296">
            <v>0</v>
          </cell>
          <cell r="CH296">
            <v>0</v>
          </cell>
          <cell r="CI296">
            <v>5501.666666666667</v>
          </cell>
          <cell r="CJ296">
            <v>5550</v>
          </cell>
          <cell r="CK296">
            <v>5.5041322314049586</v>
          </cell>
          <cell r="CL296">
            <v>0</v>
          </cell>
          <cell r="CM296">
            <v>0</v>
          </cell>
          <cell r="CN296">
            <v>4541.666666666667</v>
          </cell>
          <cell r="CO296">
            <v>3950</v>
          </cell>
          <cell r="CP296">
            <v>4.3122270742358078</v>
          </cell>
          <cell r="CQ296">
            <v>0</v>
          </cell>
          <cell r="CR296">
            <v>0</v>
          </cell>
          <cell r="CS296">
            <v>3034</v>
          </cell>
          <cell r="CT296">
            <v>3650</v>
          </cell>
          <cell r="CU296">
            <v>3.9847161572052401</v>
          </cell>
          <cell r="CV296">
            <v>0</v>
          </cell>
          <cell r="CW296">
            <v>0</v>
          </cell>
          <cell r="CX296">
            <v>2734</v>
          </cell>
          <cell r="CY296">
            <v>2350</v>
          </cell>
          <cell r="CZ296">
            <v>2.5655021834061134</v>
          </cell>
          <cell r="DA296">
            <v>0</v>
          </cell>
          <cell r="DB296">
            <v>0</v>
          </cell>
          <cell r="DC296">
            <v>1395.8333333333335</v>
          </cell>
          <cell r="DD296">
            <v>1750</v>
          </cell>
          <cell r="DE296">
            <v>0.84576419213973808</v>
          </cell>
          <cell r="DF296">
            <v>0</v>
          </cell>
          <cell r="DG296">
            <v>0</v>
          </cell>
          <cell r="DH296">
            <v>795.83333333333337</v>
          </cell>
          <cell r="DI296">
            <v>950</v>
          </cell>
          <cell r="DJ296">
            <v>2.0076782449725776</v>
          </cell>
          <cell r="DK296">
            <v>0</v>
          </cell>
          <cell r="DL296">
            <v>5000</v>
          </cell>
          <cell r="DM296">
            <v>-115.83333333333326</v>
          </cell>
          <cell r="DN296">
            <v>550</v>
          </cell>
          <cell r="DO296">
            <v>1.5921518987341772</v>
          </cell>
          <cell r="DP296">
            <v>358</v>
          </cell>
          <cell r="DQ296">
            <v>5000</v>
          </cell>
          <cell r="DR296">
            <v>4672.2222222222226</v>
          </cell>
          <cell r="DS296">
            <v>4672.2222222222226</v>
          </cell>
          <cell r="DT296">
            <v>6.288354430379747</v>
          </cell>
          <cell r="DU296">
            <v>0</v>
          </cell>
          <cell r="DV296">
            <v>0</v>
          </cell>
          <cell r="DW296">
            <v>3794.4444444444448</v>
          </cell>
          <cell r="DX296">
            <v>3794.4444444444448</v>
          </cell>
          <cell r="DY296">
            <v>5.288354430379747</v>
          </cell>
          <cell r="DZ296">
            <v>0</v>
          </cell>
          <cell r="EA296">
            <v>0</v>
          </cell>
          <cell r="EB296">
            <v>2916.666666666667</v>
          </cell>
          <cell r="EC296">
            <v>2916.666666666667</v>
          </cell>
          <cell r="ED296">
            <v>4.288354430379747</v>
          </cell>
          <cell r="EE296">
            <v>0</v>
          </cell>
          <cell r="EF296">
            <v>0</v>
          </cell>
          <cell r="EG296">
            <v>2038.8888888888891</v>
          </cell>
          <cell r="EH296">
            <v>2038.8888888888891</v>
          </cell>
          <cell r="EI296">
            <v>3.288354430379747</v>
          </cell>
          <cell r="EJ296">
            <v>0</v>
          </cell>
          <cell r="EK296">
            <v>0</v>
          </cell>
          <cell r="EL296">
            <v>1161.1111111111113</v>
          </cell>
          <cell r="EM296">
            <v>1161.1111111111113</v>
          </cell>
          <cell r="EN296">
            <v>2.288354430379747</v>
          </cell>
          <cell r="EO296">
            <v>0</v>
          </cell>
          <cell r="EP296">
            <v>5000</v>
          </cell>
          <cell r="EQ296">
            <v>5283.3333333333339</v>
          </cell>
          <cell r="ER296">
            <v>5283.3333333333339</v>
          </cell>
          <cell r="ES296">
            <v>6.9845569620253167</v>
          </cell>
          <cell r="ET296">
            <v>0</v>
          </cell>
          <cell r="EU296">
            <v>0</v>
          </cell>
          <cell r="EV296">
            <v>4405.5555555555566</v>
          </cell>
          <cell r="EW296">
            <v>4405.5555555555566</v>
          </cell>
          <cell r="EX296">
            <v>5.9845569620253176</v>
          </cell>
          <cell r="EY296">
            <v>0</v>
          </cell>
          <cell r="EZ296">
            <v>0</v>
          </cell>
          <cell r="FA296">
            <v>3527.7777777777787</v>
          </cell>
          <cell r="FB296">
            <v>3527.7777777777787</v>
          </cell>
          <cell r="FC296">
            <v>4.9845569620253176</v>
          </cell>
          <cell r="FD296">
            <v>0</v>
          </cell>
          <cell r="FE296">
            <v>0</v>
          </cell>
          <cell r="FF296">
            <v>2650.0000000000009</v>
          </cell>
          <cell r="FG296">
            <v>2650.0000000000009</v>
          </cell>
          <cell r="FH296">
            <v>3.9845569620253176</v>
          </cell>
          <cell r="FI296">
            <v>0</v>
          </cell>
          <cell r="FJ296">
            <v>5000</v>
          </cell>
          <cell r="FK296">
            <v>6772.2222222222226</v>
          </cell>
          <cell r="FL296">
            <v>6772.2222222222226</v>
          </cell>
          <cell r="FM296">
            <v>8.6807594936708874</v>
          </cell>
          <cell r="FN296">
            <v>0</v>
          </cell>
          <cell r="FO296">
            <v>0</v>
          </cell>
          <cell r="FP296">
            <v>5894.4444444444453</v>
          </cell>
          <cell r="FQ296">
            <v>5894.4444444444453</v>
          </cell>
          <cell r="FR296">
            <v>7.6807594936708865</v>
          </cell>
          <cell r="FS296">
            <v>0</v>
          </cell>
          <cell r="FT296">
            <v>908</v>
          </cell>
          <cell r="FU296">
            <v>1.0333333333333334</v>
          </cell>
          <cell r="FW296" t="str">
            <v>STOCK OK</v>
          </cell>
          <cell r="FX296" t="str">
            <v>A</v>
          </cell>
          <cell r="FY296" t="str">
            <v>Si</v>
          </cell>
        </row>
        <row r="297">
          <cell r="B297" t="str">
            <v>REP-0313</v>
          </cell>
          <cell r="C297" t="str">
            <v>OSBORNE</v>
          </cell>
          <cell r="D297">
            <v>0</v>
          </cell>
          <cell r="E297">
            <v>0</v>
          </cell>
          <cell r="F297">
            <v>0</v>
          </cell>
          <cell r="G297">
            <v>1150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1150</v>
          </cell>
          <cell r="AA297">
            <v>1150</v>
          </cell>
          <cell r="AB297">
            <v>150</v>
          </cell>
          <cell r="AC297">
            <v>16.666666666666668</v>
          </cell>
          <cell r="AD297">
            <v>0.55555555555555558</v>
          </cell>
          <cell r="AE297">
            <v>16.666666666666668</v>
          </cell>
          <cell r="AF297">
            <v>8.3333333333333339</v>
          </cell>
          <cell r="AG297">
            <v>4.166666666666667</v>
          </cell>
          <cell r="AH297">
            <v>12.5</v>
          </cell>
          <cell r="AI297">
            <v>16.666666666666668</v>
          </cell>
          <cell r="AJ297">
            <v>16.666666666666668</v>
          </cell>
          <cell r="AK297">
            <v>16.666666666666668</v>
          </cell>
          <cell r="AL297">
            <v>5.892556509887898</v>
          </cell>
          <cell r="AM297">
            <v>12.5</v>
          </cell>
          <cell r="AN297">
            <v>0.47140452079103184</v>
          </cell>
          <cell r="AO297">
            <v>0</v>
          </cell>
          <cell r="AP297">
            <v>1388.8888888888889</v>
          </cell>
          <cell r="AQ297">
            <v>167</v>
          </cell>
          <cell r="AR297">
            <v>0</v>
          </cell>
          <cell r="AS297">
            <v>1383.3333333333335</v>
          </cell>
          <cell r="AT297">
            <v>1400</v>
          </cell>
          <cell r="AU297">
            <v>168</v>
          </cell>
          <cell r="AV297">
            <v>0</v>
          </cell>
          <cell r="AW297">
            <v>1391.6666666666667</v>
          </cell>
          <cell r="AX297">
            <v>1300</v>
          </cell>
          <cell r="AY297">
            <v>78</v>
          </cell>
          <cell r="AZ297">
            <v>0</v>
          </cell>
          <cell r="BA297">
            <v>1266.6666666666667</v>
          </cell>
          <cell r="BB297">
            <v>1300</v>
          </cell>
          <cell r="BC297">
            <v>39</v>
          </cell>
          <cell r="BD297">
            <v>0</v>
          </cell>
          <cell r="BE297">
            <v>1266.6666666666667</v>
          </cell>
          <cell r="BF297">
            <v>38</v>
          </cell>
          <cell r="BG297">
            <v>0</v>
          </cell>
          <cell r="BH297">
            <v>1233.3333333333335</v>
          </cell>
          <cell r="BI297">
            <v>1150</v>
          </cell>
          <cell r="BJ297">
            <v>69</v>
          </cell>
          <cell r="BK297">
            <v>0</v>
          </cell>
          <cell r="BL297">
            <v>1283.3333333333333</v>
          </cell>
          <cell r="BM297">
            <v>1300</v>
          </cell>
          <cell r="BN297">
            <v>78</v>
          </cell>
          <cell r="BO297">
            <v>0</v>
          </cell>
          <cell r="BP297">
            <v>1283.3333333333333</v>
          </cell>
          <cell r="BQ297">
            <v>1300</v>
          </cell>
          <cell r="BR297">
            <v>78</v>
          </cell>
          <cell r="BS297">
            <v>0</v>
          </cell>
          <cell r="BT297">
            <v>1283.3333333333333</v>
          </cell>
          <cell r="BU297">
            <v>1300</v>
          </cell>
          <cell r="BV297">
            <v>117</v>
          </cell>
          <cell r="BW297">
            <v>0</v>
          </cell>
          <cell r="BX297">
            <v>0</v>
          </cell>
          <cell r="BY297">
            <v>1288.8888888888889</v>
          </cell>
          <cell r="BZ297">
            <v>1250</v>
          </cell>
          <cell r="CA297">
            <v>83.333333333333329</v>
          </cell>
          <cell r="CB297">
            <v>0</v>
          </cell>
          <cell r="CC297">
            <v>0</v>
          </cell>
          <cell r="CD297">
            <v>1235</v>
          </cell>
          <cell r="CE297">
            <v>1250</v>
          </cell>
          <cell r="CF297">
            <v>91.666666666666671</v>
          </cell>
          <cell r="CG297">
            <v>0</v>
          </cell>
          <cell r="CH297">
            <v>0</v>
          </cell>
          <cell r="CI297">
            <v>1221.3636363636363</v>
          </cell>
          <cell r="CJ297">
            <v>1250</v>
          </cell>
          <cell r="CK297">
            <v>100</v>
          </cell>
          <cell r="CL297">
            <v>0</v>
          </cell>
          <cell r="CM297">
            <v>0</v>
          </cell>
          <cell r="CN297">
            <v>1237.5</v>
          </cell>
          <cell r="CO297">
            <v>1250</v>
          </cell>
          <cell r="CP297">
            <v>100</v>
          </cell>
          <cell r="CQ297">
            <v>0</v>
          </cell>
          <cell r="CR297">
            <v>0</v>
          </cell>
          <cell r="CS297">
            <v>1237.5</v>
          </cell>
          <cell r="CT297">
            <v>1150</v>
          </cell>
          <cell r="CU297">
            <v>23</v>
          </cell>
          <cell r="CV297">
            <v>0</v>
          </cell>
          <cell r="CW297">
            <v>0</v>
          </cell>
          <cell r="CX297">
            <v>1100</v>
          </cell>
          <cell r="CY297">
            <v>1150</v>
          </cell>
          <cell r="CZ297">
            <v>34.5</v>
          </cell>
          <cell r="DA297">
            <v>0</v>
          </cell>
          <cell r="DB297">
            <v>0</v>
          </cell>
          <cell r="DC297">
            <v>1125</v>
          </cell>
          <cell r="DD297">
            <v>1150</v>
          </cell>
          <cell r="DE297">
            <v>45.16</v>
          </cell>
          <cell r="DF297">
            <v>0</v>
          </cell>
          <cell r="DG297">
            <v>0</v>
          </cell>
          <cell r="DH297">
            <v>1125</v>
          </cell>
          <cell r="DI297">
            <v>1150</v>
          </cell>
          <cell r="DJ297">
            <v>58.45</v>
          </cell>
          <cell r="DK297">
            <v>0</v>
          </cell>
          <cell r="DL297">
            <v>0</v>
          </cell>
          <cell r="DM297">
            <v>1105</v>
          </cell>
          <cell r="DN297">
            <v>1150</v>
          </cell>
          <cell r="DO297">
            <v>69.92</v>
          </cell>
          <cell r="DP297">
            <v>0</v>
          </cell>
          <cell r="DQ297">
            <v>0</v>
          </cell>
          <cell r="DR297">
            <v>1133.3333333333333</v>
          </cell>
          <cell r="DS297">
            <v>1133.3333333333333</v>
          </cell>
          <cell r="DT297">
            <v>68.919999999999987</v>
          </cell>
          <cell r="DU297">
            <v>0</v>
          </cell>
          <cell r="DV297">
            <v>0</v>
          </cell>
          <cell r="DW297">
            <v>1116.6666666666665</v>
          </cell>
          <cell r="DX297">
            <v>1116.6666666666665</v>
          </cell>
          <cell r="DY297">
            <v>67.919999999999987</v>
          </cell>
          <cell r="DZ297">
            <v>0</v>
          </cell>
          <cell r="EA297">
            <v>0</v>
          </cell>
          <cell r="EB297">
            <v>1099.9999999999998</v>
          </cell>
          <cell r="EC297">
            <v>1099.9999999999998</v>
          </cell>
          <cell r="ED297">
            <v>66.919999999999987</v>
          </cell>
          <cell r="EE297">
            <v>0</v>
          </cell>
          <cell r="EF297">
            <v>0</v>
          </cell>
          <cell r="EG297">
            <v>1083.333333333333</v>
          </cell>
          <cell r="EH297">
            <v>1083.333333333333</v>
          </cell>
          <cell r="EI297">
            <v>65.919999999999987</v>
          </cell>
          <cell r="EJ297">
            <v>0</v>
          </cell>
          <cell r="EK297">
            <v>0</v>
          </cell>
          <cell r="EL297">
            <v>1066.6666666666663</v>
          </cell>
          <cell r="EM297">
            <v>1066.6666666666663</v>
          </cell>
          <cell r="EN297">
            <v>64.919999999999973</v>
          </cell>
          <cell r="EO297">
            <v>0</v>
          </cell>
          <cell r="EP297">
            <v>0</v>
          </cell>
          <cell r="EQ297">
            <v>1049.9999999999995</v>
          </cell>
          <cell r="ER297">
            <v>1049.9999999999995</v>
          </cell>
          <cell r="ES297">
            <v>63.919999999999966</v>
          </cell>
          <cell r="ET297">
            <v>0</v>
          </cell>
          <cell r="EU297">
            <v>0</v>
          </cell>
          <cell r="EV297">
            <v>1033.3333333333328</v>
          </cell>
          <cell r="EW297">
            <v>1033.3333333333328</v>
          </cell>
          <cell r="EX297">
            <v>62.919999999999966</v>
          </cell>
          <cell r="EY297">
            <v>0</v>
          </cell>
          <cell r="EZ297">
            <v>0</v>
          </cell>
          <cell r="FA297">
            <v>1016.6666666666662</v>
          </cell>
          <cell r="FB297">
            <v>1016.6666666666662</v>
          </cell>
          <cell r="FC297">
            <v>61.919999999999966</v>
          </cell>
          <cell r="FD297">
            <v>0</v>
          </cell>
          <cell r="FE297">
            <v>0</v>
          </cell>
          <cell r="FF297">
            <v>999.99999999999955</v>
          </cell>
          <cell r="FG297">
            <v>999.99999999999955</v>
          </cell>
          <cell r="FH297">
            <v>60.919999999999966</v>
          </cell>
          <cell r="FI297">
            <v>0</v>
          </cell>
          <cell r="FJ297">
            <v>0</v>
          </cell>
          <cell r="FK297">
            <v>983.33333333333292</v>
          </cell>
          <cell r="FL297">
            <v>983.33333333333292</v>
          </cell>
          <cell r="FM297">
            <v>59.919999999999973</v>
          </cell>
          <cell r="FN297">
            <v>0</v>
          </cell>
          <cell r="FO297">
            <v>0</v>
          </cell>
          <cell r="FP297">
            <v>966.66666666666629</v>
          </cell>
          <cell r="FQ297">
            <v>966.66666666666629</v>
          </cell>
          <cell r="FR297">
            <v>58.919999999999973</v>
          </cell>
          <cell r="FS297">
            <v>0</v>
          </cell>
          <cell r="FT297">
            <v>18</v>
          </cell>
          <cell r="FU297">
            <v>1.0333333333333334</v>
          </cell>
          <cell r="FW297" t="str">
            <v>SOBRESTOCK</v>
          </cell>
          <cell r="FX297" t="str">
            <v>A</v>
          </cell>
          <cell r="FY297" t="str">
            <v>Si</v>
          </cell>
        </row>
        <row r="298">
          <cell r="B298" t="str">
            <v>REP-0314</v>
          </cell>
          <cell r="C298" t="str">
            <v>MIX</v>
          </cell>
          <cell r="D298">
            <v>0</v>
          </cell>
          <cell r="E298">
            <v>17</v>
          </cell>
          <cell r="F298">
            <v>0</v>
          </cell>
          <cell r="G298">
            <v>0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1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20</v>
          </cell>
          <cell r="AA298">
            <v>20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8.3333333333333329E-2</v>
          </cell>
          <cell r="AG298">
            <v>0.41666666666666669</v>
          </cell>
          <cell r="AH298">
            <v>0.41666666666666669</v>
          </cell>
          <cell r="AI298">
            <v>0</v>
          </cell>
          <cell r="AJ298">
            <v>0</v>
          </cell>
          <cell r="AK298">
            <v>0.41666666666666669</v>
          </cell>
          <cell r="AL298">
            <v>0.24056261216234409</v>
          </cell>
          <cell r="AM298">
            <v>0.20833333333333334</v>
          </cell>
          <cell r="AN298">
            <v>1.1547005383792517</v>
          </cell>
          <cell r="AO298">
            <v>0</v>
          </cell>
          <cell r="AP298">
            <v>9.3333333333333339</v>
          </cell>
          <cell r="AQ298">
            <v>19</v>
          </cell>
          <cell r="AR298">
            <v>0</v>
          </cell>
          <cell r="AS298">
            <v>8.6666666666666679</v>
          </cell>
          <cell r="AT298">
            <v>10</v>
          </cell>
          <cell r="AU298">
            <v>15</v>
          </cell>
          <cell r="AV298">
            <v>0</v>
          </cell>
          <cell r="AW298">
            <v>9.3333333333333339</v>
          </cell>
          <cell r="AX298">
            <v>10</v>
          </cell>
          <cell r="AY298">
            <v>24</v>
          </cell>
          <cell r="AZ298">
            <v>0</v>
          </cell>
          <cell r="BA298">
            <v>9.5</v>
          </cell>
          <cell r="BB298">
            <v>10</v>
          </cell>
          <cell r="BC298">
            <v>24</v>
          </cell>
          <cell r="BD298">
            <v>0</v>
          </cell>
          <cell r="BE298">
            <v>9.5833333333333339</v>
          </cell>
          <cell r="BF298">
            <v>23</v>
          </cell>
          <cell r="BG298">
            <v>0</v>
          </cell>
          <cell r="BH298">
            <v>9.1666666666666679</v>
          </cell>
          <cell r="BI298">
            <v>20</v>
          </cell>
          <cell r="BJ298">
            <v>48</v>
          </cell>
          <cell r="BK298">
            <v>0</v>
          </cell>
          <cell r="BL298">
            <v>6.333333333333333</v>
          </cell>
          <cell r="BM298">
            <v>7</v>
          </cell>
          <cell r="BN298">
            <v>12.25</v>
          </cell>
          <cell r="BO298">
            <v>0</v>
          </cell>
          <cell r="BP298">
            <v>6.4285714285714288</v>
          </cell>
          <cell r="BQ298">
            <v>7</v>
          </cell>
          <cell r="BR298">
            <v>16.8</v>
          </cell>
          <cell r="BS298">
            <v>0</v>
          </cell>
          <cell r="BT298">
            <v>6.5</v>
          </cell>
          <cell r="BU298">
            <v>6</v>
          </cell>
          <cell r="BV298">
            <v>9</v>
          </cell>
          <cell r="BW298">
            <v>10</v>
          </cell>
          <cell r="BX298">
            <v>0</v>
          </cell>
          <cell r="BY298">
            <v>5.333333333333333</v>
          </cell>
          <cell r="BZ298">
            <v>6</v>
          </cell>
          <cell r="CA298">
            <v>9</v>
          </cell>
          <cell r="CB298">
            <v>10</v>
          </cell>
          <cell r="CC298">
            <v>0</v>
          </cell>
          <cell r="CD298">
            <v>8.3333333333333339</v>
          </cell>
          <cell r="CE298">
            <v>6</v>
          </cell>
          <cell r="CF298">
            <v>13.200000000000001</v>
          </cell>
          <cell r="CG298">
            <v>10</v>
          </cell>
          <cell r="CH298">
            <v>3</v>
          </cell>
          <cell r="CI298">
            <v>17.878787878787882</v>
          </cell>
          <cell r="CJ298">
            <v>9</v>
          </cell>
          <cell r="CK298">
            <v>21.599999999999998</v>
          </cell>
          <cell r="CL298">
            <v>7</v>
          </cell>
          <cell r="CM298">
            <v>9</v>
          </cell>
          <cell r="CN298">
            <v>17.583333333333332</v>
          </cell>
          <cell r="CO298">
            <v>15</v>
          </cell>
          <cell r="CP298">
            <v>36</v>
          </cell>
          <cell r="CQ298">
            <v>0</v>
          </cell>
          <cell r="CR298">
            <v>0</v>
          </cell>
          <cell r="CS298">
            <v>14.583333333333334</v>
          </cell>
          <cell r="CT298">
            <v>15</v>
          </cell>
          <cell r="CU298">
            <v>36</v>
          </cell>
          <cell r="CV298">
            <v>0</v>
          </cell>
          <cell r="CW298">
            <v>3</v>
          </cell>
          <cell r="CX298">
            <v>17.583333333333332</v>
          </cell>
          <cell r="CY298">
            <v>18</v>
          </cell>
          <cell r="CZ298">
            <v>43.199999999999996</v>
          </cell>
          <cell r="DA298">
            <v>0</v>
          </cell>
          <cell r="DB298">
            <v>2</v>
          </cell>
          <cell r="DC298">
            <v>19.583333333333332</v>
          </cell>
          <cell r="DD298">
            <v>20</v>
          </cell>
          <cell r="DE298">
            <v>45.6</v>
          </cell>
          <cell r="DF298">
            <v>0</v>
          </cell>
          <cell r="DG298">
            <v>0</v>
          </cell>
          <cell r="DH298">
            <v>19.583333333333332</v>
          </cell>
          <cell r="DI298">
            <v>20</v>
          </cell>
          <cell r="DJ298">
            <v>47.6</v>
          </cell>
          <cell r="DK298">
            <v>0</v>
          </cell>
          <cell r="DL298">
            <v>0</v>
          </cell>
          <cell r="DM298">
            <v>19.166666666666664</v>
          </cell>
          <cell r="DN298">
            <v>20</v>
          </cell>
          <cell r="DO298">
            <v>47.6</v>
          </cell>
          <cell r="DP298">
            <v>0</v>
          </cell>
          <cell r="DQ298">
            <v>0</v>
          </cell>
          <cell r="DR298">
            <v>19.583333333333332</v>
          </cell>
          <cell r="DS298">
            <v>19.583333333333332</v>
          </cell>
          <cell r="DT298">
            <v>46.599999999999994</v>
          </cell>
          <cell r="DU298">
            <v>0</v>
          </cell>
          <cell r="DV298">
            <v>0</v>
          </cell>
          <cell r="DW298">
            <v>19.166666666666664</v>
          </cell>
          <cell r="DX298">
            <v>19.166666666666664</v>
          </cell>
          <cell r="DY298">
            <v>45.599999999999994</v>
          </cell>
          <cell r="DZ298">
            <v>0</v>
          </cell>
          <cell r="EA298">
            <v>0</v>
          </cell>
          <cell r="EB298">
            <v>18.749999999999996</v>
          </cell>
          <cell r="EC298">
            <v>18.749999999999996</v>
          </cell>
          <cell r="ED298">
            <v>44.599999999999987</v>
          </cell>
          <cell r="EE298">
            <v>0</v>
          </cell>
          <cell r="EF298">
            <v>0</v>
          </cell>
          <cell r="EG298">
            <v>18.333333333333329</v>
          </cell>
          <cell r="EH298">
            <v>18.333333333333329</v>
          </cell>
          <cell r="EI298">
            <v>43.599999999999987</v>
          </cell>
          <cell r="EJ298">
            <v>0</v>
          </cell>
          <cell r="EK298">
            <v>0</v>
          </cell>
          <cell r="EL298">
            <v>17.916666666666661</v>
          </cell>
          <cell r="EM298">
            <v>17.916666666666661</v>
          </cell>
          <cell r="EN298">
            <v>42.599999999999987</v>
          </cell>
          <cell r="EO298">
            <v>0</v>
          </cell>
          <cell r="EP298">
            <v>0</v>
          </cell>
          <cell r="EQ298">
            <v>17.499999999999993</v>
          </cell>
          <cell r="ER298">
            <v>17.499999999999993</v>
          </cell>
          <cell r="ES298">
            <v>41.59999999999998</v>
          </cell>
          <cell r="ET298">
            <v>0</v>
          </cell>
          <cell r="EU298">
            <v>0</v>
          </cell>
          <cell r="EV298">
            <v>17.083333333333325</v>
          </cell>
          <cell r="EW298">
            <v>17.083333333333325</v>
          </cell>
          <cell r="EX298">
            <v>40.59999999999998</v>
          </cell>
          <cell r="EY298">
            <v>0</v>
          </cell>
          <cell r="EZ298">
            <v>0</v>
          </cell>
          <cell r="FA298">
            <v>16.666666666666657</v>
          </cell>
          <cell r="FB298">
            <v>16.666666666666657</v>
          </cell>
          <cell r="FC298">
            <v>39.599999999999973</v>
          </cell>
          <cell r="FD298">
            <v>0</v>
          </cell>
          <cell r="FE298">
            <v>0</v>
          </cell>
          <cell r="FF298">
            <v>16.249999999999989</v>
          </cell>
          <cell r="FG298">
            <v>16.249999999999989</v>
          </cell>
          <cell r="FH298">
            <v>38.599999999999973</v>
          </cell>
          <cell r="FI298">
            <v>0</v>
          </cell>
          <cell r="FJ298">
            <v>0</v>
          </cell>
          <cell r="FK298">
            <v>15.833333333333323</v>
          </cell>
          <cell r="FL298">
            <v>15.833333333333323</v>
          </cell>
          <cell r="FM298">
            <v>37.599999999999973</v>
          </cell>
          <cell r="FN298">
            <v>0</v>
          </cell>
          <cell r="FO298">
            <v>0</v>
          </cell>
          <cell r="FP298">
            <v>15.416666666666657</v>
          </cell>
          <cell r="FQ298">
            <v>15.416666666666657</v>
          </cell>
          <cell r="FR298">
            <v>36.599999999999973</v>
          </cell>
          <cell r="FS298">
            <v>0</v>
          </cell>
          <cell r="FT298">
            <v>1</v>
          </cell>
          <cell r="FU298">
            <v>1.0333333333333334</v>
          </cell>
          <cell r="FW298" t="str">
            <v>SIN ROTACIÓN</v>
          </cell>
          <cell r="FX298" t="str">
            <v>C</v>
          </cell>
          <cell r="FY298" t="str">
            <v>Si</v>
          </cell>
        </row>
        <row r="299">
          <cell r="B299" t="str">
            <v>REP-0315</v>
          </cell>
          <cell r="C299" t="str">
            <v>MIX</v>
          </cell>
          <cell r="D299">
            <v>0</v>
          </cell>
          <cell r="E299">
            <v>7</v>
          </cell>
          <cell r="F299">
            <v>0</v>
          </cell>
          <cell r="G299">
            <v>0</v>
          </cell>
          <cell r="H299">
            <v>3</v>
          </cell>
          <cell r="I299">
            <v>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1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16</v>
          </cell>
          <cell r="AA299">
            <v>16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8.3333333333333329E-2</v>
          </cell>
          <cell r="AG299">
            <v>8.3333333333333329E-2</v>
          </cell>
          <cell r="AH299">
            <v>0.25</v>
          </cell>
          <cell r="AI299">
            <v>0.16666666666666666</v>
          </cell>
          <cell r="AJ299">
            <v>0.16666666666666666</v>
          </cell>
          <cell r="AK299">
            <v>0.25</v>
          </cell>
          <cell r="AL299">
            <v>6.8041381743977183E-2</v>
          </cell>
          <cell r="AM299">
            <v>0.16666666666666666</v>
          </cell>
          <cell r="AN299">
            <v>0.40824829046386313</v>
          </cell>
          <cell r="AO299">
            <v>0</v>
          </cell>
          <cell r="AP299">
            <v>6.7777777777777777</v>
          </cell>
          <cell r="AQ299">
            <v>23.000000000000004</v>
          </cell>
          <cell r="AR299">
            <v>0</v>
          </cell>
          <cell r="AS299">
            <v>0</v>
          </cell>
          <cell r="AT299">
            <v>5</v>
          </cell>
          <cell r="AU299">
            <v>5</v>
          </cell>
          <cell r="AV299">
            <v>0</v>
          </cell>
          <cell r="AW299">
            <v>4</v>
          </cell>
          <cell r="AX299">
            <v>5</v>
          </cell>
          <cell r="AY299">
            <v>20</v>
          </cell>
          <cell r="AZ299">
            <v>0</v>
          </cell>
          <cell r="BA299">
            <v>14.333333333333334</v>
          </cell>
          <cell r="BB299">
            <v>5</v>
          </cell>
          <cell r="BC299">
            <v>7.5</v>
          </cell>
          <cell r="BD299">
            <v>0</v>
          </cell>
          <cell r="BE299">
            <v>4.333333333333333</v>
          </cell>
          <cell r="BF299">
            <v>6.5</v>
          </cell>
          <cell r="BG299">
            <v>10</v>
          </cell>
          <cell r="BH299">
            <v>13.666666666666666</v>
          </cell>
          <cell r="BI299">
            <v>16</v>
          </cell>
          <cell r="BJ299">
            <v>64</v>
          </cell>
          <cell r="BK299">
            <v>0</v>
          </cell>
          <cell r="BL299">
            <v>14.666666666666666</v>
          </cell>
          <cell r="BM299">
            <v>15</v>
          </cell>
          <cell r="BN299">
            <v>52.5</v>
          </cell>
          <cell r="BO299">
            <v>0</v>
          </cell>
          <cell r="BP299">
            <v>14.714285714285714</v>
          </cell>
          <cell r="BQ299">
            <v>15</v>
          </cell>
          <cell r="BR299">
            <v>60</v>
          </cell>
          <cell r="BS299">
            <v>0</v>
          </cell>
          <cell r="BT299">
            <v>14.75</v>
          </cell>
          <cell r="BU299">
            <v>15</v>
          </cell>
          <cell r="BV299">
            <v>67.5</v>
          </cell>
          <cell r="BW299">
            <v>0</v>
          </cell>
          <cell r="BX299">
            <v>0</v>
          </cell>
          <cell r="BY299">
            <v>14.777777777777779</v>
          </cell>
          <cell r="BZ299">
            <v>15</v>
          </cell>
          <cell r="CA299">
            <v>75</v>
          </cell>
          <cell r="CB299">
            <v>0</v>
          </cell>
          <cell r="CC299">
            <v>0</v>
          </cell>
          <cell r="CD299">
            <v>14.8</v>
          </cell>
          <cell r="CE299">
            <v>15</v>
          </cell>
          <cell r="CF299">
            <v>82.5</v>
          </cell>
          <cell r="CG299">
            <v>0</v>
          </cell>
          <cell r="CH299">
            <v>0</v>
          </cell>
          <cell r="CI299">
            <v>14.618181818181819</v>
          </cell>
          <cell r="CJ299">
            <v>14</v>
          </cell>
          <cell r="CK299">
            <v>56</v>
          </cell>
          <cell r="CL299">
            <v>0</v>
          </cell>
          <cell r="CM299">
            <v>0</v>
          </cell>
          <cell r="CN299">
            <v>13.75</v>
          </cell>
          <cell r="CO299">
            <v>14</v>
          </cell>
          <cell r="CP299">
            <v>56</v>
          </cell>
          <cell r="CQ299">
            <v>0</v>
          </cell>
          <cell r="CR299">
            <v>0</v>
          </cell>
          <cell r="CS299">
            <v>13.75</v>
          </cell>
          <cell r="CT299">
            <v>14</v>
          </cell>
          <cell r="CU299">
            <v>56</v>
          </cell>
          <cell r="CV299">
            <v>0</v>
          </cell>
          <cell r="CW299">
            <v>0</v>
          </cell>
          <cell r="CX299">
            <v>13.75</v>
          </cell>
          <cell r="CY299">
            <v>14</v>
          </cell>
          <cell r="CZ299">
            <v>42</v>
          </cell>
          <cell r="DA299">
            <v>0</v>
          </cell>
          <cell r="DB299">
            <v>0</v>
          </cell>
          <cell r="DC299">
            <v>13.75</v>
          </cell>
          <cell r="DD299">
            <v>14</v>
          </cell>
          <cell r="DE299">
            <v>52</v>
          </cell>
          <cell r="DF299">
            <v>0</v>
          </cell>
          <cell r="DG299">
            <v>0</v>
          </cell>
          <cell r="DH299">
            <v>13.75</v>
          </cell>
          <cell r="DI299">
            <v>14</v>
          </cell>
          <cell r="DJ299">
            <v>54</v>
          </cell>
          <cell r="DK299">
            <v>0</v>
          </cell>
          <cell r="DL299">
            <v>0</v>
          </cell>
          <cell r="DM299">
            <v>13.5</v>
          </cell>
          <cell r="DN299">
            <v>16</v>
          </cell>
          <cell r="DO299">
            <v>62</v>
          </cell>
          <cell r="DP299">
            <v>0</v>
          </cell>
          <cell r="DQ299">
            <v>0</v>
          </cell>
          <cell r="DR299">
            <v>15.75</v>
          </cell>
          <cell r="DS299">
            <v>15.75</v>
          </cell>
          <cell r="DT299">
            <v>61</v>
          </cell>
          <cell r="DU299">
            <v>0</v>
          </cell>
          <cell r="DV299">
            <v>0</v>
          </cell>
          <cell r="DW299">
            <v>15.5</v>
          </cell>
          <cell r="DX299">
            <v>15.5</v>
          </cell>
          <cell r="DY299">
            <v>60</v>
          </cell>
          <cell r="DZ299">
            <v>0</v>
          </cell>
          <cell r="EA299">
            <v>0</v>
          </cell>
          <cell r="EB299">
            <v>15.25</v>
          </cell>
          <cell r="EC299">
            <v>15.25</v>
          </cell>
          <cell r="ED299">
            <v>59</v>
          </cell>
          <cell r="EE299">
            <v>0</v>
          </cell>
          <cell r="EF299">
            <v>0</v>
          </cell>
          <cell r="EG299">
            <v>15</v>
          </cell>
          <cell r="EH299">
            <v>15</v>
          </cell>
          <cell r="EI299">
            <v>58</v>
          </cell>
          <cell r="EJ299">
            <v>0</v>
          </cell>
          <cell r="EK299">
            <v>0</v>
          </cell>
          <cell r="EL299">
            <v>14.75</v>
          </cell>
          <cell r="EM299">
            <v>14.75</v>
          </cell>
          <cell r="EN299">
            <v>57</v>
          </cell>
          <cell r="EO299">
            <v>0</v>
          </cell>
          <cell r="EP299">
            <v>0</v>
          </cell>
          <cell r="EQ299">
            <v>14.5</v>
          </cell>
          <cell r="ER299">
            <v>14.5</v>
          </cell>
          <cell r="ES299">
            <v>56</v>
          </cell>
          <cell r="ET299">
            <v>0</v>
          </cell>
          <cell r="EU299">
            <v>0</v>
          </cell>
          <cell r="EV299">
            <v>14.25</v>
          </cell>
          <cell r="EW299">
            <v>14.25</v>
          </cell>
          <cell r="EX299">
            <v>55</v>
          </cell>
          <cell r="EY299">
            <v>0</v>
          </cell>
          <cell r="EZ299">
            <v>0</v>
          </cell>
          <cell r="FA299">
            <v>14</v>
          </cell>
          <cell r="FB299">
            <v>14</v>
          </cell>
          <cell r="FC299">
            <v>54</v>
          </cell>
          <cell r="FD299">
            <v>0</v>
          </cell>
          <cell r="FE299">
            <v>0</v>
          </cell>
          <cell r="FF299">
            <v>13.75</v>
          </cell>
          <cell r="FG299">
            <v>13.75</v>
          </cell>
          <cell r="FH299">
            <v>53</v>
          </cell>
          <cell r="FI299">
            <v>0</v>
          </cell>
          <cell r="FJ299">
            <v>0</v>
          </cell>
          <cell r="FK299">
            <v>13.5</v>
          </cell>
          <cell r="FL299">
            <v>13.5</v>
          </cell>
          <cell r="FM299">
            <v>52</v>
          </cell>
          <cell r="FN299">
            <v>0</v>
          </cell>
          <cell r="FO299">
            <v>0</v>
          </cell>
          <cell r="FP299">
            <v>13.25</v>
          </cell>
          <cell r="FQ299">
            <v>13.25</v>
          </cell>
          <cell r="FR299">
            <v>51</v>
          </cell>
          <cell r="FS299">
            <v>0</v>
          </cell>
          <cell r="FT299">
            <v>1</v>
          </cell>
          <cell r="FU299">
            <v>2.0333333333333332</v>
          </cell>
          <cell r="FW299" t="str">
            <v>SOBRESTOCK</v>
          </cell>
          <cell r="FX299" t="str">
            <v>C</v>
          </cell>
          <cell r="FY299" t="str">
            <v>Si</v>
          </cell>
        </row>
        <row r="300">
          <cell r="B300" t="str">
            <v>REP-0316</v>
          </cell>
          <cell r="C300" t="str">
            <v>MIX</v>
          </cell>
          <cell r="D300">
            <v>0</v>
          </cell>
          <cell r="E300">
            <v>2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1</v>
          </cell>
          <cell r="V300">
            <v>0</v>
          </cell>
          <cell r="W300">
            <v>0</v>
          </cell>
          <cell r="X300">
            <v>0</v>
          </cell>
          <cell r="Y300">
            <v>3</v>
          </cell>
          <cell r="AA300">
            <v>3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3</v>
          </cell>
          <cell r="AQ300" t="str">
            <v/>
          </cell>
          <cell r="AR300">
            <v>0</v>
          </cell>
          <cell r="AS300">
            <v>3</v>
          </cell>
          <cell r="AT300">
            <v>3</v>
          </cell>
          <cell r="AU300" t="str">
            <v/>
          </cell>
          <cell r="AV300">
            <v>0</v>
          </cell>
          <cell r="AW300">
            <v>3</v>
          </cell>
          <cell r="AX300">
            <v>3</v>
          </cell>
          <cell r="AY300" t="str">
            <v/>
          </cell>
          <cell r="AZ300">
            <v>0</v>
          </cell>
          <cell r="BA300">
            <v>3</v>
          </cell>
          <cell r="BB300">
            <v>3</v>
          </cell>
          <cell r="BC300" t="str">
            <v/>
          </cell>
          <cell r="BD300">
            <v>0</v>
          </cell>
          <cell r="BE300">
            <v>3</v>
          </cell>
          <cell r="BF300" t="str">
            <v/>
          </cell>
          <cell r="BG300">
            <v>0</v>
          </cell>
          <cell r="BH300">
            <v>3</v>
          </cell>
          <cell r="BI300">
            <v>3</v>
          </cell>
          <cell r="BJ300" t="str">
            <v/>
          </cell>
          <cell r="BK300">
            <v>0</v>
          </cell>
          <cell r="BL300">
            <v>3</v>
          </cell>
          <cell r="BM300">
            <v>3</v>
          </cell>
          <cell r="BN300" t="str">
            <v/>
          </cell>
          <cell r="BO300">
            <v>0</v>
          </cell>
          <cell r="BP300">
            <v>3</v>
          </cell>
          <cell r="BQ300">
            <v>3</v>
          </cell>
          <cell r="BR300" t="str">
            <v/>
          </cell>
          <cell r="BS300">
            <v>0</v>
          </cell>
          <cell r="BT300">
            <v>3</v>
          </cell>
          <cell r="BU300">
            <v>3</v>
          </cell>
          <cell r="BV300" t="str">
            <v/>
          </cell>
          <cell r="BW300">
            <v>0</v>
          </cell>
          <cell r="BX300">
            <v>0</v>
          </cell>
          <cell r="BY300">
            <v>3</v>
          </cell>
          <cell r="BZ300">
            <v>3</v>
          </cell>
          <cell r="CA300" t="str">
            <v/>
          </cell>
          <cell r="CB300">
            <v>0</v>
          </cell>
          <cell r="CC300">
            <v>0</v>
          </cell>
          <cell r="CD300">
            <v>3</v>
          </cell>
          <cell r="CE300">
            <v>3</v>
          </cell>
          <cell r="CF300" t="str">
            <v/>
          </cell>
          <cell r="CG300">
            <v>0</v>
          </cell>
          <cell r="CH300">
            <v>0</v>
          </cell>
          <cell r="CI300">
            <v>3</v>
          </cell>
          <cell r="CJ300">
            <v>3</v>
          </cell>
          <cell r="CK300" t="str">
            <v/>
          </cell>
          <cell r="CL300">
            <v>0</v>
          </cell>
          <cell r="CM300">
            <v>0</v>
          </cell>
          <cell r="CN300">
            <v>3</v>
          </cell>
          <cell r="CO300">
            <v>3</v>
          </cell>
          <cell r="CP300" t="str">
            <v/>
          </cell>
          <cell r="CQ300">
            <v>0</v>
          </cell>
          <cell r="CR300">
            <v>0</v>
          </cell>
          <cell r="CS300">
            <v>3</v>
          </cell>
          <cell r="CT300">
            <v>3</v>
          </cell>
          <cell r="CU300" t="str">
            <v/>
          </cell>
          <cell r="CV300">
            <v>0</v>
          </cell>
          <cell r="CW300">
            <v>0</v>
          </cell>
          <cell r="CX300">
            <v>3</v>
          </cell>
          <cell r="CY300">
            <v>4</v>
          </cell>
          <cell r="CZ300" t="str">
            <v/>
          </cell>
          <cell r="DA300">
            <v>0</v>
          </cell>
          <cell r="DB300">
            <v>0</v>
          </cell>
          <cell r="DC300">
            <v>4</v>
          </cell>
          <cell r="DD300">
            <v>3</v>
          </cell>
          <cell r="DE300" t="str">
            <v/>
          </cell>
          <cell r="DF300">
            <v>0</v>
          </cell>
          <cell r="DG300">
            <v>0</v>
          </cell>
          <cell r="DH300">
            <v>3</v>
          </cell>
          <cell r="DI300">
            <v>3</v>
          </cell>
          <cell r="DJ300" t="str">
            <v/>
          </cell>
          <cell r="DK300">
            <v>0</v>
          </cell>
          <cell r="DL300">
            <v>0</v>
          </cell>
          <cell r="DM300">
            <v>3</v>
          </cell>
          <cell r="DN300">
            <v>3</v>
          </cell>
          <cell r="DO300" t="str">
            <v/>
          </cell>
          <cell r="DP300">
            <v>0</v>
          </cell>
          <cell r="DQ300">
            <v>0</v>
          </cell>
          <cell r="DR300">
            <v>3</v>
          </cell>
          <cell r="DS300">
            <v>3</v>
          </cell>
          <cell r="DT300" t="str">
            <v/>
          </cell>
          <cell r="DU300">
            <v>0</v>
          </cell>
          <cell r="DV300">
            <v>0</v>
          </cell>
          <cell r="DW300">
            <v>3</v>
          </cell>
          <cell r="DX300">
            <v>3</v>
          </cell>
          <cell r="DY300" t="str">
            <v/>
          </cell>
          <cell r="DZ300">
            <v>0</v>
          </cell>
          <cell r="EA300">
            <v>0</v>
          </cell>
          <cell r="EB300">
            <v>3</v>
          </cell>
          <cell r="EC300">
            <v>3</v>
          </cell>
          <cell r="ED300" t="str">
            <v/>
          </cell>
          <cell r="EE300">
            <v>0</v>
          </cell>
          <cell r="EF300">
            <v>0</v>
          </cell>
          <cell r="EG300">
            <v>3</v>
          </cell>
          <cell r="EH300">
            <v>3</v>
          </cell>
          <cell r="EI300" t="str">
            <v/>
          </cell>
          <cell r="EJ300">
            <v>0</v>
          </cell>
          <cell r="EK300">
            <v>0</v>
          </cell>
          <cell r="EL300">
            <v>3</v>
          </cell>
          <cell r="EM300">
            <v>3</v>
          </cell>
          <cell r="EN300" t="str">
            <v/>
          </cell>
          <cell r="EO300">
            <v>0</v>
          </cell>
          <cell r="EP300">
            <v>0</v>
          </cell>
          <cell r="EQ300">
            <v>3</v>
          </cell>
          <cell r="ER300">
            <v>3</v>
          </cell>
          <cell r="ES300" t="str">
            <v/>
          </cell>
          <cell r="ET300">
            <v>0</v>
          </cell>
          <cell r="EU300">
            <v>0</v>
          </cell>
          <cell r="EV300">
            <v>3</v>
          </cell>
          <cell r="EW300">
            <v>3</v>
          </cell>
          <cell r="EX300" t="str">
            <v/>
          </cell>
          <cell r="EY300">
            <v>0</v>
          </cell>
          <cell r="EZ300">
            <v>0</v>
          </cell>
          <cell r="FA300">
            <v>3</v>
          </cell>
          <cell r="FB300">
            <v>3</v>
          </cell>
          <cell r="FC300" t="str">
            <v/>
          </cell>
          <cell r="FD300">
            <v>0</v>
          </cell>
          <cell r="FE300">
            <v>0</v>
          </cell>
          <cell r="FF300">
            <v>3</v>
          </cell>
          <cell r="FG300">
            <v>3</v>
          </cell>
          <cell r="FH300" t="str">
            <v/>
          </cell>
          <cell r="FI300">
            <v>0</v>
          </cell>
          <cell r="FJ300">
            <v>0</v>
          </cell>
          <cell r="FK300">
            <v>3</v>
          </cell>
          <cell r="FL300">
            <v>3</v>
          </cell>
          <cell r="FM300" t="str">
            <v/>
          </cell>
          <cell r="FN300">
            <v>0</v>
          </cell>
          <cell r="FO300">
            <v>0</v>
          </cell>
          <cell r="FP300">
            <v>3</v>
          </cell>
          <cell r="FQ300">
            <v>3</v>
          </cell>
          <cell r="FR300" t="str">
            <v/>
          </cell>
          <cell r="FS300">
            <v>0</v>
          </cell>
          <cell r="FT300">
            <v>0</v>
          </cell>
          <cell r="FU300">
            <v>2.0333333333333332</v>
          </cell>
          <cell r="FV300" t="str">
            <v>SI</v>
          </cell>
          <cell r="FW300" t="str">
            <v>SIN ROTACIÓN</v>
          </cell>
          <cell r="FX300" t="str">
            <v>STOCK MUERTO</v>
          </cell>
          <cell r="FY300" t="str">
            <v>Si</v>
          </cell>
        </row>
        <row r="301">
          <cell r="B301" t="str">
            <v>REP-0317</v>
          </cell>
          <cell r="C301" t="str">
            <v>MIX</v>
          </cell>
          <cell r="D301">
            <v>0</v>
          </cell>
          <cell r="E301">
            <v>10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10</v>
          </cell>
          <cell r="AA301">
            <v>10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0.25</v>
          </cell>
          <cell r="AI301">
            <v>0</v>
          </cell>
          <cell r="AJ301">
            <v>0</v>
          </cell>
          <cell r="AK301">
            <v>0.25</v>
          </cell>
          <cell r="AL301">
            <v>0.125</v>
          </cell>
          <cell r="AM301">
            <v>6.25E-2</v>
          </cell>
          <cell r="AN301">
            <v>2</v>
          </cell>
          <cell r="AO301">
            <v>0</v>
          </cell>
          <cell r="AP301">
            <v>2.6666666666666665</v>
          </cell>
          <cell r="AQ301" t="str">
            <v/>
          </cell>
          <cell r="AR301">
            <v>0</v>
          </cell>
          <cell r="AS301">
            <v>3</v>
          </cell>
          <cell r="AT301">
            <v>3</v>
          </cell>
          <cell r="AU301" t="str">
            <v/>
          </cell>
          <cell r="AV301">
            <v>0</v>
          </cell>
          <cell r="AW301">
            <v>3</v>
          </cell>
          <cell r="AX301">
            <v>3</v>
          </cell>
          <cell r="AY301">
            <v>12</v>
          </cell>
          <cell r="AZ301">
            <v>0</v>
          </cell>
          <cell r="BA301">
            <v>3</v>
          </cell>
          <cell r="BB301">
            <v>3</v>
          </cell>
          <cell r="BC301" t="str">
            <v/>
          </cell>
          <cell r="BD301">
            <v>0</v>
          </cell>
          <cell r="BE301">
            <v>3</v>
          </cell>
          <cell r="BF301" t="str">
            <v/>
          </cell>
          <cell r="BG301">
            <v>0</v>
          </cell>
          <cell r="BH301">
            <v>3</v>
          </cell>
          <cell r="BI301">
            <v>10</v>
          </cell>
          <cell r="BJ301">
            <v>40</v>
          </cell>
          <cell r="BK301">
            <v>0</v>
          </cell>
          <cell r="BL301">
            <v>0.66666666666666674</v>
          </cell>
          <cell r="BM301">
            <v>1</v>
          </cell>
          <cell r="BN301">
            <v>3</v>
          </cell>
          <cell r="BO301">
            <v>0</v>
          </cell>
          <cell r="BP301">
            <v>0.66666666666666674</v>
          </cell>
          <cell r="BQ301">
            <v>44</v>
          </cell>
          <cell r="BR301">
            <v>176</v>
          </cell>
          <cell r="BS301">
            <v>0</v>
          </cell>
          <cell r="BT301">
            <v>43.666666666666664</v>
          </cell>
          <cell r="BU301">
            <v>1</v>
          </cell>
          <cell r="BV301">
            <v>3</v>
          </cell>
          <cell r="BW301">
            <v>1</v>
          </cell>
          <cell r="BX301">
            <v>0</v>
          </cell>
          <cell r="BY301">
            <v>0.66666666666666674</v>
          </cell>
          <cell r="BZ301">
            <v>1</v>
          </cell>
          <cell r="CA301">
            <v>3</v>
          </cell>
          <cell r="CB301">
            <v>1</v>
          </cell>
          <cell r="CC301">
            <v>0</v>
          </cell>
          <cell r="CD301">
            <v>0.66666666666666674</v>
          </cell>
          <cell r="CE301">
            <v>0</v>
          </cell>
          <cell r="CF301">
            <v>0</v>
          </cell>
          <cell r="CG301">
            <v>4</v>
          </cell>
          <cell r="CH301">
            <v>0</v>
          </cell>
          <cell r="CI301">
            <v>4.166666666666667</v>
          </cell>
          <cell r="CJ301">
            <v>0</v>
          </cell>
          <cell r="CK301">
            <v>0</v>
          </cell>
          <cell r="CL301">
            <v>2</v>
          </cell>
          <cell r="CM301">
            <v>10</v>
          </cell>
          <cell r="CN301">
            <v>9.75</v>
          </cell>
          <cell r="CO301">
            <v>10</v>
          </cell>
          <cell r="CP301">
            <v>40</v>
          </cell>
          <cell r="CQ301">
            <v>0</v>
          </cell>
          <cell r="CR301">
            <v>0</v>
          </cell>
          <cell r="CS301">
            <v>9.75</v>
          </cell>
          <cell r="CT301">
            <v>10</v>
          </cell>
          <cell r="CU301">
            <v>40</v>
          </cell>
          <cell r="CV301">
            <v>0</v>
          </cell>
          <cell r="CW301">
            <v>0</v>
          </cell>
          <cell r="CX301">
            <v>9.75</v>
          </cell>
          <cell r="CY301">
            <v>10</v>
          </cell>
          <cell r="CZ301">
            <v>40</v>
          </cell>
          <cell r="DA301">
            <v>0</v>
          </cell>
          <cell r="DB301">
            <v>0</v>
          </cell>
          <cell r="DC301">
            <v>9.75</v>
          </cell>
          <cell r="DD301">
            <v>10</v>
          </cell>
          <cell r="DE301">
            <v>36</v>
          </cell>
          <cell r="DF301">
            <v>0</v>
          </cell>
          <cell r="DG301">
            <v>0</v>
          </cell>
          <cell r="DH301">
            <v>9.75</v>
          </cell>
          <cell r="DI301">
            <v>10</v>
          </cell>
          <cell r="DJ301">
            <v>38</v>
          </cell>
          <cell r="DK301">
            <v>0</v>
          </cell>
          <cell r="DL301">
            <v>0</v>
          </cell>
          <cell r="DM301">
            <v>9.5</v>
          </cell>
          <cell r="DN301">
            <v>10</v>
          </cell>
          <cell r="DO301">
            <v>38</v>
          </cell>
          <cell r="DP301">
            <v>0</v>
          </cell>
          <cell r="DQ301">
            <v>0</v>
          </cell>
          <cell r="DR301">
            <v>9.75</v>
          </cell>
          <cell r="DS301">
            <v>9.75</v>
          </cell>
          <cell r="DT301">
            <v>37</v>
          </cell>
          <cell r="DU301">
            <v>0</v>
          </cell>
          <cell r="DV301">
            <v>0</v>
          </cell>
          <cell r="DW301">
            <v>9.5</v>
          </cell>
          <cell r="DX301">
            <v>9.5</v>
          </cell>
          <cell r="DY301">
            <v>36</v>
          </cell>
          <cell r="DZ301">
            <v>0</v>
          </cell>
          <cell r="EA301">
            <v>0</v>
          </cell>
          <cell r="EB301">
            <v>9.25</v>
          </cell>
          <cell r="EC301">
            <v>9.25</v>
          </cell>
          <cell r="ED301">
            <v>35</v>
          </cell>
          <cell r="EE301">
            <v>0</v>
          </cell>
          <cell r="EF301">
            <v>0</v>
          </cell>
          <cell r="EG301">
            <v>9</v>
          </cell>
          <cell r="EH301">
            <v>9</v>
          </cell>
          <cell r="EI301">
            <v>34</v>
          </cell>
          <cell r="EJ301">
            <v>0</v>
          </cell>
          <cell r="EK301">
            <v>0</v>
          </cell>
          <cell r="EL301">
            <v>8.75</v>
          </cell>
          <cell r="EM301">
            <v>8.75</v>
          </cell>
          <cell r="EN301">
            <v>33</v>
          </cell>
          <cell r="EO301">
            <v>0</v>
          </cell>
          <cell r="EP301">
            <v>0</v>
          </cell>
          <cell r="EQ301">
            <v>8.5</v>
          </cell>
          <cell r="ER301">
            <v>8.5</v>
          </cell>
          <cell r="ES301">
            <v>32</v>
          </cell>
          <cell r="ET301">
            <v>0</v>
          </cell>
          <cell r="EU301">
            <v>0</v>
          </cell>
          <cell r="EV301">
            <v>8.25</v>
          </cell>
          <cell r="EW301">
            <v>8.25</v>
          </cell>
          <cell r="EX301">
            <v>31</v>
          </cell>
          <cell r="EY301">
            <v>0</v>
          </cell>
          <cell r="EZ301">
            <v>0</v>
          </cell>
          <cell r="FA301">
            <v>8</v>
          </cell>
          <cell r="FB301">
            <v>8</v>
          </cell>
          <cell r="FC301">
            <v>30</v>
          </cell>
          <cell r="FD301">
            <v>0</v>
          </cell>
          <cell r="FE301">
            <v>0</v>
          </cell>
          <cell r="FF301">
            <v>7.75</v>
          </cell>
          <cell r="FG301">
            <v>7.75</v>
          </cell>
          <cell r="FH301">
            <v>29</v>
          </cell>
          <cell r="FI301">
            <v>0</v>
          </cell>
          <cell r="FJ301">
            <v>0</v>
          </cell>
          <cell r="FK301">
            <v>7.5</v>
          </cell>
          <cell r="FL301">
            <v>7.5</v>
          </cell>
          <cell r="FM301">
            <v>28</v>
          </cell>
          <cell r="FN301">
            <v>0</v>
          </cell>
          <cell r="FO301">
            <v>0</v>
          </cell>
          <cell r="FP301">
            <v>7.25</v>
          </cell>
          <cell r="FQ301">
            <v>7.25</v>
          </cell>
          <cell r="FR301">
            <v>27</v>
          </cell>
          <cell r="FS301">
            <v>0</v>
          </cell>
          <cell r="FT301">
            <v>1</v>
          </cell>
          <cell r="FU301">
            <v>2.0333333333333332</v>
          </cell>
          <cell r="FW301" t="str">
            <v>SIN ROTACIÓN</v>
          </cell>
          <cell r="FX301" t="str">
            <v>C</v>
          </cell>
          <cell r="FY301" t="str">
            <v>Si</v>
          </cell>
        </row>
        <row r="302">
          <cell r="B302" t="str">
            <v>REP-0318</v>
          </cell>
          <cell r="C302" t="str">
            <v>MIX</v>
          </cell>
          <cell r="D302">
            <v>0</v>
          </cell>
          <cell r="E302">
            <v>5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5</v>
          </cell>
          <cell r="AA302">
            <v>5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0.25</v>
          </cell>
          <cell r="AI302">
            <v>0</v>
          </cell>
          <cell r="AJ302">
            <v>0</v>
          </cell>
          <cell r="AK302">
            <v>0.25</v>
          </cell>
          <cell r="AL302">
            <v>0.125</v>
          </cell>
          <cell r="AM302">
            <v>6.25E-2</v>
          </cell>
          <cell r="AN302">
            <v>2</v>
          </cell>
          <cell r="AO302">
            <v>0</v>
          </cell>
          <cell r="AP302">
            <v>2.8333333333333335</v>
          </cell>
          <cell r="AQ302" t="str">
            <v/>
          </cell>
          <cell r="AR302">
            <v>0</v>
          </cell>
          <cell r="AS302">
            <v>3</v>
          </cell>
          <cell r="AT302">
            <v>3</v>
          </cell>
          <cell r="AU302" t="str">
            <v/>
          </cell>
          <cell r="AV302">
            <v>0</v>
          </cell>
          <cell r="AW302">
            <v>3</v>
          </cell>
          <cell r="AX302">
            <v>3</v>
          </cell>
          <cell r="AY302">
            <v>12</v>
          </cell>
          <cell r="AZ302">
            <v>0</v>
          </cell>
          <cell r="BA302">
            <v>3</v>
          </cell>
          <cell r="BB302">
            <v>3</v>
          </cell>
          <cell r="BC302" t="str">
            <v/>
          </cell>
          <cell r="BD302">
            <v>0</v>
          </cell>
          <cell r="BE302">
            <v>3</v>
          </cell>
          <cell r="BF302" t="str">
            <v/>
          </cell>
          <cell r="BG302">
            <v>0</v>
          </cell>
          <cell r="BH302">
            <v>3</v>
          </cell>
          <cell r="BI302">
            <v>5</v>
          </cell>
          <cell r="BJ302">
            <v>20</v>
          </cell>
          <cell r="BK302">
            <v>0</v>
          </cell>
          <cell r="BL302">
            <v>1.8333333333333333</v>
          </cell>
          <cell r="BM302">
            <v>2</v>
          </cell>
          <cell r="BN302">
            <v>12</v>
          </cell>
          <cell r="BO302">
            <v>0</v>
          </cell>
          <cell r="BP302">
            <v>1.8333333333333333</v>
          </cell>
          <cell r="BQ302">
            <v>2</v>
          </cell>
          <cell r="BR302">
            <v>8</v>
          </cell>
          <cell r="BS302">
            <v>0</v>
          </cell>
          <cell r="BT302">
            <v>1.8333333333333333</v>
          </cell>
          <cell r="BU302">
            <v>2</v>
          </cell>
          <cell r="BV302">
            <v>12</v>
          </cell>
          <cell r="BW302">
            <v>0</v>
          </cell>
          <cell r="BX302">
            <v>0</v>
          </cell>
          <cell r="BY302">
            <v>1.8333333333333333</v>
          </cell>
          <cell r="BZ302">
            <v>2</v>
          </cell>
          <cell r="CA302">
            <v>12</v>
          </cell>
          <cell r="CB302">
            <v>0</v>
          </cell>
          <cell r="CC302">
            <v>0</v>
          </cell>
          <cell r="CD302">
            <v>4.833333333333333</v>
          </cell>
          <cell r="CE302">
            <v>1</v>
          </cell>
          <cell r="CF302">
            <v>3</v>
          </cell>
          <cell r="CG302">
            <v>1</v>
          </cell>
          <cell r="CH302">
            <v>3</v>
          </cell>
          <cell r="CI302">
            <v>5.5</v>
          </cell>
          <cell r="CJ302">
            <v>3</v>
          </cell>
          <cell r="CK302">
            <v>9</v>
          </cell>
          <cell r="CL302">
            <v>0</v>
          </cell>
          <cell r="CM302">
            <v>0</v>
          </cell>
          <cell r="CN302">
            <v>2.6666666666666665</v>
          </cell>
          <cell r="CO302">
            <v>3</v>
          </cell>
          <cell r="CP302">
            <v>9</v>
          </cell>
          <cell r="CQ302">
            <v>0</v>
          </cell>
          <cell r="CR302">
            <v>0</v>
          </cell>
          <cell r="CS302">
            <v>2.6666666666666665</v>
          </cell>
          <cell r="CT302">
            <v>3</v>
          </cell>
          <cell r="CU302">
            <v>9</v>
          </cell>
          <cell r="CV302">
            <v>0</v>
          </cell>
          <cell r="CW302">
            <v>0</v>
          </cell>
          <cell r="CX302">
            <v>2.6666666666666665</v>
          </cell>
          <cell r="CY302">
            <v>3</v>
          </cell>
          <cell r="CZ302">
            <v>9</v>
          </cell>
          <cell r="DA302">
            <v>0</v>
          </cell>
          <cell r="DB302">
            <v>2</v>
          </cell>
          <cell r="DC302">
            <v>4.666666666666667</v>
          </cell>
          <cell r="DD302">
            <v>5</v>
          </cell>
          <cell r="DE302">
            <v>16</v>
          </cell>
          <cell r="DF302">
            <v>0</v>
          </cell>
          <cell r="DG302">
            <v>0</v>
          </cell>
          <cell r="DH302">
            <v>4.75</v>
          </cell>
          <cell r="DI302">
            <v>5</v>
          </cell>
          <cell r="DJ302">
            <v>18</v>
          </cell>
          <cell r="DK302">
            <v>0</v>
          </cell>
          <cell r="DL302">
            <v>0</v>
          </cell>
          <cell r="DM302">
            <v>4.5</v>
          </cell>
          <cell r="DN302">
            <v>5</v>
          </cell>
          <cell r="DO302">
            <v>18</v>
          </cell>
          <cell r="DP302">
            <v>0</v>
          </cell>
          <cell r="DQ302">
            <v>0</v>
          </cell>
          <cell r="DR302">
            <v>4.75</v>
          </cell>
          <cell r="DS302">
            <v>4.75</v>
          </cell>
          <cell r="DT302">
            <v>17</v>
          </cell>
          <cell r="DU302">
            <v>0</v>
          </cell>
          <cell r="DV302">
            <v>0</v>
          </cell>
          <cell r="DW302">
            <v>4.5</v>
          </cell>
          <cell r="DX302">
            <v>4.5</v>
          </cell>
          <cell r="DY302">
            <v>16</v>
          </cell>
          <cell r="DZ302">
            <v>0</v>
          </cell>
          <cell r="EA302">
            <v>0</v>
          </cell>
          <cell r="EB302">
            <v>4.25</v>
          </cell>
          <cell r="EC302">
            <v>4.25</v>
          </cell>
          <cell r="ED302">
            <v>15</v>
          </cell>
          <cell r="EE302">
            <v>0</v>
          </cell>
          <cell r="EF302">
            <v>0</v>
          </cell>
          <cell r="EG302">
            <v>4</v>
          </cell>
          <cell r="EH302">
            <v>4</v>
          </cell>
          <cell r="EI302">
            <v>14</v>
          </cell>
          <cell r="EJ302">
            <v>0</v>
          </cell>
          <cell r="EK302">
            <v>0</v>
          </cell>
          <cell r="EL302">
            <v>3.75</v>
          </cell>
          <cell r="EM302">
            <v>3.75</v>
          </cell>
          <cell r="EN302">
            <v>13</v>
          </cell>
          <cell r="EO302">
            <v>0</v>
          </cell>
          <cell r="EP302">
            <v>0</v>
          </cell>
          <cell r="EQ302">
            <v>3.5</v>
          </cell>
          <cell r="ER302">
            <v>3.5</v>
          </cell>
          <cell r="ES302">
            <v>12</v>
          </cell>
          <cell r="ET302">
            <v>0</v>
          </cell>
          <cell r="EU302">
            <v>0</v>
          </cell>
          <cell r="EV302">
            <v>3.25</v>
          </cell>
          <cell r="EW302">
            <v>3.25</v>
          </cell>
          <cell r="EX302">
            <v>11</v>
          </cell>
          <cell r="EY302">
            <v>0</v>
          </cell>
          <cell r="EZ302">
            <v>0</v>
          </cell>
          <cell r="FA302">
            <v>3</v>
          </cell>
          <cell r="FB302">
            <v>3</v>
          </cell>
          <cell r="FC302">
            <v>10</v>
          </cell>
          <cell r="FD302">
            <v>0</v>
          </cell>
          <cell r="FE302">
            <v>0</v>
          </cell>
          <cell r="FF302">
            <v>2.75</v>
          </cell>
          <cell r="FG302">
            <v>2.75</v>
          </cell>
          <cell r="FH302">
            <v>9</v>
          </cell>
          <cell r="FI302">
            <v>0</v>
          </cell>
          <cell r="FJ302">
            <v>0</v>
          </cell>
          <cell r="FK302">
            <v>2.5</v>
          </cell>
          <cell r="FL302">
            <v>2.5</v>
          </cell>
          <cell r="FM302">
            <v>8</v>
          </cell>
          <cell r="FN302">
            <v>0</v>
          </cell>
          <cell r="FO302">
            <v>0</v>
          </cell>
          <cell r="FP302">
            <v>2.25</v>
          </cell>
          <cell r="FQ302">
            <v>2.25</v>
          </cell>
          <cell r="FR302">
            <v>7</v>
          </cell>
          <cell r="FS302">
            <v>0</v>
          </cell>
          <cell r="FT302">
            <v>1</v>
          </cell>
          <cell r="FU302">
            <v>2.0333333333333332</v>
          </cell>
          <cell r="FW302" t="str">
            <v>SIN ROTACIÓN</v>
          </cell>
          <cell r="FX302" t="str">
            <v>C</v>
          </cell>
          <cell r="FY302" t="str">
            <v>Si</v>
          </cell>
        </row>
        <row r="303">
          <cell r="B303" t="str">
            <v>REP-0319</v>
          </cell>
          <cell r="C303" t="str">
            <v>NAC</v>
          </cell>
          <cell r="D303">
            <v>0</v>
          </cell>
          <cell r="E303">
            <v>1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1</v>
          </cell>
          <cell r="AA303">
            <v>1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0.16666666666666666</v>
          </cell>
          <cell r="AI303">
            <v>0</v>
          </cell>
          <cell r="AJ303">
            <v>0</v>
          </cell>
          <cell r="AK303">
            <v>0.16666666666666666</v>
          </cell>
          <cell r="AL303">
            <v>8.3333333333333329E-2</v>
          </cell>
          <cell r="AM303">
            <v>4.1666666666666664E-2</v>
          </cell>
          <cell r="AN303">
            <v>2</v>
          </cell>
          <cell r="AO303">
            <v>0</v>
          </cell>
          <cell r="AP303">
            <v>2.8333333333333335</v>
          </cell>
          <cell r="AQ303" t="str">
            <v/>
          </cell>
          <cell r="AR303">
            <v>0</v>
          </cell>
          <cell r="AS303">
            <v>3</v>
          </cell>
          <cell r="AT303">
            <v>3</v>
          </cell>
          <cell r="AU303" t="str">
            <v/>
          </cell>
          <cell r="AV303">
            <v>0</v>
          </cell>
          <cell r="AW303">
            <v>3</v>
          </cell>
          <cell r="AX303">
            <v>3</v>
          </cell>
          <cell r="AY303">
            <v>18</v>
          </cell>
          <cell r="AZ303">
            <v>0</v>
          </cell>
          <cell r="BA303">
            <v>3</v>
          </cell>
          <cell r="BB303">
            <v>3</v>
          </cell>
          <cell r="BC303" t="str">
            <v/>
          </cell>
          <cell r="BD303">
            <v>0</v>
          </cell>
          <cell r="BE303">
            <v>3</v>
          </cell>
          <cell r="BF303" t="str">
            <v/>
          </cell>
          <cell r="BG303">
            <v>0</v>
          </cell>
          <cell r="BH303">
            <v>3</v>
          </cell>
          <cell r="BI303">
            <v>1</v>
          </cell>
          <cell r="BJ303">
            <v>6</v>
          </cell>
          <cell r="BK303">
            <v>0</v>
          </cell>
          <cell r="BL303">
            <v>1.8333333333333333</v>
          </cell>
          <cell r="BM303">
            <v>2</v>
          </cell>
          <cell r="BN303">
            <v>12</v>
          </cell>
          <cell r="BO303">
            <v>0</v>
          </cell>
          <cell r="BP303">
            <v>1.8333333333333333</v>
          </cell>
          <cell r="BQ303">
            <v>2</v>
          </cell>
          <cell r="BR303">
            <v>12</v>
          </cell>
          <cell r="BS303">
            <v>0</v>
          </cell>
          <cell r="BT303">
            <v>1.8333333333333333</v>
          </cell>
          <cell r="BU303">
            <v>2</v>
          </cell>
          <cell r="BV303">
            <v>12</v>
          </cell>
          <cell r="BW303">
            <v>0</v>
          </cell>
          <cell r="BX303">
            <v>0</v>
          </cell>
          <cell r="BY303">
            <v>1.8333333333333333</v>
          </cell>
          <cell r="BZ303">
            <v>2</v>
          </cell>
          <cell r="CA303">
            <v>12</v>
          </cell>
          <cell r="CB303">
            <v>0</v>
          </cell>
          <cell r="CC303">
            <v>0</v>
          </cell>
          <cell r="CD303">
            <v>1.8333333333333333</v>
          </cell>
          <cell r="CE303">
            <v>1</v>
          </cell>
          <cell r="CF303">
            <v>3</v>
          </cell>
          <cell r="CG303">
            <v>1</v>
          </cell>
          <cell r="CH303">
            <v>0</v>
          </cell>
          <cell r="CI303">
            <v>2.4999999999999996</v>
          </cell>
          <cell r="CJ303">
            <v>1</v>
          </cell>
          <cell r="CK303">
            <v>6</v>
          </cell>
          <cell r="CL303">
            <v>0</v>
          </cell>
          <cell r="CM303">
            <v>0</v>
          </cell>
          <cell r="CN303">
            <v>0.83333333333333337</v>
          </cell>
          <cell r="CO303">
            <v>1</v>
          </cell>
          <cell r="CP303">
            <v>6</v>
          </cell>
          <cell r="CQ303">
            <v>0</v>
          </cell>
          <cell r="CR303">
            <v>0</v>
          </cell>
          <cell r="CS303">
            <v>0.83333333333333337</v>
          </cell>
          <cell r="CT303">
            <v>1</v>
          </cell>
          <cell r="CU303">
            <v>6</v>
          </cell>
          <cell r="CV303">
            <v>0</v>
          </cell>
          <cell r="CW303">
            <v>0</v>
          </cell>
          <cell r="CX303">
            <v>0.83333333333333337</v>
          </cell>
          <cell r="CY303">
            <v>1</v>
          </cell>
          <cell r="CZ303">
            <v>6</v>
          </cell>
          <cell r="DA303">
            <v>0.16666666666666663</v>
          </cell>
          <cell r="DB303">
            <v>0</v>
          </cell>
          <cell r="DC303">
            <v>0.83333333333333337</v>
          </cell>
          <cell r="DD303">
            <v>1</v>
          </cell>
          <cell r="DE303">
            <v>0</v>
          </cell>
          <cell r="DF303">
            <v>0</v>
          </cell>
          <cell r="DG303">
            <v>0</v>
          </cell>
          <cell r="DH303">
            <v>0.83333333333333337</v>
          </cell>
          <cell r="DI303">
            <v>1</v>
          </cell>
          <cell r="DJ303">
            <v>2</v>
          </cell>
          <cell r="DK303">
            <v>0</v>
          </cell>
          <cell r="DL303">
            <v>0</v>
          </cell>
          <cell r="DM303">
            <v>0.66666666666666674</v>
          </cell>
          <cell r="DN303">
            <v>1</v>
          </cell>
          <cell r="DO303">
            <v>2</v>
          </cell>
          <cell r="DP303">
            <v>0</v>
          </cell>
          <cell r="DQ303">
            <v>0</v>
          </cell>
          <cell r="DR303">
            <v>0.83333333333333337</v>
          </cell>
          <cell r="DS303">
            <v>0.83333333333333337</v>
          </cell>
          <cell r="DT303">
            <v>1.0000000000000002</v>
          </cell>
          <cell r="DU303">
            <v>0.16666666666666663</v>
          </cell>
          <cell r="DV303">
            <v>0</v>
          </cell>
          <cell r="DW303">
            <v>0.66666666666666674</v>
          </cell>
          <cell r="DX303">
            <v>0.66666666666666674</v>
          </cell>
          <cell r="DY303">
            <v>4.4408920985006262E-16</v>
          </cell>
          <cell r="DZ303">
            <v>0.33333333333333326</v>
          </cell>
          <cell r="EA303">
            <v>0</v>
          </cell>
          <cell r="EB303">
            <v>0.50000000000000011</v>
          </cell>
          <cell r="EC303">
            <v>0.50000000000000011</v>
          </cell>
          <cell r="ED303">
            <v>-0.99999999999999956</v>
          </cell>
          <cell r="EE303">
            <v>0.49999999999999989</v>
          </cell>
          <cell r="EF303">
            <v>0</v>
          </cell>
          <cell r="EG303">
            <v>0.33333333333333348</v>
          </cell>
          <cell r="EH303">
            <v>0.33333333333333348</v>
          </cell>
          <cell r="EI303">
            <v>-1.9999999999999991</v>
          </cell>
          <cell r="EJ303">
            <v>0.66666666666666652</v>
          </cell>
          <cell r="EK303">
            <v>0</v>
          </cell>
          <cell r="EL303">
            <v>0.16666666666666682</v>
          </cell>
          <cell r="EM303">
            <v>0.16666666666666682</v>
          </cell>
          <cell r="EN303">
            <v>-2.9999999999999991</v>
          </cell>
          <cell r="EO303">
            <v>0.83333333333333315</v>
          </cell>
          <cell r="EP303">
            <v>0</v>
          </cell>
          <cell r="EQ303">
            <v>0</v>
          </cell>
          <cell r="ER303">
            <v>0</v>
          </cell>
          <cell r="ES303">
            <v>-4</v>
          </cell>
          <cell r="ET303">
            <v>1</v>
          </cell>
          <cell r="EU303">
            <v>0</v>
          </cell>
          <cell r="EV303">
            <v>-0.16666666666666666</v>
          </cell>
          <cell r="EW303">
            <v>-0.16666666666666666</v>
          </cell>
          <cell r="EX303">
            <v>-5.0000000000000009</v>
          </cell>
          <cell r="EY303">
            <v>1.1666666666666667</v>
          </cell>
          <cell r="EZ303">
            <v>0</v>
          </cell>
          <cell r="FA303">
            <v>-0.33333333333333331</v>
          </cell>
          <cell r="FB303">
            <v>-0.33333333333333331</v>
          </cell>
          <cell r="FC303">
            <v>-6</v>
          </cell>
          <cell r="FD303">
            <v>1.3333333333333333</v>
          </cell>
          <cell r="FE303">
            <v>0</v>
          </cell>
          <cell r="FF303">
            <v>-0.5</v>
          </cell>
          <cell r="FG303">
            <v>-0.5</v>
          </cell>
          <cell r="FH303">
            <v>-7</v>
          </cell>
          <cell r="FI303">
            <v>1.5</v>
          </cell>
          <cell r="FJ303">
            <v>0</v>
          </cell>
          <cell r="FK303">
            <v>-0.66666666666666663</v>
          </cell>
          <cell r="FL303">
            <v>-0.66666666666666663</v>
          </cell>
          <cell r="FM303">
            <v>-8</v>
          </cell>
          <cell r="FN303">
            <v>1.6666666666666665</v>
          </cell>
          <cell r="FO303">
            <v>0</v>
          </cell>
          <cell r="FP303">
            <v>-0.83333333333333326</v>
          </cell>
          <cell r="FQ303">
            <v>-0.83333333333333326</v>
          </cell>
          <cell r="FR303">
            <v>-9</v>
          </cell>
          <cell r="FS303">
            <v>1.8333333333333333</v>
          </cell>
          <cell r="FT303">
            <v>1</v>
          </cell>
          <cell r="FU303">
            <v>1.0333333333333334</v>
          </cell>
          <cell r="FW303" t="str">
            <v>SIN ROTACIÓN</v>
          </cell>
          <cell r="FX303" t="str">
            <v>C</v>
          </cell>
          <cell r="FY303" t="str">
            <v>Si</v>
          </cell>
        </row>
        <row r="304">
          <cell r="B304" t="str">
            <v>REP-0320</v>
          </cell>
          <cell r="C304" t="str">
            <v>MIX</v>
          </cell>
          <cell r="D304">
            <v>0</v>
          </cell>
          <cell r="E304">
            <v>9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9</v>
          </cell>
          <cell r="AA304">
            <v>9</v>
          </cell>
          <cell r="AB304">
            <v>1</v>
          </cell>
          <cell r="AC304">
            <v>0.16666666666666666</v>
          </cell>
          <cell r="AD304">
            <v>5.5555555555555549E-3</v>
          </cell>
          <cell r="AE304">
            <v>0.16666666666666666</v>
          </cell>
          <cell r="AF304">
            <v>0.16666666666666666</v>
          </cell>
          <cell r="AG304">
            <v>0.16666666666666666</v>
          </cell>
          <cell r="AH304">
            <v>0</v>
          </cell>
          <cell r="AI304">
            <v>0</v>
          </cell>
          <cell r="AJ304">
            <v>0</v>
          </cell>
          <cell r="AK304">
            <v>0.16666666666666666</v>
          </cell>
          <cell r="AL304">
            <v>8.3333333333333329E-2</v>
          </cell>
          <cell r="AM304">
            <v>4.1666666666666664E-2</v>
          </cell>
          <cell r="AN304">
            <v>2</v>
          </cell>
          <cell r="AO304">
            <v>0</v>
          </cell>
          <cell r="AP304">
            <v>8.8333333333333339</v>
          </cell>
          <cell r="AQ304">
            <v>53.000000000000007</v>
          </cell>
          <cell r="AR304">
            <v>0</v>
          </cell>
          <cell r="AS304">
            <v>8.6666666666666679</v>
          </cell>
          <cell r="AT304">
            <v>9</v>
          </cell>
          <cell r="AU304">
            <v>54</v>
          </cell>
          <cell r="AV304">
            <v>0</v>
          </cell>
          <cell r="AW304">
            <v>8.8333333333333339</v>
          </cell>
          <cell r="AX304">
            <v>8</v>
          </cell>
          <cell r="AY304">
            <v>48</v>
          </cell>
          <cell r="AZ304">
            <v>0</v>
          </cell>
          <cell r="BA304">
            <v>7.833333333333333</v>
          </cell>
          <cell r="BB304">
            <v>9</v>
          </cell>
          <cell r="BC304">
            <v>54</v>
          </cell>
          <cell r="BD304">
            <v>0</v>
          </cell>
          <cell r="BE304">
            <v>8.8333333333333339</v>
          </cell>
          <cell r="BF304">
            <v>53.000000000000007</v>
          </cell>
          <cell r="BG304">
            <v>0</v>
          </cell>
          <cell r="BH304">
            <v>8.6666666666666679</v>
          </cell>
          <cell r="BI304">
            <v>9</v>
          </cell>
          <cell r="BJ304">
            <v>54</v>
          </cell>
          <cell r="BK304">
            <v>0</v>
          </cell>
          <cell r="BL304">
            <v>8.8333333333333339</v>
          </cell>
          <cell r="BM304">
            <v>9</v>
          </cell>
          <cell r="BN304">
            <v>54</v>
          </cell>
          <cell r="BO304">
            <v>0</v>
          </cell>
          <cell r="BP304">
            <v>8.8333333333333339</v>
          </cell>
          <cell r="BQ304">
            <v>9</v>
          </cell>
          <cell r="BR304">
            <v>54</v>
          </cell>
          <cell r="BS304">
            <v>0</v>
          </cell>
          <cell r="BT304">
            <v>8.8333333333333339</v>
          </cell>
          <cell r="BU304">
            <v>9</v>
          </cell>
          <cell r="BV304">
            <v>54</v>
          </cell>
          <cell r="BW304">
            <v>0</v>
          </cell>
          <cell r="BX304">
            <v>0</v>
          </cell>
          <cell r="BY304">
            <v>8.8333333333333339</v>
          </cell>
          <cell r="BZ304">
            <v>9</v>
          </cell>
          <cell r="CA304">
            <v>54</v>
          </cell>
          <cell r="CB304">
            <v>0</v>
          </cell>
          <cell r="CC304">
            <v>0</v>
          </cell>
          <cell r="CD304">
            <v>8.8333333333333339</v>
          </cell>
          <cell r="CE304">
            <v>9</v>
          </cell>
          <cell r="CF304">
            <v>54</v>
          </cell>
          <cell r="CG304">
            <v>0</v>
          </cell>
          <cell r="CH304">
            <v>0</v>
          </cell>
          <cell r="CI304">
            <v>8.6666666666666679</v>
          </cell>
          <cell r="CJ304">
            <v>9</v>
          </cell>
          <cell r="CK304">
            <v>54</v>
          </cell>
          <cell r="CL304">
            <v>0</v>
          </cell>
          <cell r="CM304">
            <v>0</v>
          </cell>
          <cell r="CN304">
            <v>8.8333333333333339</v>
          </cell>
          <cell r="CO304">
            <v>9</v>
          </cell>
          <cell r="CP304">
            <v>54</v>
          </cell>
          <cell r="CQ304">
            <v>0</v>
          </cell>
          <cell r="CR304">
            <v>0</v>
          </cell>
          <cell r="CS304">
            <v>8.8333333333333339</v>
          </cell>
          <cell r="CT304">
            <v>9</v>
          </cell>
          <cell r="CU304">
            <v>54</v>
          </cell>
          <cell r="CV304">
            <v>0</v>
          </cell>
          <cell r="CW304">
            <v>0</v>
          </cell>
          <cell r="CX304">
            <v>8.8333333333333339</v>
          </cell>
          <cell r="CY304">
            <v>9</v>
          </cell>
          <cell r="CZ304">
            <v>54</v>
          </cell>
          <cell r="DA304">
            <v>0</v>
          </cell>
          <cell r="DB304">
            <v>0</v>
          </cell>
          <cell r="DC304">
            <v>8.8333333333333339</v>
          </cell>
          <cell r="DD304">
            <v>9</v>
          </cell>
          <cell r="DE304">
            <v>48</v>
          </cell>
          <cell r="DF304">
            <v>0</v>
          </cell>
          <cell r="DG304">
            <v>0</v>
          </cell>
          <cell r="DH304">
            <v>8.8333333333333339</v>
          </cell>
          <cell r="DI304">
            <v>9</v>
          </cell>
          <cell r="DJ304">
            <v>50</v>
          </cell>
          <cell r="DK304">
            <v>0</v>
          </cell>
          <cell r="DL304">
            <v>0</v>
          </cell>
          <cell r="DM304">
            <v>8.6666666666666679</v>
          </cell>
          <cell r="DN304">
            <v>9</v>
          </cell>
          <cell r="DO304">
            <v>50</v>
          </cell>
          <cell r="DP304">
            <v>0</v>
          </cell>
          <cell r="DQ304">
            <v>0</v>
          </cell>
          <cell r="DR304">
            <v>8.8333333333333339</v>
          </cell>
          <cell r="DS304">
            <v>8.8333333333333339</v>
          </cell>
          <cell r="DT304">
            <v>49.000000000000007</v>
          </cell>
          <cell r="DU304">
            <v>0</v>
          </cell>
          <cell r="DV304">
            <v>0</v>
          </cell>
          <cell r="DW304">
            <v>8.6666666666666679</v>
          </cell>
          <cell r="DX304">
            <v>8.6666666666666679</v>
          </cell>
          <cell r="DY304">
            <v>48.000000000000007</v>
          </cell>
          <cell r="DZ304">
            <v>0</v>
          </cell>
          <cell r="EA304">
            <v>0</v>
          </cell>
          <cell r="EB304">
            <v>8.5000000000000018</v>
          </cell>
          <cell r="EC304">
            <v>8.5000000000000018</v>
          </cell>
          <cell r="ED304">
            <v>47.000000000000014</v>
          </cell>
          <cell r="EE304">
            <v>0</v>
          </cell>
          <cell r="EF304">
            <v>0</v>
          </cell>
          <cell r="EG304">
            <v>8.3333333333333357</v>
          </cell>
          <cell r="EH304">
            <v>8.3333333333333357</v>
          </cell>
          <cell r="EI304">
            <v>46.000000000000014</v>
          </cell>
          <cell r="EJ304">
            <v>0</v>
          </cell>
          <cell r="EK304">
            <v>0</v>
          </cell>
          <cell r="EL304">
            <v>8.1666666666666696</v>
          </cell>
          <cell r="EM304">
            <v>8.1666666666666696</v>
          </cell>
          <cell r="EN304">
            <v>45.000000000000021</v>
          </cell>
          <cell r="EO304">
            <v>0</v>
          </cell>
          <cell r="EP304">
            <v>0</v>
          </cell>
          <cell r="EQ304">
            <v>8.0000000000000036</v>
          </cell>
          <cell r="ER304">
            <v>8.0000000000000036</v>
          </cell>
          <cell r="ES304">
            <v>44.000000000000021</v>
          </cell>
          <cell r="ET304">
            <v>0</v>
          </cell>
          <cell r="EU304">
            <v>0</v>
          </cell>
          <cell r="EV304">
            <v>7.8333333333333366</v>
          </cell>
          <cell r="EW304">
            <v>7.8333333333333366</v>
          </cell>
          <cell r="EX304">
            <v>43.000000000000021</v>
          </cell>
          <cell r="EY304">
            <v>0</v>
          </cell>
          <cell r="EZ304">
            <v>0</v>
          </cell>
          <cell r="FA304">
            <v>7.6666666666666696</v>
          </cell>
          <cell r="FB304">
            <v>7.6666666666666696</v>
          </cell>
          <cell r="FC304">
            <v>42.000000000000021</v>
          </cell>
          <cell r="FD304">
            <v>0</v>
          </cell>
          <cell r="FE304">
            <v>0</v>
          </cell>
          <cell r="FF304">
            <v>7.5000000000000027</v>
          </cell>
          <cell r="FG304">
            <v>7.5000000000000027</v>
          </cell>
          <cell r="FH304">
            <v>41.000000000000021</v>
          </cell>
          <cell r="FI304">
            <v>0</v>
          </cell>
          <cell r="FJ304">
            <v>0</v>
          </cell>
          <cell r="FK304">
            <v>7.3333333333333357</v>
          </cell>
          <cell r="FL304">
            <v>7.3333333333333357</v>
          </cell>
          <cell r="FM304">
            <v>40.000000000000014</v>
          </cell>
          <cell r="FN304">
            <v>0</v>
          </cell>
          <cell r="FO304">
            <v>0</v>
          </cell>
          <cell r="FP304">
            <v>7.1666666666666687</v>
          </cell>
          <cell r="FQ304">
            <v>7.1666666666666687</v>
          </cell>
          <cell r="FR304">
            <v>39.000000000000014</v>
          </cell>
          <cell r="FS304">
            <v>0</v>
          </cell>
          <cell r="FT304">
            <v>1</v>
          </cell>
          <cell r="FU304">
            <v>2.0333333333333332</v>
          </cell>
          <cell r="FW304" t="str">
            <v>SIN ROTACIÓN</v>
          </cell>
          <cell r="FX304" t="str">
            <v>C</v>
          </cell>
          <cell r="FY304" t="str">
            <v>Si</v>
          </cell>
        </row>
        <row r="305">
          <cell r="B305" t="str">
            <v>REP-0321</v>
          </cell>
          <cell r="C305" t="str">
            <v>MIX</v>
          </cell>
          <cell r="D305">
            <v>0</v>
          </cell>
          <cell r="E305">
            <v>59</v>
          </cell>
          <cell r="F305">
            <v>0</v>
          </cell>
          <cell r="G305">
            <v>0</v>
          </cell>
          <cell r="H305">
            <v>8</v>
          </cell>
          <cell r="I305">
            <v>8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2</v>
          </cell>
          <cell r="O305">
            <v>2</v>
          </cell>
          <cell r="P305">
            <v>2</v>
          </cell>
          <cell r="Q305">
            <v>2</v>
          </cell>
          <cell r="R305">
            <v>4</v>
          </cell>
          <cell r="S305">
            <v>3</v>
          </cell>
          <cell r="T305">
            <v>2</v>
          </cell>
          <cell r="U305">
            <v>2</v>
          </cell>
          <cell r="V305">
            <v>2</v>
          </cell>
          <cell r="W305">
            <v>3</v>
          </cell>
          <cell r="X305">
            <v>2</v>
          </cell>
          <cell r="Y305">
            <v>101</v>
          </cell>
          <cell r="AA305">
            <v>101</v>
          </cell>
          <cell r="AB305">
            <v>5</v>
          </cell>
          <cell r="AC305">
            <v>1</v>
          </cell>
          <cell r="AD305">
            <v>3.3333333333333333E-2</v>
          </cell>
          <cell r="AE305">
            <v>0.75</v>
          </cell>
          <cell r="AF305">
            <v>2.3333333333333335</v>
          </cell>
          <cell r="AG305">
            <v>4.583333333333333</v>
          </cell>
          <cell r="AH305">
            <v>6.25</v>
          </cell>
          <cell r="AI305">
            <v>4.833333333333333</v>
          </cell>
          <cell r="AJ305">
            <v>4.833333333333333</v>
          </cell>
          <cell r="AK305">
            <v>6.25</v>
          </cell>
          <cell r="AL305">
            <v>1.4110181509187703</v>
          </cell>
          <cell r="AM305">
            <v>5.1249999999999991</v>
          </cell>
          <cell r="AN305">
            <v>0.27532061481341863</v>
          </cell>
          <cell r="AO305">
            <v>0</v>
          </cell>
          <cell r="AP305">
            <v>31</v>
          </cell>
          <cell r="AQ305">
            <v>6.8620689655172411</v>
          </cell>
          <cell r="AR305">
            <v>0</v>
          </cell>
          <cell r="AS305">
            <v>46</v>
          </cell>
          <cell r="AT305">
            <v>46</v>
          </cell>
          <cell r="AU305">
            <v>7.666666666666667</v>
          </cell>
          <cell r="AV305">
            <v>0</v>
          </cell>
          <cell r="AW305">
            <v>40</v>
          </cell>
          <cell r="AX305">
            <v>45</v>
          </cell>
          <cell r="AY305">
            <v>7.2</v>
          </cell>
          <cell r="AZ305">
            <v>0</v>
          </cell>
          <cell r="BA305">
            <v>140.41666666666666</v>
          </cell>
          <cell r="BB305">
            <v>41</v>
          </cell>
          <cell r="BC305">
            <v>7.2352941176470589</v>
          </cell>
          <cell r="BD305">
            <v>0</v>
          </cell>
          <cell r="BE305">
            <v>35.333333333333336</v>
          </cell>
          <cell r="BF305">
            <v>6.2352941176470589</v>
          </cell>
          <cell r="BG305">
            <v>100</v>
          </cell>
          <cell r="BH305">
            <v>129.66666666666669</v>
          </cell>
          <cell r="BI305">
            <v>101</v>
          </cell>
          <cell r="BJ305">
            <v>16.16</v>
          </cell>
          <cell r="BK305">
            <v>0</v>
          </cell>
          <cell r="BL305">
            <v>122.16666666666667</v>
          </cell>
          <cell r="BM305">
            <v>120</v>
          </cell>
          <cell r="BN305">
            <v>22.105263157894736</v>
          </cell>
          <cell r="BO305">
            <v>0</v>
          </cell>
          <cell r="BP305">
            <v>114.57142857142857</v>
          </cell>
          <cell r="BQ305">
            <v>110</v>
          </cell>
          <cell r="BR305">
            <v>17.600000000000001</v>
          </cell>
          <cell r="BS305">
            <v>0</v>
          </cell>
          <cell r="BT305">
            <v>104</v>
          </cell>
          <cell r="BU305">
            <v>102</v>
          </cell>
          <cell r="BV305">
            <v>14.571428571428571</v>
          </cell>
          <cell r="BW305">
            <v>0</v>
          </cell>
          <cell r="BX305">
            <v>0</v>
          </cell>
          <cell r="BY305">
            <v>95</v>
          </cell>
          <cell r="BZ305">
            <v>95</v>
          </cell>
          <cell r="CA305">
            <v>12.666666666666666</v>
          </cell>
          <cell r="CB305">
            <v>0</v>
          </cell>
          <cell r="CC305">
            <v>0</v>
          </cell>
          <cell r="CD305">
            <v>87.5</v>
          </cell>
          <cell r="CE305">
            <v>85</v>
          </cell>
          <cell r="CF305">
            <v>9.4444444444444446</v>
          </cell>
          <cell r="CG305">
            <v>0</v>
          </cell>
          <cell r="CH305">
            <v>0</v>
          </cell>
          <cell r="CI305">
            <v>78.5</v>
          </cell>
          <cell r="CJ305">
            <v>87</v>
          </cell>
          <cell r="CK305">
            <v>11.347826086956522</v>
          </cell>
          <cell r="CL305">
            <v>0</v>
          </cell>
          <cell r="CM305">
            <v>0</v>
          </cell>
          <cell r="CN305">
            <v>79.333333333333329</v>
          </cell>
          <cell r="CO305">
            <v>80</v>
          </cell>
          <cell r="CP305">
            <v>10.434782608695652</v>
          </cell>
          <cell r="CQ305">
            <v>0</v>
          </cell>
          <cell r="CR305">
            <v>0</v>
          </cell>
          <cell r="CS305">
            <v>72.333333333333329</v>
          </cell>
          <cell r="CT305">
            <v>72</v>
          </cell>
          <cell r="CU305">
            <v>11.52</v>
          </cell>
          <cell r="CV305">
            <v>0</v>
          </cell>
          <cell r="CW305">
            <v>0</v>
          </cell>
          <cell r="CX305">
            <v>65.75</v>
          </cell>
          <cell r="CY305">
            <v>59</v>
          </cell>
          <cell r="CZ305">
            <v>9.44</v>
          </cell>
          <cell r="DA305">
            <v>0</v>
          </cell>
          <cell r="DB305">
            <v>50</v>
          </cell>
          <cell r="DC305">
            <v>102.75</v>
          </cell>
          <cell r="DD305">
            <v>101</v>
          </cell>
          <cell r="DE305">
            <v>10.08</v>
          </cell>
          <cell r="DF305">
            <v>0</v>
          </cell>
          <cell r="DG305">
            <v>0</v>
          </cell>
          <cell r="DH305">
            <v>94.75</v>
          </cell>
          <cell r="DI305">
            <v>96</v>
          </cell>
          <cell r="DJ305">
            <v>11.28</v>
          </cell>
          <cell r="DK305">
            <v>0</v>
          </cell>
          <cell r="DL305">
            <v>0</v>
          </cell>
          <cell r="DM305">
            <v>88.5</v>
          </cell>
          <cell r="DN305">
            <v>101</v>
          </cell>
          <cell r="DO305">
            <v>12.08</v>
          </cell>
          <cell r="DP305">
            <v>0</v>
          </cell>
          <cell r="DQ305">
            <v>0</v>
          </cell>
          <cell r="DR305">
            <v>94.75</v>
          </cell>
          <cell r="DS305">
            <v>94.75</v>
          </cell>
          <cell r="DT305">
            <v>11.08</v>
          </cell>
          <cell r="DU305">
            <v>0</v>
          </cell>
          <cell r="DV305">
            <v>0</v>
          </cell>
          <cell r="DW305">
            <v>88.5</v>
          </cell>
          <cell r="DX305">
            <v>88.5</v>
          </cell>
          <cell r="DY305">
            <v>10.08</v>
          </cell>
          <cell r="DZ305">
            <v>0</v>
          </cell>
          <cell r="EA305">
            <v>0</v>
          </cell>
          <cell r="EB305">
            <v>82.25</v>
          </cell>
          <cell r="EC305">
            <v>82.25</v>
          </cell>
          <cell r="ED305">
            <v>9.08</v>
          </cell>
          <cell r="EE305">
            <v>0</v>
          </cell>
          <cell r="EF305">
            <v>0</v>
          </cell>
          <cell r="EG305">
            <v>76</v>
          </cell>
          <cell r="EH305">
            <v>76</v>
          </cell>
          <cell r="EI305">
            <v>8.08</v>
          </cell>
          <cell r="EJ305">
            <v>0</v>
          </cell>
          <cell r="EK305">
            <v>0</v>
          </cell>
          <cell r="EL305">
            <v>69.75</v>
          </cell>
          <cell r="EM305">
            <v>69.75</v>
          </cell>
          <cell r="EN305">
            <v>7.08</v>
          </cell>
          <cell r="EO305">
            <v>0</v>
          </cell>
          <cell r="EP305">
            <v>0</v>
          </cell>
          <cell r="EQ305">
            <v>63.5</v>
          </cell>
          <cell r="ER305">
            <v>63.5</v>
          </cell>
          <cell r="ES305">
            <v>6.08</v>
          </cell>
          <cell r="ET305">
            <v>0</v>
          </cell>
          <cell r="EU305">
            <v>0</v>
          </cell>
          <cell r="EV305">
            <v>57.25</v>
          </cell>
          <cell r="EW305">
            <v>57.25</v>
          </cell>
          <cell r="EX305">
            <v>5.08</v>
          </cell>
          <cell r="EY305">
            <v>0</v>
          </cell>
          <cell r="EZ305">
            <v>0</v>
          </cell>
          <cell r="FA305">
            <v>51</v>
          </cell>
          <cell r="FB305">
            <v>51</v>
          </cell>
          <cell r="FC305">
            <v>4.08</v>
          </cell>
          <cell r="FD305">
            <v>0</v>
          </cell>
          <cell r="FE305">
            <v>25</v>
          </cell>
          <cell r="FF305">
            <v>69.75</v>
          </cell>
          <cell r="FG305">
            <v>69.75</v>
          </cell>
          <cell r="FH305">
            <v>7.08</v>
          </cell>
          <cell r="FI305">
            <v>0</v>
          </cell>
          <cell r="FJ305">
            <v>0</v>
          </cell>
          <cell r="FK305">
            <v>63.5</v>
          </cell>
          <cell r="FL305">
            <v>63.5</v>
          </cell>
          <cell r="FM305">
            <v>6.08</v>
          </cell>
          <cell r="FN305">
            <v>0</v>
          </cell>
          <cell r="FO305">
            <v>0</v>
          </cell>
          <cell r="FP305">
            <v>57.25</v>
          </cell>
          <cell r="FQ305">
            <v>57.25</v>
          </cell>
          <cell r="FR305">
            <v>5.08</v>
          </cell>
          <cell r="FS305">
            <v>0</v>
          </cell>
          <cell r="FT305">
            <v>38</v>
          </cell>
          <cell r="FU305">
            <v>2.0333333333333332</v>
          </cell>
          <cell r="FW305" t="str">
            <v>SOBRESTOCK</v>
          </cell>
          <cell r="FX305" t="str">
            <v>B</v>
          </cell>
          <cell r="FY305" t="str">
            <v>Si</v>
          </cell>
        </row>
        <row r="306">
          <cell r="B306" t="str">
            <v>REP-0322</v>
          </cell>
          <cell r="C306" t="str">
            <v>NAC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8.3333333333333329E-2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O306">
            <v>0</v>
          </cell>
          <cell r="AP306">
            <v>0</v>
          </cell>
          <cell r="AQ306">
            <v>-1</v>
          </cell>
          <cell r="AR306">
            <v>0</v>
          </cell>
          <cell r="AS306">
            <v>-0.16666666666666666</v>
          </cell>
          <cell r="AT306">
            <v>0</v>
          </cell>
          <cell r="AU306" t="str">
            <v/>
          </cell>
          <cell r="AV306">
            <v>0</v>
          </cell>
          <cell r="AW306">
            <v>0</v>
          </cell>
          <cell r="AX306">
            <v>0</v>
          </cell>
          <cell r="AY306" t="str">
            <v/>
          </cell>
          <cell r="AZ306">
            <v>0</v>
          </cell>
          <cell r="BA306">
            <v>0</v>
          </cell>
          <cell r="BB306">
            <v>0</v>
          </cell>
          <cell r="BC306" t="str">
            <v/>
          </cell>
          <cell r="BD306">
            <v>0</v>
          </cell>
          <cell r="BE306">
            <v>0</v>
          </cell>
          <cell r="BF306" t="str">
            <v/>
          </cell>
          <cell r="BG306">
            <v>0</v>
          </cell>
          <cell r="BH306">
            <v>0</v>
          </cell>
          <cell r="BI306">
            <v>0</v>
          </cell>
          <cell r="BJ306" t="str">
            <v/>
          </cell>
          <cell r="BK306">
            <v>0</v>
          </cell>
          <cell r="BL306">
            <v>0</v>
          </cell>
          <cell r="BM306">
            <v>0</v>
          </cell>
          <cell r="BN306" t="str">
            <v/>
          </cell>
          <cell r="BO306">
            <v>0</v>
          </cell>
          <cell r="BP306">
            <v>0</v>
          </cell>
          <cell r="BQ306">
            <v>0</v>
          </cell>
          <cell r="BR306" t="str">
            <v/>
          </cell>
          <cell r="BS306">
            <v>0</v>
          </cell>
          <cell r="BT306">
            <v>0</v>
          </cell>
          <cell r="BU306">
            <v>0</v>
          </cell>
          <cell r="BV306" t="str">
            <v/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 t="str">
            <v/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 t="str">
            <v/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 t="str">
            <v/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 t="str">
            <v/>
          </cell>
          <cell r="CQ306">
            <v>0</v>
          </cell>
          <cell r="CS306">
            <v>0</v>
          </cell>
          <cell r="CT306">
            <v>0</v>
          </cell>
          <cell r="CU306" t="str">
            <v/>
          </cell>
          <cell r="CV306">
            <v>0</v>
          </cell>
          <cell r="CX306">
            <v>0</v>
          </cell>
          <cell r="CY306">
            <v>0</v>
          </cell>
          <cell r="CZ306" t="str">
            <v/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 t="str">
            <v/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 t="str">
            <v/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 t="str">
            <v/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 t="str">
            <v/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 t="str">
            <v/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 t="str">
            <v/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 t="str">
            <v/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 t="str">
            <v/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 t="str">
            <v/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 t="str">
            <v/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 t="str">
            <v/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 t="str">
            <v/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 t="str">
            <v/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 t="str">
            <v/>
          </cell>
          <cell r="FS306">
            <v>0</v>
          </cell>
          <cell r="FT306">
            <v>0</v>
          </cell>
          <cell r="FU306">
            <v>66.666666666666671</v>
          </cell>
          <cell r="FW306" t="str">
            <v>SIN ROTACIÓN</v>
          </cell>
          <cell r="FX306" t="str">
            <v/>
          </cell>
          <cell r="FY306" t="str">
            <v>No</v>
          </cell>
        </row>
        <row r="307">
          <cell r="B307" t="str">
            <v>REP-0323</v>
          </cell>
          <cell r="C307" t="str">
            <v>NAC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AA307">
            <v>0</v>
          </cell>
          <cell r="AB307">
            <v>2</v>
          </cell>
          <cell r="AC307">
            <v>0.5</v>
          </cell>
          <cell r="AD307">
            <v>1.6666666666666666E-2</v>
          </cell>
          <cell r="AE307">
            <v>0.41666666666666669</v>
          </cell>
          <cell r="AF307">
            <v>0.33333333333333331</v>
          </cell>
          <cell r="AG307">
            <v>0.16666666666666666</v>
          </cell>
          <cell r="AH307">
            <v>0</v>
          </cell>
          <cell r="AI307">
            <v>0</v>
          </cell>
          <cell r="AJ307">
            <v>0</v>
          </cell>
          <cell r="AK307">
            <v>0.16666666666666666</v>
          </cell>
          <cell r="AM307">
            <v>4.1666666666666664E-2</v>
          </cell>
          <cell r="AO307">
            <v>0</v>
          </cell>
          <cell r="AP307">
            <v>-0.16666666666666666</v>
          </cell>
          <cell r="AQ307">
            <v>-1</v>
          </cell>
          <cell r="AR307">
            <v>0</v>
          </cell>
          <cell r="AS307">
            <v>-0.66666666666666663</v>
          </cell>
          <cell r="AT307">
            <v>0</v>
          </cell>
          <cell r="AU307">
            <v>0</v>
          </cell>
          <cell r="AV307">
            <v>0</v>
          </cell>
          <cell r="AW307">
            <v>-0.16666666666666666</v>
          </cell>
          <cell r="AX307">
            <v>0</v>
          </cell>
          <cell r="AY307">
            <v>0</v>
          </cell>
          <cell r="AZ307">
            <v>0</v>
          </cell>
          <cell r="BA307">
            <v>-0.16666666666666666</v>
          </cell>
          <cell r="BB307">
            <v>0</v>
          </cell>
          <cell r="BC307">
            <v>0</v>
          </cell>
          <cell r="BD307">
            <v>0</v>
          </cell>
          <cell r="BE307">
            <v>-0.16666666666666666</v>
          </cell>
          <cell r="BF307">
            <v>-1</v>
          </cell>
          <cell r="BG307">
            <v>0</v>
          </cell>
          <cell r="BH307">
            <v>-0.33333333333333331</v>
          </cell>
          <cell r="BI307">
            <v>0</v>
          </cell>
          <cell r="BJ307">
            <v>0</v>
          </cell>
          <cell r="BK307">
            <v>0</v>
          </cell>
          <cell r="BL307">
            <v>-0.16666666666666666</v>
          </cell>
          <cell r="BM307">
            <v>0</v>
          </cell>
          <cell r="BN307">
            <v>0</v>
          </cell>
          <cell r="BO307">
            <v>0</v>
          </cell>
          <cell r="BP307">
            <v>-0.16666666666666666</v>
          </cell>
          <cell r="BQ307">
            <v>0</v>
          </cell>
          <cell r="BR307">
            <v>0</v>
          </cell>
          <cell r="BS307">
            <v>0</v>
          </cell>
          <cell r="BT307">
            <v>-0.16666666666666666</v>
          </cell>
          <cell r="BU307">
            <v>0</v>
          </cell>
          <cell r="BV307">
            <v>0</v>
          </cell>
          <cell r="BW307">
            <v>22</v>
          </cell>
          <cell r="BX307">
            <v>0</v>
          </cell>
          <cell r="BY307">
            <v>-0.16666666666666666</v>
          </cell>
          <cell r="BZ307">
            <v>0</v>
          </cell>
          <cell r="CA307">
            <v>0</v>
          </cell>
          <cell r="CB307">
            <v>22</v>
          </cell>
          <cell r="CC307">
            <v>0</v>
          </cell>
          <cell r="CD307">
            <v>-0.16666666666666666</v>
          </cell>
          <cell r="CE307">
            <v>0</v>
          </cell>
          <cell r="CF307">
            <v>0</v>
          </cell>
          <cell r="CG307">
            <v>22</v>
          </cell>
          <cell r="CH307">
            <v>0</v>
          </cell>
          <cell r="CI307">
            <v>21.666666666666664</v>
          </cell>
          <cell r="CJ307">
            <v>0</v>
          </cell>
          <cell r="CK307">
            <v>0</v>
          </cell>
          <cell r="CL307">
            <v>22</v>
          </cell>
          <cell r="CM307">
            <v>0</v>
          </cell>
          <cell r="CN307">
            <v>-0.16666666666666666</v>
          </cell>
          <cell r="CO307">
            <v>0</v>
          </cell>
          <cell r="CP307">
            <v>0</v>
          </cell>
          <cell r="CQ307">
            <v>22.166666666666668</v>
          </cell>
          <cell r="CS307">
            <v>-0.16666666666666666</v>
          </cell>
          <cell r="CT307">
            <v>0</v>
          </cell>
          <cell r="CU307">
            <v>0</v>
          </cell>
          <cell r="CV307">
            <v>12</v>
          </cell>
          <cell r="CX307">
            <v>-0.16666666666666666</v>
          </cell>
          <cell r="CY307">
            <v>0</v>
          </cell>
          <cell r="CZ307">
            <v>0</v>
          </cell>
          <cell r="DA307">
            <v>12.166666666666666</v>
          </cell>
          <cell r="DB307">
            <v>0</v>
          </cell>
          <cell r="DC307">
            <v>-0.16666666666666666</v>
          </cell>
          <cell r="DD307">
            <v>0</v>
          </cell>
          <cell r="DE307">
            <v>-72</v>
          </cell>
          <cell r="DF307">
            <v>12.166666666666666</v>
          </cell>
          <cell r="DG307">
            <v>0</v>
          </cell>
          <cell r="DH307">
            <v>-0.16666666666666666</v>
          </cell>
          <cell r="DI307">
            <v>0</v>
          </cell>
          <cell r="DJ307">
            <v>-70</v>
          </cell>
          <cell r="DK307">
            <v>12.166666666666666</v>
          </cell>
          <cell r="DL307">
            <v>0</v>
          </cell>
          <cell r="DM307">
            <v>11.833333333333334</v>
          </cell>
          <cell r="DN307">
            <v>0</v>
          </cell>
          <cell r="DO307">
            <v>-70</v>
          </cell>
          <cell r="DP307">
            <v>12</v>
          </cell>
          <cell r="DQ307">
            <v>0</v>
          </cell>
          <cell r="DR307">
            <v>-0.16666666666666666</v>
          </cell>
          <cell r="DS307">
            <v>-0.16666666666666666</v>
          </cell>
          <cell r="DT307">
            <v>-71</v>
          </cell>
          <cell r="DU307">
            <v>12.166666666666666</v>
          </cell>
          <cell r="DV307">
            <v>0</v>
          </cell>
          <cell r="DW307">
            <v>-0.33333333333333331</v>
          </cell>
          <cell r="DX307">
            <v>-0.33333333333333331</v>
          </cell>
          <cell r="DY307">
            <v>-72.000000000000014</v>
          </cell>
          <cell r="DZ307">
            <v>12.333333333333334</v>
          </cell>
          <cell r="EA307">
            <v>0</v>
          </cell>
          <cell r="EB307">
            <v>-0.5</v>
          </cell>
          <cell r="EC307">
            <v>-0.5</v>
          </cell>
          <cell r="ED307">
            <v>-73</v>
          </cell>
          <cell r="EE307">
            <v>12.5</v>
          </cell>
          <cell r="EF307">
            <v>0</v>
          </cell>
          <cell r="EG307">
            <v>-0.66666666666666663</v>
          </cell>
          <cell r="EH307">
            <v>-0.66666666666666663</v>
          </cell>
          <cell r="EI307">
            <v>-74</v>
          </cell>
          <cell r="EJ307">
            <v>12.666666666666666</v>
          </cell>
          <cell r="EK307">
            <v>0</v>
          </cell>
          <cell r="EL307">
            <v>-0.83333333333333326</v>
          </cell>
          <cell r="EM307">
            <v>-0.83333333333333326</v>
          </cell>
          <cell r="EN307">
            <v>-75.000000000000014</v>
          </cell>
          <cell r="EO307">
            <v>12.833333333333334</v>
          </cell>
          <cell r="EP307">
            <v>0</v>
          </cell>
          <cell r="EQ307">
            <v>-0.99999999999999989</v>
          </cell>
          <cell r="ER307">
            <v>-0.99999999999999989</v>
          </cell>
          <cell r="ES307">
            <v>-76</v>
          </cell>
          <cell r="ET307">
            <v>13</v>
          </cell>
          <cell r="EU307">
            <v>0</v>
          </cell>
          <cell r="EV307">
            <v>-1.1666666666666665</v>
          </cell>
          <cell r="EW307">
            <v>-1.1666666666666665</v>
          </cell>
          <cell r="EX307">
            <v>-77</v>
          </cell>
          <cell r="EY307">
            <v>13.166666666666666</v>
          </cell>
          <cell r="EZ307">
            <v>0</v>
          </cell>
          <cell r="FA307">
            <v>-1.3333333333333333</v>
          </cell>
          <cell r="FB307">
            <v>-1.3333333333333333</v>
          </cell>
          <cell r="FC307">
            <v>-78.000000000000014</v>
          </cell>
          <cell r="FD307">
            <v>13.333333333333334</v>
          </cell>
          <cell r="FE307">
            <v>0</v>
          </cell>
          <cell r="FF307">
            <v>-1.5</v>
          </cell>
          <cell r="FG307">
            <v>-1.5</v>
          </cell>
          <cell r="FH307">
            <v>-79</v>
          </cell>
          <cell r="FI307">
            <v>13.5</v>
          </cell>
          <cell r="FJ307">
            <v>0</v>
          </cell>
          <cell r="FK307">
            <v>-1.6666666666666667</v>
          </cell>
          <cell r="FL307">
            <v>-1.6666666666666667</v>
          </cell>
          <cell r="FM307">
            <v>-80</v>
          </cell>
          <cell r="FN307">
            <v>13.666666666666666</v>
          </cell>
          <cell r="FO307">
            <v>0</v>
          </cell>
          <cell r="FP307">
            <v>-1.8333333333333335</v>
          </cell>
          <cell r="FQ307">
            <v>-1.8333333333333335</v>
          </cell>
          <cell r="FR307">
            <v>-81.000000000000014</v>
          </cell>
          <cell r="FS307">
            <v>13.833333333333334</v>
          </cell>
          <cell r="FT307">
            <v>12</v>
          </cell>
          <cell r="FU307">
            <v>66.666666666666671</v>
          </cell>
          <cell r="FW307" t="str">
            <v>SIN ROTACIÓN</v>
          </cell>
          <cell r="FX307" t="str">
            <v/>
          </cell>
          <cell r="FY307" t="str">
            <v>No</v>
          </cell>
        </row>
        <row r="308">
          <cell r="B308" t="str">
            <v>REP-0324</v>
          </cell>
          <cell r="C308" t="str">
            <v>OSBORNE</v>
          </cell>
          <cell r="D308">
            <v>0</v>
          </cell>
          <cell r="E308">
            <v>0</v>
          </cell>
          <cell r="F308">
            <v>0</v>
          </cell>
          <cell r="G308">
            <v>1050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1050</v>
          </cell>
          <cell r="AA308">
            <v>1050</v>
          </cell>
          <cell r="AB308">
            <v>300</v>
          </cell>
          <cell r="AC308">
            <v>150</v>
          </cell>
          <cell r="AD308">
            <v>5</v>
          </cell>
          <cell r="AE308">
            <v>100</v>
          </cell>
          <cell r="AF308">
            <v>75</v>
          </cell>
          <cell r="AG308">
            <v>158.33333333333334</v>
          </cell>
          <cell r="AH308">
            <v>229.16666666666666</v>
          </cell>
          <cell r="AI308">
            <v>125</v>
          </cell>
          <cell r="AJ308">
            <v>125</v>
          </cell>
          <cell r="AK308">
            <v>159.7222222222222</v>
          </cell>
          <cell r="AL308">
            <v>49.10954780065876</v>
          </cell>
          <cell r="AM308">
            <v>159.375</v>
          </cell>
          <cell r="AN308">
            <v>0.30813833914138827</v>
          </cell>
          <cell r="AO308">
            <v>0</v>
          </cell>
          <cell r="AP308">
            <v>1500</v>
          </cell>
          <cell r="AQ308">
            <v>9.1999999999999993</v>
          </cell>
          <cell r="AR308">
            <v>0</v>
          </cell>
          <cell r="AS308">
            <v>1100</v>
          </cell>
          <cell r="AT308">
            <v>1100</v>
          </cell>
          <cell r="AU308">
            <v>3.6666666666666665</v>
          </cell>
          <cell r="AV308">
            <v>0</v>
          </cell>
          <cell r="AW308">
            <v>800</v>
          </cell>
          <cell r="AX308">
            <v>900</v>
          </cell>
          <cell r="AY308">
            <v>5.6347826086956534</v>
          </cell>
          <cell r="AZ308">
            <v>0</v>
          </cell>
          <cell r="BA308">
            <v>633.33333333333326</v>
          </cell>
          <cell r="BB308">
            <v>550</v>
          </cell>
          <cell r="BC308">
            <v>1.4347826086956523</v>
          </cell>
          <cell r="BD308">
            <v>0</v>
          </cell>
          <cell r="BE308">
            <v>166.66666666666669</v>
          </cell>
          <cell r="BF308">
            <v>0.43478260869565222</v>
          </cell>
          <cell r="BG308">
            <v>0</v>
          </cell>
          <cell r="BH308">
            <v>-216.66666666666663</v>
          </cell>
          <cell r="BI308">
            <v>1050</v>
          </cell>
          <cell r="BJ308">
            <v>6.573913043478262</v>
          </cell>
          <cell r="BK308">
            <v>0</v>
          </cell>
          <cell r="BL308">
            <v>3008.3333333333335</v>
          </cell>
          <cell r="BM308">
            <v>3200</v>
          </cell>
          <cell r="BN308">
            <v>14.933333333333334</v>
          </cell>
          <cell r="BO308">
            <v>0</v>
          </cell>
          <cell r="BP308">
            <v>2985.7142857142858</v>
          </cell>
          <cell r="BQ308">
            <v>3100</v>
          </cell>
          <cell r="BR308">
            <v>19.408695652173915</v>
          </cell>
          <cell r="BS308">
            <v>0</v>
          </cell>
          <cell r="BT308">
            <v>2900</v>
          </cell>
          <cell r="BU308">
            <v>2900</v>
          </cell>
          <cell r="BV308">
            <v>14.5</v>
          </cell>
          <cell r="BW308">
            <v>0</v>
          </cell>
          <cell r="BX308">
            <v>0</v>
          </cell>
          <cell r="BY308">
            <v>2700</v>
          </cell>
          <cell r="BZ308">
            <v>2800</v>
          </cell>
          <cell r="CA308">
            <v>14.736842105263158</v>
          </cell>
          <cell r="CB308">
            <v>0</v>
          </cell>
          <cell r="CC308">
            <v>0</v>
          </cell>
          <cell r="CD308">
            <v>2610</v>
          </cell>
          <cell r="CE308">
            <v>2250</v>
          </cell>
          <cell r="CF308">
            <v>10.102040816326531</v>
          </cell>
          <cell r="CG308">
            <v>0</v>
          </cell>
          <cell r="CH308">
            <v>0</v>
          </cell>
          <cell r="CI308">
            <v>2387.2727272727275</v>
          </cell>
          <cell r="CJ308">
            <v>1800</v>
          </cell>
          <cell r="CK308">
            <v>7.8545454545454545</v>
          </cell>
          <cell r="CL308">
            <v>0</v>
          </cell>
          <cell r="CM308">
            <v>0</v>
          </cell>
          <cell r="CN308">
            <v>1570.8333333333333</v>
          </cell>
          <cell r="CO308">
            <v>1800</v>
          </cell>
          <cell r="CP308">
            <v>7.8545454545454545</v>
          </cell>
          <cell r="CQ308">
            <v>0</v>
          </cell>
          <cell r="CR308">
            <v>0</v>
          </cell>
          <cell r="CS308">
            <v>1570.8333333333333</v>
          </cell>
          <cell r="CT308">
            <v>1800</v>
          </cell>
          <cell r="CU308">
            <v>7.8545454545454545</v>
          </cell>
          <cell r="CV308">
            <v>0</v>
          </cell>
          <cell r="CW308">
            <v>0</v>
          </cell>
          <cell r="CX308">
            <v>1570.8333333333333</v>
          </cell>
          <cell r="CY308">
            <v>1450</v>
          </cell>
          <cell r="CZ308">
            <v>6.3272727272727272</v>
          </cell>
          <cell r="DA308">
            <v>0</v>
          </cell>
          <cell r="DB308">
            <v>0</v>
          </cell>
          <cell r="DC308">
            <v>1281.25</v>
          </cell>
          <cell r="DD308">
            <v>1450</v>
          </cell>
          <cell r="DE308">
            <v>7.608888888888889</v>
          </cell>
          <cell r="DF308">
            <v>0</v>
          </cell>
          <cell r="DG308">
            <v>0</v>
          </cell>
          <cell r="DH308">
            <v>1281.25</v>
          </cell>
          <cell r="DI308">
            <v>1250</v>
          </cell>
          <cell r="DJ308">
            <v>8.7632582322357031</v>
          </cell>
          <cell r="DK308">
            <v>0</v>
          </cell>
          <cell r="DL308">
            <v>0</v>
          </cell>
          <cell r="DM308">
            <v>1120.9722222222222</v>
          </cell>
          <cell r="DN308">
            <v>1050</v>
          </cell>
          <cell r="DO308">
            <v>7.5346086956521745</v>
          </cell>
          <cell r="DP308">
            <v>0</v>
          </cell>
          <cell r="DQ308">
            <v>3000</v>
          </cell>
          <cell r="DR308">
            <v>3890.2777777777778</v>
          </cell>
          <cell r="DS308">
            <v>3890.2777777777778</v>
          </cell>
          <cell r="DT308">
            <v>25.31721739130435</v>
          </cell>
          <cell r="DU308">
            <v>0</v>
          </cell>
          <cell r="DV308">
            <v>0</v>
          </cell>
          <cell r="DW308">
            <v>3730.5555555555557</v>
          </cell>
          <cell r="DX308">
            <v>3730.5555555555557</v>
          </cell>
          <cell r="DY308">
            <v>24.31721739130435</v>
          </cell>
          <cell r="DZ308">
            <v>0</v>
          </cell>
          <cell r="EA308">
            <v>0</v>
          </cell>
          <cell r="EB308">
            <v>3570.8333333333335</v>
          </cell>
          <cell r="EC308">
            <v>3570.8333333333335</v>
          </cell>
          <cell r="ED308">
            <v>23.31721739130435</v>
          </cell>
          <cell r="EE308">
            <v>0</v>
          </cell>
          <cell r="EF308">
            <v>0</v>
          </cell>
          <cell r="EG308">
            <v>3411.1111111111113</v>
          </cell>
          <cell r="EH308">
            <v>3411.1111111111113</v>
          </cell>
          <cell r="EI308">
            <v>22.317217391304354</v>
          </cell>
          <cell r="EJ308">
            <v>0</v>
          </cell>
          <cell r="EK308">
            <v>0</v>
          </cell>
          <cell r="EL308">
            <v>3251.3888888888891</v>
          </cell>
          <cell r="EM308">
            <v>3251.3888888888891</v>
          </cell>
          <cell r="EN308">
            <v>21.317217391304354</v>
          </cell>
          <cell r="EO308">
            <v>0</v>
          </cell>
          <cell r="EP308">
            <v>2000</v>
          </cell>
          <cell r="EQ308">
            <v>5091.6666666666661</v>
          </cell>
          <cell r="ER308">
            <v>5091.6666666666661</v>
          </cell>
          <cell r="ES308">
            <v>32.838956521739135</v>
          </cell>
          <cell r="ET308">
            <v>0</v>
          </cell>
          <cell r="EU308">
            <v>0</v>
          </cell>
          <cell r="EV308">
            <v>4931.9444444444434</v>
          </cell>
          <cell r="EW308">
            <v>4931.9444444444434</v>
          </cell>
          <cell r="EX308">
            <v>31.838956521739128</v>
          </cell>
          <cell r="EY308">
            <v>0</v>
          </cell>
          <cell r="EZ308">
            <v>0</v>
          </cell>
          <cell r="FA308">
            <v>4772.2222222222208</v>
          </cell>
          <cell r="FB308">
            <v>4772.2222222222208</v>
          </cell>
          <cell r="FC308">
            <v>30.838956521739124</v>
          </cell>
          <cell r="FD308">
            <v>0</v>
          </cell>
          <cell r="FE308">
            <v>0</v>
          </cell>
          <cell r="FF308">
            <v>4612.4999999999982</v>
          </cell>
          <cell r="FG308">
            <v>4612.4999999999982</v>
          </cell>
          <cell r="FH308">
            <v>29.838956521739124</v>
          </cell>
          <cell r="FI308">
            <v>0</v>
          </cell>
          <cell r="FJ308">
            <v>0</v>
          </cell>
          <cell r="FK308">
            <v>4452.7777777777756</v>
          </cell>
          <cell r="FL308">
            <v>4452.7777777777756</v>
          </cell>
          <cell r="FM308">
            <v>28.838956521739121</v>
          </cell>
          <cell r="FN308">
            <v>0</v>
          </cell>
          <cell r="FO308">
            <v>0</v>
          </cell>
          <cell r="FP308">
            <v>4293.0555555555529</v>
          </cell>
          <cell r="FQ308">
            <v>4293.0555555555529</v>
          </cell>
          <cell r="FR308">
            <v>27.838956521739117</v>
          </cell>
          <cell r="FS308">
            <v>0</v>
          </cell>
          <cell r="FT308">
            <v>166</v>
          </cell>
          <cell r="FU308">
            <v>1.0333333333333334</v>
          </cell>
          <cell r="FW308" t="str">
            <v>SOBRESTOCK</v>
          </cell>
          <cell r="FX308" t="str">
            <v>A</v>
          </cell>
          <cell r="FY308" t="str">
            <v>Si</v>
          </cell>
        </row>
        <row r="309">
          <cell r="B309" t="str">
            <v>REP-0325</v>
          </cell>
          <cell r="C309" t="str">
            <v>OSBORNE</v>
          </cell>
          <cell r="D309">
            <v>0</v>
          </cell>
          <cell r="E309">
            <v>0</v>
          </cell>
          <cell r="F309">
            <v>0</v>
          </cell>
          <cell r="G309">
            <v>3050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3050</v>
          </cell>
          <cell r="AA309">
            <v>3050</v>
          </cell>
          <cell r="AB309">
            <v>100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191.66666666666666</v>
          </cell>
          <cell r="AI309">
            <v>166.66666666666666</v>
          </cell>
          <cell r="AJ309">
            <v>0</v>
          </cell>
          <cell r="AK309">
            <v>89.583333333333329</v>
          </cell>
          <cell r="AL309">
            <v>103.94420690037587</v>
          </cell>
          <cell r="AM309">
            <v>89.583333333333329</v>
          </cell>
          <cell r="AN309">
            <v>1.1603074258646611</v>
          </cell>
          <cell r="AO309">
            <v>0</v>
          </cell>
          <cell r="AP309">
            <v>1666.6666666666667</v>
          </cell>
          <cell r="AQ309">
            <v>26.749999999999996</v>
          </cell>
          <cell r="AR309">
            <v>0</v>
          </cell>
          <cell r="AS309">
            <v>1500</v>
          </cell>
          <cell r="AT309">
            <v>1500</v>
          </cell>
          <cell r="AU309">
            <v>8.5714285714285712</v>
          </cell>
          <cell r="AV309">
            <v>0</v>
          </cell>
          <cell r="AW309">
            <v>1325</v>
          </cell>
          <cell r="AX309">
            <v>1100</v>
          </cell>
          <cell r="AY309">
            <v>12.279069767441861</v>
          </cell>
          <cell r="AZ309">
            <v>0</v>
          </cell>
          <cell r="BA309">
            <v>850</v>
          </cell>
          <cell r="BB309">
            <v>950</v>
          </cell>
          <cell r="BC309">
            <v>3.1666666666666665</v>
          </cell>
          <cell r="BD309">
            <v>0</v>
          </cell>
          <cell r="BE309">
            <v>650</v>
          </cell>
          <cell r="BF309">
            <v>2.1666666666666665</v>
          </cell>
          <cell r="BG309">
            <v>0</v>
          </cell>
          <cell r="BH309">
            <v>350</v>
          </cell>
          <cell r="BI309">
            <v>3050</v>
          </cell>
          <cell r="BJ309">
            <v>34.04651162790698</v>
          </cell>
          <cell r="BK309">
            <v>0</v>
          </cell>
          <cell r="BL309">
            <v>333.33333333333337</v>
          </cell>
          <cell r="BM309">
            <v>500</v>
          </cell>
          <cell r="BN309">
            <v>2.5925925925925926</v>
          </cell>
          <cell r="BO309">
            <v>0</v>
          </cell>
          <cell r="BP309">
            <v>307.14285714285711</v>
          </cell>
          <cell r="BQ309">
            <v>400</v>
          </cell>
          <cell r="BR309">
            <v>4.4651162790697674</v>
          </cell>
          <cell r="BS309">
            <v>0</v>
          </cell>
          <cell r="BT309">
            <v>216.66666666666666</v>
          </cell>
          <cell r="BU309">
            <v>5200</v>
          </cell>
          <cell r="BV309">
            <v>28.363636363636363</v>
          </cell>
          <cell r="BW309">
            <v>0</v>
          </cell>
          <cell r="BX309">
            <v>0</v>
          </cell>
          <cell r="BY309">
            <v>5016.666666666667</v>
          </cell>
          <cell r="BZ309">
            <v>5100</v>
          </cell>
          <cell r="CA309">
            <v>29.142857142857142</v>
          </cell>
          <cell r="CB309">
            <v>0</v>
          </cell>
          <cell r="CC309">
            <v>0</v>
          </cell>
          <cell r="CD309">
            <v>4925</v>
          </cell>
          <cell r="CE309">
            <v>4650</v>
          </cell>
          <cell r="CF309">
            <v>23.25</v>
          </cell>
          <cell r="CG309">
            <v>0</v>
          </cell>
          <cell r="CH309">
            <v>0</v>
          </cell>
          <cell r="CI309">
            <v>4725</v>
          </cell>
          <cell r="CJ309">
            <v>4000</v>
          </cell>
          <cell r="CK309">
            <v>20.869565217391305</v>
          </cell>
          <cell r="CL309">
            <v>0</v>
          </cell>
          <cell r="CM309">
            <v>0</v>
          </cell>
          <cell r="CN309">
            <v>3808.3333333333335</v>
          </cell>
          <cell r="CO309">
            <v>3550</v>
          </cell>
          <cell r="CP309">
            <v>7.8888888888888893</v>
          </cell>
          <cell r="CQ309">
            <v>0</v>
          </cell>
          <cell r="CR309">
            <v>0</v>
          </cell>
          <cell r="CS309">
            <v>3100</v>
          </cell>
          <cell r="CT309">
            <v>3450</v>
          </cell>
          <cell r="CU309">
            <v>12.545454545454545</v>
          </cell>
          <cell r="CV309">
            <v>0</v>
          </cell>
          <cell r="CW309">
            <v>0</v>
          </cell>
          <cell r="CX309">
            <v>3175</v>
          </cell>
          <cell r="CY309" t="e">
            <v>#REF!</v>
          </cell>
          <cell r="CZ309" t="str">
            <v/>
          </cell>
          <cell r="DA309">
            <v>0</v>
          </cell>
          <cell r="DB309">
            <v>0</v>
          </cell>
          <cell r="DC309" t="e">
            <v>#REF!</v>
          </cell>
          <cell r="DD309">
            <v>3250</v>
          </cell>
          <cell r="DE309">
            <v>29.141538461538463</v>
          </cell>
          <cell r="DF309">
            <v>0</v>
          </cell>
          <cell r="DG309">
            <v>0</v>
          </cell>
          <cell r="DH309">
            <v>3141.6666666666665</v>
          </cell>
          <cell r="DI309">
            <v>3250</v>
          </cell>
          <cell r="DJ309">
            <v>37.240930232558142</v>
          </cell>
          <cell r="DK309">
            <v>0</v>
          </cell>
          <cell r="DL309">
            <v>0</v>
          </cell>
          <cell r="DM309">
            <v>3052.083333333333</v>
          </cell>
          <cell r="DN309">
            <v>3050</v>
          </cell>
          <cell r="DO309">
            <v>35.008372093023254</v>
          </cell>
          <cell r="DP309">
            <v>0</v>
          </cell>
          <cell r="DQ309">
            <v>0</v>
          </cell>
          <cell r="DR309">
            <v>2960.4166666666665</v>
          </cell>
          <cell r="DS309">
            <v>2960.4166666666665</v>
          </cell>
          <cell r="DT309">
            <v>34.008372093023254</v>
          </cell>
          <cell r="DU309">
            <v>0</v>
          </cell>
          <cell r="DV309">
            <v>0</v>
          </cell>
          <cell r="DW309">
            <v>2870.833333333333</v>
          </cell>
          <cell r="DX309">
            <v>2870.833333333333</v>
          </cell>
          <cell r="DY309">
            <v>33.008372093023254</v>
          </cell>
          <cell r="DZ309">
            <v>0</v>
          </cell>
          <cell r="EA309">
            <v>0</v>
          </cell>
          <cell r="EB309">
            <v>2781.2499999999995</v>
          </cell>
          <cell r="EC309">
            <v>2781.2499999999995</v>
          </cell>
          <cell r="ED309">
            <v>32.008372093023254</v>
          </cell>
          <cell r="EE309">
            <v>0</v>
          </cell>
          <cell r="EF309">
            <v>0</v>
          </cell>
          <cell r="EG309">
            <v>2691.6666666666661</v>
          </cell>
          <cell r="EH309">
            <v>2691.6666666666661</v>
          </cell>
          <cell r="EI309">
            <v>31.008372093023251</v>
          </cell>
          <cell r="EJ309">
            <v>0</v>
          </cell>
          <cell r="EK309">
            <v>0</v>
          </cell>
          <cell r="EL309">
            <v>2602.0833333333326</v>
          </cell>
          <cell r="EM309">
            <v>2602.0833333333326</v>
          </cell>
          <cell r="EN309">
            <v>30.008372093023247</v>
          </cell>
          <cell r="EO309">
            <v>0</v>
          </cell>
          <cell r="EP309">
            <v>0</v>
          </cell>
          <cell r="EQ309">
            <v>2512.4999999999991</v>
          </cell>
          <cell r="ER309">
            <v>2512.4999999999991</v>
          </cell>
          <cell r="ES309">
            <v>29.008372093023247</v>
          </cell>
          <cell r="ET309">
            <v>0</v>
          </cell>
          <cell r="EU309">
            <v>0</v>
          </cell>
          <cell r="EV309">
            <v>2422.9166666666656</v>
          </cell>
          <cell r="EW309">
            <v>2422.9166666666656</v>
          </cell>
          <cell r="EX309">
            <v>28.008372093023244</v>
          </cell>
          <cell r="EY309">
            <v>0</v>
          </cell>
          <cell r="EZ309">
            <v>0</v>
          </cell>
          <cell r="FA309">
            <v>2333.3333333333321</v>
          </cell>
          <cell r="FB309">
            <v>2333.3333333333321</v>
          </cell>
          <cell r="FC309">
            <v>27.008372093023244</v>
          </cell>
          <cell r="FD309">
            <v>0</v>
          </cell>
          <cell r="FE309">
            <v>0</v>
          </cell>
          <cell r="FF309">
            <v>2243.7499999999986</v>
          </cell>
          <cell r="FG309">
            <v>2243.7499999999986</v>
          </cell>
          <cell r="FH309">
            <v>26.00837209302324</v>
          </cell>
          <cell r="FI309">
            <v>0</v>
          </cell>
          <cell r="FJ309">
            <v>0</v>
          </cell>
          <cell r="FK309">
            <v>2154.1666666666652</v>
          </cell>
          <cell r="FL309">
            <v>2154.1666666666652</v>
          </cell>
          <cell r="FM309">
            <v>25.00837209302324</v>
          </cell>
          <cell r="FN309">
            <v>0</v>
          </cell>
          <cell r="FO309">
            <v>0</v>
          </cell>
          <cell r="FP309">
            <v>2064.5833333333317</v>
          </cell>
          <cell r="FQ309">
            <v>2064.5833333333317</v>
          </cell>
          <cell r="FR309">
            <v>24.008372093023237</v>
          </cell>
          <cell r="FS309">
            <v>0</v>
          </cell>
          <cell r="FT309">
            <v>93</v>
          </cell>
          <cell r="FU309">
            <v>1.0333333333333334</v>
          </cell>
          <cell r="FW309" t="str">
            <v>SOBRESTOCK</v>
          </cell>
          <cell r="FX309" t="str">
            <v>A</v>
          </cell>
          <cell r="FY309" t="str">
            <v>Si</v>
          </cell>
        </row>
        <row r="310">
          <cell r="B310" t="str">
            <v>REP-0326</v>
          </cell>
          <cell r="C310" t="str">
            <v>MIX</v>
          </cell>
          <cell r="D310">
            <v>0</v>
          </cell>
          <cell r="E310">
            <v>80</v>
          </cell>
          <cell r="F310">
            <v>0</v>
          </cell>
          <cell r="G310">
            <v>0</v>
          </cell>
          <cell r="H310">
            <v>23</v>
          </cell>
          <cell r="I310">
            <v>23</v>
          </cell>
          <cell r="J310">
            <v>0</v>
          </cell>
          <cell r="K310">
            <v>15</v>
          </cell>
          <cell r="L310">
            <v>5</v>
          </cell>
          <cell r="M310">
            <v>2</v>
          </cell>
          <cell r="N310">
            <v>0</v>
          </cell>
          <cell r="O310">
            <v>3</v>
          </cell>
          <cell r="P310">
            <v>5</v>
          </cell>
          <cell r="Q310">
            <v>0</v>
          </cell>
          <cell r="R310">
            <v>0</v>
          </cell>
          <cell r="S310">
            <v>2</v>
          </cell>
          <cell r="T310">
            <v>0</v>
          </cell>
          <cell r="U310">
            <v>2</v>
          </cell>
          <cell r="V310">
            <v>1</v>
          </cell>
          <cell r="W310">
            <v>2</v>
          </cell>
          <cell r="X310">
            <v>5</v>
          </cell>
          <cell r="Y310">
            <v>168</v>
          </cell>
          <cell r="AA310">
            <v>168</v>
          </cell>
          <cell r="AB310">
            <v>93</v>
          </cell>
          <cell r="AC310">
            <v>12.833333333333334</v>
          </cell>
          <cell r="AD310">
            <v>0.42777777777777781</v>
          </cell>
          <cell r="AE310">
            <v>13.75</v>
          </cell>
          <cell r="AF310">
            <v>8.75</v>
          </cell>
          <cell r="AG310">
            <v>9</v>
          </cell>
          <cell r="AH310">
            <v>10.833333333333334</v>
          </cell>
          <cell r="AI310">
            <v>4.333333333333333</v>
          </cell>
          <cell r="AJ310">
            <v>4.333333333333333</v>
          </cell>
          <cell r="AK310">
            <v>10.833333333333334</v>
          </cell>
          <cell r="AL310">
            <v>3.3092882752774644</v>
          </cell>
          <cell r="AM310">
            <v>7.125</v>
          </cell>
          <cell r="AN310">
            <v>0.46446151231964411</v>
          </cell>
          <cell r="AO310">
            <v>0</v>
          </cell>
          <cell r="AP310">
            <v>99</v>
          </cell>
          <cell r="AQ310">
            <v>10.213114754098362</v>
          </cell>
          <cell r="AR310">
            <v>0</v>
          </cell>
          <cell r="AS310">
            <v>93.333333333333343</v>
          </cell>
          <cell r="AT310">
            <v>93</v>
          </cell>
          <cell r="AU310">
            <v>9</v>
          </cell>
          <cell r="AV310">
            <v>0</v>
          </cell>
          <cell r="AW310">
            <v>82.666666666666671</v>
          </cell>
          <cell r="AX310">
            <v>78</v>
          </cell>
          <cell r="AY310">
            <v>7.1999999999999993</v>
          </cell>
          <cell r="AZ310">
            <v>0</v>
          </cell>
          <cell r="BA310">
            <v>168.33333333333334</v>
          </cell>
          <cell r="BB310">
            <v>52</v>
          </cell>
          <cell r="BC310">
            <v>2.6</v>
          </cell>
          <cell r="BD310">
            <v>0</v>
          </cell>
          <cell r="BE310">
            <v>32</v>
          </cell>
          <cell r="BF310">
            <v>1.6</v>
          </cell>
          <cell r="BG310">
            <v>50</v>
          </cell>
          <cell r="BH310">
            <v>62</v>
          </cell>
          <cell r="BI310">
            <v>168</v>
          </cell>
          <cell r="BJ310">
            <v>15.507692307692308</v>
          </cell>
          <cell r="BK310">
            <v>0</v>
          </cell>
          <cell r="BL310">
            <v>107.16666666666667</v>
          </cell>
          <cell r="BM310">
            <v>107</v>
          </cell>
          <cell r="BN310">
            <v>7.0660377358490569</v>
          </cell>
          <cell r="BO310">
            <v>0</v>
          </cell>
          <cell r="BP310">
            <v>91.857142857142861</v>
          </cell>
          <cell r="BQ310">
            <v>103</v>
          </cell>
          <cell r="BR310">
            <v>9.5076923076923077</v>
          </cell>
          <cell r="BS310">
            <v>0</v>
          </cell>
          <cell r="BT310">
            <v>88</v>
          </cell>
          <cell r="BU310">
            <v>95</v>
          </cell>
          <cell r="BV310">
            <v>6.333333333333333</v>
          </cell>
          <cell r="BW310">
            <v>25</v>
          </cell>
          <cell r="BX310">
            <v>0</v>
          </cell>
          <cell r="BY310">
            <v>80</v>
          </cell>
          <cell r="BZ310">
            <v>95</v>
          </cell>
          <cell r="CA310">
            <v>8.0508474576271176</v>
          </cell>
          <cell r="CB310">
            <v>0</v>
          </cell>
          <cell r="CC310">
            <v>0</v>
          </cell>
          <cell r="CD310">
            <v>143.19999999999999</v>
          </cell>
          <cell r="CE310">
            <v>84</v>
          </cell>
          <cell r="CF310">
            <v>7.1627906976744189</v>
          </cell>
          <cell r="CG310">
            <v>10</v>
          </cell>
          <cell r="CH310">
            <v>60</v>
          </cell>
          <cell r="CI310">
            <v>141.47272727272727</v>
          </cell>
          <cell r="CJ310">
            <v>143</v>
          </cell>
          <cell r="CK310">
            <v>13.2</v>
          </cell>
          <cell r="CL310">
            <v>0</v>
          </cell>
          <cell r="CM310">
            <v>50</v>
          </cell>
          <cell r="CN310">
            <v>182.16666666666666</v>
          </cell>
          <cell r="CO310">
            <v>183</v>
          </cell>
          <cell r="CP310">
            <v>16.892307692307693</v>
          </cell>
          <cell r="CQ310">
            <v>0</v>
          </cell>
          <cell r="CR310">
            <v>0</v>
          </cell>
          <cell r="CS310">
            <v>172.16666666666666</v>
          </cell>
          <cell r="CT310">
            <v>175</v>
          </cell>
          <cell r="CU310">
            <v>16.153846153846153</v>
          </cell>
          <cell r="CV310">
            <v>0</v>
          </cell>
          <cell r="CW310">
            <v>0</v>
          </cell>
          <cell r="CX310">
            <v>164.16666666666666</v>
          </cell>
          <cell r="CY310">
            <v>169</v>
          </cell>
          <cell r="CZ310">
            <v>15.6</v>
          </cell>
          <cell r="DA310">
            <v>0</v>
          </cell>
          <cell r="DB310">
            <v>0</v>
          </cell>
          <cell r="DC310">
            <v>158.16666666666666</v>
          </cell>
          <cell r="DD310">
            <v>164</v>
          </cell>
          <cell r="DE310">
            <v>11.63076923076923</v>
          </cell>
          <cell r="DF310">
            <v>0</v>
          </cell>
          <cell r="DG310">
            <v>0</v>
          </cell>
          <cell r="DH310">
            <v>153.16666666666666</v>
          </cell>
          <cell r="DI310">
            <v>156</v>
          </cell>
          <cell r="DJ310">
            <v>12.892307692307691</v>
          </cell>
          <cell r="DK310">
            <v>0</v>
          </cell>
          <cell r="DL310">
            <v>0</v>
          </cell>
          <cell r="DM310">
            <v>142.33333333333331</v>
          </cell>
          <cell r="DN310">
            <v>168</v>
          </cell>
          <cell r="DO310">
            <v>14</v>
          </cell>
          <cell r="DP310">
            <v>0</v>
          </cell>
          <cell r="DQ310">
            <v>0</v>
          </cell>
          <cell r="DR310">
            <v>157.16666666666666</v>
          </cell>
          <cell r="DS310">
            <v>157.16666666666666</v>
          </cell>
          <cell r="DT310">
            <v>12.999999999999998</v>
          </cell>
          <cell r="DU310">
            <v>0</v>
          </cell>
          <cell r="DV310">
            <v>0</v>
          </cell>
          <cell r="DW310">
            <v>146.33333333333331</v>
          </cell>
          <cell r="DX310">
            <v>146.33333333333331</v>
          </cell>
          <cell r="DY310">
            <v>11.999999999999998</v>
          </cell>
          <cell r="DZ310">
            <v>0</v>
          </cell>
          <cell r="EA310">
            <v>0</v>
          </cell>
          <cell r="EB310">
            <v>135.49999999999997</v>
          </cell>
          <cell r="EC310">
            <v>135.49999999999997</v>
          </cell>
          <cell r="ED310">
            <v>10.999999999999996</v>
          </cell>
          <cell r="EE310">
            <v>0</v>
          </cell>
          <cell r="EF310">
            <v>0</v>
          </cell>
          <cell r="EG310">
            <v>124.66666666666664</v>
          </cell>
          <cell r="EH310">
            <v>124.66666666666664</v>
          </cell>
          <cell r="EI310">
            <v>9.9999999999999964</v>
          </cell>
          <cell r="EJ310">
            <v>0</v>
          </cell>
          <cell r="EK310">
            <v>0</v>
          </cell>
          <cell r="EL310">
            <v>113.83333333333331</v>
          </cell>
          <cell r="EM310">
            <v>113.83333333333331</v>
          </cell>
          <cell r="EN310">
            <v>8.9999999999999982</v>
          </cell>
          <cell r="EO310">
            <v>0</v>
          </cell>
          <cell r="EP310">
            <v>0</v>
          </cell>
          <cell r="EQ310">
            <v>102.99999999999999</v>
          </cell>
          <cell r="ER310">
            <v>102.99999999999999</v>
          </cell>
          <cell r="ES310">
            <v>7.9999999999999982</v>
          </cell>
          <cell r="ET310">
            <v>0</v>
          </cell>
          <cell r="EU310">
            <v>0</v>
          </cell>
          <cell r="EV310">
            <v>92.166666666666657</v>
          </cell>
          <cell r="EW310">
            <v>92.166666666666657</v>
          </cell>
          <cell r="EX310">
            <v>6.9999999999999991</v>
          </cell>
          <cell r="EY310">
            <v>0</v>
          </cell>
          <cell r="EZ310">
            <v>0</v>
          </cell>
          <cell r="FA310">
            <v>81.333333333333329</v>
          </cell>
          <cell r="FB310">
            <v>81.333333333333329</v>
          </cell>
          <cell r="FC310">
            <v>6</v>
          </cell>
          <cell r="FD310">
            <v>0</v>
          </cell>
          <cell r="FE310">
            <v>0</v>
          </cell>
          <cell r="FF310">
            <v>70.5</v>
          </cell>
          <cell r="FG310">
            <v>70.5</v>
          </cell>
          <cell r="FH310">
            <v>5</v>
          </cell>
          <cell r="FI310">
            <v>0</v>
          </cell>
          <cell r="FJ310">
            <v>0</v>
          </cell>
          <cell r="FK310">
            <v>59.666666666666664</v>
          </cell>
          <cell r="FL310">
            <v>59.666666666666664</v>
          </cell>
          <cell r="FM310">
            <v>4</v>
          </cell>
          <cell r="FN310">
            <v>0</v>
          </cell>
          <cell r="FO310">
            <v>0</v>
          </cell>
          <cell r="FP310">
            <v>48.833333333333329</v>
          </cell>
          <cell r="FQ310">
            <v>48.833333333333329</v>
          </cell>
          <cell r="FR310">
            <v>2.9999999999999996</v>
          </cell>
          <cell r="FS310">
            <v>0</v>
          </cell>
          <cell r="FT310">
            <v>38</v>
          </cell>
          <cell r="FU310">
            <v>2.0333333333333332</v>
          </cell>
          <cell r="FW310" t="str">
            <v>SOBRESTOCK</v>
          </cell>
          <cell r="FX310" t="str">
            <v>A</v>
          </cell>
          <cell r="FY310" t="str">
            <v>Si</v>
          </cell>
        </row>
        <row r="311">
          <cell r="B311" t="str">
            <v>REP-0327</v>
          </cell>
          <cell r="C311" t="str">
            <v>MIX</v>
          </cell>
          <cell r="D311">
            <v>0</v>
          </cell>
          <cell r="E311">
            <v>82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19</v>
          </cell>
          <cell r="L311">
            <v>7</v>
          </cell>
          <cell r="M311">
            <v>3</v>
          </cell>
          <cell r="N311">
            <v>0</v>
          </cell>
          <cell r="O311">
            <v>3</v>
          </cell>
          <cell r="P311">
            <v>2</v>
          </cell>
          <cell r="Q311">
            <v>3</v>
          </cell>
          <cell r="R311">
            <v>0</v>
          </cell>
          <cell r="S311">
            <v>4</v>
          </cell>
          <cell r="T311">
            <v>4</v>
          </cell>
          <cell r="U311">
            <v>2</v>
          </cell>
          <cell r="V311">
            <v>5</v>
          </cell>
          <cell r="W311">
            <v>2</v>
          </cell>
          <cell r="X311">
            <v>2</v>
          </cell>
          <cell r="Y311">
            <v>138</v>
          </cell>
          <cell r="AA311">
            <v>138</v>
          </cell>
          <cell r="AB311">
            <v>44</v>
          </cell>
          <cell r="AC311">
            <v>5.666666666666667</v>
          </cell>
          <cell r="AD311">
            <v>0.18888888888888891</v>
          </cell>
          <cell r="AE311">
            <v>6.5</v>
          </cell>
          <cell r="AF311">
            <v>6.5</v>
          </cell>
          <cell r="AG311">
            <v>13.25</v>
          </cell>
          <cell r="AH311">
            <v>21.416666666666668</v>
          </cell>
          <cell r="AI311">
            <v>25.166666666666668</v>
          </cell>
          <cell r="AJ311">
            <v>25.166666666666668</v>
          </cell>
          <cell r="AK311">
            <v>25.166666666666668</v>
          </cell>
          <cell r="AL311">
            <v>5.6186692770125086</v>
          </cell>
          <cell r="AM311">
            <v>21.250000000000004</v>
          </cell>
          <cell r="AN311">
            <v>0.26440796597705918</v>
          </cell>
          <cell r="AO311">
            <v>0</v>
          </cell>
          <cell r="AP311">
            <v>75.111111111111114</v>
          </cell>
          <cell r="AQ311">
            <v>6.1698113207547172</v>
          </cell>
          <cell r="AR311">
            <v>0</v>
          </cell>
          <cell r="AS311">
            <v>68</v>
          </cell>
          <cell r="AT311">
            <v>68</v>
          </cell>
          <cell r="AU311">
            <v>2.8936170212765959</v>
          </cell>
          <cell r="AV311">
            <v>0</v>
          </cell>
          <cell r="AW311">
            <v>44.5</v>
          </cell>
          <cell r="AX311">
            <v>60</v>
          </cell>
          <cell r="AY311">
            <v>2.3841059602649004</v>
          </cell>
          <cell r="AZ311">
            <v>0</v>
          </cell>
          <cell r="BA311">
            <v>290</v>
          </cell>
          <cell r="BB311">
            <v>29</v>
          </cell>
          <cell r="BC311">
            <v>0.91578947368421049</v>
          </cell>
          <cell r="BD311">
            <v>0</v>
          </cell>
          <cell r="BE311">
            <v>-2.6666666666666679</v>
          </cell>
          <cell r="BF311">
            <v>-8.4210526315789513E-2</v>
          </cell>
          <cell r="BG311">
            <v>100</v>
          </cell>
          <cell r="BH311">
            <v>65.666666666666657</v>
          </cell>
          <cell r="BI311">
            <v>138</v>
          </cell>
          <cell r="BJ311">
            <v>5.4834437086092711</v>
          </cell>
          <cell r="BK311">
            <v>0</v>
          </cell>
          <cell r="BL311">
            <v>236.66666666666666</v>
          </cell>
          <cell r="BM311">
            <v>238</v>
          </cell>
          <cell r="BN311">
            <v>12.250000000000002</v>
          </cell>
          <cell r="BO311">
            <v>0</v>
          </cell>
          <cell r="BP311">
            <v>218.57142857142858</v>
          </cell>
          <cell r="BQ311">
            <v>206</v>
          </cell>
          <cell r="BR311">
            <v>8.185430463576159</v>
          </cell>
          <cell r="BS311">
            <v>0</v>
          </cell>
          <cell r="BT311">
            <v>185.5</v>
          </cell>
          <cell r="BU311">
            <v>190</v>
          </cell>
          <cell r="BV311">
            <v>9.5530726256983236</v>
          </cell>
          <cell r="BW311">
            <v>0</v>
          </cell>
          <cell r="BX311">
            <v>0</v>
          </cell>
          <cell r="BY311">
            <v>170.11111111111111</v>
          </cell>
          <cell r="BZ311">
            <v>162</v>
          </cell>
          <cell r="CA311">
            <v>7.8260869565217392</v>
          </cell>
          <cell r="CB311">
            <v>4</v>
          </cell>
          <cell r="CC311">
            <v>0</v>
          </cell>
          <cell r="CD311">
            <v>141.30000000000001</v>
          </cell>
          <cell r="CE311">
            <v>133</v>
          </cell>
          <cell r="CF311">
            <v>6.0454545454545459</v>
          </cell>
          <cell r="CG311">
            <v>43</v>
          </cell>
          <cell r="CH311">
            <v>0</v>
          </cell>
          <cell r="CI311">
            <v>162.30000000000001</v>
          </cell>
          <cell r="CJ311">
            <v>128</v>
          </cell>
          <cell r="CK311">
            <v>5.4468085106382977</v>
          </cell>
          <cell r="CL311">
            <v>60</v>
          </cell>
          <cell r="CM311">
            <v>50</v>
          </cell>
          <cell r="CN311">
            <v>154.5</v>
          </cell>
          <cell r="CO311">
            <v>147</v>
          </cell>
          <cell r="CP311">
            <v>5.068965517241379</v>
          </cell>
          <cell r="CQ311">
            <v>33.5</v>
          </cell>
          <cell r="CR311">
            <v>0</v>
          </cell>
          <cell r="CS311">
            <v>118</v>
          </cell>
          <cell r="CT311">
            <v>118</v>
          </cell>
          <cell r="CU311">
            <v>4.1403508771929829</v>
          </cell>
          <cell r="CV311">
            <v>0</v>
          </cell>
          <cell r="CW311">
            <v>0</v>
          </cell>
          <cell r="CX311">
            <v>89.5</v>
          </cell>
          <cell r="CY311">
            <v>86</v>
          </cell>
          <cell r="CZ311">
            <v>3.1463414634146343</v>
          </cell>
          <cell r="DA311">
            <v>0</v>
          </cell>
          <cell r="DB311">
            <v>130</v>
          </cell>
          <cell r="DC311">
            <v>187.5</v>
          </cell>
          <cell r="DD311">
            <v>188</v>
          </cell>
          <cell r="DE311">
            <v>4.6260869565217391</v>
          </cell>
          <cell r="DF311">
            <v>0</v>
          </cell>
          <cell r="DG311">
            <v>0</v>
          </cell>
          <cell r="DH311">
            <v>159.25</v>
          </cell>
          <cell r="DI311">
            <v>167</v>
          </cell>
          <cell r="DJ311">
            <v>6.1481481481481479</v>
          </cell>
          <cell r="DK311">
            <v>0</v>
          </cell>
          <cell r="DL311">
            <v>0</v>
          </cell>
          <cell r="DM311">
            <v>132.25</v>
          </cell>
          <cell r="DN311">
            <v>138</v>
          </cell>
          <cell r="DO311">
            <v>5.4172185430463573</v>
          </cell>
          <cell r="DP311">
            <v>0</v>
          </cell>
          <cell r="DQ311">
            <v>0</v>
          </cell>
          <cell r="DR311">
            <v>112.83333333333333</v>
          </cell>
          <cell r="DS311">
            <v>112.83333333333333</v>
          </cell>
          <cell r="DT311">
            <v>4.4172185430463573</v>
          </cell>
          <cell r="DU311">
            <v>0</v>
          </cell>
          <cell r="DV311">
            <v>0</v>
          </cell>
          <cell r="DW311">
            <v>87.666666666666657</v>
          </cell>
          <cell r="DX311">
            <v>87.666666666666657</v>
          </cell>
          <cell r="DY311">
            <v>3.4172185430463573</v>
          </cell>
          <cell r="DZ311">
            <v>0</v>
          </cell>
          <cell r="EA311">
            <v>0</v>
          </cell>
          <cell r="EB311">
            <v>62.499999999999986</v>
          </cell>
          <cell r="EC311">
            <v>62.499999999999986</v>
          </cell>
          <cell r="ED311">
            <v>2.4172185430463569</v>
          </cell>
          <cell r="EE311">
            <v>0</v>
          </cell>
          <cell r="EF311">
            <v>0</v>
          </cell>
          <cell r="EG311">
            <v>37.333333333333314</v>
          </cell>
          <cell r="EH311">
            <v>37.333333333333314</v>
          </cell>
          <cell r="EI311">
            <v>1.4172185430463569</v>
          </cell>
          <cell r="EJ311">
            <v>14.666666666666686</v>
          </cell>
          <cell r="EK311">
            <v>90</v>
          </cell>
          <cell r="EL311">
            <v>102.16666666666664</v>
          </cell>
          <cell r="EM311">
            <v>102.16666666666664</v>
          </cell>
          <cell r="EN311">
            <v>3.9933774834437075</v>
          </cell>
          <cell r="EO311">
            <v>0</v>
          </cell>
          <cell r="EP311">
            <v>0</v>
          </cell>
          <cell r="EQ311">
            <v>76.999999999999972</v>
          </cell>
          <cell r="ER311">
            <v>76.999999999999972</v>
          </cell>
          <cell r="ES311">
            <v>2.9933774834437075</v>
          </cell>
          <cell r="ET311">
            <v>0</v>
          </cell>
          <cell r="EU311">
            <v>0</v>
          </cell>
          <cell r="EV311">
            <v>51.8333333333333</v>
          </cell>
          <cell r="EW311">
            <v>51.8333333333333</v>
          </cell>
          <cell r="EX311">
            <v>1.9933774834437072</v>
          </cell>
          <cell r="EY311">
            <v>0.16666666666669983</v>
          </cell>
          <cell r="EZ311">
            <v>0</v>
          </cell>
          <cell r="FA311">
            <v>26.666666666666632</v>
          </cell>
          <cell r="FB311">
            <v>26.666666666666632</v>
          </cell>
          <cell r="FC311">
            <v>0.99337748344370724</v>
          </cell>
          <cell r="FD311">
            <v>25.333333333333368</v>
          </cell>
          <cell r="FE311">
            <v>120</v>
          </cell>
          <cell r="FF311">
            <v>121.49999999999996</v>
          </cell>
          <cell r="FG311">
            <v>121.49999999999996</v>
          </cell>
          <cell r="FH311">
            <v>4.7615894039735078</v>
          </cell>
          <cell r="FI311">
            <v>0</v>
          </cell>
          <cell r="FJ311">
            <v>0</v>
          </cell>
          <cell r="FK311">
            <v>96.333333333333286</v>
          </cell>
          <cell r="FL311">
            <v>96.333333333333286</v>
          </cell>
          <cell r="FM311">
            <v>3.7615894039735078</v>
          </cell>
          <cell r="FN311">
            <v>0</v>
          </cell>
          <cell r="FO311">
            <v>0</v>
          </cell>
          <cell r="FP311">
            <v>71.166666666666615</v>
          </cell>
          <cell r="FQ311">
            <v>71.166666666666615</v>
          </cell>
          <cell r="FR311">
            <v>2.7615894039735078</v>
          </cell>
          <cell r="FS311">
            <v>0</v>
          </cell>
          <cell r="FT311">
            <v>52</v>
          </cell>
          <cell r="FU311">
            <v>2.0333333333333332</v>
          </cell>
          <cell r="FW311" t="str">
            <v>SOBRESTOCK</v>
          </cell>
          <cell r="FX311" t="str">
            <v>A</v>
          </cell>
          <cell r="FY311" t="str">
            <v>Si</v>
          </cell>
        </row>
        <row r="312">
          <cell r="B312" t="str">
            <v>REP-0328</v>
          </cell>
          <cell r="C312" t="str">
            <v>NAC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AA312">
            <v>0</v>
          </cell>
          <cell r="AB312">
            <v>0</v>
          </cell>
          <cell r="AC312">
            <v>0.33333333333333331</v>
          </cell>
          <cell r="AD312">
            <v>1.111111111111111E-2</v>
          </cell>
          <cell r="AE312">
            <v>0.5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 t="str">
            <v/>
          </cell>
          <cell r="AR312">
            <v>0</v>
          </cell>
          <cell r="AS312">
            <v>0</v>
          </cell>
          <cell r="AT312">
            <v>0</v>
          </cell>
          <cell r="AU312" t="str">
            <v/>
          </cell>
          <cell r="AV312">
            <v>0</v>
          </cell>
          <cell r="AW312">
            <v>0</v>
          </cell>
          <cell r="AX312">
            <v>0</v>
          </cell>
          <cell r="AY312" t="str">
            <v/>
          </cell>
          <cell r="AZ312">
            <v>0</v>
          </cell>
          <cell r="BA312">
            <v>0</v>
          </cell>
          <cell r="BB312">
            <v>0</v>
          </cell>
          <cell r="BC312" t="str">
            <v/>
          </cell>
          <cell r="BD312">
            <v>0</v>
          </cell>
          <cell r="BE312">
            <v>0</v>
          </cell>
          <cell r="BF312" t="str">
            <v/>
          </cell>
          <cell r="BG312">
            <v>0</v>
          </cell>
          <cell r="BH312">
            <v>0</v>
          </cell>
          <cell r="BI312">
            <v>0</v>
          </cell>
          <cell r="BJ312" t="str">
            <v/>
          </cell>
          <cell r="BK312">
            <v>0</v>
          </cell>
          <cell r="BL312">
            <v>0</v>
          </cell>
          <cell r="BM312">
            <v>0</v>
          </cell>
          <cell r="BN312" t="str">
            <v/>
          </cell>
          <cell r="BO312">
            <v>0</v>
          </cell>
          <cell r="BP312">
            <v>0</v>
          </cell>
          <cell r="BQ312">
            <v>0</v>
          </cell>
          <cell r="BR312" t="str">
            <v/>
          </cell>
          <cell r="BS312">
            <v>0</v>
          </cell>
          <cell r="BT312">
            <v>0</v>
          </cell>
          <cell r="BU312">
            <v>0</v>
          </cell>
          <cell r="BV312" t="str">
            <v/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 t="str">
            <v/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 t="str">
            <v/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 t="str">
            <v/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 t="str">
            <v/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 t="str">
            <v/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 t="str">
            <v/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 t="str">
            <v/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 t="str">
            <v/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 t="str">
            <v/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 t="str">
            <v/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 t="str">
            <v/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 t="str">
            <v/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 t="str">
            <v/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 t="str">
            <v/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 t="str">
            <v/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 t="str">
            <v/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 t="str">
            <v/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 t="str">
            <v/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 t="str">
            <v/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 t="str">
            <v/>
          </cell>
          <cell r="FS312">
            <v>0</v>
          </cell>
          <cell r="FT312">
            <v>0</v>
          </cell>
          <cell r="FU312">
            <v>1.0333333333333334</v>
          </cell>
          <cell r="FW312" t="e">
            <v>#N/A</v>
          </cell>
          <cell r="FX312" t="str">
            <v>STOCK MUERTO</v>
          </cell>
          <cell r="FY312" t="str">
            <v>Si</v>
          </cell>
        </row>
        <row r="313">
          <cell r="B313" t="str">
            <v>REP-0329</v>
          </cell>
          <cell r="C313" t="str">
            <v>MIX</v>
          </cell>
          <cell r="D313">
            <v>0</v>
          </cell>
          <cell r="E313">
            <v>17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17</v>
          </cell>
          <cell r="AA313">
            <v>17</v>
          </cell>
          <cell r="AB313">
            <v>0</v>
          </cell>
          <cell r="AC313">
            <v>0.16666666666666666</v>
          </cell>
          <cell r="AD313">
            <v>5.5555555555555549E-3</v>
          </cell>
          <cell r="AE313">
            <v>8.3333333333333329E-2</v>
          </cell>
          <cell r="AF313">
            <v>0.16666666666666666</v>
          </cell>
          <cell r="AG313">
            <v>0</v>
          </cell>
          <cell r="AH313">
            <v>0.33333333333333331</v>
          </cell>
          <cell r="AI313">
            <v>0</v>
          </cell>
          <cell r="AJ313">
            <v>0</v>
          </cell>
          <cell r="AK313">
            <v>0.33333333333333331</v>
          </cell>
          <cell r="AL313">
            <v>0.16666666666666666</v>
          </cell>
          <cell r="AM313">
            <v>8.3333333333333329E-2</v>
          </cell>
          <cell r="AN313">
            <v>2</v>
          </cell>
          <cell r="AO313">
            <v>0</v>
          </cell>
          <cell r="AP313">
            <v>6</v>
          </cell>
          <cell r="AQ313">
            <v>35</v>
          </cell>
          <cell r="AR313">
            <v>0</v>
          </cell>
          <cell r="AS313">
            <v>5.6666666666666661</v>
          </cell>
          <cell r="AT313">
            <v>6</v>
          </cell>
          <cell r="AU313" t="str">
            <v/>
          </cell>
          <cell r="AV313">
            <v>0</v>
          </cell>
          <cell r="AW313">
            <v>6</v>
          </cell>
          <cell r="AX313">
            <v>6</v>
          </cell>
          <cell r="AY313">
            <v>18</v>
          </cell>
          <cell r="AZ313">
            <v>0</v>
          </cell>
          <cell r="BA313">
            <v>6</v>
          </cell>
          <cell r="BB313">
            <v>6</v>
          </cell>
          <cell r="BC313" t="str">
            <v/>
          </cell>
          <cell r="BD313">
            <v>0</v>
          </cell>
          <cell r="BE313">
            <v>6</v>
          </cell>
          <cell r="BF313" t="str">
            <v/>
          </cell>
          <cell r="BG313">
            <v>0</v>
          </cell>
          <cell r="BH313">
            <v>6</v>
          </cell>
          <cell r="BI313">
            <v>17</v>
          </cell>
          <cell r="BJ313">
            <v>51</v>
          </cell>
          <cell r="BK313">
            <v>0</v>
          </cell>
          <cell r="BL313">
            <v>6</v>
          </cell>
          <cell r="BM313">
            <v>6</v>
          </cell>
          <cell r="BN313" t="str">
            <v/>
          </cell>
          <cell r="BO313">
            <v>0</v>
          </cell>
          <cell r="BP313">
            <v>6</v>
          </cell>
          <cell r="BQ313">
            <v>6</v>
          </cell>
          <cell r="BR313">
            <v>18</v>
          </cell>
          <cell r="BS313">
            <v>0</v>
          </cell>
          <cell r="BT313">
            <v>6</v>
          </cell>
          <cell r="BU313">
            <v>6</v>
          </cell>
          <cell r="BV313" t="str">
            <v/>
          </cell>
          <cell r="BW313">
            <v>0</v>
          </cell>
          <cell r="BX313">
            <v>0</v>
          </cell>
          <cell r="BY313">
            <v>6</v>
          </cell>
          <cell r="BZ313">
            <v>6</v>
          </cell>
          <cell r="CA313" t="str">
            <v/>
          </cell>
          <cell r="CB313">
            <v>0</v>
          </cell>
          <cell r="CC313">
            <v>0</v>
          </cell>
          <cell r="CD313">
            <v>6</v>
          </cell>
          <cell r="CE313">
            <v>6</v>
          </cell>
          <cell r="CF313" t="str">
            <v/>
          </cell>
          <cell r="CG313">
            <v>0</v>
          </cell>
          <cell r="CH313">
            <v>0</v>
          </cell>
          <cell r="CI313">
            <v>6</v>
          </cell>
          <cell r="CJ313">
            <v>2</v>
          </cell>
          <cell r="CK313">
            <v>3</v>
          </cell>
          <cell r="CL313">
            <v>4</v>
          </cell>
          <cell r="CM313">
            <v>0</v>
          </cell>
          <cell r="CN313">
            <v>1.3333333333333335</v>
          </cell>
          <cell r="CO313">
            <v>2</v>
          </cell>
          <cell r="CP313">
            <v>3</v>
          </cell>
          <cell r="CQ313">
            <v>4.6666666666666661</v>
          </cell>
          <cell r="CR313">
            <v>0</v>
          </cell>
          <cell r="CS313">
            <v>1.3333333333333335</v>
          </cell>
          <cell r="CT313">
            <v>2</v>
          </cell>
          <cell r="CU313">
            <v>3</v>
          </cell>
          <cell r="CV313">
            <v>0</v>
          </cell>
          <cell r="CW313">
            <v>5</v>
          </cell>
          <cell r="CX313">
            <v>6.333333333333333</v>
          </cell>
          <cell r="CY313">
            <v>2</v>
          </cell>
          <cell r="CZ313">
            <v>6</v>
          </cell>
          <cell r="DA313">
            <v>0</v>
          </cell>
          <cell r="DB313">
            <v>5</v>
          </cell>
          <cell r="DC313">
            <v>6.666666666666667</v>
          </cell>
          <cell r="DD313">
            <v>17</v>
          </cell>
          <cell r="DE313">
            <v>48</v>
          </cell>
          <cell r="DF313">
            <v>0</v>
          </cell>
          <cell r="DG313">
            <v>0</v>
          </cell>
          <cell r="DH313">
            <v>16.666666666666668</v>
          </cell>
          <cell r="DI313">
            <v>17</v>
          </cell>
          <cell r="DJ313">
            <v>50</v>
          </cell>
          <cell r="DK313">
            <v>0</v>
          </cell>
          <cell r="DL313">
            <v>0</v>
          </cell>
          <cell r="DM313">
            <v>16.333333333333336</v>
          </cell>
          <cell r="DN313">
            <v>17</v>
          </cell>
          <cell r="DO313">
            <v>50</v>
          </cell>
          <cell r="DP313">
            <v>0</v>
          </cell>
          <cell r="DQ313">
            <v>0</v>
          </cell>
          <cell r="DR313">
            <v>16.666666666666668</v>
          </cell>
          <cell r="DS313">
            <v>16.666666666666668</v>
          </cell>
          <cell r="DT313">
            <v>49.000000000000007</v>
          </cell>
          <cell r="DU313">
            <v>0</v>
          </cell>
          <cell r="DV313">
            <v>0</v>
          </cell>
          <cell r="DW313">
            <v>16.333333333333336</v>
          </cell>
          <cell r="DX313">
            <v>16.333333333333336</v>
          </cell>
          <cell r="DY313">
            <v>48.000000000000007</v>
          </cell>
          <cell r="DZ313">
            <v>0</v>
          </cell>
          <cell r="EA313">
            <v>0</v>
          </cell>
          <cell r="EB313">
            <v>16.000000000000004</v>
          </cell>
          <cell r="EC313">
            <v>16.000000000000004</v>
          </cell>
          <cell r="ED313">
            <v>47.000000000000014</v>
          </cell>
          <cell r="EE313">
            <v>0</v>
          </cell>
          <cell r="EF313">
            <v>0</v>
          </cell>
          <cell r="EG313">
            <v>15.66666666666667</v>
          </cell>
          <cell r="EH313">
            <v>15.66666666666667</v>
          </cell>
          <cell r="EI313">
            <v>46.000000000000014</v>
          </cell>
          <cell r="EJ313">
            <v>0</v>
          </cell>
          <cell r="EK313">
            <v>0</v>
          </cell>
          <cell r="EL313">
            <v>15.333333333333336</v>
          </cell>
          <cell r="EM313">
            <v>15.333333333333336</v>
          </cell>
          <cell r="EN313">
            <v>45.000000000000007</v>
          </cell>
          <cell r="EO313">
            <v>0</v>
          </cell>
          <cell r="EP313">
            <v>0</v>
          </cell>
          <cell r="EQ313">
            <v>15.000000000000002</v>
          </cell>
          <cell r="ER313">
            <v>15.000000000000002</v>
          </cell>
          <cell r="ES313">
            <v>44.000000000000007</v>
          </cell>
          <cell r="ET313">
            <v>0</v>
          </cell>
          <cell r="EU313">
            <v>0</v>
          </cell>
          <cell r="EV313">
            <v>14.666666666666668</v>
          </cell>
          <cell r="EW313">
            <v>14.666666666666668</v>
          </cell>
          <cell r="EX313">
            <v>43.000000000000007</v>
          </cell>
          <cell r="EY313">
            <v>0</v>
          </cell>
          <cell r="EZ313">
            <v>0</v>
          </cell>
          <cell r="FA313">
            <v>14.333333333333334</v>
          </cell>
          <cell r="FB313">
            <v>14.333333333333334</v>
          </cell>
          <cell r="FC313">
            <v>42.000000000000007</v>
          </cell>
          <cell r="FD313">
            <v>0</v>
          </cell>
          <cell r="FE313">
            <v>0</v>
          </cell>
          <cell r="FF313">
            <v>14</v>
          </cell>
          <cell r="FG313">
            <v>14</v>
          </cell>
          <cell r="FH313">
            <v>41</v>
          </cell>
          <cell r="FI313">
            <v>0</v>
          </cell>
          <cell r="FJ313">
            <v>0</v>
          </cell>
          <cell r="FK313">
            <v>13.666666666666666</v>
          </cell>
          <cell r="FL313">
            <v>13.666666666666666</v>
          </cell>
          <cell r="FM313">
            <v>40</v>
          </cell>
          <cell r="FN313">
            <v>0</v>
          </cell>
          <cell r="FO313">
            <v>0</v>
          </cell>
          <cell r="FP313">
            <v>13.333333333333332</v>
          </cell>
          <cell r="FQ313">
            <v>13.333333333333332</v>
          </cell>
          <cell r="FR313">
            <v>39</v>
          </cell>
          <cell r="FS313">
            <v>0</v>
          </cell>
          <cell r="FT313">
            <v>1</v>
          </cell>
          <cell r="FU313">
            <v>2.0333333333333332</v>
          </cell>
          <cell r="FW313" t="str">
            <v>SIN ROTACIÓN</v>
          </cell>
          <cell r="FX313" t="str">
            <v>C</v>
          </cell>
          <cell r="FY313" t="str">
            <v>Si</v>
          </cell>
        </row>
        <row r="314">
          <cell r="B314" t="str">
            <v>REP-0330</v>
          </cell>
          <cell r="C314" t="str">
            <v>MIX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O314">
            <v>0</v>
          </cell>
          <cell r="AP314">
            <v>0</v>
          </cell>
          <cell r="AQ314" t="str">
            <v/>
          </cell>
          <cell r="AR314">
            <v>0</v>
          </cell>
          <cell r="AS314">
            <v>0</v>
          </cell>
          <cell r="AT314">
            <v>0</v>
          </cell>
          <cell r="AU314" t="str">
            <v/>
          </cell>
          <cell r="AV314">
            <v>0</v>
          </cell>
          <cell r="AW314">
            <v>0</v>
          </cell>
          <cell r="AX314">
            <v>0</v>
          </cell>
          <cell r="AY314" t="str">
            <v/>
          </cell>
          <cell r="AZ314">
            <v>0</v>
          </cell>
          <cell r="BA314">
            <v>0</v>
          </cell>
          <cell r="BB314">
            <v>0</v>
          </cell>
          <cell r="BC314" t="str">
            <v/>
          </cell>
          <cell r="BD314">
            <v>0</v>
          </cell>
          <cell r="BE314">
            <v>0</v>
          </cell>
          <cell r="BF314" t="str">
            <v/>
          </cell>
          <cell r="BG314">
            <v>0</v>
          </cell>
          <cell r="BH314">
            <v>0</v>
          </cell>
          <cell r="BI314">
            <v>0</v>
          </cell>
          <cell r="BJ314" t="str">
            <v/>
          </cell>
          <cell r="BK314">
            <v>0</v>
          </cell>
          <cell r="BL314">
            <v>0</v>
          </cell>
          <cell r="BM314">
            <v>0</v>
          </cell>
          <cell r="BN314" t="str">
            <v/>
          </cell>
          <cell r="BO314">
            <v>0</v>
          </cell>
          <cell r="BP314">
            <v>0</v>
          </cell>
          <cell r="BQ314">
            <v>0</v>
          </cell>
          <cell r="BR314" t="str">
            <v/>
          </cell>
          <cell r="BS314">
            <v>0</v>
          </cell>
          <cell r="BT314">
            <v>0</v>
          </cell>
          <cell r="BU314">
            <v>0</v>
          </cell>
          <cell r="BV314" t="str">
            <v/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 t="str">
            <v/>
          </cell>
          <cell r="CB314">
            <v>0</v>
          </cell>
          <cell r="CD314">
            <v>0</v>
          </cell>
          <cell r="CE314">
            <v>0</v>
          </cell>
          <cell r="CF314" t="str">
            <v/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 t="str">
            <v/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 t="str">
            <v/>
          </cell>
          <cell r="CQ314">
            <v>0</v>
          </cell>
          <cell r="CS314">
            <v>0</v>
          </cell>
          <cell r="CT314">
            <v>0</v>
          </cell>
          <cell r="CU314" t="str">
            <v/>
          </cell>
          <cell r="CV314">
            <v>0</v>
          </cell>
          <cell r="CX314">
            <v>0</v>
          </cell>
          <cell r="CY314">
            <v>0</v>
          </cell>
          <cell r="CZ314" t="str">
            <v/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 t="str">
            <v/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 t="str">
            <v/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 t="str">
            <v/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 t="str">
            <v/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 t="str">
            <v/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 t="str">
            <v/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 t="str">
            <v/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 t="str">
            <v/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 t="str">
            <v/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 t="str">
            <v/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 t="str">
            <v/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 t="str">
            <v/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 t="str">
            <v/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 t="str">
            <v/>
          </cell>
          <cell r="FS314">
            <v>0</v>
          </cell>
          <cell r="FT314">
            <v>0</v>
          </cell>
          <cell r="FU314">
            <v>66.666666666666671</v>
          </cell>
          <cell r="FW314" t="str">
            <v>SIN ROTACIÓN</v>
          </cell>
          <cell r="FX314" t="str">
            <v/>
          </cell>
          <cell r="FY314" t="str">
            <v>No</v>
          </cell>
        </row>
        <row r="315">
          <cell r="B315" t="str">
            <v>REP-0332</v>
          </cell>
          <cell r="C315" t="str">
            <v>MIX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O315">
            <v>0</v>
          </cell>
          <cell r="AP315">
            <v>0</v>
          </cell>
          <cell r="AQ315" t="str">
            <v/>
          </cell>
          <cell r="AR315">
            <v>0</v>
          </cell>
          <cell r="AS315">
            <v>0</v>
          </cell>
          <cell r="AT315">
            <v>0</v>
          </cell>
          <cell r="AU315" t="str">
            <v/>
          </cell>
          <cell r="AV315">
            <v>0</v>
          </cell>
          <cell r="AW315">
            <v>0</v>
          </cell>
          <cell r="AX315">
            <v>0</v>
          </cell>
          <cell r="AY315" t="str">
            <v/>
          </cell>
          <cell r="AZ315">
            <v>0</v>
          </cell>
          <cell r="BA315">
            <v>0</v>
          </cell>
          <cell r="BB315">
            <v>0</v>
          </cell>
          <cell r="BC315" t="str">
            <v/>
          </cell>
          <cell r="BD315">
            <v>0</v>
          </cell>
          <cell r="BE315">
            <v>0</v>
          </cell>
          <cell r="BF315" t="str">
            <v/>
          </cell>
          <cell r="BG315">
            <v>0</v>
          </cell>
          <cell r="BH315">
            <v>0</v>
          </cell>
          <cell r="BI315">
            <v>0</v>
          </cell>
          <cell r="BJ315" t="str">
            <v/>
          </cell>
          <cell r="BK315">
            <v>0</v>
          </cell>
          <cell r="BL315">
            <v>0</v>
          </cell>
          <cell r="BM315">
            <v>0</v>
          </cell>
          <cell r="BN315" t="str">
            <v/>
          </cell>
          <cell r="BO315">
            <v>0</v>
          </cell>
          <cell r="BP315">
            <v>0</v>
          </cell>
          <cell r="BQ315">
            <v>0</v>
          </cell>
          <cell r="BR315" t="str">
            <v/>
          </cell>
          <cell r="BS315">
            <v>0</v>
          </cell>
          <cell r="BT315">
            <v>0</v>
          </cell>
          <cell r="BU315">
            <v>0</v>
          </cell>
          <cell r="BV315" t="str">
            <v/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 t="str">
            <v/>
          </cell>
          <cell r="CB315">
            <v>0</v>
          </cell>
          <cell r="CD315">
            <v>0</v>
          </cell>
          <cell r="CE315">
            <v>0</v>
          </cell>
          <cell r="CF315" t="str">
            <v/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 t="str">
            <v/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 t="str">
            <v/>
          </cell>
          <cell r="CQ315">
            <v>0</v>
          </cell>
          <cell r="CS315">
            <v>0</v>
          </cell>
          <cell r="CT315">
            <v>0</v>
          </cell>
          <cell r="CU315" t="str">
            <v/>
          </cell>
          <cell r="CV315">
            <v>0</v>
          </cell>
          <cell r="CX315">
            <v>0</v>
          </cell>
          <cell r="CY315">
            <v>0</v>
          </cell>
          <cell r="CZ315" t="str">
            <v/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 t="str">
            <v/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 t="str">
            <v/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 t="str">
            <v/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 t="str">
            <v/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 t="str">
            <v/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 t="str">
            <v/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 t="str">
            <v/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 t="str">
            <v/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 t="str">
            <v/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 t="str">
            <v/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 t="str">
            <v/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 t="str">
            <v/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 t="str">
            <v/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 t="str">
            <v/>
          </cell>
          <cell r="FS315">
            <v>0</v>
          </cell>
          <cell r="FT315">
            <v>0</v>
          </cell>
          <cell r="FU315">
            <v>66.666666666666671</v>
          </cell>
          <cell r="FW315" t="str">
            <v>SIN ROTACIÓN</v>
          </cell>
          <cell r="FX315" t="str">
            <v/>
          </cell>
          <cell r="FY315" t="str">
            <v>No</v>
          </cell>
        </row>
        <row r="316">
          <cell r="B316" t="str">
            <v>REP-0333</v>
          </cell>
          <cell r="C316" t="str">
            <v>NAC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 t="str">
            <v/>
          </cell>
          <cell r="AR316">
            <v>0</v>
          </cell>
          <cell r="AS316">
            <v>0</v>
          </cell>
          <cell r="AT316">
            <v>0</v>
          </cell>
          <cell r="AU316" t="str">
            <v/>
          </cell>
          <cell r="AV316">
            <v>0</v>
          </cell>
          <cell r="AW316">
            <v>0</v>
          </cell>
          <cell r="AX316">
            <v>0</v>
          </cell>
          <cell r="AY316" t="str">
            <v/>
          </cell>
          <cell r="AZ316">
            <v>0</v>
          </cell>
          <cell r="BA316">
            <v>0</v>
          </cell>
          <cell r="BB316">
            <v>0</v>
          </cell>
          <cell r="BC316" t="str">
            <v/>
          </cell>
          <cell r="BD316">
            <v>0</v>
          </cell>
          <cell r="BE316">
            <v>0</v>
          </cell>
          <cell r="BF316" t="str">
            <v/>
          </cell>
          <cell r="BG316">
            <v>0</v>
          </cell>
          <cell r="BH316">
            <v>0</v>
          </cell>
          <cell r="BI316">
            <v>0</v>
          </cell>
          <cell r="BJ316" t="str">
            <v/>
          </cell>
          <cell r="BK316">
            <v>0</v>
          </cell>
          <cell r="BL316">
            <v>0</v>
          </cell>
          <cell r="BM316">
            <v>0</v>
          </cell>
          <cell r="BN316" t="str">
            <v/>
          </cell>
          <cell r="BO316">
            <v>0</v>
          </cell>
          <cell r="BP316">
            <v>0</v>
          </cell>
          <cell r="BQ316">
            <v>0</v>
          </cell>
          <cell r="BR316" t="str">
            <v/>
          </cell>
          <cell r="BS316">
            <v>0</v>
          </cell>
          <cell r="BT316">
            <v>0</v>
          </cell>
          <cell r="BU316">
            <v>0</v>
          </cell>
          <cell r="BV316" t="str">
            <v/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 t="str">
            <v/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 t="str">
            <v/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 t="str">
            <v/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 t="str">
            <v/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 t="str">
            <v/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 t="str">
            <v/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 t="str">
            <v/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 t="str">
            <v/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 t="str">
            <v/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 t="str">
            <v/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 t="str">
            <v/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 t="str">
            <v/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 t="str">
            <v/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 t="str">
            <v/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 t="str">
            <v/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 t="str">
            <v/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 t="str">
            <v/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 t="str">
            <v/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 t="str">
            <v/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 t="str">
            <v/>
          </cell>
          <cell r="FS316">
            <v>0</v>
          </cell>
          <cell r="FT316">
            <v>0</v>
          </cell>
          <cell r="FU316">
            <v>1</v>
          </cell>
          <cell r="FW316" t="e">
            <v>#N/A</v>
          </cell>
          <cell r="FX316" t="str">
            <v>STOCK MUERTO</v>
          </cell>
          <cell r="FY316" t="str">
            <v>Si</v>
          </cell>
        </row>
        <row r="317">
          <cell r="B317" t="str">
            <v>REP-0334</v>
          </cell>
          <cell r="C317" t="str">
            <v>NAC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AA317">
            <v>0</v>
          </cell>
          <cell r="AB317">
            <v>29</v>
          </cell>
          <cell r="AC317">
            <v>3.6666666666666665</v>
          </cell>
          <cell r="AD317">
            <v>0.12222222222222222</v>
          </cell>
          <cell r="AE317">
            <v>16.333333333333332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M317">
            <v>0</v>
          </cell>
          <cell r="AO317">
            <v>0</v>
          </cell>
          <cell r="AP317">
            <v>0</v>
          </cell>
          <cell r="AQ317" t="str">
            <v/>
          </cell>
          <cell r="AR317">
            <v>0</v>
          </cell>
          <cell r="AS317">
            <v>0</v>
          </cell>
          <cell r="AT317">
            <v>0</v>
          </cell>
          <cell r="AU317" t="str">
            <v/>
          </cell>
          <cell r="AV317">
            <v>0</v>
          </cell>
          <cell r="AW317">
            <v>0</v>
          </cell>
          <cell r="AX317">
            <v>0</v>
          </cell>
          <cell r="AY317" t="str">
            <v/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-0.5</v>
          </cell>
          <cell r="BF317">
            <v>-1</v>
          </cell>
          <cell r="BG317">
            <v>0</v>
          </cell>
          <cell r="BH317">
            <v>-1</v>
          </cell>
          <cell r="BI317">
            <v>0</v>
          </cell>
          <cell r="BJ317" t="str">
            <v/>
          </cell>
          <cell r="BK317">
            <v>0</v>
          </cell>
          <cell r="BL317">
            <v>0</v>
          </cell>
          <cell r="BM317">
            <v>0</v>
          </cell>
          <cell r="BN317" t="str">
            <v/>
          </cell>
          <cell r="BO317">
            <v>0</v>
          </cell>
          <cell r="BP317">
            <v>0</v>
          </cell>
          <cell r="BQ317">
            <v>0</v>
          </cell>
          <cell r="BR317" t="str">
            <v/>
          </cell>
          <cell r="BS317">
            <v>0</v>
          </cell>
          <cell r="BT317">
            <v>0</v>
          </cell>
          <cell r="BU317">
            <v>0</v>
          </cell>
          <cell r="BV317" t="str">
            <v/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 t="str">
            <v/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 t="str">
            <v/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 t="str">
            <v/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 t="str">
            <v/>
          </cell>
          <cell r="CQ317">
            <v>0</v>
          </cell>
          <cell r="CS317">
            <v>0</v>
          </cell>
          <cell r="CT317">
            <v>0</v>
          </cell>
          <cell r="CU317" t="str">
            <v/>
          </cell>
          <cell r="CV317">
            <v>0</v>
          </cell>
          <cell r="CX317">
            <v>0</v>
          </cell>
          <cell r="CY317">
            <v>0</v>
          </cell>
          <cell r="CZ317" t="str">
            <v/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 t="str">
            <v/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 t="str">
            <v/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 t="str">
            <v/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 t="str">
            <v/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 t="str">
            <v/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 t="str">
            <v/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 t="str">
            <v/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 t="str">
            <v/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 t="str">
            <v/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 t="str">
            <v/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 t="str">
            <v/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 t="str">
            <v/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 t="str">
            <v/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 t="str">
            <v/>
          </cell>
          <cell r="FS317">
            <v>0</v>
          </cell>
          <cell r="FT317">
            <v>0</v>
          </cell>
          <cell r="FU317">
            <v>66.666666666666671</v>
          </cell>
          <cell r="FW317" t="str">
            <v>SIN ROTACIÓN</v>
          </cell>
          <cell r="FX317" t="str">
            <v/>
          </cell>
          <cell r="FY317" t="str">
            <v>No</v>
          </cell>
        </row>
        <row r="318">
          <cell r="B318" t="str">
            <v>REP-0335</v>
          </cell>
          <cell r="C318" t="str">
            <v>NAC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AA318">
            <v>0</v>
          </cell>
          <cell r="AB318">
            <v>0</v>
          </cell>
          <cell r="AC318">
            <v>0.66666666666666663</v>
          </cell>
          <cell r="AD318">
            <v>2.222222222222222E-2</v>
          </cell>
          <cell r="AE318">
            <v>0.33333333333333331</v>
          </cell>
          <cell r="AF318">
            <v>8.3333333333333329E-2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O318">
            <v>0</v>
          </cell>
          <cell r="AP318">
            <v>0</v>
          </cell>
          <cell r="AQ318">
            <v>-1</v>
          </cell>
          <cell r="AR318">
            <v>0</v>
          </cell>
          <cell r="AS318">
            <v>-0.16666666666666666</v>
          </cell>
          <cell r="AT318">
            <v>0</v>
          </cell>
          <cell r="AU318" t="str">
            <v/>
          </cell>
          <cell r="AV318">
            <v>0</v>
          </cell>
          <cell r="AW318">
            <v>0</v>
          </cell>
          <cell r="AX318">
            <v>0</v>
          </cell>
          <cell r="AY318" t="str">
            <v/>
          </cell>
          <cell r="AZ318">
            <v>0</v>
          </cell>
          <cell r="BA318">
            <v>0</v>
          </cell>
          <cell r="BB318">
            <v>0</v>
          </cell>
          <cell r="BC318" t="str">
            <v/>
          </cell>
          <cell r="BD318">
            <v>0</v>
          </cell>
          <cell r="BE318">
            <v>0</v>
          </cell>
          <cell r="BF318" t="str">
            <v/>
          </cell>
          <cell r="BG318">
            <v>0</v>
          </cell>
          <cell r="BH318">
            <v>0</v>
          </cell>
          <cell r="BI318">
            <v>0</v>
          </cell>
          <cell r="BJ318" t="str">
            <v/>
          </cell>
          <cell r="BK318">
            <v>0</v>
          </cell>
          <cell r="BL318">
            <v>0</v>
          </cell>
          <cell r="BM318">
            <v>0</v>
          </cell>
          <cell r="BN318" t="str">
            <v/>
          </cell>
          <cell r="BO318">
            <v>0</v>
          </cell>
          <cell r="BP318">
            <v>0</v>
          </cell>
          <cell r="BQ318">
            <v>0</v>
          </cell>
          <cell r="BR318" t="str">
            <v/>
          </cell>
          <cell r="BS318">
            <v>0</v>
          </cell>
          <cell r="BT318">
            <v>0</v>
          </cell>
          <cell r="BU318">
            <v>0</v>
          </cell>
          <cell r="BV318" t="str">
            <v/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 t="str">
            <v/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 t="str">
            <v/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 t="str">
            <v/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 t="str">
            <v/>
          </cell>
          <cell r="CQ318">
            <v>0</v>
          </cell>
          <cell r="CS318">
            <v>0</v>
          </cell>
          <cell r="CT318">
            <v>0</v>
          </cell>
          <cell r="CU318" t="str">
            <v/>
          </cell>
          <cell r="CV318">
            <v>0</v>
          </cell>
          <cell r="CX318">
            <v>0</v>
          </cell>
          <cell r="CY318">
            <v>0</v>
          </cell>
          <cell r="CZ318" t="str">
            <v/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 t="str">
            <v/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 t="str">
            <v/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 t="str">
            <v/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 t="str">
            <v/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 t="str">
            <v/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 t="str">
            <v/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 t="str">
            <v/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 t="str">
            <v/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 t="str">
            <v/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 t="str">
            <v/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 t="str">
            <v/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 t="str">
            <v/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 t="str">
            <v/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 t="str">
            <v/>
          </cell>
          <cell r="FS318">
            <v>0</v>
          </cell>
          <cell r="FT318">
            <v>0</v>
          </cell>
          <cell r="FU318">
            <v>66.666666666666671</v>
          </cell>
          <cell r="FW318" t="str">
            <v>SIN ROTACIÓN</v>
          </cell>
          <cell r="FX318" t="str">
            <v/>
          </cell>
          <cell r="FY318" t="str">
            <v>No</v>
          </cell>
        </row>
        <row r="319">
          <cell r="B319" t="str">
            <v>REP-0336</v>
          </cell>
          <cell r="C319" t="str">
            <v>NAC</v>
          </cell>
          <cell r="D319">
            <v>0</v>
          </cell>
          <cell r="E319">
            <v>19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19</v>
          </cell>
          <cell r="AA319">
            <v>19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19</v>
          </cell>
          <cell r="AQ319" t="str">
            <v/>
          </cell>
          <cell r="AR319">
            <v>0</v>
          </cell>
          <cell r="AS319">
            <v>19</v>
          </cell>
          <cell r="AT319">
            <v>19</v>
          </cell>
          <cell r="AU319" t="str">
            <v/>
          </cell>
          <cell r="AV319">
            <v>0</v>
          </cell>
          <cell r="AW319">
            <v>19</v>
          </cell>
          <cell r="AX319">
            <v>19</v>
          </cell>
          <cell r="AY319" t="str">
            <v/>
          </cell>
          <cell r="AZ319">
            <v>0</v>
          </cell>
          <cell r="BA319">
            <v>19</v>
          </cell>
          <cell r="BB319">
            <v>19</v>
          </cell>
          <cell r="BC319" t="str">
            <v/>
          </cell>
          <cell r="BD319">
            <v>0</v>
          </cell>
          <cell r="BE319">
            <v>19</v>
          </cell>
          <cell r="BF319" t="str">
            <v/>
          </cell>
          <cell r="BG319">
            <v>0</v>
          </cell>
          <cell r="BH319">
            <v>19</v>
          </cell>
          <cell r="BI319">
            <v>19</v>
          </cell>
          <cell r="BJ319" t="str">
            <v/>
          </cell>
          <cell r="BK319">
            <v>0</v>
          </cell>
          <cell r="BL319">
            <v>19</v>
          </cell>
          <cell r="BM319">
            <v>19</v>
          </cell>
          <cell r="BN319" t="str">
            <v/>
          </cell>
          <cell r="BO319">
            <v>0</v>
          </cell>
          <cell r="BP319">
            <v>19</v>
          </cell>
          <cell r="BQ319">
            <v>19</v>
          </cell>
          <cell r="BR319" t="str">
            <v/>
          </cell>
          <cell r="BS319">
            <v>0</v>
          </cell>
          <cell r="BT319">
            <v>19</v>
          </cell>
          <cell r="BU319">
            <v>19</v>
          </cell>
          <cell r="BV319" t="str">
            <v/>
          </cell>
          <cell r="BW319">
            <v>0</v>
          </cell>
          <cell r="BX319">
            <v>0</v>
          </cell>
          <cell r="BY319">
            <v>19</v>
          </cell>
          <cell r="BZ319">
            <v>19</v>
          </cell>
          <cell r="CA319" t="str">
            <v/>
          </cell>
          <cell r="CB319">
            <v>0</v>
          </cell>
          <cell r="CC319">
            <v>0</v>
          </cell>
          <cell r="CD319">
            <v>19</v>
          </cell>
          <cell r="CE319">
            <v>19</v>
          </cell>
          <cell r="CF319" t="str">
            <v/>
          </cell>
          <cell r="CG319">
            <v>0</v>
          </cell>
          <cell r="CH319">
            <v>0</v>
          </cell>
          <cell r="CI319">
            <v>19</v>
          </cell>
          <cell r="CJ319">
            <v>19</v>
          </cell>
          <cell r="CK319" t="str">
            <v/>
          </cell>
          <cell r="CL319">
            <v>0</v>
          </cell>
          <cell r="CM319">
            <v>0</v>
          </cell>
          <cell r="CN319">
            <v>19</v>
          </cell>
          <cell r="CO319">
            <v>19</v>
          </cell>
          <cell r="CP319" t="str">
            <v/>
          </cell>
          <cell r="CQ319">
            <v>0</v>
          </cell>
          <cell r="CR319">
            <v>0</v>
          </cell>
          <cell r="CS319">
            <v>19</v>
          </cell>
          <cell r="CT319">
            <v>19</v>
          </cell>
          <cell r="CU319" t="str">
            <v/>
          </cell>
          <cell r="CV319">
            <v>0</v>
          </cell>
          <cell r="CW319">
            <v>0</v>
          </cell>
          <cell r="CX319">
            <v>19</v>
          </cell>
          <cell r="CY319">
            <v>19</v>
          </cell>
          <cell r="CZ319" t="str">
            <v/>
          </cell>
          <cell r="DA319">
            <v>0</v>
          </cell>
          <cell r="DB319">
            <v>0</v>
          </cell>
          <cell r="DC319">
            <v>19</v>
          </cell>
          <cell r="DD319">
            <v>19</v>
          </cell>
          <cell r="DE319" t="str">
            <v/>
          </cell>
          <cell r="DF319">
            <v>0</v>
          </cell>
          <cell r="DG319">
            <v>0</v>
          </cell>
          <cell r="DH319">
            <v>19</v>
          </cell>
          <cell r="DI319">
            <v>19</v>
          </cell>
          <cell r="DJ319" t="str">
            <v/>
          </cell>
          <cell r="DK319">
            <v>0</v>
          </cell>
          <cell r="DL319">
            <v>0</v>
          </cell>
          <cell r="DM319">
            <v>19</v>
          </cell>
          <cell r="DN319">
            <v>19</v>
          </cell>
          <cell r="DO319" t="str">
            <v/>
          </cell>
          <cell r="DP319">
            <v>0</v>
          </cell>
          <cell r="DQ319">
            <v>0</v>
          </cell>
          <cell r="DR319">
            <v>19</v>
          </cell>
          <cell r="DS319">
            <v>19</v>
          </cell>
          <cell r="DT319" t="str">
            <v/>
          </cell>
          <cell r="DU319">
            <v>0</v>
          </cell>
          <cell r="DV319">
            <v>0</v>
          </cell>
          <cell r="DW319">
            <v>19</v>
          </cell>
          <cell r="DX319">
            <v>19</v>
          </cell>
          <cell r="DY319" t="str">
            <v/>
          </cell>
          <cell r="DZ319">
            <v>0</v>
          </cell>
          <cell r="EA319">
            <v>0</v>
          </cell>
          <cell r="EB319">
            <v>19</v>
          </cell>
          <cell r="EC319">
            <v>19</v>
          </cell>
          <cell r="ED319" t="str">
            <v/>
          </cell>
          <cell r="EE319">
            <v>0</v>
          </cell>
          <cell r="EF319">
            <v>0</v>
          </cell>
          <cell r="EG319">
            <v>19</v>
          </cell>
          <cell r="EH319">
            <v>19</v>
          </cell>
          <cell r="EI319" t="str">
            <v/>
          </cell>
          <cell r="EJ319">
            <v>0</v>
          </cell>
          <cell r="EK319">
            <v>0</v>
          </cell>
          <cell r="EL319">
            <v>19</v>
          </cell>
          <cell r="EM319">
            <v>19</v>
          </cell>
          <cell r="EN319" t="str">
            <v/>
          </cell>
          <cell r="EO319">
            <v>0</v>
          </cell>
          <cell r="EP319">
            <v>0</v>
          </cell>
          <cell r="EQ319">
            <v>19</v>
          </cell>
          <cell r="ER319">
            <v>19</v>
          </cell>
          <cell r="ES319" t="str">
            <v/>
          </cell>
          <cell r="ET319">
            <v>0</v>
          </cell>
          <cell r="EU319">
            <v>0</v>
          </cell>
          <cell r="EV319">
            <v>19</v>
          </cell>
          <cell r="EW319">
            <v>19</v>
          </cell>
          <cell r="EX319" t="str">
            <v/>
          </cell>
          <cell r="EY319">
            <v>0</v>
          </cell>
          <cell r="EZ319">
            <v>0</v>
          </cell>
          <cell r="FA319">
            <v>19</v>
          </cell>
          <cell r="FB319">
            <v>19</v>
          </cell>
          <cell r="FC319" t="str">
            <v/>
          </cell>
          <cell r="FD319">
            <v>0</v>
          </cell>
          <cell r="FE319">
            <v>0</v>
          </cell>
          <cell r="FF319">
            <v>19</v>
          </cell>
          <cell r="FG319">
            <v>19</v>
          </cell>
          <cell r="FH319" t="str">
            <v/>
          </cell>
          <cell r="FI319">
            <v>0</v>
          </cell>
          <cell r="FJ319">
            <v>0</v>
          </cell>
          <cell r="FK319">
            <v>19</v>
          </cell>
          <cell r="FL319">
            <v>19</v>
          </cell>
          <cell r="FM319" t="str">
            <v/>
          </cell>
          <cell r="FN319">
            <v>0</v>
          </cell>
          <cell r="FO319">
            <v>0</v>
          </cell>
          <cell r="FP319">
            <v>19</v>
          </cell>
          <cell r="FQ319">
            <v>19</v>
          </cell>
          <cell r="FR319" t="str">
            <v/>
          </cell>
          <cell r="FS319">
            <v>0</v>
          </cell>
          <cell r="FT319">
            <v>0</v>
          </cell>
          <cell r="FU319">
            <v>1.0333333333333334</v>
          </cell>
          <cell r="FW319" t="str">
            <v>SIN ROTACIÓN</v>
          </cell>
          <cell r="FX319" t="str">
            <v>STOCK MUERTO</v>
          </cell>
          <cell r="FY319" t="str">
            <v>Si</v>
          </cell>
        </row>
        <row r="320">
          <cell r="B320" t="str">
            <v>REP-0337</v>
          </cell>
          <cell r="C320" t="str">
            <v>NAC</v>
          </cell>
          <cell r="D320">
            <v>0</v>
          </cell>
          <cell r="E320">
            <v>30</v>
          </cell>
          <cell r="F320">
            <v>0</v>
          </cell>
          <cell r="G320">
            <v>0</v>
          </cell>
          <cell r="H320">
            <v>4</v>
          </cell>
          <cell r="I320">
            <v>4</v>
          </cell>
          <cell r="J320">
            <v>0</v>
          </cell>
          <cell r="K320">
            <v>12</v>
          </cell>
          <cell r="L320">
            <v>5</v>
          </cell>
          <cell r="M320">
            <v>4</v>
          </cell>
          <cell r="N320">
            <v>3</v>
          </cell>
          <cell r="O320">
            <v>1</v>
          </cell>
          <cell r="P320">
            <v>2</v>
          </cell>
          <cell r="Q320">
            <v>3</v>
          </cell>
          <cell r="R320">
            <v>4</v>
          </cell>
          <cell r="S320">
            <v>0</v>
          </cell>
          <cell r="T320">
            <v>7</v>
          </cell>
          <cell r="U320">
            <v>2</v>
          </cell>
          <cell r="V320">
            <v>0</v>
          </cell>
          <cell r="W320">
            <v>1</v>
          </cell>
          <cell r="X320">
            <v>2</v>
          </cell>
          <cell r="Y320">
            <v>84</v>
          </cell>
          <cell r="AA320">
            <v>84</v>
          </cell>
          <cell r="AB320">
            <v>0</v>
          </cell>
          <cell r="AC320">
            <v>18.333333333333332</v>
          </cell>
          <cell r="AD320">
            <v>0.61111111111111105</v>
          </cell>
          <cell r="AE320">
            <v>14.416666666666666</v>
          </cell>
          <cell r="AF320">
            <v>17.25</v>
          </cell>
          <cell r="AG320">
            <v>12.666666666666666</v>
          </cell>
          <cell r="AH320">
            <v>14.5</v>
          </cell>
          <cell r="AI320">
            <v>5.666666666666667</v>
          </cell>
          <cell r="AJ320">
            <v>5.666666666666667</v>
          </cell>
          <cell r="AK320">
            <v>9.6249999999999982</v>
          </cell>
          <cell r="AL320">
            <v>4.6315644105300873</v>
          </cell>
          <cell r="AM320">
            <v>9.6249999999999982</v>
          </cell>
          <cell r="AN320">
            <v>0.48120149719793126</v>
          </cell>
          <cell r="AO320">
            <v>0</v>
          </cell>
          <cell r="AP320">
            <v>88.166666666666671</v>
          </cell>
          <cell r="AQ320">
            <v>4.9710144927536231</v>
          </cell>
          <cell r="AR320">
            <v>0</v>
          </cell>
          <cell r="AS320">
            <v>68.5</v>
          </cell>
          <cell r="AT320">
            <v>97</v>
          </cell>
          <cell r="AU320">
            <v>7.6578947368421053</v>
          </cell>
          <cell r="AV320">
            <v>0</v>
          </cell>
          <cell r="AW320">
            <v>84.333333333333329</v>
          </cell>
          <cell r="AX320">
            <v>80</v>
          </cell>
          <cell r="AY320">
            <v>8.3116883116883127</v>
          </cell>
          <cell r="AZ320">
            <v>0</v>
          </cell>
          <cell r="BA320">
            <v>67.333333333333329</v>
          </cell>
          <cell r="BB320">
            <v>57</v>
          </cell>
          <cell r="BC320">
            <v>4.5</v>
          </cell>
          <cell r="BD320">
            <v>0</v>
          </cell>
          <cell r="BE320">
            <v>44.333333333333336</v>
          </cell>
          <cell r="BF320">
            <v>3.5000000000000004</v>
          </cell>
          <cell r="BG320">
            <v>0</v>
          </cell>
          <cell r="BH320">
            <v>31.666666666666671</v>
          </cell>
          <cell r="BI320">
            <v>84</v>
          </cell>
          <cell r="BJ320">
            <v>8.7272727272727284</v>
          </cell>
          <cell r="BK320">
            <v>0</v>
          </cell>
          <cell r="BL320">
            <v>122.33333333333333</v>
          </cell>
          <cell r="BM320">
            <v>114</v>
          </cell>
          <cell r="BN320">
            <v>9</v>
          </cell>
          <cell r="BO320">
            <v>0</v>
          </cell>
          <cell r="BP320">
            <v>101.33333333333333</v>
          </cell>
          <cell r="BQ320">
            <v>194</v>
          </cell>
          <cell r="BR320">
            <v>20.155844155844161</v>
          </cell>
          <cell r="BS320">
            <v>0</v>
          </cell>
          <cell r="BT320">
            <v>178.5</v>
          </cell>
          <cell r="BU320">
            <v>184</v>
          </cell>
          <cell r="BV320">
            <v>12.404494382022472</v>
          </cell>
          <cell r="BW320">
            <v>0</v>
          </cell>
          <cell r="BX320">
            <v>0</v>
          </cell>
          <cell r="BY320">
            <v>169.16666666666666</v>
          </cell>
          <cell r="BZ320">
            <v>156</v>
          </cell>
          <cell r="CA320">
            <v>10.4</v>
          </cell>
          <cell r="CB320">
            <v>0</v>
          </cell>
          <cell r="CC320">
            <v>0</v>
          </cell>
          <cell r="CD320">
            <v>141</v>
          </cell>
          <cell r="CE320">
            <v>133</v>
          </cell>
          <cell r="CF320">
            <v>7.3888888888888893</v>
          </cell>
          <cell r="CG320">
            <v>0</v>
          </cell>
          <cell r="CH320">
            <v>0</v>
          </cell>
          <cell r="CI320">
            <v>123</v>
          </cell>
          <cell r="CJ320">
            <v>124</v>
          </cell>
          <cell r="CK320">
            <v>6.8888888888888893</v>
          </cell>
          <cell r="CL320">
            <v>0</v>
          </cell>
          <cell r="CM320">
            <v>0</v>
          </cell>
          <cell r="CN320">
            <v>106</v>
          </cell>
          <cell r="CO320">
            <v>119</v>
          </cell>
          <cell r="CP320">
            <v>6.6111111111111107</v>
          </cell>
          <cell r="CQ320">
            <v>0</v>
          </cell>
          <cell r="CR320">
            <v>0</v>
          </cell>
          <cell r="CS320">
            <v>101</v>
          </cell>
          <cell r="CT320">
            <v>115</v>
          </cell>
          <cell r="CU320">
            <v>7.931034482758621</v>
          </cell>
          <cell r="CV320">
            <v>0</v>
          </cell>
          <cell r="CW320">
            <v>0</v>
          </cell>
          <cell r="CX320">
            <v>100.5</v>
          </cell>
          <cell r="CY320">
            <v>111</v>
          </cell>
          <cell r="CZ320">
            <v>7.6551724137931032</v>
          </cell>
          <cell r="DA320">
            <v>0</v>
          </cell>
          <cell r="DB320">
            <v>0</v>
          </cell>
          <cell r="DC320">
            <v>101.29166666666667</v>
          </cell>
          <cell r="DD320">
            <v>110</v>
          </cell>
          <cell r="DE320">
            <v>9.4850299401197606</v>
          </cell>
          <cell r="DF320">
            <v>0</v>
          </cell>
          <cell r="DG320">
            <v>0</v>
          </cell>
          <cell r="DH320">
            <v>99.5625</v>
          </cell>
          <cell r="DI320">
            <v>97</v>
          </cell>
          <cell r="DJ320">
            <v>10.58569051580699</v>
          </cell>
          <cell r="DK320">
            <v>0</v>
          </cell>
          <cell r="DL320">
            <v>0</v>
          </cell>
          <cell r="DM320">
            <v>89.545833333333334</v>
          </cell>
          <cell r="DN320">
            <v>84</v>
          </cell>
          <cell r="DO320">
            <v>9.6883116883116891</v>
          </cell>
          <cell r="DP320">
            <v>0</v>
          </cell>
          <cell r="DQ320">
            <v>0</v>
          </cell>
          <cell r="DR320">
            <v>74.375</v>
          </cell>
          <cell r="DS320">
            <v>74.375</v>
          </cell>
          <cell r="DT320">
            <v>8.6883116883116891</v>
          </cell>
          <cell r="DU320">
            <v>0</v>
          </cell>
          <cell r="DV320">
            <v>0</v>
          </cell>
          <cell r="DW320">
            <v>64.75</v>
          </cell>
          <cell r="DX320">
            <v>64.75</v>
          </cell>
          <cell r="DY320">
            <v>7.6883116883116891</v>
          </cell>
          <cell r="DZ320">
            <v>0</v>
          </cell>
          <cell r="EA320">
            <v>0</v>
          </cell>
          <cell r="EB320">
            <v>55.125</v>
          </cell>
          <cell r="EC320">
            <v>55.125</v>
          </cell>
          <cell r="ED320">
            <v>6.6883116883116891</v>
          </cell>
          <cell r="EE320">
            <v>0</v>
          </cell>
          <cell r="EF320">
            <v>0</v>
          </cell>
          <cell r="EG320">
            <v>45.5</v>
          </cell>
          <cell r="EH320">
            <v>45.5</v>
          </cell>
          <cell r="EI320">
            <v>5.6883116883116891</v>
          </cell>
          <cell r="EJ320">
            <v>0</v>
          </cell>
          <cell r="EK320">
            <v>0</v>
          </cell>
          <cell r="EL320">
            <v>35.875</v>
          </cell>
          <cell r="EM320">
            <v>35.875</v>
          </cell>
          <cell r="EN320">
            <v>4.6883116883116891</v>
          </cell>
          <cell r="EO320">
            <v>0</v>
          </cell>
          <cell r="EP320">
            <v>0</v>
          </cell>
          <cell r="EQ320">
            <v>26.25</v>
          </cell>
          <cell r="ER320">
            <v>26.25</v>
          </cell>
          <cell r="ES320">
            <v>3.6883116883116887</v>
          </cell>
          <cell r="ET320">
            <v>0</v>
          </cell>
          <cell r="EU320">
            <v>0</v>
          </cell>
          <cell r="EV320">
            <v>16.625</v>
          </cell>
          <cell r="EW320">
            <v>16.625</v>
          </cell>
          <cell r="EX320">
            <v>2.6883116883116882</v>
          </cell>
          <cell r="EY320">
            <v>0</v>
          </cell>
          <cell r="EZ320">
            <v>0</v>
          </cell>
          <cell r="FA320">
            <v>7.0000000000000018</v>
          </cell>
          <cell r="FB320">
            <v>7.0000000000000018</v>
          </cell>
          <cell r="FC320">
            <v>1.6883116883116884</v>
          </cell>
          <cell r="FD320">
            <v>2.9999999999999982</v>
          </cell>
          <cell r="FE320">
            <v>0</v>
          </cell>
          <cell r="FF320">
            <v>-2.6249999999999964</v>
          </cell>
          <cell r="FG320">
            <v>-2.6249999999999964</v>
          </cell>
          <cell r="FH320">
            <v>0.68831168831168843</v>
          </cell>
          <cell r="FI320">
            <v>12.624999999999996</v>
          </cell>
          <cell r="FJ320">
            <v>0</v>
          </cell>
          <cell r="FK320">
            <v>-12.249999999999995</v>
          </cell>
          <cell r="FL320">
            <v>-12.249999999999995</v>
          </cell>
          <cell r="FM320">
            <v>-0.31168831168831135</v>
          </cell>
          <cell r="FN320">
            <v>22.249999999999993</v>
          </cell>
          <cell r="FO320">
            <v>0</v>
          </cell>
          <cell r="FP320">
            <v>-21.874999999999993</v>
          </cell>
          <cell r="FQ320">
            <v>-21.874999999999993</v>
          </cell>
          <cell r="FR320">
            <v>-1.3116883116883113</v>
          </cell>
          <cell r="FS320">
            <v>31.874999999999993</v>
          </cell>
          <cell r="FT320">
            <v>10</v>
          </cell>
          <cell r="FU320">
            <v>1</v>
          </cell>
          <cell r="FW320" t="str">
            <v>SOBRESTOCK</v>
          </cell>
          <cell r="FX320" t="str">
            <v>A</v>
          </cell>
          <cell r="FY320" t="str">
            <v>Si</v>
          </cell>
        </row>
        <row r="321">
          <cell r="B321" t="str">
            <v>REP-0338</v>
          </cell>
          <cell r="C321" t="str">
            <v>NAC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2</v>
          </cell>
          <cell r="V321">
            <v>0</v>
          </cell>
          <cell r="W321">
            <v>0</v>
          </cell>
          <cell r="X321">
            <v>0</v>
          </cell>
          <cell r="Y321">
            <v>2</v>
          </cell>
          <cell r="AA321">
            <v>2</v>
          </cell>
          <cell r="AB321">
            <v>0</v>
          </cell>
          <cell r="AC321">
            <v>0.16666666666666666</v>
          </cell>
          <cell r="AD321">
            <v>5.5555555555555549E-3</v>
          </cell>
          <cell r="AE321">
            <v>0.41666666666666669</v>
          </cell>
          <cell r="AF321">
            <v>0.41666666666666669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0.18633899812498247</v>
          </cell>
          <cell r="AM321">
            <v>0</v>
          </cell>
          <cell r="AN321">
            <v>0</v>
          </cell>
          <cell r="AO321">
            <v>0</v>
          </cell>
          <cell r="AP321">
            <v>4</v>
          </cell>
          <cell r="AQ321">
            <v>8.6</v>
          </cell>
          <cell r="AR321">
            <v>0</v>
          </cell>
          <cell r="AS321">
            <v>3.166666666666667</v>
          </cell>
          <cell r="AT321">
            <v>4</v>
          </cell>
          <cell r="AU321" t="str">
            <v/>
          </cell>
          <cell r="AV321">
            <v>0</v>
          </cell>
          <cell r="AW321">
            <v>4</v>
          </cell>
          <cell r="AX321">
            <v>4</v>
          </cell>
          <cell r="AY321" t="str">
            <v/>
          </cell>
          <cell r="AZ321">
            <v>0</v>
          </cell>
          <cell r="BA321">
            <v>4</v>
          </cell>
          <cell r="BB321">
            <v>4</v>
          </cell>
          <cell r="BC321" t="str">
            <v/>
          </cell>
          <cell r="BD321">
            <v>0</v>
          </cell>
          <cell r="BE321">
            <v>4</v>
          </cell>
          <cell r="BF321" t="str">
            <v/>
          </cell>
          <cell r="BG321">
            <v>0</v>
          </cell>
          <cell r="BH321">
            <v>4</v>
          </cell>
          <cell r="BI321">
            <v>2</v>
          </cell>
          <cell r="BJ321" t="str">
            <v/>
          </cell>
          <cell r="BK321">
            <v>0</v>
          </cell>
          <cell r="BL321">
            <v>4</v>
          </cell>
          <cell r="BM321">
            <v>4</v>
          </cell>
          <cell r="BN321" t="str">
            <v/>
          </cell>
          <cell r="BO321">
            <v>0</v>
          </cell>
          <cell r="BP321">
            <v>4</v>
          </cell>
          <cell r="BQ321">
            <v>4</v>
          </cell>
          <cell r="BR321" t="str">
            <v/>
          </cell>
          <cell r="BS321">
            <v>0</v>
          </cell>
          <cell r="BT321">
            <v>4</v>
          </cell>
          <cell r="BU321">
            <v>4</v>
          </cell>
          <cell r="BV321" t="str">
            <v/>
          </cell>
          <cell r="BW321">
            <v>0</v>
          </cell>
          <cell r="BX321">
            <v>0</v>
          </cell>
          <cell r="BY321">
            <v>4</v>
          </cell>
          <cell r="BZ321">
            <v>4</v>
          </cell>
          <cell r="CA321" t="str">
            <v/>
          </cell>
          <cell r="CB321">
            <v>0</v>
          </cell>
          <cell r="CC321">
            <v>0</v>
          </cell>
          <cell r="CD321">
            <v>4</v>
          </cell>
          <cell r="CE321">
            <v>4</v>
          </cell>
          <cell r="CF321" t="str">
            <v/>
          </cell>
          <cell r="CG321">
            <v>0</v>
          </cell>
          <cell r="CH321">
            <v>0</v>
          </cell>
          <cell r="CI321">
            <v>4</v>
          </cell>
          <cell r="CJ321">
            <v>4</v>
          </cell>
          <cell r="CK321" t="str">
            <v/>
          </cell>
          <cell r="CL321">
            <v>0</v>
          </cell>
          <cell r="CM321">
            <v>0</v>
          </cell>
          <cell r="CN321">
            <v>4</v>
          </cell>
          <cell r="CO321">
            <v>4</v>
          </cell>
          <cell r="CP321" t="str">
            <v/>
          </cell>
          <cell r="CQ321">
            <v>0</v>
          </cell>
          <cell r="CR321">
            <v>0</v>
          </cell>
          <cell r="CS321">
            <v>4</v>
          </cell>
          <cell r="CT321">
            <v>4</v>
          </cell>
          <cell r="CU321" t="str">
            <v/>
          </cell>
          <cell r="CV321">
            <v>0</v>
          </cell>
          <cell r="CW321">
            <v>0</v>
          </cell>
          <cell r="CX321">
            <v>4</v>
          </cell>
          <cell r="CY321">
            <v>4</v>
          </cell>
          <cell r="CZ321" t="str">
            <v/>
          </cell>
          <cell r="DA321">
            <v>0</v>
          </cell>
          <cell r="DB321">
            <v>0</v>
          </cell>
          <cell r="DC321">
            <v>4</v>
          </cell>
          <cell r="DD321">
            <v>2</v>
          </cell>
          <cell r="DE321" t="str">
            <v/>
          </cell>
          <cell r="DF321">
            <v>0</v>
          </cell>
          <cell r="DG321">
            <v>0</v>
          </cell>
          <cell r="DH321">
            <v>2</v>
          </cell>
          <cell r="DI321">
            <v>2</v>
          </cell>
          <cell r="DJ321" t="str">
            <v/>
          </cell>
          <cell r="DK321">
            <v>0</v>
          </cell>
          <cell r="DL321">
            <v>0</v>
          </cell>
          <cell r="DM321">
            <v>2</v>
          </cell>
          <cell r="DN321">
            <v>2</v>
          </cell>
          <cell r="DO321" t="str">
            <v/>
          </cell>
          <cell r="DP321">
            <v>0</v>
          </cell>
          <cell r="DQ321">
            <v>0</v>
          </cell>
          <cell r="DR321">
            <v>2</v>
          </cell>
          <cell r="DS321">
            <v>2</v>
          </cell>
          <cell r="DT321" t="str">
            <v/>
          </cell>
          <cell r="DU321">
            <v>0</v>
          </cell>
          <cell r="DV321">
            <v>0</v>
          </cell>
          <cell r="DW321">
            <v>2</v>
          </cell>
          <cell r="DX321">
            <v>2</v>
          </cell>
          <cell r="DY321" t="str">
            <v/>
          </cell>
          <cell r="DZ321">
            <v>0</v>
          </cell>
          <cell r="EA321">
            <v>0</v>
          </cell>
          <cell r="EB321">
            <v>2</v>
          </cell>
          <cell r="EC321">
            <v>2</v>
          </cell>
          <cell r="ED321" t="str">
            <v/>
          </cell>
          <cell r="EE321">
            <v>0</v>
          </cell>
          <cell r="EF321">
            <v>0</v>
          </cell>
          <cell r="EG321">
            <v>2</v>
          </cell>
          <cell r="EH321">
            <v>2</v>
          </cell>
          <cell r="EI321" t="str">
            <v/>
          </cell>
          <cell r="EJ321">
            <v>0</v>
          </cell>
          <cell r="EK321">
            <v>0</v>
          </cell>
          <cell r="EL321">
            <v>2</v>
          </cell>
          <cell r="EM321">
            <v>2</v>
          </cell>
          <cell r="EN321" t="str">
            <v/>
          </cell>
          <cell r="EO321">
            <v>0</v>
          </cell>
          <cell r="EP321">
            <v>0</v>
          </cell>
          <cell r="EQ321">
            <v>2</v>
          </cell>
          <cell r="ER321">
            <v>2</v>
          </cell>
          <cell r="ES321" t="str">
            <v/>
          </cell>
          <cell r="ET321">
            <v>0</v>
          </cell>
          <cell r="EU321">
            <v>0</v>
          </cell>
          <cell r="EV321">
            <v>2</v>
          </cell>
          <cell r="EW321">
            <v>2</v>
          </cell>
          <cell r="EX321" t="str">
            <v/>
          </cell>
          <cell r="EY321">
            <v>0</v>
          </cell>
          <cell r="EZ321">
            <v>0</v>
          </cell>
          <cell r="FA321">
            <v>2</v>
          </cell>
          <cell r="FB321">
            <v>2</v>
          </cell>
          <cell r="FC321" t="str">
            <v/>
          </cell>
          <cell r="FD321">
            <v>0</v>
          </cell>
          <cell r="FE321">
            <v>0</v>
          </cell>
          <cell r="FF321">
            <v>2</v>
          </cell>
          <cell r="FG321">
            <v>2</v>
          </cell>
          <cell r="FH321" t="str">
            <v/>
          </cell>
          <cell r="FI321">
            <v>0</v>
          </cell>
          <cell r="FJ321">
            <v>0</v>
          </cell>
          <cell r="FK321">
            <v>2</v>
          </cell>
          <cell r="FL321">
            <v>2</v>
          </cell>
          <cell r="FM321" t="str">
            <v/>
          </cell>
          <cell r="FN321">
            <v>0</v>
          </cell>
          <cell r="FO321">
            <v>0</v>
          </cell>
          <cell r="FP321">
            <v>2</v>
          </cell>
          <cell r="FQ321">
            <v>2</v>
          </cell>
          <cell r="FR321" t="str">
            <v/>
          </cell>
          <cell r="FS321">
            <v>0</v>
          </cell>
          <cell r="FT321">
            <v>0</v>
          </cell>
          <cell r="FU321">
            <v>1</v>
          </cell>
          <cell r="FW321" t="str">
            <v>SIN ROTACIÓN</v>
          </cell>
          <cell r="FX321" t="str">
            <v>C</v>
          </cell>
          <cell r="FY321" t="str">
            <v>Si</v>
          </cell>
        </row>
        <row r="322">
          <cell r="B322" t="str">
            <v>REP-0339</v>
          </cell>
          <cell r="C322" t="str">
            <v>NAC</v>
          </cell>
          <cell r="D322">
            <v>0</v>
          </cell>
          <cell r="E322">
            <v>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3</v>
          </cell>
          <cell r="L322">
            <v>0</v>
          </cell>
          <cell r="M322">
            <v>0</v>
          </cell>
          <cell r="N322">
            <v>1</v>
          </cell>
          <cell r="O322">
            <v>1</v>
          </cell>
          <cell r="P322">
            <v>0</v>
          </cell>
          <cell r="Q322">
            <v>1</v>
          </cell>
          <cell r="R322">
            <v>0</v>
          </cell>
          <cell r="S322">
            <v>0</v>
          </cell>
          <cell r="T322">
            <v>1</v>
          </cell>
          <cell r="U322">
            <v>1</v>
          </cell>
          <cell r="V322">
            <v>0</v>
          </cell>
          <cell r="W322">
            <v>0</v>
          </cell>
          <cell r="X322">
            <v>0</v>
          </cell>
          <cell r="Y322">
            <v>12</v>
          </cell>
          <cell r="AA322">
            <v>12</v>
          </cell>
          <cell r="AB322">
            <v>0</v>
          </cell>
          <cell r="AC322">
            <v>0</v>
          </cell>
          <cell r="AD322">
            <v>0</v>
          </cell>
          <cell r="AE322">
            <v>8.3333333333333329E-2</v>
          </cell>
          <cell r="AF322">
            <v>0</v>
          </cell>
          <cell r="AG322">
            <v>0.16666666666666666</v>
          </cell>
          <cell r="AH322">
            <v>1.25</v>
          </cell>
          <cell r="AI322">
            <v>0.33333333333333331</v>
          </cell>
          <cell r="AJ322">
            <v>0.33333333333333331</v>
          </cell>
          <cell r="AK322">
            <v>1.25</v>
          </cell>
          <cell r="AL322">
            <v>0.49241938614543984</v>
          </cell>
          <cell r="AM322">
            <v>0.52083333333333337</v>
          </cell>
          <cell r="AN322">
            <v>0.94544522139924447</v>
          </cell>
          <cell r="AO322">
            <v>0</v>
          </cell>
          <cell r="AP322">
            <v>21.166666666666668</v>
          </cell>
          <cell r="AQ322">
            <v>131</v>
          </cell>
          <cell r="AR322">
            <v>0</v>
          </cell>
          <cell r="AS322">
            <v>22</v>
          </cell>
          <cell r="AT322">
            <v>21</v>
          </cell>
          <cell r="AU322">
            <v>126</v>
          </cell>
          <cell r="AV322">
            <v>0</v>
          </cell>
          <cell r="AW322">
            <v>20.833333333333332</v>
          </cell>
          <cell r="AX322">
            <v>21</v>
          </cell>
          <cell r="AY322">
            <v>16.8</v>
          </cell>
          <cell r="AZ322">
            <v>0</v>
          </cell>
          <cell r="BA322">
            <v>20.833333333333332</v>
          </cell>
          <cell r="BB322">
            <v>28</v>
          </cell>
          <cell r="BC322">
            <v>42</v>
          </cell>
          <cell r="BD322">
            <v>0</v>
          </cell>
          <cell r="BE322">
            <v>27.333333333333332</v>
          </cell>
          <cell r="BF322">
            <v>41</v>
          </cell>
          <cell r="BG322">
            <v>0</v>
          </cell>
          <cell r="BH322">
            <v>26.666666666666664</v>
          </cell>
          <cell r="BI322">
            <v>12</v>
          </cell>
          <cell r="BJ322">
            <v>9.6</v>
          </cell>
          <cell r="BK322">
            <v>0</v>
          </cell>
          <cell r="BL322">
            <v>25.333333333333332</v>
          </cell>
          <cell r="BM322">
            <v>26</v>
          </cell>
          <cell r="BN322">
            <v>31.2</v>
          </cell>
          <cell r="BO322">
            <v>0</v>
          </cell>
          <cell r="BP322">
            <v>25.166666666666668</v>
          </cell>
          <cell r="BQ322">
            <v>26</v>
          </cell>
          <cell r="BR322">
            <v>20.8</v>
          </cell>
          <cell r="BS322">
            <v>0</v>
          </cell>
          <cell r="BT322">
            <v>25.166666666666668</v>
          </cell>
          <cell r="BU322">
            <v>26</v>
          </cell>
          <cell r="BV322">
            <v>31.2</v>
          </cell>
          <cell r="BW322">
            <v>0</v>
          </cell>
          <cell r="BX322">
            <v>0</v>
          </cell>
          <cell r="BY322">
            <v>25.166666666666668</v>
          </cell>
          <cell r="BZ322">
            <v>26</v>
          </cell>
          <cell r="CA322">
            <v>31.2</v>
          </cell>
          <cell r="CB322">
            <v>0</v>
          </cell>
          <cell r="CC322">
            <v>0</v>
          </cell>
          <cell r="CD322">
            <v>25.166666666666668</v>
          </cell>
          <cell r="CE322">
            <v>24</v>
          </cell>
          <cell r="CF322">
            <v>36</v>
          </cell>
          <cell r="CG322">
            <v>0</v>
          </cell>
          <cell r="CH322">
            <v>0</v>
          </cell>
          <cell r="CI322">
            <v>24.5</v>
          </cell>
          <cell r="CJ322">
            <v>14</v>
          </cell>
          <cell r="CK322">
            <v>7.6363636363636367</v>
          </cell>
          <cell r="CL322">
            <v>0</v>
          </cell>
          <cell r="CM322">
            <v>0</v>
          </cell>
          <cell r="CN322">
            <v>12.166666666666666</v>
          </cell>
          <cell r="CO322">
            <v>14</v>
          </cell>
          <cell r="CP322">
            <v>7.6363636363636367</v>
          </cell>
          <cell r="CQ322">
            <v>0</v>
          </cell>
          <cell r="CR322">
            <v>0</v>
          </cell>
          <cell r="CS322">
            <v>12.166666666666666</v>
          </cell>
          <cell r="CT322">
            <v>14</v>
          </cell>
          <cell r="CU322">
            <v>8.4</v>
          </cell>
          <cell r="CV322">
            <v>0</v>
          </cell>
          <cell r="CW322">
            <v>0</v>
          </cell>
          <cell r="CX322">
            <v>12.333333333333334</v>
          </cell>
          <cell r="CY322">
            <v>11</v>
          </cell>
          <cell r="CZ322">
            <v>8.8000000000000007</v>
          </cell>
          <cell r="DA322">
            <v>0</v>
          </cell>
          <cell r="DB322">
            <v>0</v>
          </cell>
          <cell r="DC322">
            <v>9.75</v>
          </cell>
          <cell r="DD322">
            <v>10</v>
          </cell>
          <cell r="DE322">
            <v>5.333333333333333</v>
          </cell>
          <cell r="DF322">
            <v>0</v>
          </cell>
          <cell r="DG322">
            <v>0</v>
          </cell>
          <cell r="DH322">
            <v>8.5</v>
          </cell>
          <cell r="DI322">
            <v>10</v>
          </cell>
          <cell r="DJ322">
            <v>8</v>
          </cell>
          <cell r="DK322">
            <v>0</v>
          </cell>
          <cell r="DL322">
            <v>0</v>
          </cell>
          <cell r="DM322">
            <v>7.166666666666667</v>
          </cell>
          <cell r="DN322">
            <v>12</v>
          </cell>
          <cell r="DO322">
            <v>10</v>
          </cell>
          <cell r="DP322">
            <v>0</v>
          </cell>
          <cell r="DQ322">
            <v>0</v>
          </cell>
          <cell r="DR322">
            <v>10.75</v>
          </cell>
          <cell r="DS322">
            <v>10.75</v>
          </cell>
          <cell r="DT322">
            <v>9</v>
          </cell>
          <cell r="DU322">
            <v>0</v>
          </cell>
          <cell r="DV322">
            <v>0</v>
          </cell>
          <cell r="DW322">
            <v>9.5</v>
          </cell>
          <cell r="DX322">
            <v>9.5</v>
          </cell>
          <cell r="DY322">
            <v>8</v>
          </cell>
          <cell r="DZ322">
            <v>0</v>
          </cell>
          <cell r="EA322">
            <v>0</v>
          </cell>
          <cell r="EB322">
            <v>8.25</v>
          </cell>
          <cell r="EC322">
            <v>8.25</v>
          </cell>
          <cell r="ED322">
            <v>7</v>
          </cell>
          <cell r="EE322">
            <v>0</v>
          </cell>
          <cell r="EF322">
            <v>0</v>
          </cell>
          <cell r="EG322">
            <v>7</v>
          </cell>
          <cell r="EH322">
            <v>7</v>
          </cell>
          <cell r="EI322">
            <v>6</v>
          </cell>
          <cell r="EJ322">
            <v>0</v>
          </cell>
          <cell r="EK322">
            <v>0</v>
          </cell>
          <cell r="EL322">
            <v>5.75</v>
          </cell>
          <cell r="EM322">
            <v>5.75</v>
          </cell>
          <cell r="EN322">
            <v>5</v>
          </cell>
          <cell r="EO322">
            <v>0</v>
          </cell>
          <cell r="EP322">
            <v>0</v>
          </cell>
          <cell r="EQ322">
            <v>4.5</v>
          </cell>
          <cell r="ER322">
            <v>4.5</v>
          </cell>
          <cell r="ES322">
            <v>4</v>
          </cell>
          <cell r="ET322">
            <v>0</v>
          </cell>
          <cell r="EU322">
            <v>0</v>
          </cell>
          <cell r="EV322">
            <v>3.25</v>
          </cell>
          <cell r="EW322">
            <v>3.25</v>
          </cell>
          <cell r="EX322">
            <v>3</v>
          </cell>
          <cell r="EY322">
            <v>0</v>
          </cell>
          <cell r="EZ322">
            <v>0</v>
          </cell>
          <cell r="FA322">
            <v>2</v>
          </cell>
          <cell r="FB322">
            <v>2</v>
          </cell>
          <cell r="FC322">
            <v>2</v>
          </cell>
          <cell r="FD322">
            <v>0</v>
          </cell>
          <cell r="FE322">
            <v>0</v>
          </cell>
          <cell r="FF322">
            <v>0.75</v>
          </cell>
          <cell r="FG322">
            <v>0.75</v>
          </cell>
          <cell r="FH322">
            <v>1</v>
          </cell>
          <cell r="FI322">
            <v>1.25</v>
          </cell>
          <cell r="FJ322">
            <v>0</v>
          </cell>
          <cell r="FK322">
            <v>-0.5</v>
          </cell>
          <cell r="FL322">
            <v>-0.5</v>
          </cell>
          <cell r="FM322">
            <v>0</v>
          </cell>
          <cell r="FN322">
            <v>2.5</v>
          </cell>
          <cell r="FO322">
            <v>0</v>
          </cell>
          <cell r="FP322">
            <v>-1.75</v>
          </cell>
          <cell r="FQ322">
            <v>-1.75</v>
          </cell>
          <cell r="FR322">
            <v>-1</v>
          </cell>
          <cell r="FS322">
            <v>3.75</v>
          </cell>
          <cell r="FT322">
            <v>2</v>
          </cell>
          <cell r="FU322">
            <v>1.0333333333333334</v>
          </cell>
          <cell r="FW322" t="str">
            <v>SOBRESTOCK</v>
          </cell>
          <cell r="FX322" t="str">
            <v>C</v>
          </cell>
          <cell r="FY322" t="str">
            <v>Si</v>
          </cell>
        </row>
        <row r="323">
          <cell r="B323" t="str">
            <v>REP-0340</v>
          </cell>
          <cell r="C323" t="str">
            <v>NAC</v>
          </cell>
          <cell r="D323">
            <v>0</v>
          </cell>
          <cell r="E323">
            <v>67</v>
          </cell>
          <cell r="F323">
            <v>0</v>
          </cell>
          <cell r="G323">
            <v>0</v>
          </cell>
          <cell r="H323">
            <v>3</v>
          </cell>
          <cell r="I323">
            <v>3</v>
          </cell>
          <cell r="J323">
            <v>0</v>
          </cell>
          <cell r="K323">
            <v>25</v>
          </cell>
          <cell r="L323">
            <v>19</v>
          </cell>
          <cell r="M323">
            <v>8</v>
          </cell>
          <cell r="N323">
            <v>6</v>
          </cell>
          <cell r="O323">
            <v>3</v>
          </cell>
          <cell r="P323">
            <v>3</v>
          </cell>
          <cell r="Q323">
            <v>2</v>
          </cell>
          <cell r="R323">
            <v>2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141</v>
          </cell>
          <cell r="AA323">
            <v>141</v>
          </cell>
          <cell r="AB323">
            <v>0</v>
          </cell>
          <cell r="AC323">
            <v>2.1666666666666665</v>
          </cell>
          <cell r="AD323">
            <v>7.2222222222222215E-2</v>
          </cell>
          <cell r="AE323">
            <v>3</v>
          </cell>
          <cell r="AF323">
            <v>2.0833333333333335</v>
          </cell>
          <cell r="AG323">
            <v>2.75</v>
          </cell>
          <cell r="AH323">
            <v>7.583333333333333</v>
          </cell>
          <cell r="AI323">
            <v>3.6666666666666665</v>
          </cell>
          <cell r="AJ323">
            <v>3.6666666666666665</v>
          </cell>
          <cell r="AK323">
            <v>4.4166666666666661</v>
          </cell>
          <cell r="AL323">
            <v>2.1548824836910536</v>
          </cell>
          <cell r="AM323">
            <v>4.4166666666666661</v>
          </cell>
          <cell r="AN323">
            <v>0.48789792083571032</v>
          </cell>
          <cell r="AO323">
            <v>0</v>
          </cell>
          <cell r="AP323">
            <v>8</v>
          </cell>
          <cell r="AQ323">
            <v>5.5454545454545459</v>
          </cell>
          <cell r="AR323">
            <v>0</v>
          </cell>
          <cell r="AS323">
            <v>13</v>
          </cell>
          <cell r="AT323">
            <v>14</v>
          </cell>
          <cell r="AU323">
            <v>5.0909090909090908</v>
          </cell>
          <cell r="AV323">
            <v>0</v>
          </cell>
          <cell r="AW323">
            <v>11.25</v>
          </cell>
          <cell r="AX323">
            <v>42</v>
          </cell>
          <cell r="AY323">
            <v>9.5094339622641524</v>
          </cell>
          <cell r="AZ323">
            <v>0</v>
          </cell>
          <cell r="BA323">
            <v>39.25</v>
          </cell>
          <cell r="BB323">
            <v>41</v>
          </cell>
          <cell r="BC323">
            <v>14.909090909090908</v>
          </cell>
          <cell r="BD323">
            <v>0</v>
          </cell>
          <cell r="BE323">
            <v>38.25</v>
          </cell>
          <cell r="BF323">
            <v>13.909090909090908</v>
          </cell>
          <cell r="BG323">
            <v>0</v>
          </cell>
          <cell r="BH323">
            <v>35.5</v>
          </cell>
          <cell r="BI323">
            <v>141</v>
          </cell>
          <cell r="BJ323">
            <v>31.924528301886795</v>
          </cell>
          <cell r="BK323">
            <v>0</v>
          </cell>
          <cell r="BL323">
            <v>31.25</v>
          </cell>
          <cell r="BM323">
            <v>23</v>
          </cell>
          <cell r="BN323">
            <v>6.5714285714285712</v>
          </cell>
          <cell r="BO323">
            <v>0</v>
          </cell>
          <cell r="BP323">
            <v>19.5</v>
          </cell>
          <cell r="BQ323">
            <v>216</v>
          </cell>
          <cell r="BR323">
            <v>48.905660377358494</v>
          </cell>
          <cell r="BS323">
            <v>0</v>
          </cell>
          <cell r="BT323">
            <v>211.33333333333334</v>
          </cell>
          <cell r="BU323">
            <v>196</v>
          </cell>
          <cell r="BV323">
            <v>19.600000000000001</v>
          </cell>
          <cell r="BW323">
            <v>0</v>
          </cell>
          <cell r="BX323">
            <v>0</v>
          </cell>
          <cell r="BY323">
            <v>186</v>
          </cell>
          <cell r="BZ323">
            <v>191</v>
          </cell>
          <cell r="CA323">
            <v>17.90625</v>
          </cell>
          <cell r="CB323">
            <v>0</v>
          </cell>
          <cell r="CC323">
            <v>0</v>
          </cell>
          <cell r="CD323">
            <v>180.33333333333334</v>
          </cell>
          <cell r="CE323">
            <v>178</v>
          </cell>
          <cell r="CF323">
            <v>14.05263157894737</v>
          </cell>
          <cell r="CG323">
            <v>0</v>
          </cell>
          <cell r="CH323">
            <v>0</v>
          </cell>
          <cell r="CI323">
            <v>167.66666666666669</v>
          </cell>
          <cell r="CJ323">
            <v>173</v>
          </cell>
          <cell r="CK323">
            <v>13.480519480519479</v>
          </cell>
          <cell r="CL323">
            <v>0</v>
          </cell>
          <cell r="CM323">
            <v>0</v>
          </cell>
          <cell r="CN323">
            <v>160.16666666666666</v>
          </cell>
          <cell r="CO323">
            <v>173</v>
          </cell>
          <cell r="CP323">
            <v>13.480519480519479</v>
          </cell>
          <cell r="CQ323">
            <v>0</v>
          </cell>
          <cell r="CR323">
            <v>0</v>
          </cell>
          <cell r="CS323">
            <v>160.16666666666666</v>
          </cell>
          <cell r="CT323">
            <v>173</v>
          </cell>
          <cell r="CU323">
            <v>16.476190476190474</v>
          </cell>
          <cell r="CV323">
            <v>0</v>
          </cell>
          <cell r="CW323">
            <v>0</v>
          </cell>
          <cell r="CX323">
            <v>162.5</v>
          </cell>
          <cell r="CY323">
            <v>166</v>
          </cell>
          <cell r="CZ323">
            <v>21.890109890109891</v>
          </cell>
          <cell r="DA323">
            <v>0</v>
          </cell>
          <cell r="DB323">
            <v>0</v>
          </cell>
          <cell r="DC323">
            <v>161.4375</v>
          </cell>
          <cell r="DD323">
            <v>165</v>
          </cell>
          <cell r="DE323">
            <v>35.06849315068493</v>
          </cell>
          <cell r="DF323">
            <v>0</v>
          </cell>
          <cell r="DG323">
            <v>0</v>
          </cell>
          <cell r="DH323">
            <v>160.4375</v>
          </cell>
          <cell r="DI323">
            <v>161</v>
          </cell>
          <cell r="DJ323">
            <v>38.923076923076927</v>
          </cell>
          <cell r="DK323">
            <v>0</v>
          </cell>
          <cell r="DL323">
            <v>0</v>
          </cell>
          <cell r="DM323">
            <v>156.21250000000001</v>
          </cell>
          <cell r="DN323">
            <v>141</v>
          </cell>
          <cell r="DO323">
            <v>32.79245283018868</v>
          </cell>
          <cell r="DP323">
            <v>0</v>
          </cell>
          <cell r="DQ323">
            <v>0</v>
          </cell>
          <cell r="DR323">
            <v>136.58333333333334</v>
          </cell>
          <cell r="DS323">
            <v>136.58333333333334</v>
          </cell>
          <cell r="DT323">
            <v>31.792452830188687</v>
          </cell>
          <cell r="DU323">
            <v>0</v>
          </cell>
          <cell r="DV323">
            <v>0</v>
          </cell>
          <cell r="DW323">
            <v>132.16666666666669</v>
          </cell>
          <cell r="DX323">
            <v>132.16666666666669</v>
          </cell>
          <cell r="DY323">
            <v>30.792452830188687</v>
          </cell>
          <cell r="DZ323">
            <v>0</v>
          </cell>
          <cell r="EA323">
            <v>0</v>
          </cell>
          <cell r="EB323">
            <v>127.75000000000001</v>
          </cell>
          <cell r="EC323">
            <v>127.75000000000001</v>
          </cell>
          <cell r="ED323">
            <v>29.792452830188687</v>
          </cell>
          <cell r="EE323">
            <v>0</v>
          </cell>
          <cell r="EF323">
            <v>0</v>
          </cell>
          <cell r="EG323">
            <v>123.33333333333334</v>
          </cell>
          <cell r="EH323">
            <v>123.33333333333334</v>
          </cell>
          <cell r="EI323">
            <v>28.792452830188687</v>
          </cell>
          <cell r="EJ323">
            <v>0</v>
          </cell>
          <cell r="EK323">
            <v>0</v>
          </cell>
          <cell r="EL323">
            <v>118.91666666666667</v>
          </cell>
          <cell r="EM323">
            <v>118.91666666666667</v>
          </cell>
          <cell r="EN323">
            <v>27.792452830188683</v>
          </cell>
          <cell r="EO323">
            <v>0</v>
          </cell>
          <cell r="EP323">
            <v>0</v>
          </cell>
          <cell r="EQ323">
            <v>114.5</v>
          </cell>
          <cell r="ER323">
            <v>114.5</v>
          </cell>
          <cell r="ES323">
            <v>26.792452830188683</v>
          </cell>
          <cell r="ET323">
            <v>0</v>
          </cell>
          <cell r="EU323">
            <v>0</v>
          </cell>
          <cell r="EV323">
            <v>110.08333333333333</v>
          </cell>
          <cell r="EW323">
            <v>110.08333333333333</v>
          </cell>
          <cell r="EX323">
            <v>25.792452830188683</v>
          </cell>
          <cell r="EY323">
            <v>0</v>
          </cell>
          <cell r="EZ323">
            <v>0</v>
          </cell>
          <cell r="FA323">
            <v>105.66666666666666</v>
          </cell>
          <cell r="FB323">
            <v>105.66666666666666</v>
          </cell>
          <cell r="FC323">
            <v>24.79245283018868</v>
          </cell>
          <cell r="FD323">
            <v>0</v>
          </cell>
          <cell r="FE323">
            <v>0</v>
          </cell>
          <cell r="FF323">
            <v>101.24999999999999</v>
          </cell>
          <cell r="FG323">
            <v>101.24999999999999</v>
          </cell>
          <cell r="FH323">
            <v>23.79245283018868</v>
          </cell>
          <cell r="FI323">
            <v>0</v>
          </cell>
          <cell r="FJ323">
            <v>0</v>
          </cell>
          <cell r="FK323">
            <v>96.833333333333314</v>
          </cell>
          <cell r="FL323">
            <v>96.833333333333314</v>
          </cell>
          <cell r="FM323">
            <v>22.79245283018868</v>
          </cell>
          <cell r="FN323">
            <v>0</v>
          </cell>
          <cell r="FO323">
            <v>0</v>
          </cell>
          <cell r="FP323">
            <v>92.416666666666643</v>
          </cell>
          <cell r="FQ323">
            <v>92.416666666666643</v>
          </cell>
          <cell r="FR323">
            <v>21.792452830188676</v>
          </cell>
          <cell r="FS323">
            <v>0</v>
          </cell>
          <cell r="FT323">
            <v>5</v>
          </cell>
          <cell r="FU323">
            <v>1.0333333333333334</v>
          </cell>
          <cell r="FW323" t="str">
            <v>SOBRESTOCK</v>
          </cell>
          <cell r="FX323" t="str">
            <v>B</v>
          </cell>
          <cell r="FY323" t="str">
            <v>Si</v>
          </cell>
        </row>
        <row r="324">
          <cell r="B324" t="str">
            <v>REP-0341</v>
          </cell>
          <cell r="C324" t="str">
            <v>NAC</v>
          </cell>
          <cell r="D324">
            <v>0</v>
          </cell>
          <cell r="E324">
            <v>4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</v>
          </cell>
          <cell r="L324">
            <v>0</v>
          </cell>
          <cell r="M324">
            <v>0</v>
          </cell>
          <cell r="N324">
            <v>1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1</v>
          </cell>
          <cell r="W324">
            <v>0</v>
          </cell>
          <cell r="X324">
            <v>0</v>
          </cell>
          <cell r="Y324">
            <v>9</v>
          </cell>
          <cell r="AA324">
            <v>9</v>
          </cell>
          <cell r="AB324">
            <v>0</v>
          </cell>
          <cell r="AC324">
            <v>0</v>
          </cell>
          <cell r="AD324">
            <v>0</v>
          </cell>
          <cell r="AE324">
            <v>8.3333333333333329E-2</v>
          </cell>
          <cell r="AF324">
            <v>0</v>
          </cell>
          <cell r="AG324">
            <v>8.3333333333333329E-2</v>
          </cell>
          <cell r="AH324">
            <v>0.58333333333333337</v>
          </cell>
          <cell r="AI324">
            <v>0.5</v>
          </cell>
          <cell r="AJ324">
            <v>0.5</v>
          </cell>
          <cell r="AK324">
            <v>0.58333333333333337</v>
          </cell>
          <cell r="AL324">
            <v>0.22566773346211003</v>
          </cell>
          <cell r="AM324">
            <v>0.41666666666666669</v>
          </cell>
          <cell r="AN324">
            <v>0.54160256030906406</v>
          </cell>
          <cell r="AO324">
            <v>0</v>
          </cell>
          <cell r="AP324">
            <v>6.333333333333333</v>
          </cell>
          <cell r="AQ324">
            <v>83.000000000000014</v>
          </cell>
          <cell r="AR324">
            <v>0</v>
          </cell>
          <cell r="AS324">
            <v>7</v>
          </cell>
          <cell r="AT324">
            <v>6</v>
          </cell>
          <cell r="AU324">
            <v>72</v>
          </cell>
          <cell r="AV324">
            <v>0</v>
          </cell>
          <cell r="AW324">
            <v>5.916666666666667</v>
          </cell>
          <cell r="AX324">
            <v>6</v>
          </cell>
          <cell r="AY324">
            <v>10.285714285714285</v>
          </cell>
          <cell r="AZ324">
            <v>0</v>
          </cell>
          <cell r="BA324">
            <v>5.916666666666667</v>
          </cell>
          <cell r="BB324">
            <v>14</v>
          </cell>
          <cell r="BC324">
            <v>42</v>
          </cell>
          <cell r="BD324">
            <v>0</v>
          </cell>
          <cell r="BE324">
            <v>13.666666666666666</v>
          </cell>
          <cell r="BF324">
            <v>41</v>
          </cell>
          <cell r="BG324">
            <v>0</v>
          </cell>
          <cell r="BH324">
            <v>13.333333333333332</v>
          </cell>
          <cell r="BI324">
            <v>9</v>
          </cell>
          <cell r="BJ324">
            <v>15.428571428571427</v>
          </cell>
          <cell r="BK324">
            <v>0</v>
          </cell>
          <cell r="BL324">
            <v>11.5</v>
          </cell>
          <cell r="BM324">
            <v>12</v>
          </cell>
          <cell r="BN324">
            <v>18</v>
          </cell>
          <cell r="BO324">
            <v>0</v>
          </cell>
          <cell r="BP324">
            <v>11.333333333333334</v>
          </cell>
          <cell r="BQ324">
            <v>12</v>
          </cell>
          <cell r="BR324">
            <v>20.571428571428569</v>
          </cell>
          <cell r="BS324">
            <v>0</v>
          </cell>
          <cell r="BT324">
            <v>11.333333333333334</v>
          </cell>
          <cell r="BU324">
            <v>12</v>
          </cell>
          <cell r="BV324">
            <v>18</v>
          </cell>
          <cell r="BW324">
            <v>0</v>
          </cell>
          <cell r="BX324">
            <v>0</v>
          </cell>
          <cell r="BY324">
            <v>11.333333333333334</v>
          </cell>
          <cell r="BZ324">
            <v>12</v>
          </cell>
          <cell r="CA324">
            <v>18</v>
          </cell>
          <cell r="CB324">
            <v>0</v>
          </cell>
          <cell r="CC324">
            <v>0</v>
          </cell>
          <cell r="CD324">
            <v>11.333333333333334</v>
          </cell>
          <cell r="CE324">
            <v>10</v>
          </cell>
          <cell r="CF324">
            <v>15</v>
          </cell>
          <cell r="CG324">
            <v>0</v>
          </cell>
          <cell r="CH324">
            <v>0</v>
          </cell>
          <cell r="CI324">
            <v>10.666666666666668</v>
          </cell>
          <cell r="CJ324">
            <v>10</v>
          </cell>
          <cell r="CK324">
            <v>15</v>
          </cell>
          <cell r="CL324">
            <v>0</v>
          </cell>
          <cell r="CM324">
            <v>0</v>
          </cell>
          <cell r="CN324">
            <v>9.3333333333333339</v>
          </cell>
          <cell r="CO324">
            <v>10</v>
          </cell>
          <cell r="CP324">
            <v>15</v>
          </cell>
          <cell r="CQ324">
            <v>0</v>
          </cell>
          <cell r="CR324">
            <v>0</v>
          </cell>
          <cell r="CS324">
            <v>9.3333333333333339</v>
          </cell>
          <cell r="CT324">
            <v>10</v>
          </cell>
          <cell r="CU324">
            <v>17.142857142857142</v>
          </cell>
          <cell r="CV324">
            <v>0</v>
          </cell>
          <cell r="CW324">
            <v>0</v>
          </cell>
          <cell r="CX324">
            <v>9.4166666666666661</v>
          </cell>
          <cell r="CY324">
            <v>8</v>
          </cell>
          <cell r="CZ324">
            <v>13.714285714285714</v>
          </cell>
          <cell r="DA324">
            <v>0</v>
          </cell>
          <cell r="DB324">
            <v>0</v>
          </cell>
          <cell r="DC324">
            <v>7.416666666666667</v>
          </cell>
          <cell r="DD324">
            <v>5</v>
          </cell>
          <cell r="DE324">
            <v>5.333333333333333</v>
          </cell>
          <cell r="DF324">
            <v>0</v>
          </cell>
          <cell r="DG324">
            <v>0</v>
          </cell>
          <cell r="DH324">
            <v>4.25</v>
          </cell>
          <cell r="DI324">
            <v>5</v>
          </cell>
          <cell r="DJ324">
            <v>8.6666666666666679</v>
          </cell>
          <cell r="DK324">
            <v>0</v>
          </cell>
          <cell r="DL324">
            <v>0</v>
          </cell>
          <cell r="DM324">
            <v>3.65</v>
          </cell>
          <cell r="DN324">
            <v>9</v>
          </cell>
          <cell r="DO324">
            <v>15.714285714285714</v>
          </cell>
          <cell r="DP324">
            <v>0</v>
          </cell>
          <cell r="DQ324">
            <v>0</v>
          </cell>
          <cell r="DR324">
            <v>8.4166666666666661</v>
          </cell>
          <cell r="DS324">
            <v>8.4166666666666661</v>
          </cell>
          <cell r="DT324">
            <v>14.714285714285712</v>
          </cell>
          <cell r="DU324">
            <v>0</v>
          </cell>
          <cell r="DV324">
            <v>0</v>
          </cell>
          <cell r="DW324">
            <v>7.833333333333333</v>
          </cell>
          <cell r="DX324">
            <v>7.833333333333333</v>
          </cell>
          <cell r="DY324">
            <v>13.714285714285714</v>
          </cell>
          <cell r="DZ324">
            <v>0</v>
          </cell>
          <cell r="EA324">
            <v>0</v>
          </cell>
          <cell r="EB324">
            <v>7.25</v>
          </cell>
          <cell r="EC324">
            <v>7.25</v>
          </cell>
          <cell r="ED324">
            <v>12.714285714285714</v>
          </cell>
          <cell r="EE324">
            <v>0</v>
          </cell>
          <cell r="EF324">
            <v>0</v>
          </cell>
          <cell r="EG324">
            <v>6.666666666666667</v>
          </cell>
          <cell r="EH324">
            <v>6.666666666666667</v>
          </cell>
          <cell r="EI324">
            <v>11.714285714285714</v>
          </cell>
          <cell r="EJ324">
            <v>0</v>
          </cell>
          <cell r="EK324">
            <v>0</v>
          </cell>
          <cell r="EL324">
            <v>6.0833333333333339</v>
          </cell>
          <cell r="EM324">
            <v>6.0833333333333339</v>
          </cell>
          <cell r="EN324">
            <v>10.714285714285715</v>
          </cell>
          <cell r="EO324">
            <v>0</v>
          </cell>
          <cell r="EP324">
            <v>0</v>
          </cell>
          <cell r="EQ324">
            <v>5.5000000000000009</v>
          </cell>
          <cell r="ER324">
            <v>5.5000000000000009</v>
          </cell>
          <cell r="ES324">
            <v>9.7142857142857153</v>
          </cell>
          <cell r="ET324">
            <v>0</v>
          </cell>
          <cell r="EU324">
            <v>0</v>
          </cell>
          <cell r="EV324">
            <v>4.9166666666666679</v>
          </cell>
          <cell r="EW324">
            <v>4.9166666666666679</v>
          </cell>
          <cell r="EX324">
            <v>8.7142857142857153</v>
          </cell>
          <cell r="EY324">
            <v>0</v>
          </cell>
          <cell r="EZ324">
            <v>0</v>
          </cell>
          <cell r="FA324">
            <v>4.3333333333333348</v>
          </cell>
          <cell r="FB324">
            <v>4.3333333333333348</v>
          </cell>
          <cell r="FC324">
            <v>7.7142857142857162</v>
          </cell>
          <cell r="FD324">
            <v>0</v>
          </cell>
          <cell r="FE324">
            <v>0</v>
          </cell>
          <cell r="FF324">
            <v>3.7500000000000013</v>
          </cell>
          <cell r="FG324">
            <v>3.7500000000000013</v>
          </cell>
          <cell r="FH324">
            <v>6.7142857142857162</v>
          </cell>
          <cell r="FI324">
            <v>0</v>
          </cell>
          <cell r="FJ324">
            <v>0</v>
          </cell>
          <cell r="FK324">
            <v>3.1666666666666679</v>
          </cell>
          <cell r="FL324">
            <v>3.1666666666666679</v>
          </cell>
          <cell r="FM324">
            <v>5.7142857142857162</v>
          </cell>
          <cell r="FN324">
            <v>0</v>
          </cell>
          <cell r="FO324">
            <v>0</v>
          </cell>
          <cell r="FP324">
            <v>2.5833333333333344</v>
          </cell>
          <cell r="FQ324">
            <v>2.5833333333333344</v>
          </cell>
          <cell r="FR324">
            <v>4.7142857142857153</v>
          </cell>
          <cell r="FS324">
            <v>0</v>
          </cell>
          <cell r="FT324">
            <v>1</v>
          </cell>
          <cell r="FU324">
            <v>1.0333333333333334</v>
          </cell>
          <cell r="FW324" t="str">
            <v>SOBRESTOCK</v>
          </cell>
          <cell r="FX324" t="str">
            <v>C</v>
          </cell>
          <cell r="FY324" t="str">
            <v>Si</v>
          </cell>
        </row>
        <row r="325">
          <cell r="B325" t="str">
            <v>REP-0342</v>
          </cell>
          <cell r="C325" t="str">
            <v>NO VIGENTE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M325">
            <v>0</v>
          </cell>
          <cell r="AO325">
            <v>0</v>
          </cell>
          <cell r="AP325">
            <v>0</v>
          </cell>
          <cell r="AQ325" t="str">
            <v/>
          </cell>
          <cell r="AR325">
            <v>0</v>
          </cell>
          <cell r="AS325">
            <v>0</v>
          </cell>
          <cell r="AT325">
            <v>0</v>
          </cell>
          <cell r="AU325" t="str">
            <v/>
          </cell>
          <cell r="AV325">
            <v>0</v>
          </cell>
          <cell r="AW325">
            <v>0</v>
          </cell>
          <cell r="AX325">
            <v>0</v>
          </cell>
          <cell r="AY325" t="str">
            <v/>
          </cell>
          <cell r="AZ325">
            <v>0</v>
          </cell>
          <cell r="BA325">
            <v>0</v>
          </cell>
          <cell r="BB325">
            <v>0</v>
          </cell>
          <cell r="BC325" t="str">
            <v/>
          </cell>
          <cell r="BD325">
            <v>0</v>
          </cell>
          <cell r="BE325">
            <v>0</v>
          </cell>
          <cell r="BF325" t="str">
            <v/>
          </cell>
          <cell r="BG325">
            <v>0</v>
          </cell>
          <cell r="BH325">
            <v>0</v>
          </cell>
          <cell r="BI325">
            <v>0</v>
          </cell>
          <cell r="BJ325" t="str">
            <v/>
          </cell>
          <cell r="BK325">
            <v>0</v>
          </cell>
          <cell r="BL325">
            <v>0</v>
          </cell>
          <cell r="BM325">
            <v>0</v>
          </cell>
          <cell r="BN325" t="str">
            <v/>
          </cell>
          <cell r="BO325">
            <v>0</v>
          </cell>
          <cell r="BP325">
            <v>0</v>
          </cell>
          <cell r="BQ325">
            <v>0</v>
          </cell>
          <cell r="BR325" t="str">
            <v/>
          </cell>
          <cell r="BS325">
            <v>0</v>
          </cell>
          <cell r="BT325">
            <v>0</v>
          </cell>
          <cell r="BU325">
            <v>0</v>
          </cell>
          <cell r="BV325" t="str">
            <v/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 t="str">
            <v/>
          </cell>
          <cell r="CB325">
            <v>0</v>
          </cell>
          <cell r="CD325">
            <v>0</v>
          </cell>
          <cell r="CE325">
            <v>0</v>
          </cell>
          <cell r="CF325" t="str">
            <v/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 t="str">
            <v/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 t="str">
            <v/>
          </cell>
          <cell r="CQ325">
            <v>0</v>
          </cell>
          <cell r="CS325">
            <v>0</v>
          </cell>
          <cell r="CT325">
            <v>0</v>
          </cell>
          <cell r="CU325" t="str">
            <v/>
          </cell>
          <cell r="CV325">
            <v>0</v>
          </cell>
          <cell r="CX325">
            <v>0</v>
          </cell>
          <cell r="CY325">
            <v>0</v>
          </cell>
          <cell r="CZ325" t="str">
            <v/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 t="str">
            <v/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 t="str">
            <v/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 t="str">
            <v/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 t="str">
            <v/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 t="str">
            <v/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 t="str">
            <v/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 t="str">
            <v/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 t="str">
            <v/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 t="str">
            <v/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 t="str">
            <v/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 t="str">
            <v/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 t="str">
            <v/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 t="str">
            <v/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 t="str">
            <v/>
          </cell>
          <cell r="FS325">
            <v>0</v>
          </cell>
          <cell r="FT325">
            <v>0</v>
          </cell>
          <cell r="FU325">
            <v>66.666666666666671</v>
          </cell>
          <cell r="FW325" t="str">
            <v>SIN ROTACIÓN</v>
          </cell>
          <cell r="FX325">
            <v>0</v>
          </cell>
          <cell r="FY325" t="str">
            <v>No</v>
          </cell>
        </row>
        <row r="326">
          <cell r="B326" t="str">
            <v>REP-0343</v>
          </cell>
          <cell r="C326" t="str">
            <v>NO VIGENTE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M326">
            <v>0</v>
          </cell>
          <cell r="AO326">
            <v>0</v>
          </cell>
          <cell r="AP326">
            <v>0</v>
          </cell>
          <cell r="AQ326" t="str">
            <v/>
          </cell>
          <cell r="AR326">
            <v>0</v>
          </cell>
          <cell r="AS326">
            <v>0</v>
          </cell>
          <cell r="AT326">
            <v>0</v>
          </cell>
          <cell r="AU326" t="str">
            <v/>
          </cell>
          <cell r="AV326">
            <v>0</v>
          </cell>
          <cell r="AW326">
            <v>0</v>
          </cell>
          <cell r="AX326">
            <v>0</v>
          </cell>
          <cell r="AY326" t="str">
            <v/>
          </cell>
          <cell r="AZ326">
            <v>0</v>
          </cell>
          <cell r="BA326">
            <v>0</v>
          </cell>
          <cell r="BB326">
            <v>0</v>
          </cell>
          <cell r="BC326" t="str">
            <v/>
          </cell>
          <cell r="BD326">
            <v>0</v>
          </cell>
          <cell r="BE326">
            <v>0</v>
          </cell>
          <cell r="BF326" t="str">
            <v/>
          </cell>
          <cell r="BG326">
            <v>0</v>
          </cell>
          <cell r="BH326">
            <v>0</v>
          </cell>
          <cell r="BI326">
            <v>0</v>
          </cell>
          <cell r="BJ326" t="str">
            <v/>
          </cell>
          <cell r="BK326">
            <v>0</v>
          </cell>
          <cell r="BL326">
            <v>0</v>
          </cell>
          <cell r="BM326">
            <v>0</v>
          </cell>
          <cell r="BN326" t="str">
            <v/>
          </cell>
          <cell r="BO326">
            <v>0</v>
          </cell>
          <cell r="BP326">
            <v>0</v>
          </cell>
          <cell r="BQ326">
            <v>0</v>
          </cell>
          <cell r="BR326" t="str">
            <v/>
          </cell>
          <cell r="BS326">
            <v>0</v>
          </cell>
          <cell r="BT326">
            <v>0</v>
          </cell>
          <cell r="BU326">
            <v>0</v>
          </cell>
          <cell r="BV326" t="str">
            <v/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 t="str">
            <v/>
          </cell>
          <cell r="CB326">
            <v>0</v>
          </cell>
          <cell r="CD326">
            <v>0</v>
          </cell>
          <cell r="CE326">
            <v>0</v>
          </cell>
          <cell r="CF326" t="str">
            <v/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 t="str">
            <v/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 t="str">
            <v/>
          </cell>
          <cell r="CQ326">
            <v>0</v>
          </cell>
          <cell r="CS326">
            <v>0</v>
          </cell>
          <cell r="CT326">
            <v>0</v>
          </cell>
          <cell r="CU326" t="str">
            <v/>
          </cell>
          <cell r="CV326">
            <v>0</v>
          </cell>
          <cell r="CX326">
            <v>0</v>
          </cell>
          <cell r="CY326">
            <v>0</v>
          </cell>
          <cell r="CZ326" t="str">
            <v/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 t="str">
            <v/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 t="str">
            <v/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 t="str">
            <v/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 t="str">
            <v/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 t="str">
            <v/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 t="str">
            <v/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 t="str">
            <v/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 t="str">
            <v/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 t="str">
            <v/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 t="str">
            <v/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 t="str">
            <v/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 t="str">
            <v/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 t="str">
            <v/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 t="str">
            <v/>
          </cell>
          <cell r="FS326">
            <v>0</v>
          </cell>
          <cell r="FT326">
            <v>0</v>
          </cell>
          <cell r="FU326">
            <v>66.666666666666671</v>
          </cell>
          <cell r="FW326" t="str">
            <v>SIN ROTACIÓN</v>
          </cell>
          <cell r="FX326">
            <v>0</v>
          </cell>
          <cell r="FY326" t="str">
            <v>No</v>
          </cell>
        </row>
        <row r="327">
          <cell r="B327" t="str">
            <v>REP-0344</v>
          </cell>
          <cell r="C327" t="str">
            <v>MIX</v>
          </cell>
          <cell r="D327">
            <v>0</v>
          </cell>
          <cell r="E327">
            <v>42</v>
          </cell>
          <cell r="F327">
            <v>0</v>
          </cell>
          <cell r="G327">
            <v>0</v>
          </cell>
          <cell r="H327">
            <v>6</v>
          </cell>
          <cell r="I327">
            <v>6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2</v>
          </cell>
          <cell r="O327">
            <v>1</v>
          </cell>
          <cell r="P327">
            <v>2</v>
          </cell>
          <cell r="Q327">
            <v>1</v>
          </cell>
          <cell r="R327">
            <v>2</v>
          </cell>
          <cell r="S327">
            <v>1</v>
          </cell>
          <cell r="T327">
            <v>1</v>
          </cell>
          <cell r="U327">
            <v>2</v>
          </cell>
          <cell r="V327">
            <v>2</v>
          </cell>
          <cell r="W327">
            <v>2</v>
          </cell>
          <cell r="X327">
            <v>2</v>
          </cell>
          <cell r="Y327">
            <v>75</v>
          </cell>
          <cell r="AA327">
            <v>75</v>
          </cell>
          <cell r="AB327">
            <v>32</v>
          </cell>
          <cell r="AC327">
            <v>8.1666666666666661</v>
          </cell>
          <cell r="AD327">
            <v>0.2722222222222222</v>
          </cell>
          <cell r="AE327">
            <v>6.416666666666667</v>
          </cell>
          <cell r="AF327">
            <v>1.8333333333333333</v>
          </cell>
          <cell r="AG327">
            <v>3.8333333333333335</v>
          </cell>
          <cell r="AH327">
            <v>6.083333333333333</v>
          </cell>
          <cell r="AI327">
            <v>4</v>
          </cell>
          <cell r="AJ327">
            <v>4</v>
          </cell>
          <cell r="AK327">
            <v>6.083333333333333</v>
          </cell>
          <cell r="AL327">
            <v>1.0723265637198711</v>
          </cell>
          <cell r="AM327">
            <v>4.4791666666666661</v>
          </cell>
          <cell r="AN327">
            <v>0.23940313980722708</v>
          </cell>
          <cell r="AO327">
            <v>0</v>
          </cell>
          <cell r="AP327">
            <v>44.833333333333336</v>
          </cell>
          <cell r="AQ327">
            <v>9.7586206896551726</v>
          </cell>
          <cell r="AR327">
            <v>0</v>
          </cell>
          <cell r="AS327">
            <v>43.333333333333329</v>
          </cell>
          <cell r="AT327">
            <v>45</v>
          </cell>
          <cell r="AU327">
            <v>10.384615384615385</v>
          </cell>
          <cell r="AV327">
            <v>0</v>
          </cell>
          <cell r="AW327">
            <v>40.666666666666664</v>
          </cell>
          <cell r="AX327">
            <v>39</v>
          </cell>
          <cell r="AY327">
            <v>6.4109589041095898</v>
          </cell>
          <cell r="AZ327">
            <v>0</v>
          </cell>
          <cell r="BA327">
            <v>44.333333333333336</v>
          </cell>
          <cell r="BB327">
            <v>35</v>
          </cell>
          <cell r="BC327">
            <v>6.1764705882352935</v>
          </cell>
          <cell r="BD327">
            <v>0</v>
          </cell>
          <cell r="BE327">
            <v>29.333333333333332</v>
          </cell>
          <cell r="BF327">
            <v>5.1764705882352935</v>
          </cell>
          <cell r="BG327">
            <v>10</v>
          </cell>
          <cell r="BH327">
            <v>33.666666666666664</v>
          </cell>
          <cell r="BI327">
            <v>75</v>
          </cell>
          <cell r="BJ327">
            <v>12.328767123287673</v>
          </cell>
          <cell r="BK327">
            <v>0</v>
          </cell>
          <cell r="BL327">
            <v>21</v>
          </cell>
          <cell r="BM327">
            <v>22</v>
          </cell>
          <cell r="BN327">
            <v>2.8695652173913042</v>
          </cell>
          <cell r="BO327">
            <v>0</v>
          </cell>
          <cell r="BP327">
            <v>44.333333333333336</v>
          </cell>
          <cell r="BQ327">
            <v>47</v>
          </cell>
          <cell r="BR327">
            <v>7.7260273972602747</v>
          </cell>
          <cell r="BS327">
            <v>0</v>
          </cell>
          <cell r="BT327">
            <v>39.166666666666664</v>
          </cell>
          <cell r="BU327">
            <v>45</v>
          </cell>
          <cell r="BV327">
            <v>6.2790697674418601</v>
          </cell>
          <cell r="BW327">
            <v>31</v>
          </cell>
          <cell r="BX327">
            <v>0</v>
          </cell>
          <cell r="BY327">
            <v>37.833333333333336</v>
          </cell>
          <cell r="BZ327">
            <v>37</v>
          </cell>
          <cell r="CA327">
            <v>4.7234042553191493</v>
          </cell>
          <cell r="CB327">
            <v>39</v>
          </cell>
          <cell r="CC327">
            <v>0</v>
          </cell>
          <cell r="CD327">
            <v>59.166666666666664</v>
          </cell>
          <cell r="CE327">
            <v>35</v>
          </cell>
          <cell r="CF327">
            <v>5.833333333333333</v>
          </cell>
          <cell r="CG327">
            <v>41</v>
          </cell>
          <cell r="CH327">
            <v>30</v>
          </cell>
          <cell r="CI327">
            <v>94.166666666666657</v>
          </cell>
          <cell r="CJ327">
            <v>60</v>
          </cell>
          <cell r="CK327">
            <v>9.8630136986301373</v>
          </cell>
          <cell r="CL327">
            <v>16</v>
          </cell>
          <cell r="CM327">
            <v>30</v>
          </cell>
          <cell r="CN327">
            <v>83.916666666666671</v>
          </cell>
          <cell r="CO327">
            <v>78</v>
          </cell>
          <cell r="CP327">
            <v>12.82191780821918</v>
          </cell>
          <cell r="CQ327">
            <v>0</v>
          </cell>
          <cell r="CR327">
            <v>0</v>
          </cell>
          <cell r="CS327">
            <v>71.916666666666671</v>
          </cell>
          <cell r="CT327">
            <v>73</v>
          </cell>
          <cell r="CU327">
            <v>12</v>
          </cell>
          <cell r="CV327">
            <v>0</v>
          </cell>
          <cell r="CW327">
            <v>0</v>
          </cell>
          <cell r="CX327">
            <v>66.916666666666671</v>
          </cell>
          <cell r="CY327">
            <v>70</v>
          </cell>
          <cell r="CZ327">
            <v>11.506849315068493</v>
          </cell>
          <cell r="DA327">
            <v>0</v>
          </cell>
          <cell r="DB327">
            <v>20</v>
          </cell>
          <cell r="DC327">
            <v>83.916666666666671</v>
          </cell>
          <cell r="DD327">
            <v>86</v>
          </cell>
          <cell r="DE327">
            <v>7.89041095890411</v>
          </cell>
          <cell r="DF327">
            <v>0</v>
          </cell>
          <cell r="DG327">
            <v>0</v>
          </cell>
          <cell r="DH327">
            <v>79.916666666666671</v>
          </cell>
          <cell r="DI327">
            <v>83</v>
          </cell>
          <cell r="DJ327">
            <v>9.3972602739726021</v>
          </cell>
          <cell r="DK327">
            <v>0</v>
          </cell>
          <cell r="DL327">
            <v>0</v>
          </cell>
          <cell r="DM327">
            <v>73.833333333333343</v>
          </cell>
          <cell r="DN327">
            <v>75</v>
          </cell>
          <cell r="DO327">
            <v>8.082191780821919</v>
          </cell>
          <cell r="DP327">
            <v>0</v>
          </cell>
          <cell r="DQ327">
            <v>0</v>
          </cell>
          <cell r="DR327">
            <v>68.916666666666671</v>
          </cell>
          <cell r="DS327">
            <v>68.916666666666671</v>
          </cell>
          <cell r="DT327">
            <v>7.082191780821919</v>
          </cell>
          <cell r="DU327">
            <v>0</v>
          </cell>
          <cell r="DV327">
            <v>0</v>
          </cell>
          <cell r="DW327">
            <v>62.833333333333336</v>
          </cell>
          <cell r="DX327">
            <v>62.833333333333336</v>
          </cell>
          <cell r="DY327">
            <v>6.0821917808219181</v>
          </cell>
          <cell r="DZ327">
            <v>0</v>
          </cell>
          <cell r="EA327">
            <v>0</v>
          </cell>
          <cell r="EB327">
            <v>56.75</v>
          </cell>
          <cell r="EC327">
            <v>56.75</v>
          </cell>
          <cell r="ED327">
            <v>5.0821917808219181</v>
          </cell>
          <cell r="EE327">
            <v>0</v>
          </cell>
          <cell r="EF327">
            <v>0</v>
          </cell>
          <cell r="EG327">
            <v>50.666666666666664</v>
          </cell>
          <cell r="EH327">
            <v>50.666666666666664</v>
          </cell>
          <cell r="EI327">
            <v>4.0821917808219172</v>
          </cell>
          <cell r="EJ327">
            <v>0</v>
          </cell>
          <cell r="EK327">
            <v>0</v>
          </cell>
          <cell r="EL327">
            <v>44.583333333333329</v>
          </cell>
          <cell r="EM327">
            <v>44.583333333333329</v>
          </cell>
          <cell r="EN327">
            <v>3.0821917808219172</v>
          </cell>
          <cell r="EO327">
            <v>0</v>
          </cell>
          <cell r="EP327">
            <v>0</v>
          </cell>
          <cell r="EQ327">
            <v>38.499999999999993</v>
          </cell>
          <cell r="ER327">
            <v>38.499999999999993</v>
          </cell>
          <cell r="ES327">
            <v>2.0821917808219168</v>
          </cell>
          <cell r="ET327">
            <v>0</v>
          </cell>
          <cell r="EU327">
            <v>0</v>
          </cell>
          <cell r="EV327">
            <v>32.416666666666657</v>
          </cell>
          <cell r="EW327">
            <v>32.416666666666657</v>
          </cell>
          <cell r="EX327">
            <v>1.0821917808219164</v>
          </cell>
          <cell r="EY327">
            <v>5.5833333333333428</v>
          </cell>
          <cell r="EZ327">
            <v>0</v>
          </cell>
          <cell r="FA327">
            <v>26.333333333333325</v>
          </cell>
          <cell r="FB327">
            <v>26.333333333333325</v>
          </cell>
          <cell r="FC327">
            <v>8.219178082191636E-2</v>
          </cell>
          <cell r="FD327">
            <v>11.666666666666675</v>
          </cell>
          <cell r="FE327">
            <v>30</v>
          </cell>
          <cell r="FF327">
            <v>50.249999999999993</v>
          </cell>
          <cell r="FG327">
            <v>50.249999999999993</v>
          </cell>
          <cell r="FH327">
            <v>4.013698630136985</v>
          </cell>
          <cell r="FI327">
            <v>0</v>
          </cell>
          <cell r="FJ327">
            <v>0</v>
          </cell>
          <cell r="FK327">
            <v>44.166666666666657</v>
          </cell>
          <cell r="FL327">
            <v>44.166666666666657</v>
          </cell>
          <cell r="FM327">
            <v>3.013698630136985</v>
          </cell>
          <cell r="FN327">
            <v>0</v>
          </cell>
          <cell r="FO327">
            <v>0</v>
          </cell>
          <cell r="FP327">
            <v>38.083333333333321</v>
          </cell>
          <cell r="FQ327">
            <v>38.083333333333321</v>
          </cell>
          <cell r="FR327">
            <v>2.0136986301369841</v>
          </cell>
          <cell r="FS327">
            <v>0</v>
          </cell>
          <cell r="FT327">
            <v>38</v>
          </cell>
          <cell r="FU327">
            <v>2.0333333333333332</v>
          </cell>
          <cell r="FW327" t="str">
            <v>SOBRESTOCK</v>
          </cell>
          <cell r="FX327" t="str">
            <v>B</v>
          </cell>
          <cell r="FY327" t="str">
            <v>Si</v>
          </cell>
        </row>
        <row r="328">
          <cell r="B328" t="str">
            <v>REP-0345</v>
          </cell>
          <cell r="C328" t="str">
            <v>NAC</v>
          </cell>
          <cell r="D328">
            <v>0</v>
          </cell>
          <cell r="E328">
            <v>3</v>
          </cell>
          <cell r="F328">
            <v>0</v>
          </cell>
          <cell r="G328">
            <v>0</v>
          </cell>
          <cell r="H328">
            <v>1</v>
          </cell>
          <cell r="I328">
            <v>1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5</v>
          </cell>
          <cell r="AA328">
            <v>5</v>
          </cell>
          <cell r="AB328">
            <v>17</v>
          </cell>
          <cell r="AC328">
            <v>3</v>
          </cell>
          <cell r="AD328">
            <v>0.1</v>
          </cell>
          <cell r="AE328">
            <v>2.9166666666666665</v>
          </cell>
          <cell r="AF328">
            <v>2.5833333333333335</v>
          </cell>
          <cell r="AG328">
            <v>1.75</v>
          </cell>
          <cell r="AH328">
            <v>1.0833333333333333</v>
          </cell>
          <cell r="AI328">
            <v>1.1666666666666667</v>
          </cell>
          <cell r="AJ328">
            <v>1.1666666666666667</v>
          </cell>
          <cell r="AK328">
            <v>1.75</v>
          </cell>
          <cell r="AL328">
            <v>0.30807045851137277</v>
          </cell>
          <cell r="AM328">
            <v>1.2916666666666667</v>
          </cell>
          <cell r="AN328">
            <v>0.23850616142815956</v>
          </cell>
          <cell r="AO328">
            <v>0</v>
          </cell>
          <cell r="AP328">
            <v>12.25</v>
          </cell>
          <cell r="AQ328">
            <v>4.419354838709677</v>
          </cell>
          <cell r="AR328">
            <v>0</v>
          </cell>
          <cell r="AS328">
            <v>8.8333333333333321</v>
          </cell>
          <cell r="AT328">
            <v>12</v>
          </cell>
          <cell r="AU328">
            <v>6.8571428571428568</v>
          </cell>
          <cell r="AV328">
            <v>0</v>
          </cell>
          <cell r="AW328">
            <v>10.25</v>
          </cell>
          <cell r="AX328">
            <v>10</v>
          </cell>
          <cell r="AY328">
            <v>5.7142857142857144</v>
          </cell>
          <cell r="AZ328">
            <v>0</v>
          </cell>
          <cell r="BA328">
            <v>8.25</v>
          </cell>
          <cell r="BB328">
            <v>9</v>
          </cell>
          <cell r="BC328">
            <v>3.8571428571428568</v>
          </cell>
          <cell r="BD328">
            <v>0</v>
          </cell>
          <cell r="BE328">
            <v>6.6666666666666661</v>
          </cell>
          <cell r="BF328">
            <v>2.8571428571428568</v>
          </cell>
          <cell r="BG328">
            <v>0</v>
          </cell>
          <cell r="BH328">
            <v>4.3333333333333321</v>
          </cell>
          <cell r="BI328">
            <v>5</v>
          </cell>
          <cell r="BJ328">
            <v>2.8571428571428572</v>
          </cell>
          <cell r="BK328">
            <v>0</v>
          </cell>
          <cell r="BL328">
            <v>7.25</v>
          </cell>
          <cell r="BM328">
            <v>7</v>
          </cell>
          <cell r="BN328">
            <v>4</v>
          </cell>
          <cell r="BO328">
            <v>0</v>
          </cell>
          <cell r="BP328">
            <v>5.25</v>
          </cell>
          <cell r="BQ328">
            <v>13</v>
          </cell>
          <cell r="BR328">
            <v>7.4285714285714288</v>
          </cell>
          <cell r="BS328">
            <v>0</v>
          </cell>
          <cell r="BT328">
            <v>11.25</v>
          </cell>
          <cell r="BU328">
            <v>13</v>
          </cell>
          <cell r="BV328">
            <v>7.4285714285714288</v>
          </cell>
          <cell r="BW328">
            <v>0</v>
          </cell>
          <cell r="BX328">
            <v>0</v>
          </cell>
          <cell r="BY328">
            <v>11.25</v>
          </cell>
          <cell r="BZ328">
            <v>12</v>
          </cell>
          <cell r="CA328">
            <v>6.8571428571428568</v>
          </cell>
          <cell r="CB328">
            <v>0</v>
          </cell>
          <cell r="CC328">
            <v>0</v>
          </cell>
          <cell r="CD328">
            <v>10.25</v>
          </cell>
          <cell r="CE328">
            <v>10</v>
          </cell>
          <cell r="CF328">
            <v>5.7142857142857144</v>
          </cell>
          <cell r="CG328">
            <v>0</v>
          </cell>
          <cell r="CH328">
            <v>0</v>
          </cell>
          <cell r="CI328">
            <v>8.5</v>
          </cell>
          <cell r="CJ328">
            <v>18</v>
          </cell>
          <cell r="CK328">
            <v>10.285714285714286</v>
          </cell>
          <cell r="CL328">
            <v>0</v>
          </cell>
          <cell r="CM328">
            <v>0</v>
          </cell>
          <cell r="CN328">
            <v>16.25</v>
          </cell>
          <cell r="CO328">
            <v>6</v>
          </cell>
          <cell r="CP328">
            <v>3.4285714285714284</v>
          </cell>
          <cell r="CQ328">
            <v>0</v>
          </cell>
          <cell r="CR328">
            <v>0</v>
          </cell>
          <cell r="CS328">
            <v>4.25</v>
          </cell>
          <cell r="CT328">
            <v>4</v>
          </cell>
          <cell r="CU328">
            <v>2.2857142857142856</v>
          </cell>
          <cell r="CV328">
            <v>2</v>
          </cell>
          <cell r="CW328">
            <v>0</v>
          </cell>
          <cell r="CX328">
            <v>2.25</v>
          </cell>
          <cell r="CY328">
            <v>4</v>
          </cell>
          <cell r="CZ328">
            <v>2.2857142857142856</v>
          </cell>
          <cell r="DA328">
            <v>3.75</v>
          </cell>
          <cell r="DB328">
            <v>0</v>
          </cell>
          <cell r="DC328">
            <v>2.25</v>
          </cell>
          <cell r="DD328">
            <v>2</v>
          </cell>
          <cell r="DE328">
            <v>-2.1818181818181821</v>
          </cell>
          <cell r="DF328">
            <v>3.75</v>
          </cell>
          <cell r="DG328">
            <v>0</v>
          </cell>
          <cell r="DH328">
            <v>0.16666666666666674</v>
          </cell>
          <cell r="DI328">
            <v>5</v>
          </cell>
          <cell r="DJ328">
            <v>1.4545454545454546</v>
          </cell>
          <cell r="DK328">
            <v>5.833333333333333</v>
          </cell>
          <cell r="DL328">
            <v>0</v>
          </cell>
          <cell r="DM328">
            <v>4.166666666666667</v>
          </cell>
          <cell r="DN328">
            <v>5</v>
          </cell>
          <cell r="DO328">
            <v>1.4285714285714286</v>
          </cell>
          <cell r="DP328">
            <v>1</v>
          </cell>
          <cell r="DQ328">
            <v>0</v>
          </cell>
          <cell r="DR328">
            <v>3.25</v>
          </cell>
          <cell r="DS328">
            <v>3.25</v>
          </cell>
          <cell r="DT328">
            <v>0.4285714285714286</v>
          </cell>
          <cell r="DU328">
            <v>2.75</v>
          </cell>
          <cell r="DV328">
            <v>0</v>
          </cell>
          <cell r="DW328">
            <v>1.5</v>
          </cell>
          <cell r="DX328">
            <v>1.5</v>
          </cell>
          <cell r="DY328">
            <v>-0.57142857142857162</v>
          </cell>
          <cell r="DZ328">
            <v>4.5</v>
          </cell>
          <cell r="EA328">
            <v>0</v>
          </cell>
          <cell r="EB328">
            <v>-0.25</v>
          </cell>
          <cell r="EC328">
            <v>-0.25</v>
          </cell>
          <cell r="ED328">
            <v>-1.5714285714285716</v>
          </cell>
          <cell r="EE328">
            <v>6.25</v>
          </cell>
          <cell r="EF328">
            <v>0</v>
          </cell>
          <cell r="EG328">
            <v>-2</v>
          </cell>
          <cell r="EH328">
            <v>-2</v>
          </cell>
          <cell r="EI328">
            <v>-2.5714285714285712</v>
          </cell>
          <cell r="EJ328">
            <v>8</v>
          </cell>
          <cell r="EK328">
            <v>0</v>
          </cell>
          <cell r="EL328">
            <v>-3.75</v>
          </cell>
          <cell r="EM328">
            <v>-3.75</v>
          </cell>
          <cell r="EN328">
            <v>-3.5714285714285712</v>
          </cell>
          <cell r="EO328">
            <v>9.75</v>
          </cell>
          <cell r="EP328">
            <v>0</v>
          </cell>
          <cell r="EQ328">
            <v>-5.5</v>
          </cell>
          <cell r="ER328">
            <v>-5.5</v>
          </cell>
          <cell r="ES328">
            <v>-4.5714285714285712</v>
          </cell>
          <cell r="ET328">
            <v>11.5</v>
          </cell>
          <cell r="EU328">
            <v>0</v>
          </cell>
          <cell r="EV328">
            <v>-7.25</v>
          </cell>
          <cell r="EW328">
            <v>-7.25</v>
          </cell>
          <cell r="EX328">
            <v>-5.5714285714285712</v>
          </cell>
          <cell r="EY328">
            <v>13.25</v>
          </cell>
          <cell r="EZ328">
            <v>0</v>
          </cell>
          <cell r="FA328">
            <v>-9</v>
          </cell>
          <cell r="FB328">
            <v>-9</v>
          </cell>
          <cell r="FC328">
            <v>-6.5714285714285712</v>
          </cell>
          <cell r="FD328">
            <v>15</v>
          </cell>
          <cell r="FE328">
            <v>0</v>
          </cell>
          <cell r="FF328">
            <v>-10.75</v>
          </cell>
          <cell r="FG328">
            <v>-10.75</v>
          </cell>
          <cell r="FH328">
            <v>-7.5714285714285712</v>
          </cell>
          <cell r="FI328">
            <v>16.75</v>
          </cell>
          <cell r="FJ328">
            <v>0</v>
          </cell>
          <cell r="FK328">
            <v>-12.5</v>
          </cell>
          <cell r="FL328">
            <v>-12.5</v>
          </cell>
          <cell r="FM328">
            <v>-8.5714285714285712</v>
          </cell>
          <cell r="FN328">
            <v>18.5</v>
          </cell>
          <cell r="FO328">
            <v>0</v>
          </cell>
          <cell r="FP328">
            <v>-14.25</v>
          </cell>
          <cell r="FQ328">
            <v>-14.25</v>
          </cell>
          <cell r="FR328">
            <v>-9.5714285714285712</v>
          </cell>
          <cell r="FS328">
            <v>20.25</v>
          </cell>
          <cell r="FT328">
            <v>6</v>
          </cell>
          <cell r="FU328">
            <v>3</v>
          </cell>
          <cell r="FW328" t="str">
            <v>STOCK OK</v>
          </cell>
          <cell r="FX328" t="str">
            <v>B</v>
          </cell>
          <cell r="FY328" t="str">
            <v>Si</v>
          </cell>
        </row>
        <row r="329">
          <cell r="B329" t="str">
            <v>REP-0346</v>
          </cell>
          <cell r="C329" t="str">
            <v>NAC</v>
          </cell>
          <cell r="D329">
            <v>0</v>
          </cell>
          <cell r="E329">
            <v>95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2</v>
          </cell>
          <cell r="O329">
            <v>0</v>
          </cell>
          <cell r="P329">
            <v>1</v>
          </cell>
          <cell r="Q329">
            <v>1</v>
          </cell>
          <cell r="R329">
            <v>2</v>
          </cell>
          <cell r="S329">
            <v>0</v>
          </cell>
          <cell r="T329">
            <v>2</v>
          </cell>
          <cell r="U329">
            <v>2</v>
          </cell>
          <cell r="V329">
            <v>2</v>
          </cell>
          <cell r="W329">
            <v>0</v>
          </cell>
          <cell r="X329">
            <v>0</v>
          </cell>
          <cell r="Y329">
            <v>107</v>
          </cell>
          <cell r="AA329">
            <v>107</v>
          </cell>
          <cell r="AB329">
            <v>0</v>
          </cell>
          <cell r="AC329">
            <v>1.6666666666666667</v>
          </cell>
          <cell r="AD329">
            <v>5.5555555555555559E-2</v>
          </cell>
          <cell r="AE329">
            <v>1.25</v>
          </cell>
          <cell r="AF329">
            <v>1</v>
          </cell>
          <cell r="AG329">
            <v>1.25</v>
          </cell>
          <cell r="AH329">
            <v>0.66666666666666663</v>
          </cell>
          <cell r="AI329">
            <v>0.5</v>
          </cell>
          <cell r="AJ329">
            <v>0.5</v>
          </cell>
          <cell r="AK329">
            <v>1.25</v>
          </cell>
          <cell r="AL329">
            <v>0.35600015605489738</v>
          </cell>
          <cell r="AM329">
            <v>0.72916666666666663</v>
          </cell>
          <cell r="AN329">
            <v>0.48822878544671644</v>
          </cell>
          <cell r="AO329">
            <v>0</v>
          </cell>
          <cell r="AP329">
            <v>121.75</v>
          </cell>
          <cell r="AQ329">
            <v>97.4</v>
          </cell>
          <cell r="AR329">
            <v>0</v>
          </cell>
          <cell r="AS329">
            <v>121</v>
          </cell>
          <cell r="AT329">
            <v>121</v>
          </cell>
          <cell r="AU329">
            <v>96.8</v>
          </cell>
          <cell r="AV329">
            <v>0</v>
          </cell>
          <cell r="AW329">
            <v>119.75</v>
          </cell>
          <cell r="AX329">
            <v>120</v>
          </cell>
          <cell r="AY329">
            <v>96</v>
          </cell>
          <cell r="AZ329">
            <v>0</v>
          </cell>
          <cell r="BA329">
            <v>118.75</v>
          </cell>
          <cell r="BB329">
            <v>120</v>
          </cell>
          <cell r="BC329">
            <v>96</v>
          </cell>
          <cell r="BD329">
            <v>0</v>
          </cell>
          <cell r="BE329">
            <v>118.75</v>
          </cell>
          <cell r="BF329">
            <v>95</v>
          </cell>
          <cell r="BG329">
            <v>0</v>
          </cell>
          <cell r="BH329">
            <v>117.5</v>
          </cell>
          <cell r="BI329">
            <v>107</v>
          </cell>
          <cell r="BJ329">
            <v>85.6</v>
          </cell>
          <cell r="BK329">
            <v>0</v>
          </cell>
          <cell r="BL329">
            <v>117.75</v>
          </cell>
          <cell r="BM329">
            <v>119</v>
          </cell>
          <cell r="BN329">
            <v>95.2</v>
          </cell>
          <cell r="BO329">
            <v>0</v>
          </cell>
          <cell r="BP329">
            <v>117.75</v>
          </cell>
          <cell r="BQ329">
            <v>119</v>
          </cell>
          <cell r="BR329">
            <v>95.2</v>
          </cell>
          <cell r="BS329">
            <v>0</v>
          </cell>
          <cell r="BT329">
            <v>117.75</v>
          </cell>
          <cell r="BU329">
            <v>119</v>
          </cell>
          <cell r="BV329">
            <v>95.2</v>
          </cell>
          <cell r="BW329">
            <v>0</v>
          </cell>
          <cell r="BX329">
            <v>0</v>
          </cell>
          <cell r="BY329">
            <v>117.75</v>
          </cell>
          <cell r="BZ329">
            <v>118</v>
          </cell>
          <cell r="CA329">
            <v>94.4</v>
          </cell>
          <cell r="CB329">
            <v>0</v>
          </cell>
          <cell r="CC329">
            <v>0</v>
          </cell>
          <cell r="CD329">
            <v>116.75</v>
          </cell>
          <cell r="CE329">
            <v>117</v>
          </cell>
          <cell r="CF329">
            <v>93.6</v>
          </cell>
          <cell r="CG329">
            <v>0</v>
          </cell>
          <cell r="CH329">
            <v>0</v>
          </cell>
          <cell r="CI329">
            <v>115.5</v>
          </cell>
          <cell r="CJ329">
            <v>115</v>
          </cell>
          <cell r="CK329">
            <v>92</v>
          </cell>
          <cell r="CL329">
            <v>0</v>
          </cell>
          <cell r="CM329">
            <v>0</v>
          </cell>
          <cell r="CN329">
            <v>113.75</v>
          </cell>
          <cell r="CO329">
            <v>114</v>
          </cell>
          <cell r="CP329">
            <v>91.2</v>
          </cell>
          <cell r="CQ329">
            <v>0</v>
          </cell>
          <cell r="CR329">
            <v>0</v>
          </cell>
          <cell r="CS329">
            <v>112.75</v>
          </cell>
          <cell r="CT329">
            <v>113</v>
          </cell>
          <cell r="CU329">
            <v>90.4</v>
          </cell>
          <cell r="CV329">
            <v>0</v>
          </cell>
          <cell r="CW329">
            <v>0</v>
          </cell>
          <cell r="CX329">
            <v>111.75</v>
          </cell>
          <cell r="CY329">
            <v>112</v>
          </cell>
          <cell r="CZ329">
            <v>89.6</v>
          </cell>
          <cell r="DA329">
            <v>0</v>
          </cell>
          <cell r="DB329">
            <v>0</v>
          </cell>
          <cell r="DC329">
            <v>110.75</v>
          </cell>
          <cell r="DD329">
            <v>111</v>
          </cell>
          <cell r="DE329">
            <v>87.2</v>
          </cell>
          <cell r="DF329">
            <v>0</v>
          </cell>
          <cell r="DG329">
            <v>0</v>
          </cell>
          <cell r="DH329">
            <v>109.75</v>
          </cell>
          <cell r="DI329">
            <v>111</v>
          </cell>
          <cell r="DJ329">
            <v>89.2</v>
          </cell>
          <cell r="DK329">
            <v>0</v>
          </cell>
          <cell r="DL329">
            <v>0</v>
          </cell>
          <cell r="DM329">
            <v>108.5</v>
          </cell>
          <cell r="DN329">
            <v>107</v>
          </cell>
          <cell r="DO329">
            <v>86</v>
          </cell>
          <cell r="DP329">
            <v>0</v>
          </cell>
          <cell r="DQ329">
            <v>0</v>
          </cell>
          <cell r="DR329">
            <v>105.75</v>
          </cell>
          <cell r="DS329">
            <v>105.75</v>
          </cell>
          <cell r="DT329">
            <v>85</v>
          </cell>
          <cell r="DU329">
            <v>0</v>
          </cell>
          <cell r="DV329">
            <v>0</v>
          </cell>
          <cell r="DW329">
            <v>104.5</v>
          </cell>
          <cell r="DX329">
            <v>104.5</v>
          </cell>
          <cell r="DY329">
            <v>84</v>
          </cell>
          <cell r="DZ329">
            <v>0</v>
          </cell>
          <cell r="EA329">
            <v>0</v>
          </cell>
          <cell r="EB329">
            <v>103.25</v>
          </cell>
          <cell r="EC329">
            <v>103.25</v>
          </cell>
          <cell r="ED329">
            <v>83</v>
          </cell>
          <cell r="EE329">
            <v>0</v>
          </cell>
          <cell r="EF329">
            <v>0</v>
          </cell>
          <cell r="EG329">
            <v>102</v>
          </cell>
          <cell r="EH329">
            <v>102</v>
          </cell>
          <cell r="EI329">
            <v>82</v>
          </cell>
          <cell r="EJ329">
            <v>0</v>
          </cell>
          <cell r="EK329">
            <v>0</v>
          </cell>
          <cell r="EL329">
            <v>100.75</v>
          </cell>
          <cell r="EM329">
            <v>100.75</v>
          </cell>
          <cell r="EN329">
            <v>81</v>
          </cell>
          <cell r="EO329">
            <v>0</v>
          </cell>
          <cell r="EP329">
            <v>0</v>
          </cell>
          <cell r="EQ329">
            <v>99.5</v>
          </cell>
          <cell r="ER329">
            <v>99.5</v>
          </cell>
          <cell r="ES329">
            <v>80</v>
          </cell>
          <cell r="ET329">
            <v>0</v>
          </cell>
          <cell r="EU329">
            <v>0</v>
          </cell>
          <cell r="EV329">
            <v>98.25</v>
          </cell>
          <cell r="EW329">
            <v>98.25</v>
          </cell>
          <cell r="EX329">
            <v>79</v>
          </cell>
          <cell r="EY329">
            <v>0</v>
          </cell>
          <cell r="EZ329">
            <v>0</v>
          </cell>
          <cell r="FA329">
            <v>97</v>
          </cell>
          <cell r="FB329">
            <v>97</v>
          </cell>
          <cell r="FC329">
            <v>78</v>
          </cell>
          <cell r="FD329">
            <v>0</v>
          </cell>
          <cell r="FE329">
            <v>0</v>
          </cell>
          <cell r="FF329">
            <v>95.75</v>
          </cell>
          <cell r="FG329">
            <v>95.75</v>
          </cell>
          <cell r="FH329">
            <v>77</v>
          </cell>
          <cell r="FI329">
            <v>0</v>
          </cell>
          <cell r="FJ329">
            <v>0</v>
          </cell>
          <cell r="FK329">
            <v>94.5</v>
          </cell>
          <cell r="FL329">
            <v>94.5</v>
          </cell>
          <cell r="FM329">
            <v>76</v>
          </cell>
          <cell r="FN329">
            <v>0</v>
          </cell>
          <cell r="FO329">
            <v>0</v>
          </cell>
          <cell r="FP329">
            <v>93.25</v>
          </cell>
          <cell r="FQ329">
            <v>93.25</v>
          </cell>
          <cell r="FR329">
            <v>75</v>
          </cell>
          <cell r="FS329">
            <v>0</v>
          </cell>
          <cell r="FT329">
            <v>2</v>
          </cell>
          <cell r="FU329">
            <v>1.0333333333333334</v>
          </cell>
          <cell r="FW329" t="str">
            <v>SOBRESTOCK</v>
          </cell>
          <cell r="FX329" t="str">
            <v>B</v>
          </cell>
          <cell r="FY329" t="str">
            <v>Si</v>
          </cell>
        </row>
        <row r="330">
          <cell r="B330" t="str">
            <v>REP-0347</v>
          </cell>
          <cell r="C330" t="str">
            <v>MIX</v>
          </cell>
          <cell r="D330">
            <v>0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1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2</v>
          </cell>
          <cell r="AA330">
            <v>2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8.3333333333333329E-2</v>
          </cell>
          <cell r="AG330">
            <v>8.3333333333333329E-2</v>
          </cell>
          <cell r="AH330">
            <v>0.16666666666666666</v>
          </cell>
          <cell r="AI330">
            <v>0</v>
          </cell>
          <cell r="AJ330">
            <v>0</v>
          </cell>
          <cell r="AK330">
            <v>0.16666666666666666</v>
          </cell>
          <cell r="AL330">
            <v>7.9785592313028175E-2</v>
          </cell>
          <cell r="AM330">
            <v>6.25E-2</v>
          </cell>
          <cell r="AN330">
            <v>1.2765694770084508</v>
          </cell>
          <cell r="AO330">
            <v>0</v>
          </cell>
          <cell r="AP330">
            <v>2.6666666666666665</v>
          </cell>
          <cell r="AQ330">
            <v>17.000000000000004</v>
          </cell>
          <cell r="AR330">
            <v>0</v>
          </cell>
          <cell r="AS330">
            <v>2.666666666666667</v>
          </cell>
          <cell r="AT330">
            <v>3</v>
          </cell>
          <cell r="AU330">
            <v>18</v>
          </cell>
          <cell r="AV330">
            <v>0</v>
          </cell>
          <cell r="AW330">
            <v>2.8333333333333335</v>
          </cell>
          <cell r="AX330">
            <v>3</v>
          </cell>
          <cell r="AY330">
            <v>18</v>
          </cell>
          <cell r="AZ330">
            <v>0</v>
          </cell>
          <cell r="BA330">
            <v>2.8333333333333335</v>
          </cell>
          <cell r="BB330">
            <v>3</v>
          </cell>
          <cell r="BC330">
            <v>36</v>
          </cell>
          <cell r="BD330">
            <v>0</v>
          </cell>
          <cell r="BE330">
            <v>2.9166666666666665</v>
          </cell>
          <cell r="BF330">
            <v>35</v>
          </cell>
          <cell r="BG330">
            <v>0</v>
          </cell>
          <cell r="BH330">
            <v>2.833333333333333</v>
          </cell>
          <cell r="BI330">
            <v>2</v>
          </cell>
          <cell r="BJ330">
            <v>12</v>
          </cell>
          <cell r="BK330">
            <v>0</v>
          </cell>
          <cell r="BL330">
            <v>1.8333333333333333</v>
          </cell>
          <cell r="BM330">
            <v>2</v>
          </cell>
          <cell r="BN330">
            <v>6</v>
          </cell>
          <cell r="BO330">
            <v>0</v>
          </cell>
          <cell r="BP330">
            <v>1.6666666666666667</v>
          </cell>
          <cell r="BQ330">
            <v>2</v>
          </cell>
          <cell r="BR330">
            <v>12</v>
          </cell>
          <cell r="BS330">
            <v>0</v>
          </cell>
          <cell r="BT330">
            <v>1.6666666666666667</v>
          </cell>
          <cell r="BU330">
            <v>2</v>
          </cell>
          <cell r="BV330">
            <v>6</v>
          </cell>
          <cell r="BW330">
            <v>0</v>
          </cell>
          <cell r="BX330">
            <v>0</v>
          </cell>
          <cell r="BY330">
            <v>1.6666666666666667</v>
          </cell>
          <cell r="BZ330">
            <v>2</v>
          </cell>
          <cell r="CA330">
            <v>6</v>
          </cell>
          <cell r="CB330">
            <v>0</v>
          </cell>
          <cell r="CC330">
            <v>0</v>
          </cell>
          <cell r="CD330">
            <v>3.6666666666666665</v>
          </cell>
          <cell r="CE330">
            <v>2</v>
          </cell>
          <cell r="CF330">
            <v>6</v>
          </cell>
          <cell r="CG330">
            <v>0</v>
          </cell>
          <cell r="CH330">
            <v>2</v>
          </cell>
          <cell r="CI330">
            <v>3.333333333333333</v>
          </cell>
          <cell r="CJ330">
            <v>4</v>
          </cell>
          <cell r="CK330">
            <v>24</v>
          </cell>
          <cell r="CL330">
            <v>0</v>
          </cell>
          <cell r="CM330">
            <v>0</v>
          </cell>
          <cell r="CN330">
            <v>3.8333333333333335</v>
          </cell>
          <cell r="CO330">
            <v>2</v>
          </cell>
          <cell r="CP330">
            <v>12</v>
          </cell>
          <cell r="CQ330">
            <v>0</v>
          </cell>
          <cell r="CR330">
            <v>0</v>
          </cell>
          <cell r="CS330">
            <v>1.8333333333333333</v>
          </cell>
          <cell r="CT330">
            <v>2</v>
          </cell>
          <cell r="CU330">
            <v>12</v>
          </cell>
          <cell r="CV330">
            <v>0</v>
          </cell>
          <cell r="CW330">
            <v>0</v>
          </cell>
          <cell r="CX330">
            <v>1.8333333333333333</v>
          </cell>
          <cell r="CY330">
            <v>2</v>
          </cell>
          <cell r="CZ330">
            <v>12</v>
          </cell>
          <cell r="DA330">
            <v>0</v>
          </cell>
          <cell r="DB330">
            <v>0</v>
          </cell>
          <cell r="DC330">
            <v>1.8333333333333333</v>
          </cell>
          <cell r="DD330">
            <v>2</v>
          </cell>
          <cell r="DE330">
            <v>6</v>
          </cell>
          <cell r="DF330">
            <v>0</v>
          </cell>
          <cell r="DG330">
            <v>0</v>
          </cell>
          <cell r="DH330">
            <v>1.8333333333333333</v>
          </cell>
          <cell r="DI330">
            <v>2</v>
          </cell>
          <cell r="DJ330">
            <v>8</v>
          </cell>
          <cell r="DK330">
            <v>0</v>
          </cell>
          <cell r="DL330">
            <v>0</v>
          </cell>
          <cell r="DM330">
            <v>1.6666666666666665</v>
          </cell>
          <cell r="DN330">
            <v>2</v>
          </cell>
          <cell r="DO330">
            <v>8</v>
          </cell>
          <cell r="DP330">
            <v>0</v>
          </cell>
          <cell r="DQ330">
            <v>0</v>
          </cell>
          <cell r="DR330">
            <v>1.8333333333333333</v>
          </cell>
          <cell r="DS330">
            <v>1.8333333333333333</v>
          </cell>
          <cell r="DT330">
            <v>7</v>
          </cell>
          <cell r="DU330">
            <v>0</v>
          </cell>
          <cell r="DV330">
            <v>0</v>
          </cell>
          <cell r="DW330">
            <v>1.6666666666666665</v>
          </cell>
          <cell r="DX330">
            <v>1.6666666666666665</v>
          </cell>
          <cell r="DY330">
            <v>5.9999999999999991</v>
          </cell>
          <cell r="DZ330">
            <v>0</v>
          </cell>
          <cell r="EA330">
            <v>0</v>
          </cell>
          <cell r="EB330">
            <v>1.4999999999999998</v>
          </cell>
          <cell r="EC330">
            <v>1.4999999999999998</v>
          </cell>
          <cell r="ED330">
            <v>4.9999999999999982</v>
          </cell>
          <cell r="EE330">
            <v>0</v>
          </cell>
          <cell r="EF330">
            <v>0</v>
          </cell>
          <cell r="EG330">
            <v>1.333333333333333</v>
          </cell>
          <cell r="EH330">
            <v>1.333333333333333</v>
          </cell>
          <cell r="EI330">
            <v>3.9999999999999982</v>
          </cell>
          <cell r="EJ330">
            <v>0</v>
          </cell>
          <cell r="EK330">
            <v>1</v>
          </cell>
          <cell r="EL330">
            <v>2.1666666666666665</v>
          </cell>
          <cell r="EM330">
            <v>2.1666666666666665</v>
          </cell>
          <cell r="EN330">
            <v>9</v>
          </cell>
          <cell r="EO330">
            <v>0</v>
          </cell>
          <cell r="EP330">
            <v>0</v>
          </cell>
          <cell r="EQ330">
            <v>1.9999999999999998</v>
          </cell>
          <cell r="ER330">
            <v>1.9999999999999998</v>
          </cell>
          <cell r="ES330">
            <v>7.9999999999999991</v>
          </cell>
          <cell r="ET330">
            <v>0</v>
          </cell>
          <cell r="EU330">
            <v>0</v>
          </cell>
          <cell r="EV330">
            <v>1.833333333333333</v>
          </cell>
          <cell r="EW330">
            <v>1.833333333333333</v>
          </cell>
          <cell r="EX330">
            <v>6.9999999999999982</v>
          </cell>
          <cell r="EY330">
            <v>0</v>
          </cell>
          <cell r="EZ330">
            <v>0</v>
          </cell>
          <cell r="FA330">
            <v>1.6666666666666663</v>
          </cell>
          <cell r="FB330">
            <v>1.6666666666666663</v>
          </cell>
          <cell r="FC330">
            <v>5.9999999999999982</v>
          </cell>
          <cell r="FD330">
            <v>0</v>
          </cell>
          <cell r="FE330">
            <v>0</v>
          </cell>
          <cell r="FF330">
            <v>1.4999999999999996</v>
          </cell>
          <cell r="FG330">
            <v>1.4999999999999996</v>
          </cell>
          <cell r="FH330">
            <v>4.9999999999999973</v>
          </cell>
          <cell r="FI330">
            <v>0</v>
          </cell>
          <cell r="FJ330">
            <v>0</v>
          </cell>
          <cell r="FK330">
            <v>1.3333333333333328</v>
          </cell>
          <cell r="FL330">
            <v>1.3333333333333328</v>
          </cell>
          <cell r="FM330">
            <v>3.9999999999999969</v>
          </cell>
          <cell r="FN330">
            <v>0</v>
          </cell>
          <cell r="FO330">
            <v>0</v>
          </cell>
          <cell r="FP330">
            <v>1.1666666666666661</v>
          </cell>
          <cell r="FQ330">
            <v>1.1666666666666661</v>
          </cell>
          <cell r="FR330">
            <v>2.9999999999999964</v>
          </cell>
          <cell r="FS330">
            <v>0</v>
          </cell>
          <cell r="FT330">
            <v>1</v>
          </cell>
          <cell r="FU330">
            <v>2.0333333333333332</v>
          </cell>
          <cell r="FW330" t="str">
            <v>SIN ROTACIÓN</v>
          </cell>
          <cell r="FX330" t="str">
            <v>C</v>
          </cell>
          <cell r="FY330" t="str">
            <v>Si</v>
          </cell>
        </row>
        <row r="331">
          <cell r="B331" t="str">
            <v>REP-0348</v>
          </cell>
          <cell r="C331" t="str">
            <v>MIX</v>
          </cell>
          <cell r="D331">
            <v>0</v>
          </cell>
          <cell r="E331">
            <v>16</v>
          </cell>
          <cell r="F331">
            <v>0</v>
          </cell>
          <cell r="G331">
            <v>0</v>
          </cell>
          <cell r="H331">
            <v>1</v>
          </cell>
          <cell r="I331">
            <v>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1</v>
          </cell>
          <cell r="R331">
            <v>1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20</v>
          </cell>
          <cell r="AA331">
            <v>20</v>
          </cell>
          <cell r="AB331">
            <v>1</v>
          </cell>
          <cell r="AC331">
            <v>0</v>
          </cell>
          <cell r="AD331">
            <v>0</v>
          </cell>
          <cell r="AE331">
            <v>8.3333333333333329E-2</v>
          </cell>
          <cell r="AF331">
            <v>0</v>
          </cell>
          <cell r="AG331">
            <v>1.3333333333333333</v>
          </cell>
          <cell r="AH331">
            <v>1.9166666666666667</v>
          </cell>
          <cell r="AI331">
            <v>0.16666666666666666</v>
          </cell>
          <cell r="AJ331">
            <v>0.16666666666666666</v>
          </cell>
          <cell r="AK331">
            <v>0.89583333333333326</v>
          </cell>
          <cell r="AL331">
            <v>0.87500000000000022</v>
          </cell>
          <cell r="AM331">
            <v>0.89583333333333326</v>
          </cell>
          <cell r="AN331">
            <v>0.97674418604651192</v>
          </cell>
          <cell r="AO331">
            <v>0</v>
          </cell>
          <cell r="AP331">
            <v>18.833333333333332</v>
          </cell>
          <cell r="AQ331">
            <v>9.5</v>
          </cell>
          <cell r="AR331">
            <v>0</v>
          </cell>
          <cell r="AS331">
            <v>29.666666666666664</v>
          </cell>
          <cell r="AT331">
            <v>29</v>
          </cell>
          <cell r="AU331">
            <v>21.75</v>
          </cell>
          <cell r="AV331">
            <v>0</v>
          </cell>
          <cell r="AW331">
            <v>27.666666666666668</v>
          </cell>
          <cell r="AX331">
            <v>24</v>
          </cell>
          <cell r="AY331">
            <v>26.790697674418606</v>
          </cell>
          <cell r="AZ331">
            <v>0</v>
          </cell>
          <cell r="BA331">
            <v>22.666666666666668</v>
          </cell>
          <cell r="BB331">
            <v>21</v>
          </cell>
          <cell r="BC331">
            <v>7.875</v>
          </cell>
          <cell r="BD331">
            <v>0</v>
          </cell>
          <cell r="BE331">
            <v>18.333333333333332</v>
          </cell>
          <cell r="BF331">
            <v>6.875</v>
          </cell>
          <cell r="BG331">
            <v>0</v>
          </cell>
          <cell r="BH331">
            <v>15.666666666666666</v>
          </cell>
          <cell r="BI331">
            <v>20</v>
          </cell>
          <cell r="BJ331">
            <v>22.325581395348838</v>
          </cell>
          <cell r="BK331">
            <v>0</v>
          </cell>
          <cell r="BL331">
            <v>15.833333333333334</v>
          </cell>
          <cell r="BM331">
            <v>15</v>
          </cell>
          <cell r="BN331">
            <v>6</v>
          </cell>
          <cell r="BO331">
            <v>0</v>
          </cell>
          <cell r="BP331">
            <v>12.5</v>
          </cell>
          <cell r="BQ331">
            <v>13</v>
          </cell>
          <cell r="BR331">
            <v>14.511627906976745</v>
          </cell>
          <cell r="BS331">
            <v>0</v>
          </cell>
          <cell r="BT331">
            <v>10.333333333333334</v>
          </cell>
          <cell r="BU331">
            <v>12</v>
          </cell>
          <cell r="BV331">
            <v>5.5384615384615392</v>
          </cell>
          <cell r="BW331">
            <v>6</v>
          </cell>
          <cell r="BX331">
            <v>0</v>
          </cell>
          <cell r="BY331">
            <v>9.8333333333333339</v>
          </cell>
          <cell r="BZ331">
            <v>11</v>
          </cell>
          <cell r="CA331">
            <v>5.7894736842105265</v>
          </cell>
          <cell r="CB331">
            <v>5</v>
          </cell>
          <cell r="CC331">
            <v>0</v>
          </cell>
          <cell r="CD331">
            <v>9.1</v>
          </cell>
          <cell r="CE331">
            <v>11</v>
          </cell>
          <cell r="CF331">
            <v>5.7619047619047619</v>
          </cell>
          <cell r="CG331">
            <v>5</v>
          </cell>
          <cell r="CH331">
            <v>0</v>
          </cell>
          <cell r="CI331">
            <v>12.190909090909091</v>
          </cell>
          <cell r="CJ331">
            <v>9</v>
          </cell>
          <cell r="CK331">
            <v>4.695652173913043</v>
          </cell>
          <cell r="CL331">
            <v>7</v>
          </cell>
          <cell r="CM331">
            <v>15</v>
          </cell>
          <cell r="CN331">
            <v>22.083333333333332</v>
          </cell>
          <cell r="CO331">
            <v>23</v>
          </cell>
          <cell r="CP331">
            <v>12</v>
          </cell>
          <cell r="CQ331">
            <v>0</v>
          </cell>
          <cell r="CR331">
            <v>0</v>
          </cell>
          <cell r="CS331">
            <v>21.083333333333332</v>
          </cell>
          <cell r="CT331">
            <v>23</v>
          </cell>
          <cell r="CU331">
            <v>12</v>
          </cell>
          <cell r="CV331">
            <v>0</v>
          </cell>
          <cell r="CW331">
            <v>0</v>
          </cell>
          <cell r="CX331">
            <v>21.083333333333332</v>
          </cell>
          <cell r="CY331">
            <v>22</v>
          </cell>
          <cell r="CZ331">
            <v>11.478260869565217</v>
          </cell>
          <cell r="DA331">
            <v>0</v>
          </cell>
          <cell r="DB331">
            <v>3</v>
          </cell>
          <cell r="DC331">
            <v>23.083333333333332</v>
          </cell>
          <cell r="DD331">
            <v>25</v>
          </cell>
          <cell r="DE331">
            <v>10.956521739130434</v>
          </cell>
          <cell r="DF331">
            <v>0</v>
          </cell>
          <cell r="DG331">
            <v>0</v>
          </cell>
          <cell r="DH331">
            <v>23.083333333333332</v>
          </cell>
          <cell r="DI331">
            <v>23</v>
          </cell>
          <cell r="DJ331">
            <v>24.202643171806166</v>
          </cell>
          <cell r="DK331">
            <v>0</v>
          </cell>
          <cell r="DL331">
            <v>0</v>
          </cell>
          <cell r="DM331">
            <v>22.137499999999999</v>
          </cell>
          <cell r="DN331">
            <v>20</v>
          </cell>
          <cell r="DO331">
            <v>22.093023255813954</v>
          </cell>
          <cell r="DP331">
            <v>0</v>
          </cell>
          <cell r="DQ331">
            <v>0</v>
          </cell>
          <cell r="DR331">
            <v>19.104166666666668</v>
          </cell>
          <cell r="DS331">
            <v>19.104166666666668</v>
          </cell>
          <cell r="DT331">
            <v>21.093023255813957</v>
          </cell>
          <cell r="DU331">
            <v>0</v>
          </cell>
          <cell r="DV331">
            <v>0</v>
          </cell>
          <cell r="DW331">
            <v>18.208333333333336</v>
          </cell>
          <cell r="DX331">
            <v>18.208333333333336</v>
          </cell>
          <cell r="DY331">
            <v>20.093023255813957</v>
          </cell>
          <cell r="DZ331">
            <v>0</v>
          </cell>
          <cell r="EA331">
            <v>0</v>
          </cell>
          <cell r="EB331">
            <v>17.312500000000004</v>
          </cell>
          <cell r="EC331">
            <v>17.312500000000004</v>
          </cell>
          <cell r="ED331">
            <v>19.093023255813957</v>
          </cell>
          <cell r="EE331">
            <v>0</v>
          </cell>
          <cell r="EF331">
            <v>0</v>
          </cell>
          <cell r="EG331">
            <v>16.416666666666671</v>
          </cell>
          <cell r="EH331">
            <v>16.416666666666671</v>
          </cell>
          <cell r="EI331">
            <v>18.093023255813961</v>
          </cell>
          <cell r="EJ331">
            <v>0</v>
          </cell>
          <cell r="EK331">
            <v>0</v>
          </cell>
          <cell r="EL331">
            <v>15.520833333333337</v>
          </cell>
          <cell r="EM331">
            <v>15.520833333333337</v>
          </cell>
          <cell r="EN331">
            <v>17.093023255813961</v>
          </cell>
          <cell r="EO331">
            <v>0</v>
          </cell>
          <cell r="EP331">
            <v>0</v>
          </cell>
          <cell r="EQ331">
            <v>14.625000000000004</v>
          </cell>
          <cell r="ER331">
            <v>14.625000000000004</v>
          </cell>
          <cell r="ES331">
            <v>16.093023255813961</v>
          </cell>
          <cell r="ET331">
            <v>0</v>
          </cell>
          <cell r="EU331">
            <v>0</v>
          </cell>
          <cell r="EV331">
            <v>13.72916666666667</v>
          </cell>
          <cell r="EW331">
            <v>13.72916666666667</v>
          </cell>
          <cell r="EX331">
            <v>15.093023255813957</v>
          </cell>
          <cell r="EY331">
            <v>0</v>
          </cell>
          <cell r="EZ331">
            <v>0</v>
          </cell>
          <cell r="FA331">
            <v>12.833333333333336</v>
          </cell>
          <cell r="FB331">
            <v>12.833333333333336</v>
          </cell>
          <cell r="FC331">
            <v>14.093023255813957</v>
          </cell>
          <cell r="FD331">
            <v>0</v>
          </cell>
          <cell r="FE331">
            <v>0</v>
          </cell>
          <cell r="FF331">
            <v>11.937500000000002</v>
          </cell>
          <cell r="FG331">
            <v>11.937500000000002</v>
          </cell>
          <cell r="FH331">
            <v>13.093023255813957</v>
          </cell>
          <cell r="FI331">
            <v>0</v>
          </cell>
          <cell r="FJ331">
            <v>0</v>
          </cell>
          <cell r="FK331">
            <v>11.041666666666668</v>
          </cell>
          <cell r="FL331">
            <v>11.041666666666668</v>
          </cell>
          <cell r="FM331">
            <v>12.093023255813955</v>
          </cell>
          <cell r="FN331">
            <v>0</v>
          </cell>
          <cell r="FO331">
            <v>0</v>
          </cell>
          <cell r="FP331">
            <v>10.145833333333334</v>
          </cell>
          <cell r="FQ331">
            <v>10.145833333333334</v>
          </cell>
          <cell r="FR331">
            <v>11.093023255813955</v>
          </cell>
          <cell r="FS331">
            <v>0</v>
          </cell>
          <cell r="FT331">
            <v>2</v>
          </cell>
          <cell r="FU331">
            <v>2.0333333333333332</v>
          </cell>
          <cell r="FW331" t="str">
            <v>SOBRESTOCK</v>
          </cell>
          <cell r="FX331" t="str">
            <v>C</v>
          </cell>
          <cell r="FY331" t="str">
            <v>Si</v>
          </cell>
        </row>
        <row r="332">
          <cell r="B332" t="str">
            <v>REP-0349</v>
          </cell>
          <cell r="C332" t="str">
            <v>NAC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AA332">
            <v>0</v>
          </cell>
          <cell r="AB332">
            <v>0</v>
          </cell>
          <cell r="AC332">
            <v>0.16666666666666666</v>
          </cell>
          <cell r="AD332">
            <v>5.5555555555555549E-3</v>
          </cell>
          <cell r="AE332">
            <v>8.3333333333333329E-2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M332">
            <v>0</v>
          </cell>
          <cell r="AO332">
            <v>0</v>
          </cell>
          <cell r="AP332">
            <v>0</v>
          </cell>
          <cell r="AQ332" t="str">
            <v/>
          </cell>
          <cell r="AR332">
            <v>0</v>
          </cell>
          <cell r="AS332">
            <v>0</v>
          </cell>
          <cell r="AT332">
            <v>0</v>
          </cell>
          <cell r="AU332" t="str">
            <v/>
          </cell>
          <cell r="AV332">
            <v>0</v>
          </cell>
          <cell r="AW332">
            <v>0</v>
          </cell>
          <cell r="AX332">
            <v>0</v>
          </cell>
          <cell r="AY332" t="str">
            <v/>
          </cell>
          <cell r="AZ332">
            <v>0</v>
          </cell>
          <cell r="BA332">
            <v>0</v>
          </cell>
          <cell r="BB332">
            <v>0</v>
          </cell>
          <cell r="BC332" t="str">
            <v/>
          </cell>
          <cell r="BD332">
            <v>0</v>
          </cell>
          <cell r="BE332">
            <v>0</v>
          </cell>
          <cell r="BF332" t="str">
            <v/>
          </cell>
          <cell r="BG332">
            <v>0</v>
          </cell>
          <cell r="BH332">
            <v>0</v>
          </cell>
          <cell r="BI332">
            <v>0</v>
          </cell>
          <cell r="BJ332" t="str">
            <v/>
          </cell>
          <cell r="BK332">
            <v>0</v>
          </cell>
          <cell r="BL332">
            <v>0</v>
          </cell>
          <cell r="BM332">
            <v>0</v>
          </cell>
          <cell r="BN332" t="str">
            <v/>
          </cell>
          <cell r="BO332">
            <v>0</v>
          </cell>
          <cell r="BP332">
            <v>0</v>
          </cell>
          <cell r="BQ332">
            <v>0</v>
          </cell>
          <cell r="BR332" t="str">
            <v/>
          </cell>
          <cell r="BS332">
            <v>0</v>
          </cell>
          <cell r="BT332">
            <v>0</v>
          </cell>
          <cell r="BU332">
            <v>0</v>
          </cell>
          <cell r="BV332" t="str">
            <v/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 t="str">
            <v/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 t="str">
            <v/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 t="str">
            <v/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 t="str">
            <v/>
          </cell>
          <cell r="CQ332">
            <v>0</v>
          </cell>
          <cell r="CS332">
            <v>0</v>
          </cell>
          <cell r="CT332">
            <v>0</v>
          </cell>
          <cell r="CU332" t="str">
            <v/>
          </cell>
          <cell r="CV332">
            <v>0</v>
          </cell>
          <cell r="CX332">
            <v>0</v>
          </cell>
          <cell r="CY332">
            <v>0</v>
          </cell>
          <cell r="CZ332" t="str">
            <v/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 t="str">
            <v/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 t="str">
            <v/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 t="str">
            <v/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 t="str">
            <v/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 t="str">
            <v/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 t="str">
            <v/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 t="str">
            <v/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 t="str">
            <v/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 t="str">
            <v/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 t="str">
            <v/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 t="str">
            <v/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 t="str">
            <v/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 t="str">
            <v/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 t="str">
            <v/>
          </cell>
          <cell r="FS332">
            <v>0</v>
          </cell>
          <cell r="FT332">
            <v>0</v>
          </cell>
          <cell r="FU332">
            <v>66.666666666666671</v>
          </cell>
          <cell r="FW332" t="str">
            <v>SIN ROTACIÓN</v>
          </cell>
          <cell r="FX332" t="str">
            <v/>
          </cell>
          <cell r="FY332" t="str">
            <v>No</v>
          </cell>
        </row>
        <row r="333">
          <cell r="B333" t="str">
            <v>REP-0350</v>
          </cell>
          <cell r="C333" t="str">
            <v>MIX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6</v>
          </cell>
          <cell r="I333">
            <v>6</v>
          </cell>
          <cell r="J333">
            <v>0</v>
          </cell>
          <cell r="K333">
            <v>4</v>
          </cell>
          <cell r="L333">
            <v>0</v>
          </cell>
          <cell r="M333">
            <v>0</v>
          </cell>
          <cell r="N333">
            <v>3</v>
          </cell>
          <cell r="O333">
            <v>3</v>
          </cell>
          <cell r="P333">
            <v>2</v>
          </cell>
          <cell r="Q333">
            <v>1</v>
          </cell>
          <cell r="R333">
            <v>10</v>
          </cell>
          <cell r="S333">
            <v>2</v>
          </cell>
          <cell r="T333">
            <v>2</v>
          </cell>
          <cell r="U333">
            <v>0</v>
          </cell>
          <cell r="V333">
            <v>0</v>
          </cell>
          <cell r="W333">
            <v>2</v>
          </cell>
          <cell r="X333">
            <v>2</v>
          </cell>
          <cell r="Y333">
            <v>43</v>
          </cell>
          <cell r="AA333">
            <v>43</v>
          </cell>
          <cell r="AB333">
            <v>9</v>
          </cell>
          <cell r="AC333">
            <v>0.83333333333333337</v>
          </cell>
          <cell r="AD333">
            <v>2.777777777777778E-2</v>
          </cell>
          <cell r="AE333">
            <v>1.0833333333333333</v>
          </cell>
          <cell r="AF333">
            <v>1.1666666666666667</v>
          </cell>
          <cell r="AG333">
            <v>4.75</v>
          </cell>
          <cell r="AH333">
            <v>3.0833333333333335</v>
          </cell>
          <cell r="AI333">
            <v>5.5</v>
          </cell>
          <cell r="AJ333">
            <v>5.5</v>
          </cell>
          <cell r="AK333">
            <v>5.5</v>
          </cell>
          <cell r="AL333">
            <v>1.1395661942647759</v>
          </cell>
          <cell r="AM333">
            <v>4.7083333333333339</v>
          </cell>
          <cell r="AN333">
            <v>0.24203175807393468</v>
          </cell>
          <cell r="AO333">
            <v>0</v>
          </cell>
          <cell r="AP333">
            <v>40.25</v>
          </cell>
          <cell r="AQ333">
            <v>8.473684210526315</v>
          </cell>
          <cell r="AR333">
            <v>0</v>
          </cell>
          <cell r="AS333">
            <v>35.666666666666671</v>
          </cell>
          <cell r="AT333">
            <v>38</v>
          </cell>
          <cell r="AU333">
            <v>8</v>
          </cell>
          <cell r="AV333">
            <v>0</v>
          </cell>
          <cell r="AW333">
            <v>33.25</v>
          </cell>
          <cell r="AX333">
            <v>32</v>
          </cell>
          <cell r="AY333">
            <v>5.8181818181818183</v>
          </cell>
          <cell r="AZ333">
            <v>0</v>
          </cell>
          <cell r="BA333">
            <v>36.666666666666664</v>
          </cell>
          <cell r="BB333">
            <v>30</v>
          </cell>
          <cell r="BC333">
            <v>6.3157894736842106</v>
          </cell>
          <cell r="BD333">
            <v>0</v>
          </cell>
          <cell r="BE333">
            <v>25.25</v>
          </cell>
          <cell r="BF333">
            <v>5.3157894736842106</v>
          </cell>
          <cell r="BG333">
            <v>10</v>
          </cell>
          <cell r="BH333">
            <v>30.5</v>
          </cell>
          <cell r="BI333">
            <v>43</v>
          </cell>
          <cell r="BJ333">
            <v>7.8181818181818183</v>
          </cell>
          <cell r="BK333">
            <v>0</v>
          </cell>
          <cell r="BL333">
            <v>69.25</v>
          </cell>
          <cell r="BM333">
            <v>73</v>
          </cell>
          <cell r="BN333">
            <v>15.368421052631579</v>
          </cell>
          <cell r="BO333">
            <v>0</v>
          </cell>
          <cell r="BP333">
            <v>68.25</v>
          </cell>
          <cell r="BQ333">
            <v>68</v>
          </cell>
          <cell r="BR333">
            <v>12.363636363636363</v>
          </cell>
          <cell r="BS333">
            <v>0</v>
          </cell>
          <cell r="BT333">
            <v>63.25</v>
          </cell>
          <cell r="BU333">
            <v>68</v>
          </cell>
          <cell r="BV333">
            <v>14.315789473684211</v>
          </cell>
          <cell r="BW333">
            <v>0</v>
          </cell>
          <cell r="BX333">
            <v>0</v>
          </cell>
          <cell r="BY333">
            <v>63.25</v>
          </cell>
          <cell r="BZ333">
            <v>64</v>
          </cell>
          <cell r="CA333">
            <v>13.473684210526315</v>
          </cell>
          <cell r="CB333">
            <v>0</v>
          </cell>
          <cell r="CC333">
            <v>0</v>
          </cell>
          <cell r="CD333">
            <v>59.25</v>
          </cell>
          <cell r="CE333">
            <v>61</v>
          </cell>
          <cell r="CF333">
            <v>12.842105263157896</v>
          </cell>
          <cell r="CG333">
            <v>0</v>
          </cell>
          <cell r="CH333">
            <v>0</v>
          </cell>
          <cell r="CI333">
            <v>54.5</v>
          </cell>
          <cell r="CJ333">
            <v>61</v>
          </cell>
          <cell r="CK333">
            <v>12.842105263157896</v>
          </cell>
          <cell r="CL333">
            <v>0</v>
          </cell>
          <cell r="CM333">
            <v>0</v>
          </cell>
          <cell r="CN333">
            <v>56.25</v>
          </cell>
          <cell r="CO333">
            <v>53</v>
          </cell>
          <cell r="CP333">
            <v>11.563636363636363</v>
          </cell>
          <cell r="CQ333">
            <v>0</v>
          </cell>
          <cell r="CR333">
            <v>0</v>
          </cell>
          <cell r="CS333">
            <v>48.416666666666664</v>
          </cell>
          <cell r="CT333">
            <v>50</v>
          </cell>
          <cell r="CU333">
            <v>10.714285714285714</v>
          </cell>
          <cell r="CV333">
            <v>0</v>
          </cell>
          <cell r="CW333">
            <v>0</v>
          </cell>
          <cell r="CX333">
            <v>45.333333333333336</v>
          </cell>
          <cell r="CY333">
            <v>40</v>
          </cell>
          <cell r="CZ333">
            <v>8.1355932203389827</v>
          </cell>
          <cell r="DA333">
            <v>0</v>
          </cell>
          <cell r="DB333">
            <v>5</v>
          </cell>
          <cell r="DC333">
            <v>38.75</v>
          </cell>
          <cell r="DD333">
            <v>47</v>
          </cell>
          <cell r="DE333">
            <v>5.76</v>
          </cell>
          <cell r="DF333">
            <v>0</v>
          </cell>
          <cell r="DG333">
            <v>0</v>
          </cell>
          <cell r="DH333">
            <v>40.75</v>
          </cell>
          <cell r="DI333">
            <v>45</v>
          </cell>
          <cell r="DJ333">
            <v>8.2962962962962958</v>
          </cell>
          <cell r="DK333">
            <v>0</v>
          </cell>
          <cell r="DL333">
            <v>0</v>
          </cell>
          <cell r="DM333">
            <v>35.35</v>
          </cell>
          <cell r="DN333">
            <v>43</v>
          </cell>
          <cell r="DO333">
            <v>7.6363636363636367</v>
          </cell>
          <cell r="DP333">
            <v>0</v>
          </cell>
          <cell r="DQ333">
            <v>0</v>
          </cell>
          <cell r="DR333">
            <v>37.5</v>
          </cell>
          <cell r="DS333">
            <v>37.5</v>
          </cell>
          <cell r="DT333">
            <v>6.6363636363636367</v>
          </cell>
          <cell r="DU333">
            <v>0</v>
          </cell>
          <cell r="DV333">
            <v>0</v>
          </cell>
          <cell r="DW333">
            <v>32</v>
          </cell>
          <cell r="DX333">
            <v>32</v>
          </cell>
          <cell r="DY333">
            <v>5.6363636363636367</v>
          </cell>
          <cell r="DZ333">
            <v>0</v>
          </cell>
          <cell r="EA333">
            <v>0</v>
          </cell>
          <cell r="EB333">
            <v>26.5</v>
          </cell>
          <cell r="EC333">
            <v>26.5</v>
          </cell>
          <cell r="ED333">
            <v>4.6363636363636367</v>
          </cell>
          <cell r="EE333">
            <v>0</v>
          </cell>
          <cell r="EF333">
            <v>0</v>
          </cell>
          <cell r="EG333">
            <v>21</v>
          </cell>
          <cell r="EH333">
            <v>21</v>
          </cell>
          <cell r="EI333">
            <v>3.6363636363636367</v>
          </cell>
          <cell r="EJ333">
            <v>0</v>
          </cell>
          <cell r="EK333">
            <v>15</v>
          </cell>
          <cell r="EL333">
            <v>30.5</v>
          </cell>
          <cell r="EM333">
            <v>30.5</v>
          </cell>
          <cell r="EN333">
            <v>5.3636363636363633</v>
          </cell>
          <cell r="EO333">
            <v>0</v>
          </cell>
          <cell r="EP333">
            <v>0</v>
          </cell>
          <cell r="EQ333">
            <v>25</v>
          </cell>
          <cell r="ER333">
            <v>25</v>
          </cell>
          <cell r="ES333">
            <v>4.3636363636363633</v>
          </cell>
          <cell r="ET333">
            <v>0</v>
          </cell>
          <cell r="EU333">
            <v>0</v>
          </cell>
          <cell r="EV333">
            <v>19.5</v>
          </cell>
          <cell r="EW333">
            <v>19.5</v>
          </cell>
          <cell r="EX333">
            <v>3.3636363636363633</v>
          </cell>
          <cell r="EY333">
            <v>0</v>
          </cell>
          <cell r="EZ333">
            <v>0</v>
          </cell>
          <cell r="FA333">
            <v>14</v>
          </cell>
          <cell r="FB333">
            <v>14</v>
          </cell>
          <cell r="FC333">
            <v>2.3636363636363638</v>
          </cell>
          <cell r="FD333">
            <v>0</v>
          </cell>
          <cell r="FE333">
            <v>20</v>
          </cell>
          <cell r="FF333">
            <v>28.5</v>
          </cell>
          <cell r="FG333">
            <v>28.5</v>
          </cell>
          <cell r="FH333">
            <v>5</v>
          </cell>
          <cell r="FI333">
            <v>0</v>
          </cell>
          <cell r="FJ333">
            <v>0</v>
          </cell>
          <cell r="FK333">
            <v>23</v>
          </cell>
          <cell r="FL333">
            <v>23</v>
          </cell>
          <cell r="FM333">
            <v>4</v>
          </cell>
          <cell r="FN333">
            <v>0</v>
          </cell>
          <cell r="FO333">
            <v>0</v>
          </cell>
          <cell r="FP333">
            <v>17.5</v>
          </cell>
          <cell r="FQ333">
            <v>17.5</v>
          </cell>
          <cell r="FR333">
            <v>3</v>
          </cell>
          <cell r="FS333">
            <v>0</v>
          </cell>
          <cell r="FT333">
            <v>12</v>
          </cell>
          <cell r="FU333">
            <v>2.0333333333333332</v>
          </cell>
          <cell r="FW333" t="str">
            <v>SOBRESTOCK</v>
          </cell>
          <cell r="FX333" t="str">
            <v>B</v>
          </cell>
          <cell r="FY333" t="str">
            <v>Si</v>
          </cell>
        </row>
        <row r="334">
          <cell r="B334" t="str">
            <v>REP-0351</v>
          </cell>
          <cell r="C334" t="str">
            <v>MIX</v>
          </cell>
          <cell r="D334">
            <v>0</v>
          </cell>
          <cell r="E334">
            <v>24</v>
          </cell>
          <cell r="F334">
            <v>0</v>
          </cell>
          <cell r="G334">
            <v>0</v>
          </cell>
          <cell r="H334">
            <v>2</v>
          </cell>
          <cell r="I334">
            <v>2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1</v>
          </cell>
          <cell r="O334">
            <v>1</v>
          </cell>
          <cell r="P334">
            <v>1</v>
          </cell>
          <cell r="Q334">
            <v>0</v>
          </cell>
          <cell r="R334">
            <v>1</v>
          </cell>
          <cell r="S334">
            <v>1</v>
          </cell>
          <cell r="T334">
            <v>0</v>
          </cell>
          <cell r="U334">
            <v>1</v>
          </cell>
          <cell r="V334">
            <v>1</v>
          </cell>
          <cell r="W334">
            <v>1</v>
          </cell>
          <cell r="X334">
            <v>2</v>
          </cell>
          <cell r="Y334">
            <v>38</v>
          </cell>
          <cell r="AA334">
            <v>38</v>
          </cell>
          <cell r="AB334">
            <v>6</v>
          </cell>
          <cell r="AC334">
            <v>0.83333333333333337</v>
          </cell>
          <cell r="AD334">
            <v>2.777777777777778E-2</v>
          </cell>
          <cell r="AE334">
            <v>0.83333333333333337</v>
          </cell>
          <cell r="AF334">
            <v>0.5</v>
          </cell>
          <cell r="AG334">
            <v>0.5</v>
          </cell>
          <cell r="AH334">
            <v>1.8333333333333333</v>
          </cell>
          <cell r="AI334">
            <v>1.8333333333333333</v>
          </cell>
          <cell r="AJ334">
            <v>1.8333333333333333</v>
          </cell>
          <cell r="AK334">
            <v>1.8333333333333333</v>
          </cell>
          <cell r="AL334">
            <v>0.6666666666666673</v>
          </cell>
          <cell r="AM334">
            <v>1.4999999999999998</v>
          </cell>
          <cell r="AN334">
            <v>0.44444444444444492</v>
          </cell>
          <cell r="AO334">
            <v>0</v>
          </cell>
          <cell r="AP334">
            <v>20.5</v>
          </cell>
          <cell r="AQ334">
            <v>45</v>
          </cell>
          <cell r="AR334">
            <v>0</v>
          </cell>
          <cell r="AS334">
            <v>21</v>
          </cell>
          <cell r="AT334">
            <v>21</v>
          </cell>
          <cell r="AU334">
            <v>21</v>
          </cell>
          <cell r="AV334">
            <v>0</v>
          </cell>
          <cell r="AW334">
            <v>20</v>
          </cell>
          <cell r="AX334">
            <v>19</v>
          </cell>
          <cell r="AY334">
            <v>10.363636363636363</v>
          </cell>
          <cell r="AZ334">
            <v>0</v>
          </cell>
          <cell r="BA334">
            <v>17.666666666666668</v>
          </cell>
          <cell r="BB334">
            <v>16</v>
          </cell>
          <cell r="BC334">
            <v>6.8571428571428568</v>
          </cell>
          <cell r="BD334">
            <v>0</v>
          </cell>
          <cell r="BE334">
            <v>13.666666666666666</v>
          </cell>
          <cell r="BF334">
            <v>5.8571428571428568</v>
          </cell>
          <cell r="BG334">
            <v>0</v>
          </cell>
          <cell r="BH334">
            <v>11.333333333333332</v>
          </cell>
          <cell r="BI334">
            <v>38</v>
          </cell>
          <cell r="BJ334">
            <v>20.727272727272727</v>
          </cell>
          <cell r="BK334">
            <v>0</v>
          </cell>
          <cell r="BL334">
            <v>5.6666666666666661</v>
          </cell>
          <cell r="BM334">
            <v>4</v>
          </cell>
          <cell r="BN334">
            <v>1.5</v>
          </cell>
          <cell r="BO334">
            <v>0</v>
          </cell>
          <cell r="BP334">
            <v>1.3333333333333335</v>
          </cell>
          <cell r="BQ334">
            <v>4</v>
          </cell>
          <cell r="BR334">
            <v>2.1818181818181821</v>
          </cell>
          <cell r="BS334">
            <v>0</v>
          </cell>
          <cell r="BT334">
            <v>1.1666666666666665</v>
          </cell>
          <cell r="BU334">
            <v>4</v>
          </cell>
          <cell r="BV334">
            <v>1.6</v>
          </cell>
          <cell r="BW334">
            <v>34</v>
          </cell>
          <cell r="BX334">
            <v>0</v>
          </cell>
          <cell r="BY334">
            <v>1.5</v>
          </cell>
          <cell r="BZ334">
            <v>4</v>
          </cell>
          <cell r="CA334">
            <v>2</v>
          </cell>
          <cell r="CB334">
            <v>34</v>
          </cell>
          <cell r="CC334">
            <v>0</v>
          </cell>
          <cell r="CD334">
            <v>14</v>
          </cell>
          <cell r="CE334">
            <v>4</v>
          </cell>
          <cell r="CF334">
            <v>2.0952380952380953</v>
          </cell>
          <cell r="CG334">
            <v>34</v>
          </cell>
          <cell r="CH334">
            <v>12</v>
          </cell>
          <cell r="CI334">
            <v>46.090909090909093</v>
          </cell>
          <cell r="CJ334">
            <v>15</v>
          </cell>
          <cell r="CK334">
            <v>8.1818181818181817</v>
          </cell>
          <cell r="CL334">
            <v>23</v>
          </cell>
          <cell r="CM334">
            <v>30</v>
          </cell>
          <cell r="CN334">
            <v>43.166666666666664</v>
          </cell>
          <cell r="CO334">
            <v>37</v>
          </cell>
          <cell r="CP334">
            <v>13.59183673469388</v>
          </cell>
          <cell r="CQ334">
            <v>0</v>
          </cell>
          <cell r="CR334">
            <v>0</v>
          </cell>
          <cell r="CS334">
            <v>34.277777777777779</v>
          </cell>
          <cell r="CT334">
            <v>35</v>
          </cell>
          <cell r="CU334">
            <v>14.999999999999998</v>
          </cell>
          <cell r="CV334">
            <v>0</v>
          </cell>
          <cell r="CW334">
            <v>0</v>
          </cell>
          <cell r="CX334">
            <v>32.666666666666664</v>
          </cell>
          <cell r="CY334">
            <v>33</v>
          </cell>
          <cell r="CZ334">
            <v>14.850000000000001</v>
          </cell>
          <cell r="DA334">
            <v>0</v>
          </cell>
          <cell r="DB334">
            <v>5</v>
          </cell>
          <cell r="DC334">
            <v>35.888888888888886</v>
          </cell>
          <cell r="DD334">
            <v>33</v>
          </cell>
          <cell r="DE334">
            <v>6.2222222222222223</v>
          </cell>
          <cell r="DF334">
            <v>0</v>
          </cell>
          <cell r="DG334">
            <v>0</v>
          </cell>
          <cell r="DH334">
            <v>30.75</v>
          </cell>
          <cell r="DI334">
            <v>36</v>
          </cell>
          <cell r="DJ334">
            <v>10.453038674033149</v>
          </cell>
          <cell r="DK334">
            <v>0</v>
          </cell>
          <cell r="DL334">
            <v>0</v>
          </cell>
          <cell r="DM334">
            <v>28.738888888888887</v>
          </cell>
          <cell r="DN334">
            <v>38</v>
          </cell>
          <cell r="DO334">
            <v>12.363636363636363</v>
          </cell>
          <cell r="DP334">
            <v>0</v>
          </cell>
          <cell r="DQ334">
            <v>0</v>
          </cell>
          <cell r="DR334">
            <v>36.166666666666664</v>
          </cell>
          <cell r="DS334">
            <v>36.166666666666664</v>
          </cell>
          <cell r="DT334">
            <v>11.363636363636363</v>
          </cell>
          <cell r="DU334">
            <v>0</v>
          </cell>
          <cell r="DV334">
            <v>0</v>
          </cell>
          <cell r="DW334">
            <v>34.333333333333329</v>
          </cell>
          <cell r="DX334">
            <v>34.333333333333329</v>
          </cell>
          <cell r="DY334">
            <v>10.363636363636362</v>
          </cell>
          <cell r="DZ334">
            <v>0</v>
          </cell>
          <cell r="EA334">
            <v>0</v>
          </cell>
          <cell r="EB334">
            <v>32.499999999999993</v>
          </cell>
          <cell r="EC334">
            <v>32.499999999999993</v>
          </cell>
          <cell r="ED334">
            <v>9.3636363636363598</v>
          </cell>
          <cell r="EE334">
            <v>0</v>
          </cell>
          <cell r="EF334">
            <v>0</v>
          </cell>
          <cell r="EG334">
            <v>30.666666666666661</v>
          </cell>
          <cell r="EH334">
            <v>30.666666666666661</v>
          </cell>
          <cell r="EI334">
            <v>8.3636363636363598</v>
          </cell>
          <cell r="EJ334">
            <v>0</v>
          </cell>
          <cell r="EK334">
            <v>0</v>
          </cell>
          <cell r="EL334">
            <v>28.833333333333329</v>
          </cell>
          <cell r="EM334">
            <v>28.833333333333329</v>
          </cell>
          <cell r="EN334">
            <v>7.3636363636363615</v>
          </cell>
          <cell r="EO334">
            <v>0</v>
          </cell>
          <cell r="EP334">
            <v>0</v>
          </cell>
          <cell r="EQ334">
            <v>26.999999999999996</v>
          </cell>
          <cell r="ER334">
            <v>26.999999999999996</v>
          </cell>
          <cell r="ES334">
            <v>6.3636363636363615</v>
          </cell>
          <cell r="ET334">
            <v>0</v>
          </cell>
          <cell r="EU334">
            <v>0</v>
          </cell>
          <cell r="EV334">
            <v>25.166666666666664</v>
          </cell>
          <cell r="EW334">
            <v>25.166666666666664</v>
          </cell>
          <cell r="EX334">
            <v>5.3636363636363624</v>
          </cell>
          <cell r="EY334">
            <v>0</v>
          </cell>
          <cell r="EZ334">
            <v>0</v>
          </cell>
          <cell r="FA334">
            <v>23.333333333333332</v>
          </cell>
          <cell r="FB334">
            <v>23.333333333333332</v>
          </cell>
          <cell r="FC334">
            <v>4.3636363636363633</v>
          </cell>
          <cell r="FD334">
            <v>0</v>
          </cell>
          <cell r="FE334">
            <v>12</v>
          </cell>
          <cell r="FF334">
            <v>33.499999999999993</v>
          </cell>
          <cell r="FG334">
            <v>33.499999999999993</v>
          </cell>
          <cell r="FH334">
            <v>9.9090909090909065</v>
          </cell>
          <cell r="FI334">
            <v>0</v>
          </cell>
          <cell r="FJ334">
            <v>0</v>
          </cell>
          <cell r="FK334">
            <v>31.666666666666661</v>
          </cell>
          <cell r="FL334">
            <v>31.666666666666661</v>
          </cell>
          <cell r="FM334">
            <v>8.9090909090909065</v>
          </cell>
          <cell r="FN334">
            <v>0</v>
          </cell>
          <cell r="FO334">
            <v>0</v>
          </cell>
          <cell r="FP334">
            <v>29.833333333333329</v>
          </cell>
          <cell r="FQ334">
            <v>29.833333333333329</v>
          </cell>
          <cell r="FR334">
            <v>7.9090909090909065</v>
          </cell>
          <cell r="FS334">
            <v>0</v>
          </cell>
          <cell r="FT334">
            <v>19</v>
          </cell>
          <cell r="FU334">
            <v>2.0333333333333332</v>
          </cell>
          <cell r="FW334" t="str">
            <v>SOBRESTOCK</v>
          </cell>
          <cell r="FX334" t="str">
            <v>B</v>
          </cell>
          <cell r="FY334" t="str">
            <v>Si</v>
          </cell>
        </row>
        <row r="335">
          <cell r="B335" t="str">
            <v>REP-0352</v>
          </cell>
          <cell r="C335" t="str">
            <v>MIX</v>
          </cell>
          <cell r="D335">
            <v>0</v>
          </cell>
          <cell r="E335">
            <v>55</v>
          </cell>
          <cell r="F335">
            <v>0</v>
          </cell>
          <cell r="G335">
            <v>0</v>
          </cell>
          <cell r="H335">
            <v>7</v>
          </cell>
          <cell r="I335">
            <v>7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3</v>
          </cell>
          <cell r="O335">
            <v>3</v>
          </cell>
          <cell r="P335">
            <v>3</v>
          </cell>
          <cell r="Q335">
            <v>1</v>
          </cell>
          <cell r="R335">
            <v>0</v>
          </cell>
          <cell r="S335">
            <v>3</v>
          </cell>
          <cell r="T335">
            <v>1</v>
          </cell>
          <cell r="U335">
            <v>2</v>
          </cell>
          <cell r="V335">
            <v>3</v>
          </cell>
          <cell r="W335">
            <v>2</v>
          </cell>
          <cell r="X335">
            <v>5</v>
          </cell>
          <cell r="Y335">
            <v>95</v>
          </cell>
          <cell r="AA335">
            <v>95</v>
          </cell>
          <cell r="AB335">
            <v>20</v>
          </cell>
          <cell r="AC335">
            <v>6.666666666666667</v>
          </cell>
          <cell r="AD335">
            <v>0.22222222222222224</v>
          </cell>
          <cell r="AE335">
            <v>4.916666666666667</v>
          </cell>
          <cell r="AF335">
            <v>4.333333333333333</v>
          </cell>
          <cell r="AG335">
            <v>5.75</v>
          </cell>
          <cell r="AH335">
            <v>8.8333333333333339</v>
          </cell>
          <cell r="AI335">
            <v>9.8333333333333339</v>
          </cell>
          <cell r="AJ335">
            <v>9.8333333333333339</v>
          </cell>
          <cell r="AK335">
            <v>9.5</v>
          </cell>
          <cell r="AL335">
            <v>1.9333512930200316</v>
          </cell>
          <cell r="AM335">
            <v>8.5625</v>
          </cell>
          <cell r="AN335">
            <v>0.22579285173956573</v>
          </cell>
          <cell r="AO335">
            <v>0</v>
          </cell>
          <cell r="AP335">
            <v>17.5</v>
          </cell>
          <cell r="AQ335">
            <v>2.8461538461538463</v>
          </cell>
          <cell r="AR335">
            <v>0</v>
          </cell>
          <cell r="AS335">
            <v>33</v>
          </cell>
          <cell r="AT335">
            <v>34</v>
          </cell>
          <cell r="AU335">
            <v>5.666666666666667</v>
          </cell>
          <cell r="AV335">
            <v>0</v>
          </cell>
          <cell r="AW335">
            <v>28</v>
          </cell>
          <cell r="AX335">
            <v>34</v>
          </cell>
          <cell r="AY335">
            <v>3.5789473684210527</v>
          </cell>
          <cell r="AZ335">
            <v>0</v>
          </cell>
          <cell r="BA335">
            <v>27.833333333333332</v>
          </cell>
          <cell r="BB335">
            <v>31</v>
          </cell>
          <cell r="BC335">
            <v>4.0434782608695654</v>
          </cell>
          <cell r="BD335">
            <v>0</v>
          </cell>
          <cell r="BE335">
            <v>23.333333333333332</v>
          </cell>
          <cell r="BF335">
            <v>3.043478260869565</v>
          </cell>
          <cell r="BG335">
            <v>0</v>
          </cell>
          <cell r="BH335">
            <v>15.666666666666664</v>
          </cell>
          <cell r="BI335">
            <v>95</v>
          </cell>
          <cell r="BJ335">
            <v>10</v>
          </cell>
          <cell r="BK335">
            <v>0</v>
          </cell>
          <cell r="BL335">
            <v>67.5</v>
          </cell>
          <cell r="BM335">
            <v>66</v>
          </cell>
          <cell r="BN335">
            <v>9.4285714285714288</v>
          </cell>
          <cell r="BO335">
            <v>0</v>
          </cell>
          <cell r="BP335">
            <v>59</v>
          </cell>
          <cell r="BQ335">
            <v>54</v>
          </cell>
          <cell r="BR335">
            <v>5.6842105263157894</v>
          </cell>
          <cell r="BS335">
            <v>0</v>
          </cell>
          <cell r="BT335">
            <v>45.833333333333336</v>
          </cell>
          <cell r="BU335">
            <v>49</v>
          </cell>
          <cell r="BV335">
            <v>6.5333333333333332</v>
          </cell>
          <cell r="BW335">
            <v>11</v>
          </cell>
          <cell r="BX335">
            <v>0</v>
          </cell>
          <cell r="BY335">
            <v>41.5</v>
          </cell>
          <cell r="BZ335">
            <v>35</v>
          </cell>
          <cell r="CA335">
            <v>3.7499999999999996</v>
          </cell>
          <cell r="CB335">
            <v>39</v>
          </cell>
          <cell r="CC335">
            <v>0</v>
          </cell>
          <cell r="CD335">
            <v>35.666666666666664</v>
          </cell>
          <cell r="CE335">
            <v>18</v>
          </cell>
          <cell r="CF335">
            <v>1.6875</v>
          </cell>
          <cell r="CG335">
            <v>68</v>
          </cell>
          <cell r="CH335">
            <v>10</v>
          </cell>
          <cell r="CI335">
            <v>92.999999999999986</v>
          </cell>
          <cell r="CJ335">
            <v>21</v>
          </cell>
          <cell r="CK335">
            <v>1.8805970149253732</v>
          </cell>
          <cell r="CL335">
            <v>69</v>
          </cell>
          <cell r="CM335">
            <v>30</v>
          </cell>
          <cell r="CN335">
            <v>39.833333333333336</v>
          </cell>
          <cell r="CO335">
            <v>36</v>
          </cell>
          <cell r="CP335">
            <v>3.3684210526315788</v>
          </cell>
          <cell r="CQ335">
            <v>50.166666666666664</v>
          </cell>
          <cell r="CR335">
            <v>0</v>
          </cell>
          <cell r="CS335">
            <v>25.3125</v>
          </cell>
          <cell r="CT335">
            <v>26</v>
          </cell>
          <cell r="CU335">
            <v>2.5010020040080159</v>
          </cell>
          <cell r="CV335">
            <v>12</v>
          </cell>
          <cell r="CW335">
            <v>20</v>
          </cell>
          <cell r="CX335">
            <v>35.604166666666664</v>
          </cell>
          <cell r="CY335">
            <v>21</v>
          </cell>
          <cell r="CZ335">
            <v>2.1771058315334773</v>
          </cell>
          <cell r="DA335">
            <v>2.3958333333333357</v>
          </cell>
          <cell r="DB335">
            <v>20</v>
          </cell>
          <cell r="DC335">
            <v>31</v>
          </cell>
          <cell r="DD335">
            <v>105</v>
          </cell>
          <cell r="DE335">
            <v>4.8268156424581008</v>
          </cell>
          <cell r="DF335">
            <v>0</v>
          </cell>
          <cell r="DG335">
            <v>0</v>
          </cell>
          <cell r="DH335">
            <v>95.055555555555557</v>
          </cell>
          <cell r="DI335">
            <v>99</v>
          </cell>
          <cell r="DJ335">
            <v>6.5107398568019086</v>
          </cell>
          <cell r="DK335">
            <v>0</v>
          </cell>
          <cell r="DL335">
            <v>0</v>
          </cell>
          <cell r="DM335">
            <v>85.74444444444444</v>
          </cell>
          <cell r="DN335">
            <v>95</v>
          </cell>
          <cell r="DO335">
            <v>6</v>
          </cell>
          <cell r="DP335">
            <v>0</v>
          </cell>
          <cell r="DQ335">
            <v>0</v>
          </cell>
          <cell r="DR335">
            <v>85.5</v>
          </cell>
          <cell r="DS335">
            <v>85.5</v>
          </cell>
          <cell r="DT335">
            <v>5</v>
          </cell>
          <cell r="DU335">
            <v>0</v>
          </cell>
          <cell r="DV335">
            <v>2</v>
          </cell>
          <cell r="DW335">
            <v>78</v>
          </cell>
          <cell r="DX335">
            <v>78</v>
          </cell>
          <cell r="DY335">
            <v>4.2105263157894743</v>
          </cell>
          <cell r="DZ335">
            <v>0</v>
          </cell>
          <cell r="EA335">
            <v>0</v>
          </cell>
          <cell r="EB335">
            <v>68.5</v>
          </cell>
          <cell r="EC335">
            <v>68.5</v>
          </cell>
          <cell r="ED335">
            <v>3.2105263157894735</v>
          </cell>
          <cell r="EE335">
            <v>0</v>
          </cell>
          <cell r="EF335">
            <v>0</v>
          </cell>
          <cell r="EG335">
            <v>59</v>
          </cell>
          <cell r="EH335">
            <v>59</v>
          </cell>
          <cell r="EI335">
            <v>2.2105263157894735</v>
          </cell>
          <cell r="EJ335">
            <v>0</v>
          </cell>
          <cell r="EK335">
            <v>40</v>
          </cell>
          <cell r="EL335">
            <v>89.5</v>
          </cell>
          <cell r="EM335">
            <v>89.5</v>
          </cell>
          <cell r="EN335">
            <v>5.4210526315789469</v>
          </cell>
          <cell r="EO335">
            <v>0</v>
          </cell>
          <cell r="EP335">
            <v>0</v>
          </cell>
          <cell r="EQ335">
            <v>80</v>
          </cell>
          <cell r="ER335">
            <v>80</v>
          </cell>
          <cell r="ES335">
            <v>4.4210526315789469</v>
          </cell>
          <cell r="ET335">
            <v>0</v>
          </cell>
          <cell r="EU335">
            <v>0</v>
          </cell>
          <cell r="EV335">
            <v>70.5</v>
          </cell>
          <cell r="EW335">
            <v>70.5</v>
          </cell>
          <cell r="EX335">
            <v>3.4210526315789473</v>
          </cell>
          <cell r="EY335">
            <v>0</v>
          </cell>
          <cell r="EZ335">
            <v>0</v>
          </cell>
          <cell r="FA335">
            <v>61</v>
          </cell>
          <cell r="FB335">
            <v>61</v>
          </cell>
          <cell r="FC335">
            <v>2.4210526315789473</v>
          </cell>
          <cell r="FD335">
            <v>0</v>
          </cell>
          <cell r="FE335">
            <v>40</v>
          </cell>
          <cell r="FF335">
            <v>91.5</v>
          </cell>
          <cell r="FG335">
            <v>91.5</v>
          </cell>
          <cell r="FH335">
            <v>5.6315789473684212</v>
          </cell>
          <cell r="FI335">
            <v>0</v>
          </cell>
          <cell r="FJ335">
            <v>0</v>
          </cell>
          <cell r="FK335">
            <v>82</v>
          </cell>
          <cell r="FL335">
            <v>82</v>
          </cell>
          <cell r="FM335">
            <v>4.6315789473684212</v>
          </cell>
          <cell r="FN335">
            <v>0</v>
          </cell>
          <cell r="FO335">
            <v>0</v>
          </cell>
          <cell r="FP335">
            <v>72.5</v>
          </cell>
          <cell r="FQ335">
            <v>72.5</v>
          </cell>
          <cell r="FR335">
            <v>3.6315789473684212</v>
          </cell>
          <cell r="FS335">
            <v>0</v>
          </cell>
          <cell r="FT335">
            <v>57</v>
          </cell>
          <cell r="FU335">
            <v>2.0333333333333332</v>
          </cell>
          <cell r="FW335" t="str">
            <v>SOBRESTOCK</v>
          </cell>
          <cell r="FX335" t="str">
            <v>A</v>
          </cell>
          <cell r="FY335" t="str">
            <v>Si</v>
          </cell>
        </row>
        <row r="336">
          <cell r="B336" t="str">
            <v>REP-0353</v>
          </cell>
          <cell r="C336" t="str">
            <v>MIX</v>
          </cell>
          <cell r="D336">
            <v>0</v>
          </cell>
          <cell r="E336">
            <v>165</v>
          </cell>
          <cell r="F336">
            <v>0</v>
          </cell>
          <cell r="G336">
            <v>0</v>
          </cell>
          <cell r="H336">
            <v>7</v>
          </cell>
          <cell r="I336">
            <v>7</v>
          </cell>
          <cell r="J336">
            <v>0</v>
          </cell>
          <cell r="K336">
            <v>4</v>
          </cell>
          <cell r="L336">
            <v>3</v>
          </cell>
          <cell r="M336">
            <v>1</v>
          </cell>
          <cell r="N336">
            <v>0</v>
          </cell>
          <cell r="O336">
            <v>0</v>
          </cell>
          <cell r="P336">
            <v>0</v>
          </cell>
          <cell r="Q336">
            <v>4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191</v>
          </cell>
          <cell r="AA336">
            <v>191</v>
          </cell>
          <cell r="AB336">
            <v>73</v>
          </cell>
          <cell r="AC336">
            <v>11.833333333333334</v>
          </cell>
          <cell r="AD336">
            <v>0.39444444444444449</v>
          </cell>
          <cell r="AE336">
            <v>9.3333333333333339</v>
          </cell>
          <cell r="AF336">
            <v>18.666666666666668</v>
          </cell>
          <cell r="AG336">
            <v>14.416666666666666</v>
          </cell>
          <cell r="AH336">
            <v>20.833333333333332</v>
          </cell>
          <cell r="AI336">
            <v>19</v>
          </cell>
          <cell r="AJ336">
            <v>19</v>
          </cell>
          <cell r="AK336">
            <v>20.833333333333332</v>
          </cell>
          <cell r="AL336">
            <v>2.3758039574940617</v>
          </cell>
          <cell r="AM336">
            <v>18.3125</v>
          </cell>
          <cell r="AN336">
            <v>0.1297367348802218</v>
          </cell>
          <cell r="AO336">
            <v>0</v>
          </cell>
          <cell r="AP336">
            <v>310.5</v>
          </cell>
          <cell r="AQ336">
            <v>16.839285714285712</v>
          </cell>
          <cell r="AR336">
            <v>0</v>
          </cell>
          <cell r="AS336">
            <v>295.66666666666663</v>
          </cell>
          <cell r="AT336">
            <v>312</v>
          </cell>
          <cell r="AU336">
            <v>21.641618497109828</v>
          </cell>
          <cell r="AV336">
            <v>0</v>
          </cell>
          <cell r="AW336">
            <v>297.58333333333331</v>
          </cell>
          <cell r="AX336">
            <v>296</v>
          </cell>
          <cell r="AY336">
            <v>14.208</v>
          </cell>
          <cell r="AZ336">
            <v>0</v>
          </cell>
          <cell r="BA336">
            <v>281.58333333333331</v>
          </cell>
          <cell r="BB336">
            <v>292</v>
          </cell>
          <cell r="BC336">
            <v>14.129032258064516</v>
          </cell>
          <cell r="BD336">
            <v>0</v>
          </cell>
          <cell r="BE336">
            <v>271.33333333333331</v>
          </cell>
          <cell r="BF336">
            <v>13.129032258064514</v>
          </cell>
          <cell r="BG336">
            <v>0</v>
          </cell>
          <cell r="BH336">
            <v>250.66666666666666</v>
          </cell>
          <cell r="BI336">
            <v>191</v>
          </cell>
          <cell r="BJ336">
            <v>9.168000000000001</v>
          </cell>
          <cell r="BK336">
            <v>0</v>
          </cell>
          <cell r="BL336">
            <v>244.5</v>
          </cell>
          <cell r="BM336">
            <v>237</v>
          </cell>
          <cell r="BN336">
            <v>12.365217391304347</v>
          </cell>
          <cell r="BO336">
            <v>0</v>
          </cell>
          <cell r="BP336">
            <v>217.83333333333334</v>
          </cell>
          <cell r="BQ336">
            <v>215</v>
          </cell>
          <cell r="BR336">
            <v>10.32</v>
          </cell>
          <cell r="BS336">
            <v>0</v>
          </cell>
          <cell r="BT336">
            <v>193.33333333333334</v>
          </cell>
          <cell r="BU336">
            <v>214</v>
          </cell>
          <cell r="BV336">
            <v>9.5111111111111111</v>
          </cell>
          <cell r="BW336">
            <v>0</v>
          </cell>
          <cell r="BX336">
            <v>0</v>
          </cell>
          <cell r="BY336">
            <v>191.5</v>
          </cell>
          <cell r="BZ336">
            <v>192</v>
          </cell>
          <cell r="CA336">
            <v>8.8615384615384603</v>
          </cell>
          <cell r="CB336">
            <v>0</v>
          </cell>
          <cell r="CC336">
            <v>0</v>
          </cell>
          <cell r="CD336">
            <v>170.33333333333334</v>
          </cell>
          <cell r="CE336">
            <v>186</v>
          </cell>
          <cell r="CF336">
            <v>8.3283582089552244</v>
          </cell>
          <cell r="CG336">
            <v>0</v>
          </cell>
          <cell r="CH336">
            <v>0</v>
          </cell>
          <cell r="CI336">
            <v>148</v>
          </cell>
          <cell r="CJ336">
            <v>155</v>
          </cell>
          <cell r="CK336">
            <v>6.1184210526315796</v>
          </cell>
          <cell r="CL336">
            <v>47</v>
          </cell>
          <cell r="CM336">
            <v>50</v>
          </cell>
          <cell r="CN336">
            <v>179.66666666666666</v>
          </cell>
          <cell r="CO336">
            <v>155</v>
          </cell>
          <cell r="CP336">
            <v>6.1184210526315796</v>
          </cell>
          <cell r="CQ336">
            <v>22.333333333333343</v>
          </cell>
          <cell r="CR336">
            <v>0</v>
          </cell>
          <cell r="CS336">
            <v>129.66666666666666</v>
          </cell>
          <cell r="CT336">
            <v>123</v>
          </cell>
          <cell r="CU336">
            <v>4.8235294117647056</v>
          </cell>
          <cell r="CV336">
            <v>0</v>
          </cell>
          <cell r="CW336">
            <v>0</v>
          </cell>
          <cell r="CX336">
            <v>97.5</v>
          </cell>
          <cell r="CY336">
            <v>163</v>
          </cell>
          <cell r="CZ336">
            <v>7.1911764705882346</v>
          </cell>
          <cell r="DA336">
            <v>0</v>
          </cell>
          <cell r="DB336">
            <v>130</v>
          </cell>
          <cell r="DC336">
            <v>269.83333333333331</v>
          </cell>
          <cell r="DD336">
            <v>135</v>
          </cell>
          <cell r="DE336">
            <v>4</v>
          </cell>
          <cell r="DF336">
            <v>0</v>
          </cell>
          <cell r="DG336">
            <v>0</v>
          </cell>
          <cell r="DH336">
            <v>112.5</v>
          </cell>
          <cell r="DI336">
            <v>212</v>
          </cell>
          <cell r="DJ336">
            <v>9.707692307692307</v>
          </cell>
          <cell r="DK336">
            <v>0</v>
          </cell>
          <cell r="DL336">
            <v>0</v>
          </cell>
          <cell r="DM336">
            <v>90.833333333333329</v>
          </cell>
          <cell r="DN336">
            <v>191</v>
          </cell>
          <cell r="DO336">
            <v>9.1039999999999992</v>
          </cell>
          <cell r="DP336">
            <v>0</v>
          </cell>
          <cell r="DQ336">
            <v>0</v>
          </cell>
          <cell r="DR336">
            <v>170.16666666666666</v>
          </cell>
          <cell r="DS336">
            <v>170.16666666666666</v>
          </cell>
          <cell r="DT336">
            <v>8.1039999999999992</v>
          </cell>
          <cell r="DU336">
            <v>0</v>
          </cell>
          <cell r="DV336">
            <v>24</v>
          </cell>
          <cell r="DW336">
            <v>173.33333333333331</v>
          </cell>
          <cell r="DX336">
            <v>173.33333333333331</v>
          </cell>
          <cell r="DY336">
            <v>8.2560000000000002</v>
          </cell>
          <cell r="DZ336">
            <v>0</v>
          </cell>
          <cell r="EA336">
            <v>0</v>
          </cell>
          <cell r="EB336">
            <v>152.49999999999997</v>
          </cell>
          <cell r="EC336">
            <v>152.49999999999997</v>
          </cell>
          <cell r="ED336">
            <v>7.2559999999999993</v>
          </cell>
          <cell r="EE336">
            <v>0</v>
          </cell>
          <cell r="EF336">
            <v>0</v>
          </cell>
          <cell r="EG336">
            <v>131.66666666666663</v>
          </cell>
          <cell r="EH336">
            <v>131.66666666666663</v>
          </cell>
          <cell r="EI336">
            <v>6.2559999999999985</v>
          </cell>
          <cell r="EJ336">
            <v>0</v>
          </cell>
          <cell r="EK336">
            <v>0</v>
          </cell>
          <cell r="EL336">
            <v>110.8333333333333</v>
          </cell>
          <cell r="EM336">
            <v>110.8333333333333</v>
          </cell>
          <cell r="EN336">
            <v>5.2559999999999985</v>
          </cell>
          <cell r="EO336">
            <v>0</v>
          </cell>
          <cell r="EP336">
            <v>0</v>
          </cell>
          <cell r="EQ336">
            <v>89.999999999999972</v>
          </cell>
          <cell r="ER336">
            <v>89.999999999999972</v>
          </cell>
          <cell r="ES336">
            <v>4.2559999999999985</v>
          </cell>
          <cell r="ET336">
            <v>0</v>
          </cell>
          <cell r="EU336">
            <v>0</v>
          </cell>
          <cell r="EV336">
            <v>69.166666666666643</v>
          </cell>
          <cell r="EW336">
            <v>69.166666666666643</v>
          </cell>
          <cell r="EX336">
            <v>3.2559999999999989</v>
          </cell>
          <cell r="EY336">
            <v>0</v>
          </cell>
          <cell r="EZ336">
            <v>0</v>
          </cell>
          <cell r="FA336">
            <v>48.333333333333314</v>
          </cell>
          <cell r="FB336">
            <v>48.333333333333314</v>
          </cell>
          <cell r="FC336">
            <v>2.2559999999999993</v>
          </cell>
          <cell r="FD336">
            <v>0</v>
          </cell>
          <cell r="FE336">
            <v>80</v>
          </cell>
          <cell r="FF336">
            <v>107.49999999999999</v>
          </cell>
          <cell r="FG336">
            <v>107.49999999999999</v>
          </cell>
          <cell r="FH336">
            <v>5.0960000000000001</v>
          </cell>
          <cell r="FI336">
            <v>0</v>
          </cell>
          <cell r="FJ336">
            <v>0</v>
          </cell>
          <cell r="FK336">
            <v>86.666666666666657</v>
          </cell>
          <cell r="FL336">
            <v>86.666666666666657</v>
          </cell>
          <cell r="FM336">
            <v>4.0960000000000001</v>
          </cell>
          <cell r="FN336">
            <v>0</v>
          </cell>
          <cell r="FO336">
            <v>0</v>
          </cell>
          <cell r="FP336">
            <v>65.833333333333329</v>
          </cell>
          <cell r="FQ336">
            <v>65.833333333333329</v>
          </cell>
          <cell r="FR336">
            <v>3.0960000000000001</v>
          </cell>
          <cell r="FS336">
            <v>0</v>
          </cell>
          <cell r="FT336">
            <v>43</v>
          </cell>
          <cell r="FU336">
            <v>2.0333333333333332</v>
          </cell>
          <cell r="FW336" t="str">
            <v>SOBRESTOCK</v>
          </cell>
          <cell r="FX336" t="str">
            <v>A</v>
          </cell>
          <cell r="FY336" t="str">
            <v>Si</v>
          </cell>
        </row>
        <row r="337">
          <cell r="B337" t="str">
            <v>REP-0354</v>
          </cell>
          <cell r="C337" t="str">
            <v>NAC</v>
          </cell>
          <cell r="D337">
            <v>0</v>
          </cell>
          <cell r="E337">
            <v>106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4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1</v>
          </cell>
          <cell r="S337">
            <v>4</v>
          </cell>
          <cell r="T337">
            <v>2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118</v>
          </cell>
          <cell r="AA337">
            <v>118</v>
          </cell>
          <cell r="AB337">
            <v>0</v>
          </cell>
          <cell r="AC337">
            <v>6</v>
          </cell>
          <cell r="AD337">
            <v>0.2</v>
          </cell>
          <cell r="AE337">
            <v>4.916666666666667</v>
          </cell>
          <cell r="AF337">
            <v>2.8333333333333335</v>
          </cell>
          <cell r="AG337">
            <v>2.3333333333333335</v>
          </cell>
          <cell r="AH337">
            <v>2</v>
          </cell>
          <cell r="AI337">
            <v>2</v>
          </cell>
          <cell r="AJ337">
            <v>2</v>
          </cell>
          <cell r="AK337">
            <v>2.3333333333333335</v>
          </cell>
          <cell r="AL337">
            <v>0.36514837167011011</v>
          </cell>
          <cell r="AM337">
            <v>2.0833333333333335</v>
          </cell>
          <cell r="AN337">
            <v>0.17527121840165283</v>
          </cell>
          <cell r="AO337">
            <v>0</v>
          </cell>
          <cell r="AP337">
            <v>9.6666666666666661</v>
          </cell>
          <cell r="AQ337">
            <v>3.2352941176470584</v>
          </cell>
          <cell r="AR337">
            <v>0</v>
          </cell>
          <cell r="AS337">
            <v>6.3333333333333321</v>
          </cell>
          <cell r="AT337">
            <v>10</v>
          </cell>
          <cell r="AU337">
            <v>4.2857142857142856</v>
          </cell>
          <cell r="AV337">
            <v>0</v>
          </cell>
          <cell r="AW337">
            <v>7.6666666666666661</v>
          </cell>
          <cell r="AX337">
            <v>10</v>
          </cell>
          <cell r="AY337">
            <v>4.2857142857142856</v>
          </cell>
          <cell r="AZ337">
            <v>0</v>
          </cell>
          <cell r="BA337">
            <v>7.6666666666666661</v>
          </cell>
          <cell r="BB337">
            <v>6</v>
          </cell>
          <cell r="BC337">
            <v>2.5714285714285712</v>
          </cell>
          <cell r="BD337">
            <v>0</v>
          </cell>
          <cell r="BE337">
            <v>3.6666666666666665</v>
          </cell>
          <cell r="BF337">
            <v>1.5714285714285712</v>
          </cell>
          <cell r="BG337">
            <v>0</v>
          </cell>
          <cell r="BH337">
            <v>1.333333333333333</v>
          </cell>
          <cell r="BI337">
            <v>118</v>
          </cell>
          <cell r="BJ337">
            <v>50.571428571428569</v>
          </cell>
          <cell r="BK337">
            <v>0</v>
          </cell>
          <cell r="BL337">
            <v>0.66666666666666652</v>
          </cell>
          <cell r="BM337">
            <v>56</v>
          </cell>
          <cell r="BN337">
            <v>24</v>
          </cell>
          <cell r="BO337">
            <v>0</v>
          </cell>
          <cell r="BP337">
            <v>53.666666666666664</v>
          </cell>
          <cell r="BQ337">
            <v>52</v>
          </cell>
          <cell r="BR337">
            <v>22.285714285714285</v>
          </cell>
          <cell r="BS337">
            <v>0</v>
          </cell>
          <cell r="BT337">
            <v>49.666666666666664</v>
          </cell>
          <cell r="BU337">
            <v>49</v>
          </cell>
          <cell r="BV337">
            <v>21</v>
          </cell>
          <cell r="BW337">
            <v>0</v>
          </cell>
          <cell r="BX337">
            <v>0</v>
          </cell>
          <cell r="BY337">
            <v>46.666666666666664</v>
          </cell>
          <cell r="BZ337">
            <v>49</v>
          </cell>
          <cell r="CA337">
            <v>21</v>
          </cell>
          <cell r="CB337">
            <v>0</v>
          </cell>
          <cell r="CC337">
            <v>0</v>
          </cell>
          <cell r="CD337">
            <v>46.666666666666664</v>
          </cell>
          <cell r="CE337">
            <v>46</v>
          </cell>
          <cell r="CF337">
            <v>19.714285714285712</v>
          </cell>
          <cell r="CG337">
            <v>0</v>
          </cell>
          <cell r="CH337">
            <v>0</v>
          </cell>
          <cell r="CI337">
            <v>44.333333333333329</v>
          </cell>
          <cell r="CJ337">
            <v>39</v>
          </cell>
          <cell r="CK337">
            <v>15.6</v>
          </cell>
          <cell r="CL337">
            <v>0</v>
          </cell>
          <cell r="CM337">
            <v>0</v>
          </cell>
          <cell r="CN337">
            <v>36.5</v>
          </cell>
          <cell r="CO337">
            <v>26</v>
          </cell>
          <cell r="CP337">
            <v>5.2</v>
          </cell>
          <cell r="CQ337">
            <v>0</v>
          </cell>
          <cell r="CR337">
            <v>0</v>
          </cell>
          <cell r="CS337">
            <v>21</v>
          </cell>
          <cell r="CT337">
            <v>22</v>
          </cell>
          <cell r="CU337">
            <v>4.8888888888888893</v>
          </cell>
          <cell r="CV337">
            <v>0</v>
          </cell>
          <cell r="CW337">
            <v>0</v>
          </cell>
          <cell r="CX337">
            <v>17.5</v>
          </cell>
          <cell r="CY337">
            <v>20</v>
          </cell>
          <cell r="CZ337">
            <v>5.454545454545455</v>
          </cell>
          <cell r="DA337">
            <v>0</v>
          </cell>
          <cell r="DB337">
            <v>0</v>
          </cell>
          <cell r="DC337">
            <v>17.166666666666668</v>
          </cell>
          <cell r="DD337">
            <v>18</v>
          </cell>
          <cell r="DE337">
            <v>5</v>
          </cell>
          <cell r="DF337">
            <v>0</v>
          </cell>
          <cell r="DG337">
            <v>0</v>
          </cell>
          <cell r="DH337">
            <v>15</v>
          </cell>
          <cell r="DI337">
            <v>118</v>
          </cell>
          <cell r="DJ337">
            <v>49.916666666666671</v>
          </cell>
          <cell r="DK337">
            <v>0</v>
          </cell>
          <cell r="DL337">
            <v>0</v>
          </cell>
          <cell r="DM337">
            <v>12.6</v>
          </cell>
          <cell r="DN337">
            <v>118</v>
          </cell>
          <cell r="DO337">
            <v>51.285714285714285</v>
          </cell>
          <cell r="DP337">
            <v>0</v>
          </cell>
          <cell r="DQ337">
            <v>0</v>
          </cell>
          <cell r="DR337">
            <v>115.66666666666667</v>
          </cell>
          <cell r="DS337">
            <v>115.66666666666667</v>
          </cell>
          <cell r="DT337">
            <v>50.285714285714285</v>
          </cell>
          <cell r="DU337">
            <v>0</v>
          </cell>
          <cell r="DV337">
            <v>0</v>
          </cell>
          <cell r="DW337">
            <v>113.33333333333334</v>
          </cell>
          <cell r="DX337">
            <v>113.33333333333334</v>
          </cell>
          <cell r="DY337">
            <v>49.285714285714285</v>
          </cell>
          <cell r="DZ337">
            <v>0</v>
          </cell>
          <cell r="EA337">
            <v>0</v>
          </cell>
          <cell r="EB337">
            <v>111.00000000000001</v>
          </cell>
          <cell r="EC337">
            <v>111.00000000000001</v>
          </cell>
          <cell r="ED337">
            <v>48.285714285714292</v>
          </cell>
          <cell r="EE337">
            <v>0</v>
          </cell>
          <cell r="EF337">
            <v>0</v>
          </cell>
          <cell r="EG337">
            <v>108.66666666666669</v>
          </cell>
          <cell r="EH337">
            <v>108.66666666666669</v>
          </cell>
          <cell r="EI337">
            <v>47.285714285714292</v>
          </cell>
          <cell r="EJ337">
            <v>0</v>
          </cell>
          <cell r="EK337">
            <v>0</v>
          </cell>
          <cell r="EL337">
            <v>106.33333333333336</v>
          </cell>
          <cell r="EM337">
            <v>106.33333333333336</v>
          </cell>
          <cell r="EN337">
            <v>46.285714285714292</v>
          </cell>
          <cell r="EO337">
            <v>0</v>
          </cell>
          <cell r="EP337">
            <v>0</v>
          </cell>
          <cell r="EQ337">
            <v>104.00000000000003</v>
          </cell>
          <cell r="ER337">
            <v>104.00000000000003</v>
          </cell>
          <cell r="ES337">
            <v>45.285714285714292</v>
          </cell>
          <cell r="ET337">
            <v>0</v>
          </cell>
          <cell r="EU337">
            <v>0</v>
          </cell>
          <cell r="EV337">
            <v>101.6666666666667</v>
          </cell>
          <cell r="EW337">
            <v>101.6666666666667</v>
          </cell>
          <cell r="EX337">
            <v>44.285714285714299</v>
          </cell>
          <cell r="EY337">
            <v>0</v>
          </cell>
          <cell r="EZ337">
            <v>0</v>
          </cell>
          <cell r="FA337">
            <v>99.333333333333371</v>
          </cell>
          <cell r="FB337">
            <v>99.333333333333371</v>
          </cell>
          <cell r="FC337">
            <v>43.285714285714299</v>
          </cell>
          <cell r="FD337">
            <v>0</v>
          </cell>
          <cell r="FE337">
            <v>0</v>
          </cell>
          <cell r="FF337">
            <v>97.000000000000043</v>
          </cell>
          <cell r="FG337">
            <v>97.000000000000043</v>
          </cell>
          <cell r="FH337">
            <v>42.285714285714299</v>
          </cell>
          <cell r="FI337">
            <v>0</v>
          </cell>
          <cell r="FJ337">
            <v>0</v>
          </cell>
          <cell r="FK337">
            <v>94.666666666666714</v>
          </cell>
          <cell r="FL337">
            <v>94.666666666666714</v>
          </cell>
          <cell r="FM337">
            <v>41.285714285714306</v>
          </cell>
          <cell r="FN337">
            <v>0</v>
          </cell>
          <cell r="FO337">
            <v>0</v>
          </cell>
          <cell r="FP337">
            <v>92.333333333333385</v>
          </cell>
          <cell r="FQ337">
            <v>92.333333333333385</v>
          </cell>
          <cell r="FR337">
            <v>40.285714285714306</v>
          </cell>
          <cell r="FS337">
            <v>0</v>
          </cell>
          <cell r="FT337">
            <v>3</v>
          </cell>
          <cell r="FU337">
            <v>1.0333333333333334</v>
          </cell>
          <cell r="FV337" t="str">
            <v>SI</v>
          </cell>
          <cell r="FW337" t="str">
            <v>SOBRESTOCK</v>
          </cell>
          <cell r="FX337" t="str">
            <v>B</v>
          </cell>
          <cell r="FY337" t="str">
            <v>Si</v>
          </cell>
        </row>
        <row r="338">
          <cell r="B338" t="str">
            <v>REP-0355</v>
          </cell>
          <cell r="C338" t="str">
            <v>NAC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4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</v>
          </cell>
          <cell r="W338">
            <v>0</v>
          </cell>
          <cell r="X338">
            <v>0</v>
          </cell>
          <cell r="Y338">
            <v>7</v>
          </cell>
          <cell r="AA338">
            <v>7</v>
          </cell>
          <cell r="AB338">
            <v>0</v>
          </cell>
          <cell r="AC338">
            <v>0.16666666666666666</v>
          </cell>
          <cell r="AD338">
            <v>5.5555555555555549E-3</v>
          </cell>
          <cell r="AE338">
            <v>0.25</v>
          </cell>
          <cell r="AF338">
            <v>0.25</v>
          </cell>
          <cell r="AG338">
            <v>0.25</v>
          </cell>
          <cell r="AH338">
            <v>1</v>
          </cell>
          <cell r="AI338">
            <v>0</v>
          </cell>
          <cell r="AJ338">
            <v>0</v>
          </cell>
          <cell r="AK338">
            <v>1</v>
          </cell>
          <cell r="AL338">
            <v>0.4732423621500228</v>
          </cell>
          <cell r="AM338">
            <v>0.3125</v>
          </cell>
          <cell r="AN338">
            <v>1.5143755588800729</v>
          </cell>
          <cell r="AO338">
            <v>0</v>
          </cell>
          <cell r="AP338">
            <v>25.166666666666668</v>
          </cell>
          <cell r="AQ338">
            <v>77.000000000000014</v>
          </cell>
          <cell r="AR338">
            <v>0</v>
          </cell>
          <cell r="AS338">
            <v>24</v>
          </cell>
          <cell r="AT338">
            <v>24</v>
          </cell>
          <cell r="AU338">
            <v>24</v>
          </cell>
          <cell r="AV338">
            <v>0</v>
          </cell>
          <cell r="AW338">
            <v>23</v>
          </cell>
          <cell r="AX338">
            <v>24</v>
          </cell>
          <cell r="AY338">
            <v>24</v>
          </cell>
          <cell r="AZ338">
            <v>0</v>
          </cell>
          <cell r="BA338">
            <v>23.333333333333332</v>
          </cell>
          <cell r="BB338">
            <v>24</v>
          </cell>
          <cell r="BC338">
            <v>36</v>
          </cell>
          <cell r="BD338">
            <v>0</v>
          </cell>
          <cell r="BE338">
            <v>23.333333333333332</v>
          </cell>
          <cell r="BF338">
            <v>35</v>
          </cell>
          <cell r="BG338">
            <v>0</v>
          </cell>
          <cell r="BH338">
            <v>22.666666666666664</v>
          </cell>
          <cell r="BI338">
            <v>7</v>
          </cell>
          <cell r="BJ338">
            <v>7</v>
          </cell>
          <cell r="BK338">
            <v>0</v>
          </cell>
          <cell r="BL338">
            <v>19.666666666666668</v>
          </cell>
          <cell r="BM338">
            <v>22</v>
          </cell>
          <cell r="BN338">
            <v>38.5</v>
          </cell>
          <cell r="BO338">
            <v>0</v>
          </cell>
          <cell r="BP338">
            <v>21.428571428571427</v>
          </cell>
          <cell r="BQ338">
            <v>21</v>
          </cell>
          <cell r="BR338">
            <v>21</v>
          </cell>
          <cell r="BS338">
            <v>0</v>
          </cell>
          <cell r="BT338">
            <v>20.375</v>
          </cell>
          <cell r="BU338">
            <v>19</v>
          </cell>
          <cell r="BV338">
            <v>22.8</v>
          </cell>
          <cell r="BW338">
            <v>0</v>
          </cell>
          <cell r="BX338">
            <v>0</v>
          </cell>
          <cell r="BY338">
            <v>18.166666666666668</v>
          </cell>
          <cell r="BZ338">
            <v>19</v>
          </cell>
          <cell r="CA338">
            <v>22.8</v>
          </cell>
          <cell r="CB338">
            <v>0</v>
          </cell>
          <cell r="CC338">
            <v>0</v>
          </cell>
          <cell r="CD338">
            <v>18.166666666666668</v>
          </cell>
          <cell r="CE338">
            <v>18</v>
          </cell>
          <cell r="CF338">
            <v>18</v>
          </cell>
          <cell r="CG338">
            <v>0</v>
          </cell>
          <cell r="CH338">
            <v>0</v>
          </cell>
          <cell r="CI338">
            <v>17.166666666666668</v>
          </cell>
          <cell r="CJ338">
            <v>19</v>
          </cell>
          <cell r="CK338">
            <v>11.4</v>
          </cell>
          <cell r="CL338">
            <v>0</v>
          </cell>
          <cell r="CM338">
            <v>0</v>
          </cell>
          <cell r="CN338">
            <v>17.333333333333332</v>
          </cell>
          <cell r="CO338">
            <v>19</v>
          </cell>
          <cell r="CP338">
            <v>11.4</v>
          </cell>
          <cell r="CQ338">
            <v>0</v>
          </cell>
          <cell r="CR338">
            <v>0</v>
          </cell>
          <cell r="CS338">
            <v>17.333333333333332</v>
          </cell>
          <cell r="CT338">
            <v>12</v>
          </cell>
          <cell r="CU338">
            <v>10.285714285714285</v>
          </cell>
          <cell r="CV338">
            <v>0</v>
          </cell>
          <cell r="CW338">
            <v>0</v>
          </cell>
          <cell r="CX338">
            <v>10.833333333333334</v>
          </cell>
          <cell r="CY338">
            <v>7</v>
          </cell>
          <cell r="CZ338">
            <v>7</v>
          </cell>
          <cell r="DA338">
            <v>0</v>
          </cell>
          <cell r="DB338">
            <v>0</v>
          </cell>
          <cell r="DC338">
            <v>6</v>
          </cell>
          <cell r="DD338">
            <v>7</v>
          </cell>
          <cell r="DE338">
            <v>5</v>
          </cell>
          <cell r="DF338">
            <v>0</v>
          </cell>
          <cell r="DG338">
            <v>0</v>
          </cell>
          <cell r="DH338">
            <v>6</v>
          </cell>
          <cell r="DI338">
            <v>7</v>
          </cell>
          <cell r="DJ338">
            <v>7</v>
          </cell>
          <cell r="DK338">
            <v>0</v>
          </cell>
          <cell r="DL338">
            <v>0</v>
          </cell>
          <cell r="DM338">
            <v>5</v>
          </cell>
          <cell r="DN338">
            <v>7</v>
          </cell>
          <cell r="DO338">
            <v>7</v>
          </cell>
          <cell r="DP338">
            <v>0</v>
          </cell>
          <cell r="DQ338">
            <v>0</v>
          </cell>
          <cell r="DR338">
            <v>6</v>
          </cell>
          <cell r="DS338">
            <v>6</v>
          </cell>
          <cell r="DT338">
            <v>6</v>
          </cell>
          <cell r="DU338">
            <v>0</v>
          </cell>
          <cell r="DV338">
            <v>0</v>
          </cell>
          <cell r="DW338">
            <v>5</v>
          </cell>
          <cell r="DX338">
            <v>5</v>
          </cell>
          <cell r="DY338">
            <v>5</v>
          </cell>
          <cell r="DZ338">
            <v>0</v>
          </cell>
          <cell r="EA338">
            <v>0</v>
          </cell>
          <cell r="EB338">
            <v>4</v>
          </cell>
          <cell r="EC338">
            <v>4</v>
          </cell>
          <cell r="ED338">
            <v>4</v>
          </cell>
          <cell r="EE338">
            <v>0</v>
          </cell>
          <cell r="EF338">
            <v>0</v>
          </cell>
          <cell r="EG338">
            <v>3</v>
          </cell>
          <cell r="EH338">
            <v>3</v>
          </cell>
          <cell r="EI338">
            <v>3</v>
          </cell>
          <cell r="EJ338">
            <v>0</v>
          </cell>
          <cell r="EK338">
            <v>0</v>
          </cell>
          <cell r="EL338">
            <v>2</v>
          </cell>
          <cell r="EM338">
            <v>2</v>
          </cell>
          <cell r="EN338">
            <v>2</v>
          </cell>
          <cell r="EO338">
            <v>0</v>
          </cell>
          <cell r="EP338">
            <v>0</v>
          </cell>
          <cell r="EQ338">
            <v>1</v>
          </cell>
          <cell r="ER338">
            <v>1</v>
          </cell>
          <cell r="ES338">
            <v>1</v>
          </cell>
          <cell r="ET338">
            <v>1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2</v>
          </cell>
          <cell r="EZ338">
            <v>0</v>
          </cell>
          <cell r="FA338">
            <v>-1</v>
          </cell>
          <cell r="FB338">
            <v>-1</v>
          </cell>
          <cell r="FC338">
            <v>-1</v>
          </cell>
          <cell r="FD338">
            <v>3</v>
          </cell>
          <cell r="FE338">
            <v>0</v>
          </cell>
          <cell r="FF338">
            <v>-2</v>
          </cell>
          <cell r="FG338">
            <v>-2</v>
          </cell>
          <cell r="FH338">
            <v>-2</v>
          </cell>
          <cell r="FI338">
            <v>4</v>
          </cell>
          <cell r="FJ338">
            <v>0</v>
          </cell>
          <cell r="FK338">
            <v>-3</v>
          </cell>
          <cell r="FL338">
            <v>-3</v>
          </cell>
          <cell r="FM338">
            <v>-3</v>
          </cell>
          <cell r="FN338">
            <v>5</v>
          </cell>
          <cell r="FO338">
            <v>0</v>
          </cell>
          <cell r="FP338">
            <v>-4</v>
          </cell>
          <cell r="FQ338">
            <v>-4</v>
          </cell>
          <cell r="FR338">
            <v>-4</v>
          </cell>
          <cell r="FS338">
            <v>6</v>
          </cell>
          <cell r="FT338">
            <v>2</v>
          </cell>
          <cell r="FU338">
            <v>1.0333333333333334</v>
          </cell>
          <cell r="FW338" t="str">
            <v>SIN ROTACIÓN</v>
          </cell>
          <cell r="FX338" t="str">
            <v>C</v>
          </cell>
          <cell r="FY338" t="str">
            <v>Si</v>
          </cell>
        </row>
        <row r="339">
          <cell r="B339" t="str">
            <v>REP-0356</v>
          </cell>
          <cell r="C339" t="str">
            <v>OSBORNE</v>
          </cell>
          <cell r="D339">
            <v>0</v>
          </cell>
          <cell r="E339">
            <v>0</v>
          </cell>
          <cell r="F339">
            <v>0</v>
          </cell>
          <cell r="G339">
            <v>2450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2450</v>
          </cell>
          <cell r="AA339">
            <v>2450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12.5</v>
          </cell>
          <cell r="AI339">
            <v>66.666666666666671</v>
          </cell>
          <cell r="AJ339">
            <v>66.666666666666671</v>
          </cell>
          <cell r="AK339">
            <v>66.666666666666671</v>
          </cell>
          <cell r="AL339">
            <v>35.252889295825163</v>
          </cell>
          <cell r="AM339">
            <v>36.458333333333336</v>
          </cell>
          <cell r="AN339">
            <v>0.96693639211406157</v>
          </cell>
          <cell r="AO339">
            <v>0</v>
          </cell>
          <cell r="AP339">
            <v>-16.666666666666668</v>
          </cell>
          <cell r="AQ339" t="str">
            <v/>
          </cell>
          <cell r="AR339">
            <v>0</v>
          </cell>
          <cell r="AS339">
            <v>0</v>
          </cell>
          <cell r="AT339">
            <v>0</v>
          </cell>
          <cell r="AU339" t="str">
            <v/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 t="str">
            <v/>
          </cell>
          <cell r="BD339">
            <v>0</v>
          </cell>
          <cell r="BE339">
            <v>0</v>
          </cell>
          <cell r="BF339" t="str">
            <v/>
          </cell>
          <cell r="BG339">
            <v>0</v>
          </cell>
          <cell r="BH339">
            <v>0</v>
          </cell>
          <cell r="BI339">
            <v>2450</v>
          </cell>
          <cell r="BJ339">
            <v>36.75</v>
          </cell>
          <cell r="BK339">
            <v>0</v>
          </cell>
          <cell r="BL339">
            <v>0</v>
          </cell>
          <cell r="BM339">
            <v>0</v>
          </cell>
          <cell r="BN339" t="str">
            <v/>
          </cell>
          <cell r="BO339">
            <v>0</v>
          </cell>
          <cell r="BP339">
            <v>3000</v>
          </cell>
          <cell r="BQ339">
            <v>2900</v>
          </cell>
          <cell r="BR339">
            <v>43.5</v>
          </cell>
          <cell r="BS339">
            <v>0</v>
          </cell>
          <cell r="BT339">
            <v>2883.3333333333335</v>
          </cell>
          <cell r="BU339">
            <v>2900</v>
          </cell>
          <cell r="BV339">
            <v>174</v>
          </cell>
          <cell r="BW339">
            <v>0</v>
          </cell>
          <cell r="BX339">
            <v>0</v>
          </cell>
          <cell r="BY339">
            <v>2883.3333333333335</v>
          </cell>
          <cell r="BZ339">
            <v>2900</v>
          </cell>
          <cell r="CA339">
            <v>174</v>
          </cell>
          <cell r="CB339">
            <v>0</v>
          </cell>
          <cell r="CC339">
            <v>0</v>
          </cell>
          <cell r="CD339">
            <v>2883.3333333333335</v>
          </cell>
          <cell r="CE339">
            <v>2900</v>
          </cell>
          <cell r="CF339">
            <v>174</v>
          </cell>
          <cell r="CG339">
            <v>0</v>
          </cell>
          <cell r="CH339">
            <v>0</v>
          </cell>
          <cell r="CI339">
            <v>2866.666666666667</v>
          </cell>
          <cell r="CJ339">
            <v>2850</v>
          </cell>
          <cell r="CK339">
            <v>114</v>
          </cell>
          <cell r="CL339">
            <v>0</v>
          </cell>
          <cell r="CM339">
            <v>0</v>
          </cell>
          <cell r="CN339">
            <v>2825</v>
          </cell>
          <cell r="CO339">
            <v>2750</v>
          </cell>
          <cell r="CP339">
            <v>27.5</v>
          </cell>
          <cell r="CQ339">
            <v>0</v>
          </cell>
          <cell r="CR339">
            <v>0</v>
          </cell>
          <cell r="CS339">
            <v>2650</v>
          </cell>
          <cell r="CT339">
            <v>2750</v>
          </cell>
          <cell r="CU339">
            <v>55</v>
          </cell>
          <cell r="CV339">
            <v>0</v>
          </cell>
          <cell r="CW339">
            <v>0</v>
          </cell>
          <cell r="CX339">
            <v>2700</v>
          </cell>
          <cell r="CY339">
            <v>2750</v>
          </cell>
          <cell r="CZ339">
            <v>82.5</v>
          </cell>
          <cell r="DA339">
            <v>0</v>
          </cell>
          <cell r="DB339">
            <v>0</v>
          </cell>
          <cell r="DC339">
            <v>2700</v>
          </cell>
          <cell r="DD339">
            <v>2650</v>
          </cell>
          <cell r="DE339">
            <v>52.12</v>
          </cell>
          <cell r="DF339">
            <v>0</v>
          </cell>
          <cell r="DG339">
            <v>0</v>
          </cell>
          <cell r="DH339">
            <v>2600</v>
          </cell>
          <cell r="DI339">
            <v>2650</v>
          </cell>
          <cell r="DJ339">
            <v>64.544000000000011</v>
          </cell>
          <cell r="DK339">
            <v>0</v>
          </cell>
          <cell r="DL339">
            <v>0</v>
          </cell>
          <cell r="DM339">
            <v>2558.3333333333335</v>
          </cell>
          <cell r="DN339">
            <v>2450</v>
          </cell>
          <cell r="DO339">
            <v>37.714999999999996</v>
          </cell>
          <cell r="DP339">
            <v>0</v>
          </cell>
          <cell r="DQ339">
            <v>0</v>
          </cell>
          <cell r="DR339">
            <v>2383.3333333333335</v>
          </cell>
          <cell r="DS339">
            <v>2383.3333333333335</v>
          </cell>
          <cell r="DT339">
            <v>36.714999999999996</v>
          </cell>
          <cell r="DU339">
            <v>0</v>
          </cell>
          <cell r="DV339">
            <v>0</v>
          </cell>
          <cell r="DW339">
            <v>2316.666666666667</v>
          </cell>
          <cell r="DX339">
            <v>2316.666666666667</v>
          </cell>
          <cell r="DY339">
            <v>35.715000000000003</v>
          </cell>
          <cell r="DZ339">
            <v>0</v>
          </cell>
          <cell r="EA339">
            <v>0</v>
          </cell>
          <cell r="EB339">
            <v>2250.0000000000005</v>
          </cell>
          <cell r="EC339">
            <v>2250.0000000000005</v>
          </cell>
          <cell r="ED339">
            <v>34.715000000000003</v>
          </cell>
          <cell r="EE339">
            <v>0</v>
          </cell>
          <cell r="EF339">
            <v>0</v>
          </cell>
          <cell r="EG339">
            <v>2183.3333333333339</v>
          </cell>
          <cell r="EH339">
            <v>2183.3333333333339</v>
          </cell>
          <cell r="EI339">
            <v>33.715000000000003</v>
          </cell>
          <cell r="EJ339">
            <v>0</v>
          </cell>
          <cell r="EK339">
            <v>0</v>
          </cell>
          <cell r="EL339">
            <v>2116.6666666666674</v>
          </cell>
          <cell r="EM339">
            <v>2116.6666666666674</v>
          </cell>
          <cell r="EN339">
            <v>32.715000000000011</v>
          </cell>
          <cell r="EO339">
            <v>0</v>
          </cell>
          <cell r="EP339">
            <v>0</v>
          </cell>
          <cell r="EQ339">
            <v>2050.0000000000009</v>
          </cell>
          <cell r="ER339">
            <v>2050.0000000000009</v>
          </cell>
          <cell r="ES339">
            <v>31.715000000000011</v>
          </cell>
          <cell r="ET339">
            <v>0</v>
          </cell>
          <cell r="EU339">
            <v>0</v>
          </cell>
          <cell r="EV339">
            <v>1983.3333333333342</v>
          </cell>
          <cell r="EW339">
            <v>1983.3333333333342</v>
          </cell>
          <cell r="EX339">
            <v>30.715000000000011</v>
          </cell>
          <cell r="EY339">
            <v>0</v>
          </cell>
          <cell r="EZ339">
            <v>0</v>
          </cell>
          <cell r="FA339">
            <v>1916.6666666666674</v>
          </cell>
          <cell r="FB339">
            <v>1916.6666666666674</v>
          </cell>
          <cell r="FC339">
            <v>29.715000000000011</v>
          </cell>
          <cell r="FD339">
            <v>0</v>
          </cell>
          <cell r="FE339">
            <v>0</v>
          </cell>
          <cell r="FF339">
            <v>1850.0000000000007</v>
          </cell>
          <cell r="FG339">
            <v>1850.0000000000007</v>
          </cell>
          <cell r="FH339">
            <v>28.715000000000007</v>
          </cell>
          <cell r="FI339">
            <v>0</v>
          </cell>
          <cell r="FJ339">
            <v>0</v>
          </cell>
          <cell r="FK339">
            <v>1783.3333333333339</v>
          </cell>
          <cell r="FL339">
            <v>1783.3333333333339</v>
          </cell>
          <cell r="FM339">
            <v>27.715000000000007</v>
          </cell>
          <cell r="FN339">
            <v>0</v>
          </cell>
          <cell r="FO339">
            <v>0</v>
          </cell>
          <cell r="FP339">
            <v>1716.6666666666672</v>
          </cell>
          <cell r="FQ339">
            <v>1716.6666666666672</v>
          </cell>
          <cell r="FR339">
            <v>26.715000000000007</v>
          </cell>
          <cell r="FS339">
            <v>0</v>
          </cell>
          <cell r="FT339">
            <v>69</v>
          </cell>
          <cell r="FU339">
            <v>1.0333333333333334</v>
          </cell>
          <cell r="FW339" t="str">
            <v>SOBRESTOCK</v>
          </cell>
          <cell r="FX339" t="str">
            <v>A</v>
          </cell>
          <cell r="FY339" t="str">
            <v>Si</v>
          </cell>
        </row>
        <row r="340">
          <cell r="B340" t="str">
            <v>REP-0357</v>
          </cell>
          <cell r="C340" t="str">
            <v>MIX</v>
          </cell>
          <cell r="D340">
            <v>0</v>
          </cell>
          <cell r="E340">
            <v>128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2</v>
          </cell>
          <cell r="O340">
            <v>2</v>
          </cell>
          <cell r="P340">
            <v>2</v>
          </cell>
          <cell r="Q340">
            <v>0</v>
          </cell>
          <cell r="R340">
            <v>2</v>
          </cell>
          <cell r="S340">
            <v>2</v>
          </cell>
          <cell r="T340">
            <v>1</v>
          </cell>
          <cell r="U340">
            <v>2</v>
          </cell>
          <cell r="V340">
            <v>2</v>
          </cell>
          <cell r="W340">
            <v>2</v>
          </cell>
          <cell r="X340">
            <v>2</v>
          </cell>
          <cell r="Y340">
            <v>147</v>
          </cell>
          <cell r="AA340">
            <v>147</v>
          </cell>
          <cell r="AB340">
            <v>4</v>
          </cell>
          <cell r="AC340">
            <v>0</v>
          </cell>
          <cell r="AD340">
            <v>0</v>
          </cell>
          <cell r="AE340">
            <v>0.33333333333333331</v>
          </cell>
          <cell r="AF340">
            <v>0.25</v>
          </cell>
          <cell r="AG340">
            <v>0.33333333333333331</v>
          </cell>
          <cell r="AH340">
            <v>0.41666666666666669</v>
          </cell>
          <cell r="AI340">
            <v>1.5</v>
          </cell>
          <cell r="AJ340">
            <v>1.5</v>
          </cell>
          <cell r="AK340">
            <v>1.5</v>
          </cell>
          <cell r="AL340">
            <v>0.65040941522044982</v>
          </cell>
          <cell r="AM340">
            <v>0.9375</v>
          </cell>
          <cell r="AN340">
            <v>0.6937700429018131</v>
          </cell>
          <cell r="AO340">
            <v>0</v>
          </cell>
          <cell r="AP340">
            <v>7.166666666666667</v>
          </cell>
          <cell r="AQ340">
            <v>15</v>
          </cell>
          <cell r="AR340">
            <v>0</v>
          </cell>
          <cell r="AS340">
            <v>7</v>
          </cell>
          <cell r="AT340">
            <v>8</v>
          </cell>
          <cell r="AU340">
            <v>16</v>
          </cell>
          <cell r="AV340">
            <v>0</v>
          </cell>
          <cell r="AW340">
            <v>7.5</v>
          </cell>
          <cell r="AX340">
            <v>8</v>
          </cell>
          <cell r="AY340">
            <v>5.333333333333333</v>
          </cell>
          <cell r="AZ340">
            <v>0</v>
          </cell>
          <cell r="BA340">
            <v>7.5</v>
          </cell>
          <cell r="BB340">
            <v>8</v>
          </cell>
          <cell r="BC340">
            <v>16</v>
          </cell>
          <cell r="BD340">
            <v>0</v>
          </cell>
          <cell r="BE340">
            <v>7.5</v>
          </cell>
          <cell r="BF340">
            <v>15</v>
          </cell>
          <cell r="BG340">
            <v>0</v>
          </cell>
          <cell r="BH340">
            <v>7</v>
          </cell>
          <cell r="BI340">
            <v>147</v>
          </cell>
          <cell r="BJ340">
            <v>98</v>
          </cell>
          <cell r="BK340">
            <v>0</v>
          </cell>
          <cell r="BL340">
            <v>3.5</v>
          </cell>
          <cell r="BM340">
            <v>4</v>
          </cell>
          <cell r="BN340">
            <v>6</v>
          </cell>
          <cell r="BO340">
            <v>0</v>
          </cell>
          <cell r="BP340">
            <v>3.3333333333333335</v>
          </cell>
          <cell r="BQ340">
            <v>3</v>
          </cell>
          <cell r="BR340">
            <v>2</v>
          </cell>
          <cell r="BS340">
            <v>0</v>
          </cell>
          <cell r="BT340">
            <v>2.3333333333333335</v>
          </cell>
          <cell r="BU340">
            <v>2</v>
          </cell>
          <cell r="BV340">
            <v>2.4</v>
          </cell>
          <cell r="BW340">
            <v>74</v>
          </cell>
          <cell r="BX340">
            <v>0</v>
          </cell>
          <cell r="BY340">
            <v>1.1666666666666665</v>
          </cell>
          <cell r="BZ340">
            <v>2</v>
          </cell>
          <cell r="CA340">
            <v>2.4</v>
          </cell>
          <cell r="CB340">
            <v>74</v>
          </cell>
          <cell r="CC340">
            <v>0</v>
          </cell>
          <cell r="CD340">
            <v>11.166666666666666</v>
          </cell>
          <cell r="CE340">
            <v>3</v>
          </cell>
          <cell r="CF340">
            <v>4.5</v>
          </cell>
          <cell r="CG340">
            <v>73</v>
          </cell>
          <cell r="CH340">
            <v>10</v>
          </cell>
          <cell r="CI340">
            <v>83.5</v>
          </cell>
          <cell r="CJ340">
            <v>13</v>
          </cell>
          <cell r="CK340">
            <v>31.2</v>
          </cell>
          <cell r="CL340">
            <v>63</v>
          </cell>
          <cell r="CM340">
            <v>0</v>
          </cell>
          <cell r="CN340">
            <v>12.583333333333334</v>
          </cell>
          <cell r="CO340">
            <v>11</v>
          </cell>
          <cell r="CP340">
            <v>11</v>
          </cell>
          <cell r="CQ340">
            <v>63.416666666666664</v>
          </cell>
          <cell r="CR340">
            <v>0</v>
          </cell>
          <cell r="CS340">
            <v>10</v>
          </cell>
          <cell r="CT340">
            <v>10</v>
          </cell>
          <cell r="CU340">
            <v>5</v>
          </cell>
          <cell r="CV340">
            <v>28</v>
          </cell>
          <cell r="CW340">
            <v>80</v>
          </cell>
          <cell r="CX340">
            <v>88</v>
          </cell>
          <cell r="CY340">
            <v>89</v>
          </cell>
          <cell r="CZ340">
            <v>53.4</v>
          </cell>
          <cell r="DA340">
            <v>0</v>
          </cell>
          <cell r="DB340">
            <v>70</v>
          </cell>
          <cell r="DC340">
            <v>157.5</v>
          </cell>
          <cell r="DD340">
            <v>151</v>
          </cell>
          <cell r="DE340">
            <v>56.5</v>
          </cell>
          <cell r="DF340">
            <v>0</v>
          </cell>
          <cell r="DG340">
            <v>0</v>
          </cell>
          <cell r="DH340">
            <v>149</v>
          </cell>
          <cell r="DI340">
            <v>151</v>
          </cell>
          <cell r="DJ340">
            <v>72.625</v>
          </cell>
          <cell r="DK340">
            <v>0</v>
          </cell>
          <cell r="DL340">
            <v>0</v>
          </cell>
          <cell r="DM340">
            <v>147.4</v>
          </cell>
          <cell r="DN340">
            <v>147</v>
          </cell>
          <cell r="DO340">
            <v>74.666666666666671</v>
          </cell>
          <cell r="DP340">
            <v>0</v>
          </cell>
          <cell r="DQ340">
            <v>0</v>
          </cell>
          <cell r="DR340">
            <v>145.5</v>
          </cell>
          <cell r="DS340">
            <v>145.5</v>
          </cell>
          <cell r="DT340">
            <v>73.666666666666671</v>
          </cell>
          <cell r="DU340">
            <v>0</v>
          </cell>
          <cell r="DV340">
            <v>0</v>
          </cell>
          <cell r="DW340">
            <v>144</v>
          </cell>
          <cell r="DX340">
            <v>144</v>
          </cell>
          <cell r="DY340">
            <v>72.666666666666671</v>
          </cell>
          <cell r="DZ340">
            <v>0</v>
          </cell>
          <cell r="EA340">
            <v>0</v>
          </cell>
          <cell r="EB340">
            <v>142.5</v>
          </cell>
          <cell r="EC340">
            <v>142.5</v>
          </cell>
          <cell r="ED340">
            <v>71.666666666666671</v>
          </cell>
          <cell r="EE340">
            <v>0</v>
          </cell>
          <cell r="EF340">
            <v>0</v>
          </cell>
          <cell r="EG340">
            <v>141</v>
          </cell>
          <cell r="EH340">
            <v>141</v>
          </cell>
          <cell r="EI340">
            <v>70.666666666666671</v>
          </cell>
          <cell r="EJ340">
            <v>0</v>
          </cell>
          <cell r="EK340">
            <v>0</v>
          </cell>
          <cell r="EL340">
            <v>139.5</v>
          </cell>
          <cell r="EM340">
            <v>139.5</v>
          </cell>
          <cell r="EN340">
            <v>69.666666666666671</v>
          </cell>
          <cell r="EO340">
            <v>0</v>
          </cell>
          <cell r="EP340">
            <v>0</v>
          </cell>
          <cell r="EQ340">
            <v>138</v>
          </cell>
          <cell r="ER340">
            <v>138</v>
          </cell>
          <cell r="ES340">
            <v>68.666666666666671</v>
          </cell>
          <cell r="ET340">
            <v>0</v>
          </cell>
          <cell r="EU340">
            <v>0</v>
          </cell>
          <cell r="EV340">
            <v>136.5</v>
          </cell>
          <cell r="EW340">
            <v>136.5</v>
          </cell>
          <cell r="EX340">
            <v>67.666666666666671</v>
          </cell>
          <cell r="EY340">
            <v>0</v>
          </cell>
          <cell r="EZ340">
            <v>0</v>
          </cell>
          <cell r="FA340">
            <v>135</v>
          </cell>
          <cell r="FB340">
            <v>135</v>
          </cell>
          <cell r="FC340">
            <v>66.666666666666671</v>
          </cell>
          <cell r="FD340">
            <v>0</v>
          </cell>
          <cell r="FE340">
            <v>0</v>
          </cell>
          <cell r="FF340">
            <v>133.5</v>
          </cell>
          <cell r="FG340">
            <v>133.5</v>
          </cell>
          <cell r="FH340">
            <v>65.666666666666657</v>
          </cell>
          <cell r="FI340">
            <v>0</v>
          </cell>
          <cell r="FJ340">
            <v>0</v>
          </cell>
          <cell r="FK340">
            <v>132</v>
          </cell>
          <cell r="FL340">
            <v>132</v>
          </cell>
          <cell r="FM340">
            <v>64.666666666666657</v>
          </cell>
          <cell r="FN340">
            <v>0</v>
          </cell>
          <cell r="FO340">
            <v>0</v>
          </cell>
          <cell r="FP340">
            <v>130.5</v>
          </cell>
          <cell r="FQ340">
            <v>130.5</v>
          </cell>
          <cell r="FR340">
            <v>63.666666666666664</v>
          </cell>
          <cell r="FS340">
            <v>0</v>
          </cell>
          <cell r="FT340">
            <v>38</v>
          </cell>
          <cell r="FU340">
            <v>2.0333333333333332</v>
          </cell>
          <cell r="FW340" t="str">
            <v>SOBRESTOCK</v>
          </cell>
          <cell r="FX340" t="str">
            <v>C</v>
          </cell>
          <cell r="FY340" t="str">
            <v>Si</v>
          </cell>
        </row>
        <row r="341">
          <cell r="B341" t="str">
            <v>REP-0358</v>
          </cell>
          <cell r="C341" t="str">
            <v>NAC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AA341">
            <v>0</v>
          </cell>
          <cell r="AB341">
            <v>0</v>
          </cell>
          <cell r="AC341">
            <v>3.8333333333333335</v>
          </cell>
          <cell r="AD341">
            <v>0.1277777777777778</v>
          </cell>
          <cell r="AE341">
            <v>18.25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M341">
            <v>0</v>
          </cell>
          <cell r="AO341">
            <v>0</v>
          </cell>
          <cell r="AP341">
            <v>0</v>
          </cell>
          <cell r="AQ341" t="str">
            <v/>
          </cell>
          <cell r="AR341">
            <v>0</v>
          </cell>
          <cell r="AS341">
            <v>0</v>
          </cell>
          <cell r="AT341">
            <v>0</v>
          </cell>
          <cell r="AU341" t="str">
            <v/>
          </cell>
          <cell r="AV341">
            <v>0</v>
          </cell>
          <cell r="AW341">
            <v>0</v>
          </cell>
          <cell r="AX341">
            <v>0</v>
          </cell>
          <cell r="AY341" t="str">
            <v/>
          </cell>
          <cell r="AZ341">
            <v>0</v>
          </cell>
          <cell r="BA341">
            <v>0</v>
          </cell>
          <cell r="BB341">
            <v>0</v>
          </cell>
          <cell r="BC341" t="str">
            <v/>
          </cell>
          <cell r="BD341">
            <v>0</v>
          </cell>
          <cell r="BE341">
            <v>0</v>
          </cell>
          <cell r="BF341" t="str">
            <v/>
          </cell>
          <cell r="BG341">
            <v>0</v>
          </cell>
          <cell r="BH341">
            <v>0</v>
          </cell>
          <cell r="BI341">
            <v>0</v>
          </cell>
          <cell r="BJ341" t="str">
            <v/>
          </cell>
          <cell r="BK341">
            <v>0</v>
          </cell>
          <cell r="BL341">
            <v>0</v>
          </cell>
          <cell r="BM341">
            <v>0</v>
          </cell>
          <cell r="BN341" t="str">
            <v/>
          </cell>
          <cell r="BO341">
            <v>0</v>
          </cell>
          <cell r="BP341">
            <v>0</v>
          </cell>
          <cell r="BQ341">
            <v>0</v>
          </cell>
          <cell r="BR341" t="str">
            <v/>
          </cell>
          <cell r="BS341">
            <v>0</v>
          </cell>
          <cell r="BT341">
            <v>0</v>
          </cell>
          <cell r="BU341">
            <v>0</v>
          </cell>
          <cell r="BV341" t="str">
            <v/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 t="str">
            <v/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 t="str">
            <v/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 t="str">
            <v/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 t="str">
            <v/>
          </cell>
          <cell r="CQ341">
            <v>0</v>
          </cell>
          <cell r="CS341">
            <v>0</v>
          </cell>
          <cell r="CT341">
            <v>0</v>
          </cell>
          <cell r="CU341" t="str">
            <v/>
          </cell>
          <cell r="CV341">
            <v>0</v>
          </cell>
          <cell r="CX341">
            <v>0</v>
          </cell>
          <cell r="CY341">
            <v>0</v>
          </cell>
          <cell r="CZ341" t="str">
            <v/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 t="str">
            <v/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 t="str">
            <v/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 t="str">
            <v/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 t="str">
            <v/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 t="str">
            <v/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 t="str">
            <v/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 t="str">
            <v/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 t="str">
            <v/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 t="str">
            <v/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 t="str">
            <v/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 t="str">
            <v/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 t="str">
            <v/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 t="str">
            <v/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 t="str">
            <v/>
          </cell>
          <cell r="FS341">
            <v>0</v>
          </cell>
          <cell r="FT341">
            <v>0</v>
          </cell>
          <cell r="FU341">
            <v>66.666666666666671</v>
          </cell>
          <cell r="FW341" t="str">
            <v>SIN ROTACIÓN</v>
          </cell>
          <cell r="FX341" t="str">
            <v/>
          </cell>
          <cell r="FY341" t="str">
            <v>No</v>
          </cell>
        </row>
        <row r="342">
          <cell r="B342" t="str">
            <v>REP-0359</v>
          </cell>
          <cell r="C342" t="str">
            <v>OSBORNE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AA342">
            <v>0</v>
          </cell>
          <cell r="AB342">
            <v>0</v>
          </cell>
          <cell r="AC342">
            <v>700</v>
          </cell>
          <cell r="AD342">
            <v>23.333333333333332</v>
          </cell>
          <cell r="AE342">
            <v>824.91666666666663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M342">
            <v>0</v>
          </cell>
          <cell r="AO342">
            <v>0</v>
          </cell>
          <cell r="AP342">
            <v>0</v>
          </cell>
          <cell r="AQ342" t="str">
            <v/>
          </cell>
          <cell r="AR342">
            <v>0</v>
          </cell>
          <cell r="AS342">
            <v>0</v>
          </cell>
          <cell r="AT342">
            <v>0</v>
          </cell>
          <cell r="AU342" t="str">
            <v/>
          </cell>
          <cell r="AV342">
            <v>0</v>
          </cell>
          <cell r="AW342">
            <v>0</v>
          </cell>
          <cell r="AX342">
            <v>0</v>
          </cell>
          <cell r="AY342" t="str">
            <v/>
          </cell>
          <cell r="AZ342">
            <v>0</v>
          </cell>
          <cell r="BA342">
            <v>0</v>
          </cell>
          <cell r="BB342">
            <v>0</v>
          </cell>
          <cell r="BC342" t="str">
            <v/>
          </cell>
          <cell r="BD342">
            <v>0</v>
          </cell>
          <cell r="BE342">
            <v>0</v>
          </cell>
          <cell r="BF342" t="str">
            <v/>
          </cell>
          <cell r="BG342">
            <v>0</v>
          </cell>
          <cell r="BH342">
            <v>0</v>
          </cell>
          <cell r="BI342">
            <v>0</v>
          </cell>
          <cell r="BJ342" t="str">
            <v/>
          </cell>
          <cell r="BK342">
            <v>0</v>
          </cell>
          <cell r="BL342">
            <v>0</v>
          </cell>
          <cell r="BM342">
            <v>0</v>
          </cell>
          <cell r="BN342" t="str">
            <v/>
          </cell>
          <cell r="BO342">
            <v>0</v>
          </cell>
          <cell r="BP342">
            <v>0</v>
          </cell>
          <cell r="BQ342">
            <v>0</v>
          </cell>
          <cell r="BR342" t="str">
            <v/>
          </cell>
          <cell r="BS342">
            <v>0</v>
          </cell>
          <cell r="BT342">
            <v>0</v>
          </cell>
          <cell r="BU342">
            <v>0</v>
          </cell>
          <cell r="BV342" t="str">
            <v/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 t="str">
            <v/>
          </cell>
          <cell r="CB342">
            <v>0</v>
          </cell>
          <cell r="CD342">
            <v>0</v>
          </cell>
          <cell r="CE342">
            <v>0</v>
          </cell>
          <cell r="CF342" t="str">
            <v/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 t="str">
            <v/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 t="str">
            <v/>
          </cell>
          <cell r="CQ342">
            <v>0</v>
          </cell>
          <cell r="CS342">
            <v>0</v>
          </cell>
          <cell r="CT342">
            <v>0</v>
          </cell>
          <cell r="CU342" t="str">
            <v/>
          </cell>
          <cell r="CV342">
            <v>0</v>
          </cell>
          <cell r="CX342">
            <v>0</v>
          </cell>
          <cell r="CY342">
            <v>0</v>
          </cell>
          <cell r="CZ342" t="str">
            <v/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 t="str">
            <v/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 t="str">
            <v/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 t="str">
            <v/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 t="str">
            <v/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 t="str">
            <v/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 t="str">
            <v/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 t="str">
            <v/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 t="str">
            <v/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 t="str">
            <v/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 t="str">
            <v/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 t="str">
            <v/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 t="str">
            <v/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 t="str">
            <v/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 t="str">
            <v/>
          </cell>
          <cell r="FS342">
            <v>0</v>
          </cell>
          <cell r="FT342">
            <v>0</v>
          </cell>
          <cell r="FU342">
            <v>66.666666666666671</v>
          </cell>
          <cell r="FW342" t="str">
            <v>SIN ROTACIÓN</v>
          </cell>
          <cell r="FX342" t="str">
            <v/>
          </cell>
          <cell r="FY342" t="str">
            <v>No</v>
          </cell>
        </row>
        <row r="343">
          <cell r="B343" t="str">
            <v>REP-0360</v>
          </cell>
          <cell r="C343" t="str">
            <v>OSBORNE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AA343">
            <v>0</v>
          </cell>
          <cell r="AB343">
            <v>0</v>
          </cell>
          <cell r="AC343">
            <v>66.666666666666671</v>
          </cell>
          <cell r="AD343">
            <v>2.2222222222222223</v>
          </cell>
          <cell r="AE343">
            <v>83.333333333333329</v>
          </cell>
          <cell r="AF343">
            <v>199.33333333333334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-1750</v>
          </cell>
          <cell r="AQ343">
            <v>-1</v>
          </cell>
          <cell r="AR343">
            <v>0</v>
          </cell>
          <cell r="AS343">
            <v>-398.66666666666669</v>
          </cell>
          <cell r="AT343">
            <v>0</v>
          </cell>
          <cell r="AU343" t="str">
            <v/>
          </cell>
          <cell r="AV343">
            <v>0</v>
          </cell>
          <cell r="AW343">
            <v>0</v>
          </cell>
          <cell r="AX343">
            <v>0</v>
          </cell>
          <cell r="AY343" t="str">
            <v/>
          </cell>
          <cell r="AZ343">
            <v>0</v>
          </cell>
          <cell r="BA343">
            <v>0</v>
          </cell>
          <cell r="BB343">
            <v>0</v>
          </cell>
          <cell r="BC343" t="str">
            <v/>
          </cell>
          <cell r="BD343">
            <v>0</v>
          </cell>
          <cell r="BE343">
            <v>0</v>
          </cell>
          <cell r="BF343" t="str">
            <v/>
          </cell>
          <cell r="BG343">
            <v>0</v>
          </cell>
          <cell r="BH343">
            <v>0</v>
          </cell>
          <cell r="BI343">
            <v>0</v>
          </cell>
          <cell r="BJ343" t="str">
            <v/>
          </cell>
          <cell r="BK343">
            <v>0</v>
          </cell>
          <cell r="BL343">
            <v>1166.6666666666667</v>
          </cell>
          <cell r="BM343">
            <v>7500</v>
          </cell>
          <cell r="BN343">
            <v>5.625</v>
          </cell>
          <cell r="BO343">
            <v>0</v>
          </cell>
          <cell r="BP343">
            <v>6166.666666666667</v>
          </cell>
          <cell r="BQ343">
            <v>5000</v>
          </cell>
          <cell r="BR343" t="str">
            <v/>
          </cell>
          <cell r="BS343">
            <v>0</v>
          </cell>
          <cell r="BT343">
            <v>3250</v>
          </cell>
          <cell r="BU343">
            <v>5000</v>
          </cell>
          <cell r="BV343">
            <v>2.8571428571428572</v>
          </cell>
          <cell r="BW343">
            <v>2000</v>
          </cell>
          <cell r="BX343">
            <v>0</v>
          </cell>
          <cell r="BY343">
            <v>3250</v>
          </cell>
          <cell r="BZ343">
            <v>5000</v>
          </cell>
          <cell r="CA343">
            <v>2.8571428571428572</v>
          </cell>
          <cell r="CB343">
            <v>2000</v>
          </cell>
          <cell r="CC343">
            <v>0</v>
          </cell>
          <cell r="CD343">
            <v>6250</v>
          </cell>
          <cell r="CE343">
            <v>0</v>
          </cell>
          <cell r="CF343">
            <v>0</v>
          </cell>
          <cell r="CG343">
            <v>10334</v>
          </cell>
          <cell r="CH343">
            <v>0</v>
          </cell>
          <cell r="CI343">
            <v>14000.666666666666</v>
          </cell>
          <cell r="CJ343">
            <v>3000</v>
          </cell>
          <cell r="CK343">
            <v>2.32258064516129</v>
          </cell>
          <cell r="CL343">
            <v>2166</v>
          </cell>
          <cell r="CM343">
            <v>0</v>
          </cell>
          <cell r="CN343">
            <v>1708.3333333333333</v>
          </cell>
          <cell r="CO343">
            <v>500</v>
          </cell>
          <cell r="CP343">
            <v>0.38709677419354838</v>
          </cell>
          <cell r="CQ343">
            <v>3457.666666666667</v>
          </cell>
          <cell r="CR343">
            <v>0</v>
          </cell>
          <cell r="CS343">
            <v>-791.66666666666674</v>
          </cell>
          <cell r="CT343">
            <v>500</v>
          </cell>
          <cell r="CU343">
            <v>0.38709677419354838</v>
          </cell>
          <cell r="CV343">
            <v>835</v>
          </cell>
          <cell r="CW343">
            <v>0</v>
          </cell>
          <cell r="CX343">
            <v>-791.66666666666674</v>
          </cell>
          <cell r="CY343">
            <v>500</v>
          </cell>
          <cell r="CZ343">
            <v>0.38709677419354838</v>
          </cell>
          <cell r="DA343">
            <v>2126.666666666667</v>
          </cell>
          <cell r="DB343">
            <v>8000</v>
          </cell>
          <cell r="DC343">
            <v>7083.333333333333</v>
          </cell>
          <cell r="DD343">
            <v>0</v>
          </cell>
          <cell r="DE343">
            <v>-1.0343225806451612</v>
          </cell>
          <cell r="DF343">
            <v>-6749.333333333333</v>
          </cell>
          <cell r="DG343">
            <v>0</v>
          </cell>
          <cell r="DH343">
            <v>-322.91666666666669</v>
          </cell>
          <cell r="DI343">
            <v>0</v>
          </cell>
          <cell r="DJ343" t="str">
            <v/>
          </cell>
          <cell r="DK343">
            <v>0</v>
          </cell>
          <cell r="DL343">
            <v>0</v>
          </cell>
          <cell r="DM343">
            <v>-322.91666666666669</v>
          </cell>
          <cell r="DN343">
            <v>0</v>
          </cell>
          <cell r="DO343" t="str">
            <v/>
          </cell>
          <cell r="DP343">
            <v>0</v>
          </cell>
          <cell r="DQ343">
            <v>6000</v>
          </cell>
          <cell r="DR343">
            <v>6000</v>
          </cell>
          <cell r="DS343">
            <v>6000</v>
          </cell>
          <cell r="DT343" t="str">
            <v/>
          </cell>
          <cell r="DU343">
            <v>0</v>
          </cell>
          <cell r="DV343">
            <v>0</v>
          </cell>
          <cell r="DW343">
            <v>6000</v>
          </cell>
          <cell r="DX343">
            <v>6000</v>
          </cell>
          <cell r="DY343" t="str">
            <v/>
          </cell>
          <cell r="DZ343">
            <v>0</v>
          </cell>
          <cell r="EA343">
            <v>0</v>
          </cell>
          <cell r="EB343">
            <v>6000</v>
          </cell>
          <cell r="EC343">
            <v>6000</v>
          </cell>
          <cell r="ED343" t="str">
            <v/>
          </cell>
          <cell r="EE343">
            <v>0</v>
          </cell>
          <cell r="EF343">
            <v>0</v>
          </cell>
          <cell r="EG343">
            <v>6000</v>
          </cell>
          <cell r="EH343">
            <v>6000</v>
          </cell>
          <cell r="EI343" t="str">
            <v/>
          </cell>
          <cell r="EJ343">
            <v>0</v>
          </cell>
          <cell r="EK343">
            <v>0</v>
          </cell>
          <cell r="EL343">
            <v>6000</v>
          </cell>
          <cell r="EM343">
            <v>6000</v>
          </cell>
          <cell r="EN343" t="str">
            <v/>
          </cell>
          <cell r="EO343">
            <v>0</v>
          </cell>
          <cell r="EP343">
            <v>0</v>
          </cell>
          <cell r="EQ343">
            <v>6000</v>
          </cell>
          <cell r="ER343">
            <v>6000</v>
          </cell>
          <cell r="ES343" t="str">
            <v/>
          </cell>
          <cell r="ET343">
            <v>0</v>
          </cell>
          <cell r="EU343">
            <v>0</v>
          </cell>
          <cell r="EV343">
            <v>6000</v>
          </cell>
          <cell r="EW343">
            <v>6000</v>
          </cell>
          <cell r="EX343" t="str">
            <v/>
          </cell>
          <cell r="EY343">
            <v>0</v>
          </cell>
          <cell r="EZ343">
            <v>0</v>
          </cell>
          <cell r="FA343">
            <v>6000</v>
          </cell>
          <cell r="FB343">
            <v>6000</v>
          </cell>
          <cell r="FC343" t="str">
            <v/>
          </cell>
          <cell r="FD343">
            <v>0</v>
          </cell>
          <cell r="FE343">
            <v>0</v>
          </cell>
          <cell r="FF343">
            <v>6000</v>
          </cell>
          <cell r="FG343">
            <v>6000</v>
          </cell>
          <cell r="FH343" t="str">
            <v/>
          </cell>
          <cell r="FI343">
            <v>0</v>
          </cell>
          <cell r="FJ343">
            <v>0</v>
          </cell>
          <cell r="FK343">
            <v>6000</v>
          </cell>
          <cell r="FL343">
            <v>6000</v>
          </cell>
          <cell r="FM343" t="str">
            <v/>
          </cell>
          <cell r="FN343">
            <v>0</v>
          </cell>
          <cell r="FO343">
            <v>0</v>
          </cell>
          <cell r="FP343">
            <v>6000</v>
          </cell>
          <cell r="FQ343">
            <v>6000</v>
          </cell>
          <cell r="FR343" t="str">
            <v/>
          </cell>
          <cell r="FS343">
            <v>0</v>
          </cell>
          <cell r="FT343">
            <v>0</v>
          </cell>
          <cell r="FU343">
            <v>1.0333333333333334</v>
          </cell>
          <cell r="FW343" t="str">
            <v>SIN ROTACIÓN</v>
          </cell>
          <cell r="FX343" t="str">
            <v>A</v>
          </cell>
          <cell r="FY343" t="str">
            <v>Si</v>
          </cell>
        </row>
        <row r="344">
          <cell r="B344" t="str">
            <v>REP-0361</v>
          </cell>
          <cell r="C344" t="str">
            <v>MIX</v>
          </cell>
          <cell r="D344">
            <v>0</v>
          </cell>
          <cell r="E344">
            <v>11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1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13</v>
          </cell>
          <cell r="AA344">
            <v>13</v>
          </cell>
          <cell r="AB344">
            <v>0</v>
          </cell>
          <cell r="AC344">
            <v>0.16666666666666666</v>
          </cell>
          <cell r="AD344">
            <v>5.5555555555555549E-3</v>
          </cell>
          <cell r="AE344">
            <v>8.3333333333333329E-2</v>
          </cell>
          <cell r="AF344">
            <v>0.25</v>
          </cell>
          <cell r="AG344">
            <v>8.3333333333333329E-2</v>
          </cell>
          <cell r="AH344">
            <v>0.16666666666666666</v>
          </cell>
          <cell r="AI344">
            <v>0</v>
          </cell>
          <cell r="AJ344">
            <v>0</v>
          </cell>
          <cell r="AK344">
            <v>0.16666666666666666</v>
          </cell>
          <cell r="AL344">
            <v>7.9785592313028175E-2</v>
          </cell>
          <cell r="AM344">
            <v>6.25E-2</v>
          </cell>
          <cell r="AN344">
            <v>1.2765694770084508</v>
          </cell>
          <cell r="AO344">
            <v>0</v>
          </cell>
          <cell r="AP344">
            <v>14.666666666666666</v>
          </cell>
          <cell r="AQ344">
            <v>59</v>
          </cell>
          <cell r="AR344">
            <v>0</v>
          </cell>
          <cell r="AS344">
            <v>14.5</v>
          </cell>
          <cell r="AT344">
            <v>15</v>
          </cell>
          <cell r="AU344">
            <v>180</v>
          </cell>
          <cell r="AV344">
            <v>0</v>
          </cell>
          <cell r="AW344">
            <v>14.916666666666666</v>
          </cell>
          <cell r="AX344">
            <v>15</v>
          </cell>
          <cell r="AY344">
            <v>90</v>
          </cell>
          <cell r="AZ344">
            <v>0</v>
          </cell>
          <cell r="BA344">
            <v>14.916666666666666</v>
          </cell>
          <cell r="BB344">
            <v>15</v>
          </cell>
          <cell r="BC344">
            <v>180</v>
          </cell>
          <cell r="BD344">
            <v>0</v>
          </cell>
          <cell r="BE344">
            <v>14.916666666666666</v>
          </cell>
          <cell r="BF344">
            <v>179</v>
          </cell>
          <cell r="BG344">
            <v>0</v>
          </cell>
          <cell r="BH344">
            <v>14.833333333333332</v>
          </cell>
          <cell r="BI344">
            <v>13</v>
          </cell>
          <cell r="BJ344">
            <v>78</v>
          </cell>
          <cell r="BK344">
            <v>0</v>
          </cell>
          <cell r="BL344">
            <v>14.916666666666666</v>
          </cell>
          <cell r="BM344">
            <v>14</v>
          </cell>
          <cell r="BN344">
            <v>84</v>
          </cell>
          <cell r="BO344">
            <v>0</v>
          </cell>
          <cell r="BP344">
            <v>13.833333333333334</v>
          </cell>
          <cell r="BQ344">
            <v>14</v>
          </cell>
          <cell r="BR344">
            <v>84</v>
          </cell>
          <cell r="BS344">
            <v>0</v>
          </cell>
          <cell r="BT344">
            <v>13.833333333333334</v>
          </cell>
          <cell r="BU344">
            <v>13</v>
          </cell>
          <cell r="BV344">
            <v>39</v>
          </cell>
          <cell r="BW344">
            <v>0</v>
          </cell>
          <cell r="BX344">
            <v>0</v>
          </cell>
          <cell r="BY344">
            <v>12.666666666666666</v>
          </cell>
          <cell r="BZ344">
            <v>13</v>
          </cell>
          <cell r="CA344">
            <v>39</v>
          </cell>
          <cell r="CB344">
            <v>0</v>
          </cell>
          <cell r="CC344">
            <v>0</v>
          </cell>
          <cell r="CD344">
            <v>12.666666666666666</v>
          </cell>
          <cell r="CE344">
            <v>13</v>
          </cell>
          <cell r="CF344">
            <v>39</v>
          </cell>
          <cell r="CG344">
            <v>0</v>
          </cell>
          <cell r="CH344">
            <v>0</v>
          </cell>
          <cell r="CI344">
            <v>12.333333333333332</v>
          </cell>
          <cell r="CJ344">
            <v>13</v>
          </cell>
          <cell r="CK344">
            <v>39</v>
          </cell>
          <cell r="CL344">
            <v>0</v>
          </cell>
          <cell r="CM344">
            <v>0</v>
          </cell>
          <cell r="CN344">
            <v>12.666666666666666</v>
          </cell>
          <cell r="CO344">
            <v>13</v>
          </cell>
          <cell r="CP344">
            <v>39</v>
          </cell>
          <cell r="CQ344">
            <v>0</v>
          </cell>
          <cell r="CR344">
            <v>0</v>
          </cell>
          <cell r="CS344">
            <v>12.666666666666666</v>
          </cell>
          <cell r="CT344">
            <v>13</v>
          </cell>
          <cell r="CU344">
            <v>78</v>
          </cell>
          <cell r="CV344">
            <v>0</v>
          </cell>
          <cell r="CW344">
            <v>0</v>
          </cell>
          <cell r="CX344">
            <v>12.833333333333334</v>
          </cell>
          <cell r="CY344">
            <v>13</v>
          </cell>
          <cell r="CZ344">
            <v>78</v>
          </cell>
          <cell r="DA344">
            <v>0</v>
          </cell>
          <cell r="DB344">
            <v>0</v>
          </cell>
          <cell r="DC344">
            <v>12.833333333333334</v>
          </cell>
          <cell r="DD344">
            <v>13</v>
          </cell>
          <cell r="DE344">
            <v>72</v>
          </cell>
          <cell r="DF344">
            <v>0</v>
          </cell>
          <cell r="DG344">
            <v>0</v>
          </cell>
          <cell r="DH344">
            <v>12.833333333333334</v>
          </cell>
          <cell r="DI344">
            <v>13</v>
          </cell>
          <cell r="DJ344">
            <v>74</v>
          </cell>
          <cell r="DK344">
            <v>0</v>
          </cell>
          <cell r="DL344">
            <v>0</v>
          </cell>
          <cell r="DM344">
            <v>12.666666666666668</v>
          </cell>
          <cell r="DN344">
            <v>13</v>
          </cell>
          <cell r="DO344">
            <v>74</v>
          </cell>
          <cell r="DP344">
            <v>0</v>
          </cell>
          <cell r="DQ344">
            <v>0</v>
          </cell>
          <cell r="DR344">
            <v>12.833333333333334</v>
          </cell>
          <cell r="DS344">
            <v>12.833333333333334</v>
          </cell>
          <cell r="DT344">
            <v>73.000000000000014</v>
          </cell>
          <cell r="DU344">
            <v>0</v>
          </cell>
          <cell r="DV344">
            <v>0</v>
          </cell>
          <cell r="DW344">
            <v>12.666666666666668</v>
          </cell>
          <cell r="DX344">
            <v>12.666666666666668</v>
          </cell>
          <cell r="DY344">
            <v>72.000000000000014</v>
          </cell>
          <cell r="DZ344">
            <v>0</v>
          </cell>
          <cell r="EA344">
            <v>0</v>
          </cell>
          <cell r="EB344">
            <v>12.500000000000002</v>
          </cell>
          <cell r="EC344">
            <v>12.500000000000002</v>
          </cell>
          <cell r="ED344">
            <v>71.000000000000014</v>
          </cell>
          <cell r="EE344">
            <v>0</v>
          </cell>
          <cell r="EF344">
            <v>0</v>
          </cell>
          <cell r="EG344">
            <v>12.333333333333336</v>
          </cell>
          <cell r="EH344">
            <v>12.333333333333336</v>
          </cell>
          <cell r="EI344">
            <v>70.000000000000014</v>
          </cell>
          <cell r="EJ344">
            <v>0</v>
          </cell>
          <cell r="EK344">
            <v>0</v>
          </cell>
          <cell r="EL344">
            <v>12.16666666666667</v>
          </cell>
          <cell r="EM344">
            <v>12.16666666666667</v>
          </cell>
          <cell r="EN344">
            <v>69.000000000000028</v>
          </cell>
          <cell r="EO344">
            <v>0</v>
          </cell>
          <cell r="EP344">
            <v>0</v>
          </cell>
          <cell r="EQ344">
            <v>12.000000000000004</v>
          </cell>
          <cell r="ER344">
            <v>12.000000000000004</v>
          </cell>
          <cell r="ES344">
            <v>68.000000000000028</v>
          </cell>
          <cell r="ET344">
            <v>0</v>
          </cell>
          <cell r="EU344">
            <v>0</v>
          </cell>
          <cell r="EV344">
            <v>11.833333333333337</v>
          </cell>
          <cell r="EW344">
            <v>11.833333333333337</v>
          </cell>
          <cell r="EX344">
            <v>67.000000000000028</v>
          </cell>
          <cell r="EY344">
            <v>0</v>
          </cell>
          <cell r="EZ344">
            <v>0</v>
          </cell>
          <cell r="FA344">
            <v>11.666666666666671</v>
          </cell>
          <cell r="FB344">
            <v>11.666666666666671</v>
          </cell>
          <cell r="FC344">
            <v>66.000000000000028</v>
          </cell>
          <cell r="FD344">
            <v>0</v>
          </cell>
          <cell r="FE344">
            <v>0</v>
          </cell>
          <cell r="FF344">
            <v>11.500000000000005</v>
          </cell>
          <cell r="FG344">
            <v>11.500000000000005</v>
          </cell>
          <cell r="FH344">
            <v>65.000000000000028</v>
          </cell>
          <cell r="FI344">
            <v>0</v>
          </cell>
          <cell r="FJ344">
            <v>0</v>
          </cell>
          <cell r="FK344">
            <v>11.333333333333339</v>
          </cell>
          <cell r="FL344">
            <v>11.333333333333339</v>
          </cell>
          <cell r="FM344">
            <v>64.000000000000028</v>
          </cell>
          <cell r="FN344">
            <v>0</v>
          </cell>
          <cell r="FO344">
            <v>0</v>
          </cell>
          <cell r="FP344">
            <v>11.166666666666673</v>
          </cell>
          <cell r="FQ344">
            <v>11.166666666666673</v>
          </cell>
          <cell r="FR344">
            <v>63.000000000000043</v>
          </cell>
          <cell r="FS344">
            <v>0</v>
          </cell>
          <cell r="FT344">
            <v>1</v>
          </cell>
          <cell r="FU344">
            <v>2.0333333333333332</v>
          </cell>
          <cell r="FW344" t="str">
            <v>SIN ROTACIÓN</v>
          </cell>
          <cell r="FX344" t="str">
            <v>C</v>
          </cell>
          <cell r="FY344" t="str">
            <v>Si</v>
          </cell>
        </row>
        <row r="345">
          <cell r="B345" t="str">
            <v>REP-0362</v>
          </cell>
          <cell r="C345" t="str">
            <v>MIX</v>
          </cell>
          <cell r="D345">
            <v>0</v>
          </cell>
          <cell r="E345">
            <v>10</v>
          </cell>
          <cell r="F345">
            <v>0</v>
          </cell>
          <cell r="G345">
            <v>0</v>
          </cell>
          <cell r="H345">
            <v>3</v>
          </cell>
          <cell r="I345">
            <v>3</v>
          </cell>
          <cell r="J345">
            <v>0</v>
          </cell>
          <cell r="K345">
            <v>1</v>
          </cell>
          <cell r="L345">
            <v>0</v>
          </cell>
          <cell r="M345">
            <v>0</v>
          </cell>
          <cell r="N345">
            <v>1</v>
          </cell>
          <cell r="O345">
            <v>1</v>
          </cell>
          <cell r="P345">
            <v>0</v>
          </cell>
          <cell r="Q345">
            <v>0</v>
          </cell>
          <cell r="R345">
            <v>0</v>
          </cell>
          <cell r="S345">
            <v>1</v>
          </cell>
          <cell r="T345">
            <v>0</v>
          </cell>
          <cell r="U345">
            <v>1</v>
          </cell>
          <cell r="V345">
            <v>0</v>
          </cell>
          <cell r="W345">
            <v>1</v>
          </cell>
          <cell r="X345">
            <v>1</v>
          </cell>
          <cell r="Y345">
            <v>23</v>
          </cell>
          <cell r="AA345">
            <v>23</v>
          </cell>
          <cell r="AB345">
            <v>0</v>
          </cell>
          <cell r="AC345">
            <v>0.16666666666666666</v>
          </cell>
          <cell r="AD345">
            <v>5.5555555555555549E-3</v>
          </cell>
          <cell r="AE345">
            <v>8.3333333333333329E-2</v>
          </cell>
          <cell r="AF345">
            <v>0.16666666666666666</v>
          </cell>
          <cell r="AG345">
            <v>0.33333333333333331</v>
          </cell>
          <cell r="AH345">
            <v>0.66666666666666663</v>
          </cell>
          <cell r="AI345">
            <v>0.5</v>
          </cell>
          <cell r="AJ345">
            <v>0.5</v>
          </cell>
          <cell r="AK345">
            <v>0.66666666666666663</v>
          </cell>
          <cell r="AL345">
            <v>0.13608276348795437</v>
          </cell>
          <cell r="AM345">
            <v>0.5</v>
          </cell>
          <cell r="AN345">
            <v>0.27216552697590873</v>
          </cell>
          <cell r="AO345">
            <v>0</v>
          </cell>
          <cell r="AP345">
            <v>32.166666666666664</v>
          </cell>
          <cell r="AQ345">
            <v>48.500000000000007</v>
          </cell>
          <cell r="AR345">
            <v>0</v>
          </cell>
          <cell r="AS345">
            <v>32</v>
          </cell>
          <cell r="AT345">
            <v>34</v>
          </cell>
          <cell r="AU345">
            <v>68</v>
          </cell>
          <cell r="AV345">
            <v>0</v>
          </cell>
          <cell r="AW345">
            <v>33.5</v>
          </cell>
          <cell r="AX345">
            <v>34</v>
          </cell>
          <cell r="AY345">
            <v>51</v>
          </cell>
          <cell r="AZ345">
            <v>0</v>
          </cell>
          <cell r="BA345">
            <v>33.666666666666664</v>
          </cell>
          <cell r="BB345">
            <v>34</v>
          </cell>
          <cell r="BC345">
            <v>102</v>
          </cell>
          <cell r="BD345">
            <v>0</v>
          </cell>
          <cell r="BE345">
            <v>33.666666666666664</v>
          </cell>
          <cell r="BF345">
            <v>101</v>
          </cell>
          <cell r="BG345">
            <v>0</v>
          </cell>
          <cell r="BH345">
            <v>33.333333333333329</v>
          </cell>
          <cell r="BI345">
            <v>23</v>
          </cell>
          <cell r="BJ345">
            <v>34.5</v>
          </cell>
          <cell r="BK345">
            <v>0</v>
          </cell>
          <cell r="BL345">
            <v>29.666666666666668</v>
          </cell>
          <cell r="BM345">
            <v>31</v>
          </cell>
          <cell r="BN345">
            <v>62</v>
          </cell>
          <cell r="BO345">
            <v>0</v>
          </cell>
          <cell r="BP345">
            <v>30.5</v>
          </cell>
          <cell r="BQ345">
            <v>31</v>
          </cell>
          <cell r="BR345">
            <v>46.5</v>
          </cell>
          <cell r="BS345">
            <v>0</v>
          </cell>
          <cell r="BT345">
            <v>30.5</v>
          </cell>
          <cell r="BU345">
            <v>29</v>
          </cell>
          <cell r="BV345">
            <v>34.799999999999997</v>
          </cell>
          <cell r="BW345">
            <v>0</v>
          </cell>
          <cell r="BX345">
            <v>0</v>
          </cell>
          <cell r="BY345">
            <v>28.166666666666668</v>
          </cell>
          <cell r="BZ345">
            <v>27</v>
          </cell>
          <cell r="CA345">
            <v>32.4</v>
          </cell>
          <cell r="CB345">
            <v>0</v>
          </cell>
          <cell r="CC345">
            <v>0</v>
          </cell>
          <cell r="CD345">
            <v>26.166666666666668</v>
          </cell>
          <cell r="CE345">
            <v>25</v>
          </cell>
          <cell r="CF345">
            <v>30</v>
          </cell>
          <cell r="CG345">
            <v>0</v>
          </cell>
          <cell r="CH345">
            <v>0</v>
          </cell>
          <cell r="CI345">
            <v>25.333333333333336</v>
          </cell>
          <cell r="CJ345">
            <v>25</v>
          </cell>
          <cell r="CK345">
            <v>25</v>
          </cell>
          <cell r="CL345">
            <v>0</v>
          </cell>
          <cell r="CM345">
            <v>0</v>
          </cell>
          <cell r="CN345">
            <v>24</v>
          </cell>
          <cell r="CO345">
            <v>23</v>
          </cell>
          <cell r="CP345">
            <v>11.5</v>
          </cell>
          <cell r="CQ345">
            <v>0</v>
          </cell>
          <cell r="CR345">
            <v>0</v>
          </cell>
          <cell r="CS345">
            <v>21</v>
          </cell>
          <cell r="CT345">
            <v>20</v>
          </cell>
          <cell r="CU345">
            <v>13.333333333333334</v>
          </cell>
          <cell r="CV345">
            <v>0</v>
          </cell>
          <cell r="CW345">
            <v>0</v>
          </cell>
          <cell r="CX345">
            <v>18.5</v>
          </cell>
          <cell r="CY345">
            <v>21</v>
          </cell>
          <cell r="CZ345">
            <v>21</v>
          </cell>
          <cell r="DA345">
            <v>0</v>
          </cell>
          <cell r="DB345">
            <v>0</v>
          </cell>
          <cell r="DC345">
            <v>20.25</v>
          </cell>
          <cell r="DD345">
            <v>20</v>
          </cell>
          <cell r="DE345">
            <v>24</v>
          </cell>
          <cell r="DF345">
            <v>0</v>
          </cell>
          <cell r="DG345">
            <v>0</v>
          </cell>
          <cell r="DH345">
            <v>19.25</v>
          </cell>
          <cell r="DI345">
            <v>20</v>
          </cell>
          <cell r="DJ345">
            <v>29</v>
          </cell>
          <cell r="DK345">
            <v>0</v>
          </cell>
          <cell r="DL345">
            <v>0</v>
          </cell>
          <cell r="DM345">
            <v>18.583333333333332</v>
          </cell>
          <cell r="DN345">
            <v>23</v>
          </cell>
          <cell r="DO345">
            <v>33.5</v>
          </cell>
          <cell r="DP345">
            <v>0</v>
          </cell>
          <cell r="DQ345">
            <v>0</v>
          </cell>
          <cell r="DR345">
            <v>22.333333333333332</v>
          </cell>
          <cell r="DS345">
            <v>22.333333333333332</v>
          </cell>
          <cell r="DT345">
            <v>32.5</v>
          </cell>
          <cell r="DU345">
            <v>0</v>
          </cell>
          <cell r="DV345">
            <v>0</v>
          </cell>
          <cell r="DW345">
            <v>21.666666666666664</v>
          </cell>
          <cell r="DX345">
            <v>21.666666666666664</v>
          </cell>
          <cell r="DY345">
            <v>31.499999999999996</v>
          </cell>
          <cell r="DZ345">
            <v>0</v>
          </cell>
          <cell r="EA345">
            <v>0</v>
          </cell>
          <cell r="EB345">
            <v>20.999999999999996</v>
          </cell>
          <cell r="EC345">
            <v>20.999999999999996</v>
          </cell>
          <cell r="ED345">
            <v>30.499999999999996</v>
          </cell>
          <cell r="EE345">
            <v>0</v>
          </cell>
          <cell r="EF345">
            <v>0</v>
          </cell>
          <cell r="EG345">
            <v>20.333333333333329</v>
          </cell>
          <cell r="EH345">
            <v>20.333333333333329</v>
          </cell>
          <cell r="EI345">
            <v>29.499999999999993</v>
          </cell>
          <cell r="EJ345">
            <v>0</v>
          </cell>
          <cell r="EK345">
            <v>0</v>
          </cell>
          <cell r="EL345">
            <v>19.666666666666661</v>
          </cell>
          <cell r="EM345">
            <v>19.666666666666661</v>
          </cell>
          <cell r="EN345">
            <v>28.499999999999993</v>
          </cell>
          <cell r="EO345">
            <v>0</v>
          </cell>
          <cell r="EP345">
            <v>0</v>
          </cell>
          <cell r="EQ345">
            <v>18.999999999999993</v>
          </cell>
          <cell r="ER345">
            <v>18.999999999999993</v>
          </cell>
          <cell r="ES345">
            <v>27.499999999999989</v>
          </cell>
          <cell r="ET345">
            <v>0</v>
          </cell>
          <cell r="EU345">
            <v>0</v>
          </cell>
          <cell r="EV345">
            <v>18.333333333333325</v>
          </cell>
          <cell r="EW345">
            <v>18.333333333333325</v>
          </cell>
          <cell r="EX345">
            <v>26.499999999999989</v>
          </cell>
          <cell r="EY345">
            <v>0</v>
          </cell>
          <cell r="EZ345">
            <v>0</v>
          </cell>
          <cell r="FA345">
            <v>17.666666666666657</v>
          </cell>
          <cell r="FB345">
            <v>17.666666666666657</v>
          </cell>
          <cell r="FC345">
            <v>25.499999999999986</v>
          </cell>
          <cell r="FD345">
            <v>0</v>
          </cell>
          <cell r="FE345">
            <v>0</v>
          </cell>
          <cell r="FF345">
            <v>16.999999999999989</v>
          </cell>
          <cell r="FG345">
            <v>16.999999999999989</v>
          </cell>
          <cell r="FH345">
            <v>24.499999999999986</v>
          </cell>
          <cell r="FI345">
            <v>0</v>
          </cell>
          <cell r="FJ345">
            <v>0</v>
          </cell>
          <cell r="FK345">
            <v>16.333333333333321</v>
          </cell>
          <cell r="FL345">
            <v>16.333333333333321</v>
          </cell>
          <cell r="FM345">
            <v>23.499999999999982</v>
          </cell>
          <cell r="FN345">
            <v>0</v>
          </cell>
          <cell r="FO345">
            <v>0</v>
          </cell>
          <cell r="FP345">
            <v>15.666666666666655</v>
          </cell>
          <cell r="FQ345">
            <v>15.666666666666655</v>
          </cell>
          <cell r="FR345">
            <v>22.499999999999986</v>
          </cell>
          <cell r="FS345">
            <v>0</v>
          </cell>
          <cell r="FT345">
            <v>2</v>
          </cell>
          <cell r="FU345">
            <v>2.0333333333333332</v>
          </cell>
          <cell r="FV345" t="str">
            <v>SI</v>
          </cell>
          <cell r="FW345" t="str">
            <v>SOBRESTOCK</v>
          </cell>
          <cell r="FX345" t="str">
            <v>C</v>
          </cell>
          <cell r="FY345" t="str">
            <v>Si</v>
          </cell>
        </row>
        <row r="346">
          <cell r="B346" t="str">
            <v>REP-0363</v>
          </cell>
          <cell r="C346" t="str">
            <v>MIX</v>
          </cell>
          <cell r="D346">
            <v>0</v>
          </cell>
          <cell r="E346">
            <v>5</v>
          </cell>
          <cell r="F346">
            <v>0</v>
          </cell>
          <cell r="G346">
            <v>0</v>
          </cell>
          <cell r="H346">
            <v>4</v>
          </cell>
          <cell r="I346">
            <v>4</v>
          </cell>
          <cell r="J346">
            <v>0</v>
          </cell>
          <cell r="K346">
            <v>1</v>
          </cell>
          <cell r="L346">
            <v>0</v>
          </cell>
          <cell r="M346">
            <v>0</v>
          </cell>
          <cell r="N346">
            <v>1</v>
          </cell>
          <cell r="O346">
            <v>1</v>
          </cell>
          <cell r="P346">
            <v>0</v>
          </cell>
          <cell r="Q346">
            <v>0</v>
          </cell>
          <cell r="R346">
            <v>2</v>
          </cell>
          <cell r="S346">
            <v>1</v>
          </cell>
          <cell r="T346">
            <v>0</v>
          </cell>
          <cell r="U346">
            <v>1</v>
          </cell>
          <cell r="V346">
            <v>2</v>
          </cell>
          <cell r="W346">
            <v>1</v>
          </cell>
          <cell r="X346">
            <v>2</v>
          </cell>
          <cell r="Y346">
            <v>25</v>
          </cell>
          <cell r="AA346">
            <v>25</v>
          </cell>
          <cell r="AB346">
            <v>4</v>
          </cell>
          <cell r="AC346">
            <v>0.16666666666666666</v>
          </cell>
          <cell r="AD346">
            <v>5.5555555555555549E-3</v>
          </cell>
          <cell r="AE346">
            <v>0.33333333333333331</v>
          </cell>
          <cell r="AF346">
            <v>0.83333333333333337</v>
          </cell>
          <cell r="AG346">
            <v>0.5</v>
          </cell>
          <cell r="AH346">
            <v>0.33333333333333331</v>
          </cell>
          <cell r="AI346">
            <v>0.16666666666666666</v>
          </cell>
          <cell r="AJ346">
            <v>0.16666666666666666</v>
          </cell>
          <cell r="AK346">
            <v>0.5</v>
          </cell>
          <cell r="AL346">
            <v>0.15957118462605649</v>
          </cell>
          <cell r="AM346">
            <v>0.29166666666666663</v>
          </cell>
          <cell r="AN346">
            <v>0.54710120443219379</v>
          </cell>
          <cell r="AO346">
            <v>0</v>
          </cell>
          <cell r="AP346">
            <v>31.5</v>
          </cell>
          <cell r="AQ346">
            <v>37.4</v>
          </cell>
          <cell r="AR346">
            <v>0</v>
          </cell>
          <cell r="AS346">
            <v>30.333333333333336</v>
          </cell>
          <cell r="AT346">
            <v>33</v>
          </cell>
          <cell r="AU346">
            <v>49.5</v>
          </cell>
          <cell r="AV346">
            <v>0</v>
          </cell>
          <cell r="AW346">
            <v>32.333333333333336</v>
          </cell>
          <cell r="AX346">
            <v>32</v>
          </cell>
          <cell r="AY346">
            <v>64</v>
          </cell>
          <cell r="AZ346">
            <v>0</v>
          </cell>
          <cell r="BA346">
            <v>31.5</v>
          </cell>
          <cell r="BB346">
            <v>33</v>
          </cell>
          <cell r="BC346">
            <v>49.5</v>
          </cell>
          <cell r="BD346">
            <v>0</v>
          </cell>
          <cell r="BE346">
            <v>32.333333333333336</v>
          </cell>
          <cell r="BF346">
            <v>48.500000000000007</v>
          </cell>
          <cell r="BG346">
            <v>0</v>
          </cell>
          <cell r="BH346">
            <v>31.666666666666668</v>
          </cell>
          <cell r="BI346">
            <v>25</v>
          </cell>
          <cell r="BJ346">
            <v>50</v>
          </cell>
          <cell r="BK346">
            <v>0</v>
          </cell>
          <cell r="BL346">
            <v>29.5</v>
          </cell>
          <cell r="BM346">
            <v>31</v>
          </cell>
          <cell r="BN346">
            <v>62</v>
          </cell>
          <cell r="BO346">
            <v>0</v>
          </cell>
          <cell r="BP346">
            <v>30.5</v>
          </cell>
          <cell r="BQ346">
            <v>32</v>
          </cell>
          <cell r="BR346">
            <v>64</v>
          </cell>
          <cell r="BS346">
            <v>0</v>
          </cell>
          <cell r="BT346">
            <v>31.5</v>
          </cell>
          <cell r="BU346">
            <v>31</v>
          </cell>
          <cell r="BV346">
            <v>62</v>
          </cell>
          <cell r="BW346">
            <v>0</v>
          </cell>
          <cell r="BX346">
            <v>0</v>
          </cell>
          <cell r="BY346">
            <v>30.5</v>
          </cell>
          <cell r="BZ346">
            <v>29</v>
          </cell>
          <cell r="CA346">
            <v>58</v>
          </cell>
          <cell r="CB346">
            <v>0</v>
          </cell>
          <cell r="CC346">
            <v>0</v>
          </cell>
          <cell r="CD346">
            <v>28.5</v>
          </cell>
          <cell r="CE346">
            <v>27</v>
          </cell>
          <cell r="CF346">
            <v>54</v>
          </cell>
          <cell r="CG346">
            <v>0</v>
          </cell>
          <cell r="CH346">
            <v>0</v>
          </cell>
          <cell r="CI346">
            <v>28</v>
          </cell>
          <cell r="CJ346">
            <v>28</v>
          </cell>
          <cell r="CK346">
            <v>56</v>
          </cell>
          <cell r="CL346">
            <v>0</v>
          </cell>
          <cell r="CM346">
            <v>0</v>
          </cell>
          <cell r="CN346">
            <v>27.5</v>
          </cell>
          <cell r="CO346">
            <v>26</v>
          </cell>
          <cell r="CP346">
            <v>52</v>
          </cell>
          <cell r="CQ346">
            <v>0</v>
          </cell>
          <cell r="CR346">
            <v>0</v>
          </cell>
          <cell r="CS346">
            <v>25.5</v>
          </cell>
          <cell r="CT346">
            <v>23</v>
          </cell>
          <cell r="CU346">
            <v>46</v>
          </cell>
          <cell r="CV346">
            <v>0</v>
          </cell>
          <cell r="CW346">
            <v>0</v>
          </cell>
          <cell r="CX346">
            <v>22.5</v>
          </cell>
          <cell r="CY346">
            <v>21</v>
          </cell>
          <cell r="CZ346">
            <v>42</v>
          </cell>
          <cell r="DA346">
            <v>0</v>
          </cell>
          <cell r="DB346">
            <v>0</v>
          </cell>
          <cell r="DC346">
            <v>20.5</v>
          </cell>
          <cell r="DD346">
            <v>20</v>
          </cell>
          <cell r="DE346">
            <v>36</v>
          </cell>
          <cell r="DF346">
            <v>0</v>
          </cell>
          <cell r="DG346">
            <v>0</v>
          </cell>
          <cell r="DH346">
            <v>19.5</v>
          </cell>
          <cell r="DI346">
            <v>20</v>
          </cell>
          <cell r="DJ346">
            <v>38</v>
          </cell>
          <cell r="DK346">
            <v>0</v>
          </cell>
          <cell r="DL346">
            <v>0</v>
          </cell>
          <cell r="DM346">
            <v>19</v>
          </cell>
          <cell r="DN346">
            <v>25</v>
          </cell>
          <cell r="DO346">
            <v>48</v>
          </cell>
          <cell r="DP346">
            <v>0</v>
          </cell>
          <cell r="DQ346">
            <v>0</v>
          </cell>
          <cell r="DR346">
            <v>24.5</v>
          </cell>
          <cell r="DS346">
            <v>24.5</v>
          </cell>
          <cell r="DT346">
            <v>47</v>
          </cell>
          <cell r="DU346">
            <v>0</v>
          </cell>
          <cell r="DV346">
            <v>0</v>
          </cell>
          <cell r="DW346">
            <v>24</v>
          </cell>
          <cell r="DX346">
            <v>24</v>
          </cell>
          <cell r="DY346">
            <v>46</v>
          </cell>
          <cell r="DZ346">
            <v>0</v>
          </cell>
          <cell r="EA346">
            <v>0</v>
          </cell>
          <cell r="EB346">
            <v>23.5</v>
          </cell>
          <cell r="EC346">
            <v>23.5</v>
          </cell>
          <cell r="ED346">
            <v>45</v>
          </cell>
          <cell r="EE346">
            <v>0</v>
          </cell>
          <cell r="EF346">
            <v>0</v>
          </cell>
          <cell r="EG346">
            <v>23</v>
          </cell>
          <cell r="EH346">
            <v>23</v>
          </cell>
          <cell r="EI346">
            <v>44</v>
          </cell>
          <cell r="EJ346">
            <v>0</v>
          </cell>
          <cell r="EK346">
            <v>0</v>
          </cell>
          <cell r="EL346">
            <v>22.5</v>
          </cell>
          <cell r="EM346">
            <v>22.5</v>
          </cell>
          <cell r="EN346">
            <v>43</v>
          </cell>
          <cell r="EO346">
            <v>0</v>
          </cell>
          <cell r="EP346">
            <v>0</v>
          </cell>
          <cell r="EQ346">
            <v>22</v>
          </cell>
          <cell r="ER346">
            <v>22</v>
          </cell>
          <cell r="ES346">
            <v>42</v>
          </cell>
          <cell r="ET346">
            <v>0</v>
          </cell>
          <cell r="EU346">
            <v>0</v>
          </cell>
          <cell r="EV346">
            <v>21.5</v>
          </cell>
          <cell r="EW346">
            <v>21.5</v>
          </cell>
          <cell r="EX346">
            <v>41</v>
          </cell>
          <cell r="EY346">
            <v>0</v>
          </cell>
          <cell r="EZ346">
            <v>0</v>
          </cell>
          <cell r="FA346">
            <v>21</v>
          </cell>
          <cell r="FB346">
            <v>21</v>
          </cell>
          <cell r="FC346">
            <v>40</v>
          </cell>
          <cell r="FD346">
            <v>0</v>
          </cell>
          <cell r="FE346">
            <v>0</v>
          </cell>
          <cell r="FF346">
            <v>20.5</v>
          </cell>
          <cell r="FG346">
            <v>20.5</v>
          </cell>
          <cell r="FH346">
            <v>39</v>
          </cell>
          <cell r="FI346">
            <v>0</v>
          </cell>
          <cell r="FJ346">
            <v>0</v>
          </cell>
          <cell r="FK346">
            <v>20</v>
          </cell>
          <cell r="FL346">
            <v>20</v>
          </cell>
          <cell r="FM346">
            <v>38</v>
          </cell>
          <cell r="FN346">
            <v>0</v>
          </cell>
          <cell r="FO346">
            <v>0</v>
          </cell>
          <cell r="FP346">
            <v>19.5</v>
          </cell>
          <cell r="FQ346">
            <v>19.5</v>
          </cell>
          <cell r="FR346">
            <v>37</v>
          </cell>
          <cell r="FS346">
            <v>0</v>
          </cell>
          <cell r="FT346">
            <v>2</v>
          </cell>
          <cell r="FU346">
            <v>2.0333333333333332</v>
          </cell>
          <cell r="FW346" t="str">
            <v>SOBRESTOCK</v>
          </cell>
          <cell r="FX346" t="str">
            <v>C</v>
          </cell>
          <cell r="FY346" t="str">
            <v>Si</v>
          </cell>
        </row>
        <row r="347">
          <cell r="B347" t="str">
            <v>REP-0364</v>
          </cell>
          <cell r="C347" t="str">
            <v>MIX</v>
          </cell>
          <cell r="D347">
            <v>0</v>
          </cell>
          <cell r="E347">
            <v>4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4</v>
          </cell>
          <cell r="AA347">
            <v>4</v>
          </cell>
          <cell r="AB347">
            <v>0</v>
          </cell>
          <cell r="AC347">
            <v>0.16666666666666666</v>
          </cell>
          <cell r="AD347">
            <v>5.5555555555555549E-3</v>
          </cell>
          <cell r="AE347">
            <v>8.3333333333333329E-2</v>
          </cell>
          <cell r="AF347">
            <v>0</v>
          </cell>
          <cell r="AG347">
            <v>8.3333333333333329E-2</v>
          </cell>
          <cell r="AH347">
            <v>0.16666666666666666</v>
          </cell>
          <cell r="AI347">
            <v>0.5</v>
          </cell>
          <cell r="AJ347">
            <v>0.5</v>
          </cell>
          <cell r="AK347">
            <v>0.5</v>
          </cell>
          <cell r="AL347">
            <v>0.2191629699730486</v>
          </cell>
          <cell r="AM347">
            <v>0.3125</v>
          </cell>
          <cell r="AN347">
            <v>0.70132150391375547</v>
          </cell>
          <cell r="AO347">
            <v>0</v>
          </cell>
          <cell r="AP347">
            <v>5.833333333333333</v>
          </cell>
          <cell r="AQ347">
            <v>35</v>
          </cell>
          <cell r="AR347">
            <v>0</v>
          </cell>
          <cell r="AS347">
            <v>5.6666666666666661</v>
          </cell>
          <cell r="AT347">
            <v>6</v>
          </cell>
          <cell r="AU347">
            <v>36</v>
          </cell>
          <cell r="AV347">
            <v>0</v>
          </cell>
          <cell r="AW347">
            <v>5.833333333333333</v>
          </cell>
          <cell r="AX347">
            <v>6</v>
          </cell>
          <cell r="AY347">
            <v>12</v>
          </cell>
          <cell r="AZ347">
            <v>0</v>
          </cell>
          <cell r="BA347">
            <v>5.916666666666667</v>
          </cell>
          <cell r="BB347">
            <v>6</v>
          </cell>
          <cell r="BC347">
            <v>72</v>
          </cell>
          <cell r="BD347">
            <v>0</v>
          </cell>
          <cell r="BE347">
            <v>5.916666666666667</v>
          </cell>
          <cell r="BF347">
            <v>71.000000000000014</v>
          </cell>
          <cell r="BG347">
            <v>0</v>
          </cell>
          <cell r="BH347">
            <v>5.8333333333333339</v>
          </cell>
          <cell r="BI347">
            <v>4</v>
          </cell>
          <cell r="BJ347">
            <v>8</v>
          </cell>
          <cell r="BK347">
            <v>0</v>
          </cell>
          <cell r="BL347">
            <v>5.916666666666667</v>
          </cell>
          <cell r="BM347">
            <v>6</v>
          </cell>
          <cell r="BN347">
            <v>72</v>
          </cell>
          <cell r="BO347">
            <v>0</v>
          </cell>
          <cell r="BP347">
            <v>5.916666666666667</v>
          </cell>
          <cell r="BQ347">
            <v>6</v>
          </cell>
          <cell r="BR347">
            <v>12</v>
          </cell>
          <cell r="BS347">
            <v>0</v>
          </cell>
          <cell r="BT347">
            <v>5.916666666666667</v>
          </cell>
          <cell r="BU347">
            <v>5</v>
          </cell>
          <cell r="BV347">
            <v>30</v>
          </cell>
          <cell r="BW347">
            <v>0</v>
          </cell>
          <cell r="BX347">
            <v>0</v>
          </cell>
          <cell r="BY347">
            <v>4.833333333333333</v>
          </cell>
          <cell r="BZ347">
            <v>5</v>
          </cell>
          <cell r="CA347">
            <v>30</v>
          </cell>
          <cell r="CB347">
            <v>0</v>
          </cell>
          <cell r="CC347">
            <v>0</v>
          </cell>
          <cell r="CD347">
            <v>4.833333333333333</v>
          </cell>
          <cell r="CE347">
            <v>5</v>
          </cell>
          <cell r="CF347">
            <v>30</v>
          </cell>
          <cell r="CG347">
            <v>0</v>
          </cell>
          <cell r="CH347">
            <v>0</v>
          </cell>
          <cell r="CI347">
            <v>4.6666666666666661</v>
          </cell>
          <cell r="CJ347">
            <v>4</v>
          </cell>
          <cell r="CK347">
            <v>12</v>
          </cell>
          <cell r="CL347">
            <v>0</v>
          </cell>
          <cell r="CM347">
            <v>0</v>
          </cell>
          <cell r="CN347">
            <v>3.6666666666666665</v>
          </cell>
          <cell r="CO347">
            <v>4</v>
          </cell>
          <cell r="CP347">
            <v>12</v>
          </cell>
          <cell r="CQ347">
            <v>0</v>
          </cell>
          <cell r="CR347">
            <v>0</v>
          </cell>
          <cell r="CS347">
            <v>3.6666666666666665</v>
          </cell>
          <cell r="CT347">
            <v>2</v>
          </cell>
          <cell r="CU347">
            <v>4</v>
          </cell>
          <cell r="CV347">
            <v>0</v>
          </cell>
          <cell r="CW347">
            <v>0</v>
          </cell>
          <cell r="CX347">
            <v>1.5</v>
          </cell>
          <cell r="CY347">
            <v>2</v>
          </cell>
          <cell r="CZ347">
            <v>6</v>
          </cell>
          <cell r="DA347">
            <v>0</v>
          </cell>
          <cell r="DB347">
            <v>0</v>
          </cell>
          <cell r="DC347">
            <v>1.75</v>
          </cell>
          <cell r="DD347">
            <v>0</v>
          </cell>
          <cell r="DE347">
            <v>-2.6666666666666665</v>
          </cell>
          <cell r="DF347">
            <v>0.25</v>
          </cell>
          <cell r="DG347">
            <v>0</v>
          </cell>
          <cell r="DH347">
            <v>-0.75</v>
          </cell>
          <cell r="DI347">
            <v>0</v>
          </cell>
          <cell r="DJ347">
            <v>-1.3333333333333335</v>
          </cell>
          <cell r="DK347">
            <v>2.75</v>
          </cell>
          <cell r="DL347">
            <v>0</v>
          </cell>
          <cell r="DM347">
            <v>1.4</v>
          </cell>
          <cell r="DN347">
            <v>4</v>
          </cell>
          <cell r="DO347">
            <v>6</v>
          </cell>
          <cell r="DP347">
            <v>0</v>
          </cell>
          <cell r="DQ347">
            <v>0</v>
          </cell>
          <cell r="DR347">
            <v>3.5</v>
          </cell>
          <cell r="DS347">
            <v>3.5</v>
          </cell>
          <cell r="DT347">
            <v>5</v>
          </cell>
          <cell r="DU347">
            <v>0</v>
          </cell>
          <cell r="DV347">
            <v>2</v>
          </cell>
          <cell r="DW347">
            <v>5</v>
          </cell>
          <cell r="DX347">
            <v>5</v>
          </cell>
          <cell r="DY347">
            <v>8</v>
          </cell>
          <cell r="DZ347">
            <v>0</v>
          </cell>
          <cell r="EA347">
            <v>0</v>
          </cell>
          <cell r="EB347">
            <v>4.5</v>
          </cell>
          <cell r="EC347">
            <v>4.5</v>
          </cell>
          <cell r="ED347">
            <v>7</v>
          </cell>
          <cell r="EE347">
            <v>0</v>
          </cell>
          <cell r="EF347">
            <v>0</v>
          </cell>
          <cell r="EG347">
            <v>4</v>
          </cell>
          <cell r="EH347">
            <v>4</v>
          </cell>
          <cell r="EI347">
            <v>6</v>
          </cell>
          <cell r="EJ347">
            <v>0</v>
          </cell>
          <cell r="EK347">
            <v>4</v>
          </cell>
          <cell r="EL347">
            <v>7.5</v>
          </cell>
          <cell r="EM347">
            <v>7.5</v>
          </cell>
          <cell r="EN347">
            <v>13</v>
          </cell>
          <cell r="EO347">
            <v>0</v>
          </cell>
          <cell r="EP347">
            <v>0</v>
          </cell>
          <cell r="EQ347">
            <v>7</v>
          </cell>
          <cell r="ER347">
            <v>7</v>
          </cell>
          <cell r="ES347">
            <v>12</v>
          </cell>
          <cell r="ET347">
            <v>0</v>
          </cell>
          <cell r="EU347">
            <v>0</v>
          </cell>
          <cell r="EV347">
            <v>6.5</v>
          </cell>
          <cell r="EW347">
            <v>6.5</v>
          </cell>
          <cell r="EX347">
            <v>11</v>
          </cell>
          <cell r="EY347">
            <v>0</v>
          </cell>
          <cell r="EZ347">
            <v>0</v>
          </cell>
          <cell r="FA347">
            <v>6</v>
          </cell>
          <cell r="FB347">
            <v>6</v>
          </cell>
          <cell r="FC347">
            <v>10</v>
          </cell>
          <cell r="FD347">
            <v>0</v>
          </cell>
          <cell r="FE347">
            <v>0</v>
          </cell>
          <cell r="FF347">
            <v>5.5</v>
          </cell>
          <cell r="FG347">
            <v>5.5</v>
          </cell>
          <cell r="FH347">
            <v>9</v>
          </cell>
          <cell r="FI347">
            <v>0</v>
          </cell>
          <cell r="FJ347">
            <v>0</v>
          </cell>
          <cell r="FK347">
            <v>5</v>
          </cell>
          <cell r="FL347">
            <v>5</v>
          </cell>
          <cell r="FM347">
            <v>8</v>
          </cell>
          <cell r="FN347">
            <v>0</v>
          </cell>
          <cell r="FO347">
            <v>0</v>
          </cell>
          <cell r="FP347">
            <v>4.5</v>
          </cell>
          <cell r="FQ347">
            <v>4.5</v>
          </cell>
          <cell r="FR347">
            <v>7</v>
          </cell>
          <cell r="FS347">
            <v>0</v>
          </cell>
          <cell r="FT347">
            <v>2</v>
          </cell>
          <cell r="FU347">
            <v>2.0333333333333332</v>
          </cell>
          <cell r="FW347" t="str">
            <v>SOBRESTOCK</v>
          </cell>
          <cell r="FX347" t="str">
            <v>C</v>
          </cell>
          <cell r="FY347" t="str">
            <v>Si</v>
          </cell>
        </row>
        <row r="348">
          <cell r="B348" t="str">
            <v>REP-0365</v>
          </cell>
          <cell r="C348" t="str">
            <v>NAC</v>
          </cell>
          <cell r="D348">
            <v>0</v>
          </cell>
          <cell r="E348">
            <v>1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1</v>
          </cell>
          <cell r="O348">
            <v>1</v>
          </cell>
          <cell r="P348">
            <v>0</v>
          </cell>
          <cell r="Q348">
            <v>1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4</v>
          </cell>
          <cell r="AA348">
            <v>4</v>
          </cell>
          <cell r="AB348">
            <v>0</v>
          </cell>
          <cell r="AC348">
            <v>0.33333333333333331</v>
          </cell>
          <cell r="AD348">
            <v>1.111111111111111E-2</v>
          </cell>
          <cell r="AE348">
            <v>0.75</v>
          </cell>
          <cell r="AF348">
            <v>0.33333333333333331</v>
          </cell>
          <cell r="AG348">
            <v>0.25</v>
          </cell>
          <cell r="AH348">
            <v>8.3333333333333329E-2</v>
          </cell>
          <cell r="AI348">
            <v>0</v>
          </cell>
          <cell r="AJ348">
            <v>0</v>
          </cell>
          <cell r="AK348">
            <v>0.25</v>
          </cell>
          <cell r="AL348">
            <v>0.11785113019775792</v>
          </cell>
          <cell r="AM348">
            <v>8.3333333333333329E-2</v>
          </cell>
          <cell r="AN348">
            <v>1.4142135623730951</v>
          </cell>
          <cell r="AO348">
            <v>0</v>
          </cell>
          <cell r="AP348">
            <v>5.75</v>
          </cell>
          <cell r="AQ348">
            <v>11</v>
          </cell>
          <cell r="AR348">
            <v>0</v>
          </cell>
          <cell r="AS348">
            <v>5.3333333333333339</v>
          </cell>
          <cell r="AT348">
            <v>6</v>
          </cell>
          <cell r="AU348">
            <v>18</v>
          </cell>
          <cell r="AV348">
            <v>0</v>
          </cell>
          <cell r="AW348">
            <v>5.666666666666667</v>
          </cell>
          <cell r="AX348">
            <v>6</v>
          </cell>
          <cell r="AY348">
            <v>24</v>
          </cell>
          <cell r="AZ348">
            <v>0</v>
          </cell>
          <cell r="BA348">
            <v>5.75</v>
          </cell>
          <cell r="BB348">
            <v>6</v>
          </cell>
          <cell r="BC348">
            <v>24</v>
          </cell>
          <cell r="BD348">
            <v>0</v>
          </cell>
          <cell r="BE348">
            <v>5.75</v>
          </cell>
          <cell r="BF348">
            <v>23</v>
          </cell>
          <cell r="BG348">
            <v>0</v>
          </cell>
          <cell r="BH348">
            <v>5.5</v>
          </cell>
          <cell r="BI348">
            <v>4</v>
          </cell>
          <cell r="BJ348">
            <v>16</v>
          </cell>
          <cell r="BK348">
            <v>0</v>
          </cell>
          <cell r="BL348">
            <v>5.75</v>
          </cell>
          <cell r="BM348">
            <v>6</v>
          </cell>
          <cell r="BN348">
            <v>24</v>
          </cell>
          <cell r="BO348">
            <v>0</v>
          </cell>
          <cell r="BP348">
            <v>5.75</v>
          </cell>
          <cell r="BQ348">
            <v>6</v>
          </cell>
          <cell r="BR348">
            <v>24</v>
          </cell>
          <cell r="BS348">
            <v>0</v>
          </cell>
          <cell r="BT348">
            <v>5.75</v>
          </cell>
          <cell r="BU348">
            <v>6</v>
          </cell>
          <cell r="BV348">
            <v>24</v>
          </cell>
          <cell r="BW348">
            <v>0</v>
          </cell>
          <cell r="BX348">
            <v>0</v>
          </cell>
          <cell r="BY348">
            <v>5.75</v>
          </cell>
          <cell r="BZ348">
            <v>6</v>
          </cell>
          <cell r="CA348">
            <v>24</v>
          </cell>
          <cell r="CB348">
            <v>0</v>
          </cell>
          <cell r="CC348">
            <v>0</v>
          </cell>
          <cell r="CD348">
            <v>5.75</v>
          </cell>
          <cell r="CE348">
            <v>6</v>
          </cell>
          <cell r="CF348">
            <v>24</v>
          </cell>
          <cell r="CG348">
            <v>0</v>
          </cell>
          <cell r="CH348">
            <v>0</v>
          </cell>
          <cell r="CI348">
            <v>5.5</v>
          </cell>
          <cell r="CJ348">
            <v>5</v>
          </cell>
          <cell r="CK348">
            <v>20</v>
          </cell>
          <cell r="CL348">
            <v>0</v>
          </cell>
          <cell r="CM348">
            <v>0</v>
          </cell>
          <cell r="CN348">
            <v>4.75</v>
          </cell>
          <cell r="CO348">
            <v>4</v>
          </cell>
          <cell r="CP348">
            <v>16</v>
          </cell>
          <cell r="CQ348">
            <v>0</v>
          </cell>
          <cell r="CR348">
            <v>0</v>
          </cell>
          <cell r="CS348">
            <v>3.75</v>
          </cell>
          <cell r="CT348">
            <v>4</v>
          </cell>
          <cell r="CU348">
            <v>16</v>
          </cell>
          <cell r="CV348">
            <v>0</v>
          </cell>
          <cell r="CW348">
            <v>0</v>
          </cell>
          <cell r="CX348">
            <v>3.75</v>
          </cell>
          <cell r="CY348">
            <v>4</v>
          </cell>
          <cell r="CZ348">
            <v>16</v>
          </cell>
          <cell r="DA348">
            <v>0</v>
          </cell>
          <cell r="DB348">
            <v>0</v>
          </cell>
          <cell r="DC348">
            <v>3.75</v>
          </cell>
          <cell r="DD348">
            <v>4</v>
          </cell>
          <cell r="DE348">
            <v>12</v>
          </cell>
          <cell r="DF348">
            <v>0</v>
          </cell>
          <cell r="DG348">
            <v>0</v>
          </cell>
          <cell r="DH348">
            <v>3.75</v>
          </cell>
          <cell r="DI348">
            <v>4</v>
          </cell>
          <cell r="DJ348">
            <v>14</v>
          </cell>
          <cell r="DK348">
            <v>0</v>
          </cell>
          <cell r="DL348">
            <v>0</v>
          </cell>
          <cell r="DM348">
            <v>3.5</v>
          </cell>
          <cell r="DN348">
            <v>4</v>
          </cell>
          <cell r="DO348">
            <v>14</v>
          </cell>
          <cell r="DP348">
            <v>0</v>
          </cell>
          <cell r="DQ348">
            <v>0</v>
          </cell>
          <cell r="DR348">
            <v>3.75</v>
          </cell>
          <cell r="DS348">
            <v>3.75</v>
          </cell>
          <cell r="DT348">
            <v>13</v>
          </cell>
          <cell r="DU348">
            <v>0</v>
          </cell>
          <cell r="DV348">
            <v>0</v>
          </cell>
          <cell r="DW348">
            <v>3.5</v>
          </cell>
          <cell r="DX348">
            <v>3.5</v>
          </cell>
          <cell r="DY348">
            <v>12</v>
          </cell>
          <cell r="DZ348">
            <v>0</v>
          </cell>
          <cell r="EA348">
            <v>0</v>
          </cell>
          <cell r="EB348">
            <v>3.25</v>
          </cell>
          <cell r="EC348">
            <v>3.25</v>
          </cell>
          <cell r="ED348">
            <v>11</v>
          </cell>
          <cell r="EE348">
            <v>0</v>
          </cell>
          <cell r="EF348">
            <v>0</v>
          </cell>
          <cell r="EG348">
            <v>3</v>
          </cell>
          <cell r="EH348">
            <v>3</v>
          </cell>
          <cell r="EI348">
            <v>10</v>
          </cell>
          <cell r="EJ348">
            <v>0</v>
          </cell>
          <cell r="EK348">
            <v>0</v>
          </cell>
          <cell r="EL348">
            <v>2.75</v>
          </cell>
          <cell r="EM348">
            <v>2.75</v>
          </cell>
          <cell r="EN348">
            <v>9</v>
          </cell>
          <cell r="EO348">
            <v>0</v>
          </cell>
          <cell r="EP348">
            <v>0</v>
          </cell>
          <cell r="EQ348">
            <v>2.5</v>
          </cell>
          <cell r="ER348">
            <v>2.5</v>
          </cell>
          <cell r="ES348">
            <v>8</v>
          </cell>
          <cell r="ET348">
            <v>0</v>
          </cell>
          <cell r="EU348">
            <v>0</v>
          </cell>
          <cell r="EV348">
            <v>2.25</v>
          </cell>
          <cell r="EW348">
            <v>2.25</v>
          </cell>
          <cell r="EX348">
            <v>7</v>
          </cell>
          <cell r="EY348">
            <v>0</v>
          </cell>
          <cell r="EZ348">
            <v>0</v>
          </cell>
          <cell r="FA348">
            <v>2</v>
          </cell>
          <cell r="FB348">
            <v>2</v>
          </cell>
          <cell r="FC348">
            <v>6</v>
          </cell>
          <cell r="FD348">
            <v>0</v>
          </cell>
          <cell r="FE348">
            <v>0</v>
          </cell>
          <cell r="FF348">
            <v>1.75</v>
          </cell>
          <cell r="FG348">
            <v>1.75</v>
          </cell>
          <cell r="FH348">
            <v>5</v>
          </cell>
          <cell r="FI348">
            <v>0</v>
          </cell>
          <cell r="FJ348">
            <v>0</v>
          </cell>
          <cell r="FK348">
            <v>1.5</v>
          </cell>
          <cell r="FL348">
            <v>1.5</v>
          </cell>
          <cell r="FM348">
            <v>4</v>
          </cell>
          <cell r="FN348">
            <v>0</v>
          </cell>
          <cell r="FO348">
            <v>0</v>
          </cell>
          <cell r="FP348">
            <v>1.25</v>
          </cell>
          <cell r="FQ348">
            <v>1.25</v>
          </cell>
          <cell r="FR348">
            <v>3</v>
          </cell>
          <cell r="FS348">
            <v>0</v>
          </cell>
          <cell r="FT348">
            <v>1</v>
          </cell>
          <cell r="FU348">
            <v>1.0333333333333334</v>
          </cell>
          <cell r="FW348" t="str">
            <v>SIN ROTACIÓN</v>
          </cell>
          <cell r="FX348" t="str">
            <v>C</v>
          </cell>
          <cell r="FY348" t="str">
            <v>Si</v>
          </cell>
        </row>
        <row r="349">
          <cell r="B349" t="str">
            <v>REP-0366</v>
          </cell>
          <cell r="C349" t="str">
            <v>NAC</v>
          </cell>
          <cell r="D349">
            <v>0</v>
          </cell>
          <cell r="E349">
            <v>36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6</v>
          </cell>
          <cell r="L349">
            <v>0</v>
          </cell>
          <cell r="M349">
            <v>0</v>
          </cell>
          <cell r="N349">
            <v>1</v>
          </cell>
          <cell r="O349">
            <v>1</v>
          </cell>
          <cell r="P349">
            <v>0</v>
          </cell>
          <cell r="Q349">
            <v>3</v>
          </cell>
          <cell r="R349">
            <v>0</v>
          </cell>
          <cell r="S349">
            <v>2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3</v>
          </cell>
          <cell r="Y349">
            <v>56</v>
          </cell>
          <cell r="AA349">
            <v>56</v>
          </cell>
          <cell r="AB349">
            <v>0</v>
          </cell>
          <cell r="AC349">
            <v>0.33333333333333331</v>
          </cell>
          <cell r="AD349">
            <v>1.111111111111111E-2</v>
          </cell>
          <cell r="AE349">
            <v>0.16666666666666666</v>
          </cell>
          <cell r="AF349">
            <v>0.25</v>
          </cell>
          <cell r="AG349">
            <v>0.33333333333333331</v>
          </cell>
          <cell r="AH349">
            <v>1.4166666666666667</v>
          </cell>
          <cell r="AI349">
            <v>1</v>
          </cell>
          <cell r="AJ349">
            <v>1</v>
          </cell>
          <cell r="AK349">
            <v>1.4166666666666667</v>
          </cell>
          <cell r="AL349">
            <v>0.4481184945806021</v>
          </cell>
          <cell r="AM349">
            <v>0.9375</v>
          </cell>
          <cell r="AN349">
            <v>0.4779930608859756</v>
          </cell>
          <cell r="AO349">
            <v>0</v>
          </cell>
          <cell r="AP349">
            <v>81.166666666666671</v>
          </cell>
          <cell r="AQ349">
            <v>122</v>
          </cell>
          <cell r="AR349">
            <v>0</v>
          </cell>
          <cell r="AS349">
            <v>81</v>
          </cell>
          <cell r="AT349">
            <v>82</v>
          </cell>
          <cell r="AU349">
            <v>164</v>
          </cell>
          <cell r="AV349">
            <v>0</v>
          </cell>
          <cell r="AW349">
            <v>81.5</v>
          </cell>
          <cell r="AX349">
            <v>80</v>
          </cell>
          <cell r="AY349">
            <v>56.470588235294116</v>
          </cell>
          <cell r="AZ349">
            <v>0</v>
          </cell>
          <cell r="BA349">
            <v>79.5</v>
          </cell>
          <cell r="BB349">
            <v>77</v>
          </cell>
          <cell r="BC349">
            <v>46.199999999999996</v>
          </cell>
          <cell r="BD349">
            <v>0</v>
          </cell>
          <cell r="BE349">
            <v>75.333333333333329</v>
          </cell>
          <cell r="BF349">
            <v>45.199999999999996</v>
          </cell>
          <cell r="BG349">
            <v>0</v>
          </cell>
          <cell r="BH349">
            <v>73.666666666666657</v>
          </cell>
          <cell r="BI349">
            <v>56</v>
          </cell>
          <cell r="BJ349">
            <v>39.529411764705877</v>
          </cell>
          <cell r="BK349">
            <v>0</v>
          </cell>
          <cell r="BL349">
            <v>73</v>
          </cell>
          <cell r="BM349">
            <v>76</v>
          </cell>
          <cell r="BN349">
            <v>76</v>
          </cell>
          <cell r="BO349">
            <v>0</v>
          </cell>
          <cell r="BP349">
            <v>75</v>
          </cell>
          <cell r="BQ349">
            <v>76</v>
          </cell>
          <cell r="BR349">
            <v>53.647058823529406</v>
          </cell>
          <cell r="BS349">
            <v>0</v>
          </cell>
          <cell r="BT349">
            <v>75</v>
          </cell>
          <cell r="BU349">
            <v>75</v>
          </cell>
          <cell r="BV349">
            <v>90</v>
          </cell>
          <cell r="BW349">
            <v>0</v>
          </cell>
          <cell r="BX349">
            <v>0</v>
          </cell>
          <cell r="BY349">
            <v>74.166666666666671</v>
          </cell>
          <cell r="BZ349">
            <v>73</v>
          </cell>
          <cell r="CA349">
            <v>81.111111111111114</v>
          </cell>
          <cell r="CB349">
            <v>0</v>
          </cell>
          <cell r="CC349">
            <v>0</v>
          </cell>
          <cell r="CD349">
            <v>72.099999999999994</v>
          </cell>
          <cell r="CE349">
            <v>66</v>
          </cell>
          <cell r="CF349">
            <v>39.6</v>
          </cell>
          <cell r="CG349">
            <v>0</v>
          </cell>
          <cell r="CH349">
            <v>0</v>
          </cell>
          <cell r="CI349">
            <v>70.433333333333323</v>
          </cell>
          <cell r="CJ349">
            <v>66</v>
          </cell>
          <cell r="CK349">
            <v>36</v>
          </cell>
          <cell r="CL349">
            <v>0</v>
          </cell>
          <cell r="CM349">
            <v>0</v>
          </cell>
          <cell r="CN349">
            <v>64.166666666666671</v>
          </cell>
          <cell r="CO349">
            <v>64</v>
          </cell>
          <cell r="CP349">
            <v>32</v>
          </cell>
          <cell r="CQ349">
            <v>0</v>
          </cell>
          <cell r="CR349">
            <v>0</v>
          </cell>
          <cell r="CS349">
            <v>62</v>
          </cell>
          <cell r="CT349">
            <v>64</v>
          </cell>
          <cell r="CU349">
            <v>29.53846153846154</v>
          </cell>
          <cell r="CV349">
            <v>0</v>
          </cell>
          <cell r="CW349">
            <v>0</v>
          </cell>
          <cell r="CX349">
            <v>61.833333333333336</v>
          </cell>
          <cell r="CY349">
            <v>64</v>
          </cell>
          <cell r="CZ349">
            <v>34.909090909090914</v>
          </cell>
          <cell r="DA349">
            <v>0</v>
          </cell>
          <cell r="DB349">
            <v>0</v>
          </cell>
          <cell r="DC349">
            <v>62.333333333333336</v>
          </cell>
          <cell r="DD349">
            <v>61</v>
          </cell>
          <cell r="DE349">
            <v>35.4</v>
          </cell>
          <cell r="DF349">
            <v>0</v>
          </cell>
          <cell r="DG349">
            <v>0</v>
          </cell>
          <cell r="DH349">
            <v>59.333333333333336</v>
          </cell>
          <cell r="DI349">
            <v>56</v>
          </cell>
          <cell r="DJ349">
            <v>40.117647058823529</v>
          </cell>
          <cell r="DK349">
            <v>0</v>
          </cell>
          <cell r="DL349">
            <v>0</v>
          </cell>
          <cell r="DM349">
            <v>57.916666666666671</v>
          </cell>
          <cell r="DN349">
            <v>56</v>
          </cell>
          <cell r="DO349">
            <v>40.117647058823529</v>
          </cell>
          <cell r="DP349">
            <v>0</v>
          </cell>
          <cell r="DQ349">
            <v>0</v>
          </cell>
          <cell r="DR349">
            <v>54.583333333333336</v>
          </cell>
          <cell r="DS349">
            <v>54.583333333333336</v>
          </cell>
          <cell r="DT349">
            <v>39.117647058823529</v>
          </cell>
          <cell r="DU349">
            <v>0</v>
          </cell>
          <cell r="DV349">
            <v>0</v>
          </cell>
          <cell r="DW349">
            <v>53.166666666666671</v>
          </cell>
          <cell r="DX349">
            <v>53.166666666666671</v>
          </cell>
          <cell r="DY349">
            <v>38.117647058823529</v>
          </cell>
          <cell r="DZ349">
            <v>0</v>
          </cell>
          <cell r="EA349">
            <v>0</v>
          </cell>
          <cell r="EB349">
            <v>51.750000000000007</v>
          </cell>
          <cell r="EC349">
            <v>51.750000000000007</v>
          </cell>
          <cell r="ED349">
            <v>37.117647058823536</v>
          </cell>
          <cell r="EE349">
            <v>0</v>
          </cell>
          <cell r="EF349">
            <v>0</v>
          </cell>
          <cell r="EG349">
            <v>50.333333333333343</v>
          </cell>
          <cell r="EH349">
            <v>50.333333333333343</v>
          </cell>
          <cell r="EI349">
            <v>36.117647058823536</v>
          </cell>
          <cell r="EJ349">
            <v>0</v>
          </cell>
          <cell r="EK349">
            <v>0</v>
          </cell>
          <cell r="EL349">
            <v>48.916666666666679</v>
          </cell>
          <cell r="EM349">
            <v>48.916666666666679</v>
          </cell>
          <cell r="EN349">
            <v>35.117647058823536</v>
          </cell>
          <cell r="EO349">
            <v>0</v>
          </cell>
          <cell r="EP349">
            <v>0</v>
          </cell>
          <cell r="EQ349">
            <v>47.500000000000014</v>
          </cell>
          <cell r="ER349">
            <v>47.500000000000014</v>
          </cell>
          <cell r="ES349">
            <v>34.117647058823536</v>
          </cell>
          <cell r="ET349">
            <v>0</v>
          </cell>
          <cell r="EU349">
            <v>0</v>
          </cell>
          <cell r="EV349">
            <v>46.08333333333335</v>
          </cell>
          <cell r="EW349">
            <v>46.08333333333335</v>
          </cell>
          <cell r="EX349">
            <v>33.117647058823536</v>
          </cell>
          <cell r="EY349">
            <v>0</v>
          </cell>
          <cell r="EZ349">
            <v>0</v>
          </cell>
          <cell r="FA349">
            <v>44.666666666666686</v>
          </cell>
          <cell r="FB349">
            <v>44.666666666666686</v>
          </cell>
          <cell r="FC349">
            <v>32.117647058823536</v>
          </cell>
          <cell r="FD349">
            <v>0</v>
          </cell>
          <cell r="FE349">
            <v>0</v>
          </cell>
          <cell r="FF349">
            <v>43.250000000000021</v>
          </cell>
          <cell r="FG349">
            <v>43.250000000000021</v>
          </cell>
          <cell r="FH349">
            <v>31.117647058823543</v>
          </cell>
          <cell r="FI349">
            <v>0</v>
          </cell>
          <cell r="FJ349">
            <v>0</v>
          </cell>
          <cell r="FK349">
            <v>41.833333333333357</v>
          </cell>
          <cell r="FL349">
            <v>41.833333333333357</v>
          </cell>
          <cell r="FM349">
            <v>30.117647058823543</v>
          </cell>
          <cell r="FN349">
            <v>0</v>
          </cell>
          <cell r="FO349">
            <v>0</v>
          </cell>
          <cell r="FP349">
            <v>40.416666666666693</v>
          </cell>
          <cell r="FQ349">
            <v>40.416666666666693</v>
          </cell>
          <cell r="FR349">
            <v>29.117647058823547</v>
          </cell>
          <cell r="FS349">
            <v>0</v>
          </cell>
          <cell r="FT349">
            <v>2</v>
          </cell>
          <cell r="FU349">
            <v>1.0333333333333334</v>
          </cell>
          <cell r="FW349" t="str">
            <v>SOBRESTOCK</v>
          </cell>
          <cell r="FX349" t="str">
            <v>B</v>
          </cell>
          <cell r="FY349" t="str">
            <v>Si</v>
          </cell>
        </row>
        <row r="350">
          <cell r="B350" t="str">
            <v>REP-0367</v>
          </cell>
          <cell r="C350" t="str">
            <v>NAC</v>
          </cell>
          <cell r="D350">
            <v>0</v>
          </cell>
          <cell r="E350">
            <v>12</v>
          </cell>
          <cell r="F350">
            <v>0</v>
          </cell>
          <cell r="G350">
            <v>0</v>
          </cell>
          <cell r="H350">
            <v>2</v>
          </cell>
          <cell r="I350">
            <v>2</v>
          </cell>
          <cell r="J350">
            <v>0</v>
          </cell>
          <cell r="K350">
            <v>4</v>
          </cell>
          <cell r="L350">
            <v>0</v>
          </cell>
          <cell r="M350">
            <v>0</v>
          </cell>
          <cell r="N350">
            <v>2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22</v>
          </cell>
          <cell r="AA350">
            <v>22</v>
          </cell>
          <cell r="AB350">
            <v>0</v>
          </cell>
          <cell r="AC350">
            <v>3.1666666666666665</v>
          </cell>
          <cell r="AD350">
            <v>0.10555555555555556</v>
          </cell>
          <cell r="AE350">
            <v>2.5833333333333335</v>
          </cell>
          <cell r="AF350">
            <v>2.3333333333333335</v>
          </cell>
          <cell r="AG350">
            <v>2.5</v>
          </cell>
          <cell r="AH350">
            <v>4.5</v>
          </cell>
          <cell r="AI350">
            <v>5.166666666666667</v>
          </cell>
          <cell r="AJ350">
            <v>5.166666666666667</v>
          </cell>
          <cell r="AK350">
            <v>5.166666666666667</v>
          </cell>
          <cell r="AL350">
            <v>1.4122480109543236</v>
          </cell>
          <cell r="AM350">
            <v>4.3333333333333339</v>
          </cell>
          <cell r="AN350">
            <v>0.32590338714330541</v>
          </cell>
          <cell r="AO350">
            <v>0</v>
          </cell>
          <cell r="AP350">
            <v>12</v>
          </cell>
          <cell r="AQ350">
            <v>5.8</v>
          </cell>
          <cell r="AR350">
            <v>0</v>
          </cell>
          <cell r="AS350">
            <v>12.333333333333332</v>
          </cell>
          <cell r="AT350">
            <v>25</v>
          </cell>
          <cell r="AU350">
            <v>10</v>
          </cell>
          <cell r="AV350">
            <v>0</v>
          </cell>
          <cell r="AW350">
            <v>22.5</v>
          </cell>
          <cell r="AX350">
            <v>14</v>
          </cell>
          <cell r="AY350">
            <v>2.7096774193548385</v>
          </cell>
          <cell r="AZ350">
            <v>0</v>
          </cell>
          <cell r="BA350">
            <v>9.3333333333333321</v>
          </cell>
          <cell r="BB350">
            <v>13</v>
          </cell>
          <cell r="BC350">
            <v>2.7857142857142856</v>
          </cell>
          <cell r="BD350">
            <v>0</v>
          </cell>
          <cell r="BE350">
            <v>8.3333333333333321</v>
          </cell>
          <cell r="BF350">
            <v>1.7857142857142854</v>
          </cell>
          <cell r="BG350">
            <v>0</v>
          </cell>
          <cell r="BH350">
            <v>3.6666666666666652</v>
          </cell>
          <cell r="BI350">
            <v>22</v>
          </cell>
          <cell r="BJ350">
            <v>4.258064516129032</v>
          </cell>
          <cell r="BK350">
            <v>0</v>
          </cell>
          <cell r="BL350">
            <v>4.5</v>
          </cell>
          <cell r="BM350">
            <v>8</v>
          </cell>
          <cell r="BN350">
            <v>1.1707317073170733</v>
          </cell>
          <cell r="BO350">
            <v>0</v>
          </cell>
          <cell r="BP350">
            <v>1.166666666666667</v>
          </cell>
          <cell r="BQ350">
            <v>8</v>
          </cell>
          <cell r="BR350">
            <v>1.5483870967741935</v>
          </cell>
          <cell r="BS350">
            <v>0</v>
          </cell>
          <cell r="BT350">
            <v>1.833333333333333</v>
          </cell>
          <cell r="BU350">
            <v>15</v>
          </cell>
          <cell r="BV350">
            <v>3</v>
          </cell>
          <cell r="BW350">
            <v>5</v>
          </cell>
          <cell r="BX350">
            <v>0</v>
          </cell>
          <cell r="BY350">
            <v>10</v>
          </cell>
          <cell r="BZ350">
            <v>37</v>
          </cell>
          <cell r="CA350">
            <v>7.161290322580645</v>
          </cell>
          <cell r="CB350">
            <v>0</v>
          </cell>
          <cell r="CC350">
            <v>0</v>
          </cell>
          <cell r="CD350">
            <v>31.833333333333332</v>
          </cell>
          <cell r="CE350">
            <v>34</v>
          </cell>
          <cell r="CF350">
            <v>6.375</v>
          </cell>
          <cell r="CG350">
            <v>0</v>
          </cell>
          <cell r="CH350">
            <v>0</v>
          </cell>
          <cell r="CI350">
            <v>26.5</v>
          </cell>
          <cell r="CJ350">
            <v>30</v>
          </cell>
          <cell r="CK350">
            <v>5.4545454545454541</v>
          </cell>
          <cell r="CL350">
            <v>0</v>
          </cell>
          <cell r="CM350">
            <v>0</v>
          </cell>
          <cell r="CN350">
            <v>24.5</v>
          </cell>
          <cell r="CO350">
            <v>28</v>
          </cell>
          <cell r="CP350">
            <v>5.0909090909090908</v>
          </cell>
          <cell r="CQ350">
            <v>0</v>
          </cell>
          <cell r="CR350">
            <v>0</v>
          </cell>
          <cell r="CS350">
            <v>22.5</v>
          </cell>
          <cell r="CT350">
            <v>25</v>
          </cell>
          <cell r="CU350">
            <v>5.5555555555555554</v>
          </cell>
          <cell r="CV350">
            <v>0</v>
          </cell>
          <cell r="CW350">
            <v>0</v>
          </cell>
          <cell r="CX350">
            <v>20.5</v>
          </cell>
          <cell r="CY350">
            <v>17</v>
          </cell>
          <cell r="CZ350">
            <v>3.7777777777777777</v>
          </cell>
          <cell r="DA350">
            <v>0</v>
          </cell>
          <cell r="DB350">
            <v>0</v>
          </cell>
          <cell r="DC350">
            <v>12.25</v>
          </cell>
          <cell r="DD350">
            <v>12</v>
          </cell>
          <cell r="DE350">
            <v>1.0434782608695652</v>
          </cell>
          <cell r="DF350">
            <v>0</v>
          </cell>
          <cell r="DG350">
            <v>0</v>
          </cell>
          <cell r="DH350">
            <v>6.25</v>
          </cell>
          <cell r="DI350">
            <v>28</v>
          </cell>
          <cell r="DJ350">
            <v>6.4</v>
          </cell>
          <cell r="DK350">
            <v>0</v>
          </cell>
          <cell r="DL350">
            <v>0</v>
          </cell>
          <cell r="DM350">
            <v>1.25</v>
          </cell>
          <cell r="DN350">
            <v>22</v>
          </cell>
          <cell r="DO350">
            <v>5.096774193548387</v>
          </cell>
          <cell r="DP350">
            <v>0</v>
          </cell>
          <cell r="DQ350">
            <v>0</v>
          </cell>
          <cell r="DR350">
            <v>16.833333333333332</v>
          </cell>
          <cell r="DS350">
            <v>16.833333333333332</v>
          </cell>
          <cell r="DT350">
            <v>4.0967741935483861</v>
          </cell>
          <cell r="DU350">
            <v>0</v>
          </cell>
          <cell r="DV350">
            <v>0</v>
          </cell>
          <cell r="DW350">
            <v>11.666666666666664</v>
          </cell>
          <cell r="DX350">
            <v>11.666666666666664</v>
          </cell>
          <cell r="DY350">
            <v>3.0967741935483866</v>
          </cell>
          <cell r="DZ350">
            <v>0</v>
          </cell>
          <cell r="EA350">
            <v>0</v>
          </cell>
          <cell r="EB350">
            <v>6.4999999999999973</v>
          </cell>
          <cell r="EC350">
            <v>6.4999999999999973</v>
          </cell>
          <cell r="ED350">
            <v>2.0967741935483866</v>
          </cell>
          <cell r="EE350">
            <v>0</v>
          </cell>
          <cell r="EF350">
            <v>0</v>
          </cell>
          <cell r="EG350">
            <v>1.3333333333333304</v>
          </cell>
          <cell r="EH350">
            <v>1.3333333333333304</v>
          </cell>
          <cell r="EI350">
            <v>1.0967741935483866</v>
          </cell>
          <cell r="EJ350">
            <v>4.6666666666666696</v>
          </cell>
          <cell r="EK350">
            <v>0</v>
          </cell>
          <cell r="EL350">
            <v>-3.8333333333333366</v>
          </cell>
          <cell r="EM350">
            <v>-3.8333333333333366</v>
          </cell>
          <cell r="EN350">
            <v>9.6774193548386789E-2</v>
          </cell>
          <cell r="EO350">
            <v>9.8333333333333357</v>
          </cell>
          <cell r="EP350">
            <v>0</v>
          </cell>
          <cell r="EQ350">
            <v>-9.0000000000000036</v>
          </cell>
          <cell r="ER350">
            <v>-9.0000000000000036</v>
          </cell>
          <cell r="ES350">
            <v>-0.90322580645161343</v>
          </cell>
          <cell r="ET350">
            <v>15.000000000000004</v>
          </cell>
          <cell r="EU350">
            <v>0</v>
          </cell>
          <cell r="EV350">
            <v>-14.166666666666671</v>
          </cell>
          <cell r="EW350">
            <v>-14.166666666666671</v>
          </cell>
          <cell r="EX350">
            <v>-1.9032258064516134</v>
          </cell>
          <cell r="EY350">
            <v>20.166666666666671</v>
          </cell>
          <cell r="EZ350">
            <v>0</v>
          </cell>
          <cell r="FA350">
            <v>-19.333333333333339</v>
          </cell>
          <cell r="FB350">
            <v>-19.333333333333339</v>
          </cell>
          <cell r="FC350">
            <v>-2.9032258064516139</v>
          </cell>
          <cell r="FD350">
            <v>25.333333333333339</v>
          </cell>
          <cell r="FE350">
            <v>0</v>
          </cell>
          <cell r="FF350">
            <v>-24.500000000000007</v>
          </cell>
          <cell r="FG350">
            <v>-24.500000000000007</v>
          </cell>
          <cell r="FH350">
            <v>-3.9032258064516139</v>
          </cell>
          <cell r="FI350">
            <v>30.500000000000007</v>
          </cell>
          <cell r="FJ350">
            <v>0</v>
          </cell>
          <cell r="FK350">
            <v>-29.666666666666675</v>
          </cell>
          <cell r="FL350">
            <v>-29.666666666666675</v>
          </cell>
          <cell r="FM350">
            <v>-4.903225806451613</v>
          </cell>
          <cell r="FN350">
            <v>35.666666666666671</v>
          </cell>
          <cell r="FO350">
            <v>0</v>
          </cell>
          <cell r="FP350">
            <v>-34.833333333333343</v>
          </cell>
          <cell r="FQ350">
            <v>-34.833333333333343</v>
          </cell>
          <cell r="FR350">
            <v>-5.9032258064516139</v>
          </cell>
          <cell r="FS350">
            <v>40.833333333333343</v>
          </cell>
          <cell r="FT350">
            <v>6</v>
          </cell>
          <cell r="FU350">
            <v>1.0333333333333334</v>
          </cell>
          <cell r="FW350" t="str">
            <v>SOBRESTOCK</v>
          </cell>
          <cell r="FX350" t="str">
            <v>B</v>
          </cell>
          <cell r="FY350" t="str">
            <v>Si</v>
          </cell>
        </row>
        <row r="351">
          <cell r="B351" t="str">
            <v>REP-0368</v>
          </cell>
          <cell r="C351" t="str">
            <v>NAC</v>
          </cell>
          <cell r="D351">
            <v>0</v>
          </cell>
          <cell r="E351">
            <v>8</v>
          </cell>
          <cell r="F351">
            <v>0</v>
          </cell>
          <cell r="G351">
            <v>0</v>
          </cell>
          <cell r="H351">
            <v>1</v>
          </cell>
          <cell r="I351">
            <v>1</v>
          </cell>
          <cell r="J351">
            <v>0</v>
          </cell>
          <cell r="K351">
            <v>6</v>
          </cell>
          <cell r="L351">
            <v>0</v>
          </cell>
          <cell r="M351">
            <v>0</v>
          </cell>
          <cell r="N351">
            <v>1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17</v>
          </cell>
          <cell r="AA351">
            <v>17</v>
          </cell>
          <cell r="AB351">
            <v>0</v>
          </cell>
          <cell r="AC351">
            <v>1</v>
          </cell>
          <cell r="AD351">
            <v>3.3333333333333333E-2</v>
          </cell>
          <cell r="AE351">
            <v>0.83333333333333337</v>
          </cell>
          <cell r="AF351">
            <v>1.1666666666666667</v>
          </cell>
          <cell r="AG351">
            <v>1</v>
          </cell>
          <cell r="AH351">
            <v>2.5</v>
          </cell>
          <cell r="AI351">
            <v>2.6666666666666665</v>
          </cell>
          <cell r="AJ351">
            <v>2.6666666666666665</v>
          </cell>
          <cell r="AK351">
            <v>2.6666666666666665</v>
          </cell>
          <cell r="AL351">
            <v>0.80937790468519344</v>
          </cell>
          <cell r="AM351">
            <v>2.208333333333333</v>
          </cell>
          <cell r="AN351">
            <v>0.36651074929140842</v>
          </cell>
          <cell r="AO351">
            <v>0</v>
          </cell>
          <cell r="AP351">
            <v>5</v>
          </cell>
          <cell r="AQ351">
            <v>5.8571428571428568</v>
          </cell>
          <cell r="AR351">
            <v>0</v>
          </cell>
          <cell r="AS351">
            <v>5</v>
          </cell>
          <cell r="AT351">
            <v>17</v>
          </cell>
          <cell r="AU351">
            <v>11.333333333333334</v>
          </cell>
          <cell r="AV351">
            <v>0</v>
          </cell>
          <cell r="AW351">
            <v>15.5</v>
          </cell>
          <cell r="AX351">
            <v>12</v>
          </cell>
          <cell r="AY351">
            <v>4.5</v>
          </cell>
          <cell r="AZ351">
            <v>0</v>
          </cell>
          <cell r="BA351">
            <v>9.3333333333333339</v>
          </cell>
          <cell r="BB351">
            <v>11</v>
          </cell>
          <cell r="BC351">
            <v>4.125</v>
          </cell>
          <cell r="BD351">
            <v>0</v>
          </cell>
          <cell r="BE351">
            <v>8.3333333333333339</v>
          </cell>
          <cell r="BF351">
            <v>3.1250000000000004</v>
          </cell>
          <cell r="BG351">
            <v>0</v>
          </cell>
          <cell r="BH351">
            <v>5.6666666666666679</v>
          </cell>
          <cell r="BI351">
            <v>17</v>
          </cell>
          <cell r="BJ351">
            <v>6.375</v>
          </cell>
          <cell r="BK351">
            <v>0</v>
          </cell>
          <cell r="BL351">
            <v>6</v>
          </cell>
          <cell r="BM351">
            <v>6</v>
          </cell>
          <cell r="BN351">
            <v>1.5</v>
          </cell>
          <cell r="BO351">
            <v>0</v>
          </cell>
          <cell r="BP351">
            <v>2</v>
          </cell>
          <cell r="BQ351">
            <v>6</v>
          </cell>
          <cell r="BR351">
            <v>2.25</v>
          </cell>
          <cell r="BS351">
            <v>0</v>
          </cell>
          <cell r="BT351">
            <v>2.5</v>
          </cell>
          <cell r="BU351">
            <v>14</v>
          </cell>
          <cell r="BV351">
            <v>4.666666666666667</v>
          </cell>
          <cell r="BW351">
            <v>0</v>
          </cell>
          <cell r="BX351">
            <v>0</v>
          </cell>
          <cell r="BY351">
            <v>11</v>
          </cell>
          <cell r="BZ351">
            <v>27</v>
          </cell>
          <cell r="CA351">
            <v>8.526315789473685</v>
          </cell>
          <cell r="CB351">
            <v>0</v>
          </cell>
          <cell r="CC351">
            <v>0</v>
          </cell>
          <cell r="CD351">
            <v>23.833333333333332</v>
          </cell>
          <cell r="CE351">
            <v>26</v>
          </cell>
          <cell r="CF351">
            <v>8.2105263157894743</v>
          </cell>
          <cell r="CG351">
            <v>0</v>
          </cell>
          <cell r="CH351">
            <v>0</v>
          </cell>
          <cell r="CI351">
            <v>20.666666666666664</v>
          </cell>
          <cell r="CJ351">
            <v>25</v>
          </cell>
          <cell r="CK351">
            <v>8.3333333333333339</v>
          </cell>
          <cell r="CL351">
            <v>0</v>
          </cell>
          <cell r="CM351">
            <v>0</v>
          </cell>
          <cell r="CN351">
            <v>22</v>
          </cell>
          <cell r="CO351">
            <v>24</v>
          </cell>
          <cell r="CP351">
            <v>8</v>
          </cell>
          <cell r="CQ351">
            <v>0</v>
          </cell>
          <cell r="CR351">
            <v>0</v>
          </cell>
          <cell r="CS351">
            <v>21</v>
          </cell>
          <cell r="CT351">
            <v>22</v>
          </cell>
          <cell r="CU351">
            <v>8.8000000000000007</v>
          </cell>
          <cell r="CV351">
            <v>0</v>
          </cell>
          <cell r="CW351">
            <v>0</v>
          </cell>
          <cell r="CX351">
            <v>19.5</v>
          </cell>
          <cell r="CY351">
            <v>18</v>
          </cell>
          <cell r="CZ351">
            <v>7.2</v>
          </cell>
          <cell r="DA351">
            <v>0</v>
          </cell>
          <cell r="DB351">
            <v>0</v>
          </cell>
          <cell r="DC351">
            <v>15.5</v>
          </cell>
          <cell r="DD351">
            <v>13</v>
          </cell>
          <cell r="DE351">
            <v>3.3333333333333335</v>
          </cell>
          <cell r="DF351">
            <v>0</v>
          </cell>
          <cell r="DG351">
            <v>0</v>
          </cell>
          <cell r="DH351">
            <v>10</v>
          </cell>
          <cell r="DI351">
            <v>20</v>
          </cell>
          <cell r="DJ351">
            <v>8.5384615384615383</v>
          </cell>
          <cell r="DK351">
            <v>0</v>
          </cell>
          <cell r="DL351">
            <v>0</v>
          </cell>
          <cell r="DM351">
            <v>7.4</v>
          </cell>
          <cell r="DN351">
            <v>17</v>
          </cell>
          <cell r="DO351">
            <v>7.25</v>
          </cell>
          <cell r="DP351">
            <v>0</v>
          </cell>
          <cell r="DQ351">
            <v>0</v>
          </cell>
          <cell r="DR351">
            <v>14.333333333333334</v>
          </cell>
          <cell r="DS351">
            <v>14.333333333333334</v>
          </cell>
          <cell r="DT351">
            <v>6.2500000000000009</v>
          </cell>
          <cell r="DU351">
            <v>0</v>
          </cell>
          <cell r="DV351">
            <v>0</v>
          </cell>
          <cell r="DW351">
            <v>11.666666666666668</v>
          </cell>
          <cell r="DX351">
            <v>11.666666666666668</v>
          </cell>
          <cell r="DY351">
            <v>5.25</v>
          </cell>
          <cell r="DZ351">
            <v>0</v>
          </cell>
          <cell r="EA351">
            <v>0</v>
          </cell>
          <cell r="EB351">
            <v>9.0000000000000018</v>
          </cell>
          <cell r="EC351">
            <v>9.0000000000000018</v>
          </cell>
          <cell r="ED351">
            <v>4.2500000000000009</v>
          </cell>
          <cell r="EE351">
            <v>0</v>
          </cell>
          <cell r="EF351">
            <v>0</v>
          </cell>
          <cell r="EG351">
            <v>6.3333333333333357</v>
          </cell>
          <cell r="EH351">
            <v>6.3333333333333357</v>
          </cell>
          <cell r="EI351">
            <v>3.2500000000000009</v>
          </cell>
          <cell r="EJ351">
            <v>0</v>
          </cell>
          <cell r="EK351">
            <v>0</v>
          </cell>
          <cell r="EL351">
            <v>3.6666666666666692</v>
          </cell>
          <cell r="EM351">
            <v>3.6666666666666692</v>
          </cell>
          <cell r="EN351">
            <v>2.2500000000000009</v>
          </cell>
          <cell r="EO351">
            <v>0</v>
          </cell>
          <cell r="EP351">
            <v>0</v>
          </cell>
          <cell r="EQ351">
            <v>1.0000000000000027</v>
          </cell>
          <cell r="ER351">
            <v>1.0000000000000027</v>
          </cell>
          <cell r="ES351">
            <v>1.2500000000000009</v>
          </cell>
          <cell r="ET351">
            <v>1.9999999999999973</v>
          </cell>
          <cell r="EU351">
            <v>0</v>
          </cell>
          <cell r="EV351">
            <v>-1.6666666666666639</v>
          </cell>
          <cell r="EW351">
            <v>-1.6666666666666639</v>
          </cell>
          <cell r="EX351">
            <v>0.25000000000000089</v>
          </cell>
          <cell r="EY351">
            <v>4.6666666666666643</v>
          </cell>
          <cell r="EZ351">
            <v>0</v>
          </cell>
          <cell r="FA351">
            <v>-4.3333333333333304</v>
          </cell>
          <cell r="FB351">
            <v>-4.3333333333333304</v>
          </cell>
          <cell r="FC351">
            <v>-0.74999999999999911</v>
          </cell>
          <cell r="FD351">
            <v>7.3333333333333304</v>
          </cell>
          <cell r="FE351">
            <v>0</v>
          </cell>
          <cell r="FF351">
            <v>-6.9999999999999964</v>
          </cell>
          <cell r="FG351">
            <v>-6.9999999999999964</v>
          </cell>
          <cell r="FH351">
            <v>-1.7499999999999987</v>
          </cell>
          <cell r="FI351">
            <v>9.9999999999999964</v>
          </cell>
          <cell r="FJ351">
            <v>0</v>
          </cell>
          <cell r="FK351">
            <v>-9.6666666666666625</v>
          </cell>
          <cell r="FL351">
            <v>-9.6666666666666625</v>
          </cell>
          <cell r="FM351">
            <v>-2.7499999999999991</v>
          </cell>
          <cell r="FN351">
            <v>12.666666666666663</v>
          </cell>
          <cell r="FO351">
            <v>0</v>
          </cell>
          <cell r="FP351">
            <v>-12.333333333333329</v>
          </cell>
          <cell r="FQ351">
            <v>-12.333333333333329</v>
          </cell>
          <cell r="FR351">
            <v>-3.7499999999999982</v>
          </cell>
          <cell r="FS351">
            <v>15.333333333333329</v>
          </cell>
          <cell r="FT351">
            <v>3</v>
          </cell>
          <cell r="FU351">
            <v>1.0333333333333334</v>
          </cell>
          <cell r="FW351" t="str">
            <v>SOBRESTOCK</v>
          </cell>
          <cell r="FX351" t="str">
            <v>B</v>
          </cell>
          <cell r="FY351" t="str">
            <v>Si</v>
          </cell>
        </row>
        <row r="352">
          <cell r="B352" t="str">
            <v>REP-0369</v>
          </cell>
          <cell r="C352" t="str">
            <v>AXEON</v>
          </cell>
          <cell r="D352">
            <v>0</v>
          </cell>
          <cell r="E352">
            <v>7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7</v>
          </cell>
          <cell r="AA352">
            <v>7</v>
          </cell>
          <cell r="AB352">
            <v>0</v>
          </cell>
          <cell r="AC352">
            <v>0.16666666666666666</v>
          </cell>
          <cell r="AD352">
            <v>5.5555555555555549E-3</v>
          </cell>
          <cell r="AE352">
            <v>0.25</v>
          </cell>
          <cell r="AF352">
            <v>0.16666666666666666</v>
          </cell>
          <cell r="AG352">
            <v>0.16666666666666666</v>
          </cell>
          <cell r="AH352">
            <v>0</v>
          </cell>
          <cell r="AI352">
            <v>0</v>
          </cell>
          <cell r="AJ352">
            <v>0</v>
          </cell>
          <cell r="AK352">
            <v>0.16666666666666666</v>
          </cell>
          <cell r="AL352">
            <v>8.3333333333333329E-2</v>
          </cell>
          <cell r="AM352">
            <v>4.1666666666666664E-2</v>
          </cell>
          <cell r="AN352">
            <v>2</v>
          </cell>
          <cell r="AO352">
            <v>0</v>
          </cell>
          <cell r="AP352">
            <v>6.833333333333333</v>
          </cell>
          <cell r="AQ352">
            <v>20.000000000000004</v>
          </cell>
          <cell r="AR352">
            <v>0</v>
          </cell>
          <cell r="AS352">
            <v>6.6666666666666661</v>
          </cell>
          <cell r="AT352">
            <v>7</v>
          </cell>
          <cell r="AU352">
            <v>42</v>
          </cell>
          <cell r="AV352">
            <v>0</v>
          </cell>
          <cell r="AW352">
            <v>6.833333333333333</v>
          </cell>
          <cell r="AX352">
            <v>7</v>
          </cell>
          <cell r="AY352">
            <v>42</v>
          </cell>
          <cell r="AZ352">
            <v>0</v>
          </cell>
          <cell r="BA352">
            <v>6.833333333333333</v>
          </cell>
          <cell r="BB352">
            <v>7</v>
          </cell>
          <cell r="BC352">
            <v>42</v>
          </cell>
          <cell r="BD352">
            <v>0</v>
          </cell>
          <cell r="BE352">
            <v>6.833333333333333</v>
          </cell>
          <cell r="BF352">
            <v>41</v>
          </cell>
          <cell r="BG352">
            <v>0</v>
          </cell>
          <cell r="BH352">
            <v>6.6666666666666661</v>
          </cell>
          <cell r="BI352">
            <v>7</v>
          </cell>
          <cell r="BJ352">
            <v>42</v>
          </cell>
          <cell r="BK352">
            <v>0</v>
          </cell>
          <cell r="BL352">
            <v>6.833333333333333</v>
          </cell>
          <cell r="BM352">
            <v>7</v>
          </cell>
          <cell r="BN352">
            <v>42</v>
          </cell>
          <cell r="BO352">
            <v>0</v>
          </cell>
          <cell r="BP352">
            <v>6.833333333333333</v>
          </cell>
          <cell r="BQ352">
            <v>7</v>
          </cell>
          <cell r="BR352">
            <v>42</v>
          </cell>
          <cell r="BS352">
            <v>0</v>
          </cell>
          <cell r="BT352">
            <v>6.833333333333333</v>
          </cell>
          <cell r="BU352">
            <v>7</v>
          </cell>
          <cell r="BV352">
            <v>42</v>
          </cell>
          <cell r="BW352">
            <v>0</v>
          </cell>
          <cell r="BX352">
            <v>0</v>
          </cell>
          <cell r="BY352">
            <v>6.833333333333333</v>
          </cell>
          <cell r="BZ352">
            <v>7</v>
          </cell>
          <cell r="CA352">
            <v>42</v>
          </cell>
          <cell r="CB352">
            <v>0</v>
          </cell>
          <cell r="CC352">
            <v>0</v>
          </cell>
          <cell r="CD352">
            <v>6.833333333333333</v>
          </cell>
          <cell r="CE352">
            <v>7</v>
          </cell>
          <cell r="CF352">
            <v>42</v>
          </cell>
          <cell r="CG352">
            <v>0</v>
          </cell>
          <cell r="CH352">
            <v>0</v>
          </cell>
          <cell r="CI352">
            <v>6.6666666666666661</v>
          </cell>
          <cell r="CJ352">
            <v>7</v>
          </cell>
          <cell r="CK352">
            <v>42</v>
          </cell>
          <cell r="CL352">
            <v>0</v>
          </cell>
          <cell r="CM352">
            <v>0</v>
          </cell>
          <cell r="CN352">
            <v>6.833333333333333</v>
          </cell>
          <cell r="CO352">
            <v>7</v>
          </cell>
          <cell r="CP352">
            <v>42</v>
          </cell>
          <cell r="CQ352">
            <v>0</v>
          </cell>
          <cell r="CR352">
            <v>0</v>
          </cell>
          <cell r="CS352">
            <v>6.833333333333333</v>
          </cell>
          <cell r="CT352">
            <v>7</v>
          </cell>
          <cell r="CU352">
            <v>42</v>
          </cell>
          <cell r="CV352">
            <v>0</v>
          </cell>
          <cell r="CW352">
            <v>0</v>
          </cell>
          <cell r="CX352">
            <v>6.833333333333333</v>
          </cell>
          <cell r="CY352">
            <v>7</v>
          </cell>
          <cell r="CZ352">
            <v>42</v>
          </cell>
          <cell r="DA352">
            <v>0</v>
          </cell>
          <cell r="DB352">
            <v>0</v>
          </cell>
          <cell r="DC352">
            <v>6.833333333333333</v>
          </cell>
          <cell r="DD352">
            <v>7</v>
          </cell>
          <cell r="DE352">
            <v>36</v>
          </cell>
          <cell r="DF352">
            <v>0</v>
          </cell>
          <cell r="DG352">
            <v>0</v>
          </cell>
          <cell r="DH352">
            <v>6.833333333333333</v>
          </cell>
          <cell r="DI352">
            <v>7</v>
          </cell>
          <cell r="DJ352">
            <v>38</v>
          </cell>
          <cell r="DK352">
            <v>0</v>
          </cell>
          <cell r="DL352">
            <v>0</v>
          </cell>
          <cell r="DM352">
            <v>6.6666666666666661</v>
          </cell>
          <cell r="DN352">
            <v>7</v>
          </cell>
          <cell r="DO352">
            <v>38</v>
          </cell>
          <cell r="DP352">
            <v>0</v>
          </cell>
          <cell r="DQ352">
            <v>0</v>
          </cell>
          <cell r="DR352">
            <v>6.833333333333333</v>
          </cell>
          <cell r="DS352">
            <v>6.833333333333333</v>
          </cell>
          <cell r="DT352">
            <v>37</v>
          </cell>
          <cell r="DU352">
            <v>0</v>
          </cell>
          <cell r="DV352">
            <v>0</v>
          </cell>
          <cell r="DW352">
            <v>6.6666666666666661</v>
          </cell>
          <cell r="DX352">
            <v>6.6666666666666661</v>
          </cell>
          <cell r="DY352">
            <v>36</v>
          </cell>
          <cell r="DZ352">
            <v>0</v>
          </cell>
          <cell r="EA352">
            <v>0</v>
          </cell>
          <cell r="EB352">
            <v>6.4999999999999991</v>
          </cell>
          <cell r="EC352">
            <v>6.4999999999999991</v>
          </cell>
          <cell r="ED352">
            <v>35</v>
          </cell>
          <cell r="EE352">
            <v>0</v>
          </cell>
          <cell r="EF352">
            <v>0</v>
          </cell>
          <cell r="EG352">
            <v>6.3333333333333321</v>
          </cell>
          <cell r="EH352">
            <v>6.3333333333333321</v>
          </cell>
          <cell r="EI352">
            <v>33.999999999999993</v>
          </cell>
          <cell r="EJ352">
            <v>0</v>
          </cell>
          <cell r="EK352">
            <v>0</v>
          </cell>
          <cell r="EL352">
            <v>6.1666666666666652</v>
          </cell>
          <cell r="EM352">
            <v>6.1666666666666652</v>
          </cell>
          <cell r="EN352">
            <v>32.999999999999993</v>
          </cell>
          <cell r="EO352">
            <v>0</v>
          </cell>
          <cell r="EP352">
            <v>0</v>
          </cell>
          <cell r="EQ352">
            <v>5.9999999999999982</v>
          </cell>
          <cell r="ER352">
            <v>5.9999999999999982</v>
          </cell>
          <cell r="ES352">
            <v>31.999999999999989</v>
          </cell>
          <cell r="ET352">
            <v>0</v>
          </cell>
          <cell r="EU352">
            <v>0</v>
          </cell>
          <cell r="EV352">
            <v>5.8333333333333313</v>
          </cell>
          <cell r="EW352">
            <v>5.8333333333333313</v>
          </cell>
          <cell r="EX352">
            <v>30.999999999999989</v>
          </cell>
          <cell r="EY352">
            <v>0</v>
          </cell>
          <cell r="EZ352">
            <v>0</v>
          </cell>
          <cell r="FA352">
            <v>5.6666666666666643</v>
          </cell>
          <cell r="FB352">
            <v>5.6666666666666643</v>
          </cell>
          <cell r="FC352">
            <v>29.999999999999986</v>
          </cell>
          <cell r="FD352">
            <v>0</v>
          </cell>
          <cell r="FE352">
            <v>0</v>
          </cell>
          <cell r="FF352">
            <v>5.4999999999999973</v>
          </cell>
          <cell r="FG352">
            <v>5.4999999999999973</v>
          </cell>
          <cell r="FH352">
            <v>28.999999999999986</v>
          </cell>
          <cell r="FI352">
            <v>0</v>
          </cell>
          <cell r="FJ352">
            <v>0</v>
          </cell>
          <cell r="FK352">
            <v>5.3333333333333304</v>
          </cell>
          <cell r="FL352">
            <v>5.3333333333333304</v>
          </cell>
          <cell r="FM352">
            <v>27.999999999999982</v>
          </cell>
          <cell r="FN352">
            <v>0</v>
          </cell>
          <cell r="FO352">
            <v>0</v>
          </cell>
          <cell r="FP352">
            <v>5.1666666666666634</v>
          </cell>
          <cell r="FQ352">
            <v>5.1666666666666634</v>
          </cell>
          <cell r="FR352">
            <v>26.999999999999982</v>
          </cell>
          <cell r="FS352">
            <v>0</v>
          </cell>
          <cell r="FT352">
            <v>1</v>
          </cell>
          <cell r="FU352">
            <v>2.0333333333333332</v>
          </cell>
          <cell r="FW352" t="str">
            <v>SIN ROTACIÓN</v>
          </cell>
          <cell r="FX352" t="str">
            <v>C</v>
          </cell>
          <cell r="FY352" t="str">
            <v>Si</v>
          </cell>
        </row>
        <row r="353">
          <cell r="B353" t="str">
            <v>REP-0370</v>
          </cell>
          <cell r="C353" t="str">
            <v>AXEON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3</v>
          </cell>
          <cell r="AA353">
            <v>3</v>
          </cell>
          <cell r="AB353">
            <v>0</v>
          </cell>
          <cell r="AC353">
            <v>0.5</v>
          </cell>
          <cell r="AD353">
            <v>1.6666666666666666E-2</v>
          </cell>
          <cell r="AE353">
            <v>0.25</v>
          </cell>
          <cell r="AF353">
            <v>8.3333333333333329E-2</v>
          </cell>
          <cell r="AG353">
            <v>0.25</v>
          </cell>
          <cell r="AH353">
            <v>0.25</v>
          </cell>
          <cell r="AI353">
            <v>0</v>
          </cell>
          <cell r="AJ353">
            <v>0</v>
          </cell>
          <cell r="AK353">
            <v>0.25</v>
          </cell>
          <cell r="AL353">
            <v>0.14433756729740643</v>
          </cell>
          <cell r="AM353">
            <v>0.125</v>
          </cell>
          <cell r="AN353">
            <v>1.1547005383792515</v>
          </cell>
          <cell r="AO353">
            <v>0</v>
          </cell>
          <cell r="AP353">
            <v>5.666666666666667</v>
          </cell>
          <cell r="AQ353">
            <v>17.000000000000004</v>
          </cell>
          <cell r="AR353">
            <v>0</v>
          </cell>
          <cell r="AS353">
            <v>5.3333333333333339</v>
          </cell>
          <cell r="AT353">
            <v>6</v>
          </cell>
          <cell r="AU353">
            <v>18</v>
          </cell>
          <cell r="AV353">
            <v>0</v>
          </cell>
          <cell r="AW353">
            <v>5.666666666666667</v>
          </cell>
          <cell r="AX353">
            <v>6</v>
          </cell>
          <cell r="AY353">
            <v>24</v>
          </cell>
          <cell r="AZ353">
            <v>0</v>
          </cell>
          <cell r="BA353">
            <v>5.666666666666667</v>
          </cell>
          <cell r="BB353">
            <v>4</v>
          </cell>
          <cell r="BC353">
            <v>6</v>
          </cell>
          <cell r="BD353">
            <v>0</v>
          </cell>
          <cell r="BE353">
            <v>3.3333333333333335</v>
          </cell>
          <cell r="BF353">
            <v>5.0000000000000009</v>
          </cell>
          <cell r="BG353">
            <v>0</v>
          </cell>
          <cell r="BH353">
            <v>2.666666666666667</v>
          </cell>
          <cell r="BI353">
            <v>3</v>
          </cell>
          <cell r="BJ353">
            <v>12</v>
          </cell>
          <cell r="BK353">
            <v>0</v>
          </cell>
          <cell r="BL353">
            <v>3.6666666666666665</v>
          </cell>
          <cell r="BM353">
            <v>4</v>
          </cell>
          <cell r="BN353">
            <v>12</v>
          </cell>
          <cell r="BO353">
            <v>0</v>
          </cell>
          <cell r="BP353">
            <v>3.6666666666666665</v>
          </cell>
          <cell r="BQ353">
            <v>4</v>
          </cell>
          <cell r="BR353">
            <v>16</v>
          </cell>
          <cell r="BS353">
            <v>0</v>
          </cell>
          <cell r="BT353">
            <v>3.6666666666666665</v>
          </cell>
          <cell r="BU353">
            <v>4</v>
          </cell>
          <cell r="BV353">
            <v>12</v>
          </cell>
          <cell r="BW353">
            <v>0</v>
          </cell>
          <cell r="BX353">
            <v>0</v>
          </cell>
          <cell r="BY353">
            <v>3.6666666666666665</v>
          </cell>
          <cell r="BZ353">
            <v>4</v>
          </cell>
          <cell r="CA353">
            <v>16</v>
          </cell>
          <cell r="CB353">
            <v>0</v>
          </cell>
          <cell r="CC353">
            <v>0</v>
          </cell>
          <cell r="CD353">
            <v>3.75</v>
          </cell>
          <cell r="CE353">
            <v>4</v>
          </cell>
          <cell r="CF353">
            <v>16</v>
          </cell>
          <cell r="CG353">
            <v>0</v>
          </cell>
          <cell r="CH353">
            <v>0</v>
          </cell>
          <cell r="CI353">
            <v>3.5</v>
          </cell>
          <cell r="CJ353">
            <v>3</v>
          </cell>
          <cell r="CK353">
            <v>12</v>
          </cell>
          <cell r="CL353">
            <v>0</v>
          </cell>
          <cell r="CM353">
            <v>0</v>
          </cell>
          <cell r="CN353">
            <v>2.75</v>
          </cell>
          <cell r="CO353">
            <v>3</v>
          </cell>
          <cell r="CP353">
            <v>12</v>
          </cell>
          <cell r="CQ353">
            <v>0</v>
          </cell>
          <cell r="CR353">
            <v>0</v>
          </cell>
          <cell r="CS353">
            <v>2.75</v>
          </cell>
          <cell r="CT353">
            <v>3</v>
          </cell>
          <cell r="CU353">
            <v>12</v>
          </cell>
          <cell r="CV353">
            <v>0</v>
          </cell>
          <cell r="CW353">
            <v>0</v>
          </cell>
          <cell r="CX353">
            <v>2.75</v>
          </cell>
          <cell r="CY353">
            <v>3</v>
          </cell>
          <cell r="CZ353">
            <v>12</v>
          </cell>
          <cell r="DA353">
            <v>0</v>
          </cell>
          <cell r="DB353">
            <v>0</v>
          </cell>
          <cell r="DC353">
            <v>2.75</v>
          </cell>
          <cell r="DD353">
            <v>3</v>
          </cell>
          <cell r="DE353">
            <v>8</v>
          </cell>
          <cell r="DF353">
            <v>0</v>
          </cell>
          <cell r="DG353">
            <v>0</v>
          </cell>
          <cell r="DH353">
            <v>2.75</v>
          </cell>
          <cell r="DI353">
            <v>3</v>
          </cell>
          <cell r="DJ353">
            <v>10</v>
          </cell>
          <cell r="DK353">
            <v>0</v>
          </cell>
          <cell r="DL353">
            <v>0</v>
          </cell>
          <cell r="DM353">
            <v>2.5</v>
          </cell>
          <cell r="DN353">
            <v>3</v>
          </cell>
          <cell r="DO353">
            <v>10</v>
          </cell>
          <cell r="DP353">
            <v>0</v>
          </cell>
          <cell r="DQ353">
            <v>0</v>
          </cell>
          <cell r="DR353">
            <v>2.75</v>
          </cell>
          <cell r="DS353">
            <v>2.75</v>
          </cell>
          <cell r="DT353">
            <v>9</v>
          </cell>
          <cell r="DU353">
            <v>0</v>
          </cell>
          <cell r="DV353">
            <v>0</v>
          </cell>
          <cell r="DW353">
            <v>2.5</v>
          </cell>
          <cell r="DX353">
            <v>2.5</v>
          </cell>
          <cell r="DY353">
            <v>8</v>
          </cell>
          <cell r="DZ353">
            <v>0</v>
          </cell>
          <cell r="EA353">
            <v>0</v>
          </cell>
          <cell r="EB353">
            <v>2.25</v>
          </cell>
          <cell r="EC353">
            <v>2.25</v>
          </cell>
          <cell r="ED353">
            <v>7</v>
          </cell>
          <cell r="EE353">
            <v>0</v>
          </cell>
          <cell r="EF353">
            <v>0</v>
          </cell>
          <cell r="EG353">
            <v>2</v>
          </cell>
          <cell r="EH353">
            <v>2</v>
          </cell>
          <cell r="EI353">
            <v>6</v>
          </cell>
          <cell r="EJ353">
            <v>0</v>
          </cell>
          <cell r="EK353">
            <v>0</v>
          </cell>
          <cell r="EL353">
            <v>1.75</v>
          </cell>
          <cell r="EM353">
            <v>1.75</v>
          </cell>
          <cell r="EN353">
            <v>5</v>
          </cell>
          <cell r="EO353">
            <v>0</v>
          </cell>
          <cell r="EP353">
            <v>0</v>
          </cell>
          <cell r="EQ353">
            <v>1.5</v>
          </cell>
          <cell r="ER353">
            <v>1.5</v>
          </cell>
          <cell r="ES353">
            <v>4</v>
          </cell>
          <cell r="ET353">
            <v>0</v>
          </cell>
          <cell r="EU353">
            <v>0</v>
          </cell>
          <cell r="EV353">
            <v>1.25</v>
          </cell>
          <cell r="EW353">
            <v>1.25</v>
          </cell>
          <cell r="EX353">
            <v>3</v>
          </cell>
          <cell r="EY353">
            <v>0</v>
          </cell>
          <cell r="EZ353">
            <v>0</v>
          </cell>
          <cell r="FA353">
            <v>1</v>
          </cell>
          <cell r="FB353">
            <v>1</v>
          </cell>
          <cell r="FC353">
            <v>2</v>
          </cell>
          <cell r="FD353">
            <v>0</v>
          </cell>
          <cell r="FE353">
            <v>0</v>
          </cell>
          <cell r="FF353">
            <v>0.75</v>
          </cell>
          <cell r="FG353">
            <v>0.75</v>
          </cell>
          <cell r="FH353">
            <v>1</v>
          </cell>
          <cell r="FI353">
            <v>0.25</v>
          </cell>
          <cell r="FJ353">
            <v>0</v>
          </cell>
          <cell r="FK353">
            <v>0.5</v>
          </cell>
          <cell r="FL353">
            <v>0.5</v>
          </cell>
          <cell r="FM353">
            <v>0</v>
          </cell>
          <cell r="FN353">
            <v>0.5</v>
          </cell>
          <cell r="FO353">
            <v>0</v>
          </cell>
          <cell r="FP353">
            <v>0.25</v>
          </cell>
          <cell r="FQ353">
            <v>0.25</v>
          </cell>
          <cell r="FR353">
            <v>-1</v>
          </cell>
          <cell r="FS353">
            <v>0.75</v>
          </cell>
          <cell r="FT353">
            <v>1</v>
          </cell>
          <cell r="FU353">
            <v>2.0333333333333332</v>
          </cell>
          <cell r="FW353" t="str">
            <v>SIN ROTACIÓN</v>
          </cell>
          <cell r="FX353" t="str">
            <v>C</v>
          </cell>
          <cell r="FY353" t="str">
            <v>Si</v>
          </cell>
        </row>
        <row r="354">
          <cell r="B354" t="str">
            <v>REP-0371</v>
          </cell>
          <cell r="C354" t="str">
            <v>OSBORNE</v>
          </cell>
          <cell r="D354">
            <v>0</v>
          </cell>
          <cell r="E354">
            <v>0</v>
          </cell>
          <cell r="F354">
            <v>0</v>
          </cell>
          <cell r="G354">
            <v>400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400</v>
          </cell>
          <cell r="AA354">
            <v>400</v>
          </cell>
          <cell r="AB354">
            <v>0</v>
          </cell>
          <cell r="AC354">
            <v>1.6666666666666667</v>
          </cell>
          <cell r="AD354">
            <v>5.5555555555555559E-2</v>
          </cell>
          <cell r="AE354">
            <v>0.83333333333333337</v>
          </cell>
          <cell r="AF354">
            <v>0</v>
          </cell>
          <cell r="AG354">
            <v>0</v>
          </cell>
          <cell r="AH354">
            <v>8.3333333333333339</v>
          </cell>
          <cell r="AI354">
            <v>0</v>
          </cell>
          <cell r="AJ354">
            <v>0</v>
          </cell>
          <cell r="AK354">
            <v>8.3333333333333339</v>
          </cell>
          <cell r="AL354">
            <v>4.166666666666667</v>
          </cell>
          <cell r="AM354">
            <v>2.0833333333333335</v>
          </cell>
          <cell r="AN354">
            <v>2</v>
          </cell>
          <cell r="AO354">
            <v>0</v>
          </cell>
          <cell r="AP354">
            <v>488.88888888888891</v>
          </cell>
          <cell r="AQ354" t="str">
            <v/>
          </cell>
          <cell r="AR354">
            <v>0</v>
          </cell>
          <cell r="AS354">
            <v>500</v>
          </cell>
          <cell r="AT354">
            <v>500</v>
          </cell>
          <cell r="AU354" t="str">
            <v/>
          </cell>
          <cell r="AV354">
            <v>0</v>
          </cell>
          <cell r="AW354">
            <v>500</v>
          </cell>
          <cell r="AX354">
            <v>500</v>
          </cell>
          <cell r="AY354">
            <v>59.999999999999993</v>
          </cell>
          <cell r="AZ354">
            <v>0</v>
          </cell>
          <cell r="BA354">
            <v>500</v>
          </cell>
          <cell r="BB354">
            <v>450</v>
          </cell>
          <cell r="BC354">
            <v>13.499999999999998</v>
          </cell>
          <cell r="BD354">
            <v>0</v>
          </cell>
          <cell r="BE354">
            <v>416.66666666666669</v>
          </cell>
          <cell r="BF354">
            <v>12.5</v>
          </cell>
          <cell r="BG354">
            <v>0</v>
          </cell>
          <cell r="BH354">
            <v>383.33333333333337</v>
          </cell>
          <cell r="BI354">
            <v>400</v>
          </cell>
          <cell r="BJ354">
            <v>48</v>
          </cell>
          <cell r="BK354">
            <v>0</v>
          </cell>
          <cell r="BL354">
            <v>433.33333333333331</v>
          </cell>
          <cell r="BM354">
            <v>450</v>
          </cell>
          <cell r="BN354">
            <v>26.999999999999996</v>
          </cell>
          <cell r="BO354">
            <v>0</v>
          </cell>
          <cell r="BP354">
            <v>433.33333333333331</v>
          </cell>
          <cell r="BQ354">
            <v>450</v>
          </cell>
          <cell r="BR354">
            <v>53.999999999999993</v>
          </cell>
          <cell r="BS354">
            <v>0</v>
          </cell>
          <cell r="BT354">
            <v>433.33333333333331</v>
          </cell>
          <cell r="BU354">
            <v>450</v>
          </cell>
          <cell r="BV354">
            <v>40.5</v>
          </cell>
          <cell r="BW354">
            <v>0</v>
          </cell>
          <cell r="BX354">
            <v>0</v>
          </cell>
          <cell r="BY354">
            <v>438.88888888888891</v>
          </cell>
          <cell r="BZ354">
            <v>450</v>
          </cell>
          <cell r="CA354">
            <v>45</v>
          </cell>
          <cell r="CB354">
            <v>0</v>
          </cell>
          <cell r="CC354">
            <v>0</v>
          </cell>
          <cell r="CD354">
            <v>440</v>
          </cell>
          <cell r="CE354">
            <v>450</v>
          </cell>
          <cell r="CF354">
            <v>49.499999999999993</v>
          </cell>
          <cell r="CG354">
            <v>0</v>
          </cell>
          <cell r="CH354">
            <v>0</v>
          </cell>
          <cell r="CI354">
            <v>430.90909090909093</v>
          </cell>
          <cell r="CJ354">
            <v>0</v>
          </cell>
          <cell r="CK354">
            <v>0</v>
          </cell>
          <cell r="CL354">
            <v>34</v>
          </cell>
          <cell r="CM354">
            <v>0</v>
          </cell>
          <cell r="CN354">
            <v>-8.3333333333333339</v>
          </cell>
          <cell r="CO354">
            <v>0</v>
          </cell>
          <cell r="CP354">
            <v>0</v>
          </cell>
          <cell r="CQ354">
            <v>42.333333333333336</v>
          </cell>
          <cell r="CR354">
            <v>0</v>
          </cell>
          <cell r="CS354">
            <v>-8.3333333333333339</v>
          </cell>
          <cell r="CT354">
            <v>0</v>
          </cell>
          <cell r="CU354">
            <v>0</v>
          </cell>
          <cell r="CV354">
            <v>9</v>
          </cell>
          <cell r="CW354">
            <v>0</v>
          </cell>
          <cell r="CX354">
            <v>-8.3333333333333339</v>
          </cell>
          <cell r="CY354">
            <v>0</v>
          </cell>
          <cell r="CZ354">
            <v>0</v>
          </cell>
          <cell r="DA354">
            <v>17.333333333333336</v>
          </cell>
          <cell r="DB354">
            <v>0</v>
          </cell>
          <cell r="DC354">
            <v>-8.3333333333333339</v>
          </cell>
          <cell r="DD354">
            <v>400</v>
          </cell>
          <cell r="DE354">
            <v>46.919999999999995</v>
          </cell>
          <cell r="DF354">
            <v>0</v>
          </cell>
          <cell r="DG354">
            <v>0</v>
          </cell>
          <cell r="DH354">
            <v>391.66666666666669</v>
          </cell>
          <cell r="DI354">
            <v>400</v>
          </cell>
          <cell r="DJ354">
            <v>48.919999999999995</v>
          </cell>
          <cell r="DK354">
            <v>0</v>
          </cell>
          <cell r="DL354">
            <v>0</v>
          </cell>
          <cell r="DM354">
            <v>383.33333333333337</v>
          </cell>
          <cell r="DN354">
            <v>400</v>
          </cell>
          <cell r="DO354">
            <v>48.919999999999995</v>
          </cell>
          <cell r="DP354">
            <v>0</v>
          </cell>
          <cell r="DQ354">
            <v>0</v>
          </cell>
          <cell r="DR354">
            <v>391.66666666666669</v>
          </cell>
          <cell r="DS354">
            <v>391.66666666666669</v>
          </cell>
          <cell r="DT354">
            <v>47.92</v>
          </cell>
          <cell r="DU354">
            <v>0</v>
          </cell>
          <cell r="DV354">
            <v>0</v>
          </cell>
          <cell r="DW354">
            <v>383.33333333333337</v>
          </cell>
          <cell r="DX354">
            <v>383.33333333333337</v>
          </cell>
          <cell r="DY354">
            <v>46.92</v>
          </cell>
          <cell r="DZ354">
            <v>0</v>
          </cell>
          <cell r="EA354">
            <v>0</v>
          </cell>
          <cell r="EB354">
            <v>375.00000000000006</v>
          </cell>
          <cell r="EC354">
            <v>375.00000000000006</v>
          </cell>
          <cell r="ED354">
            <v>45.92</v>
          </cell>
          <cell r="EE354">
            <v>0</v>
          </cell>
          <cell r="EF354">
            <v>0</v>
          </cell>
          <cell r="EG354">
            <v>366.66666666666674</v>
          </cell>
          <cell r="EH354">
            <v>366.66666666666674</v>
          </cell>
          <cell r="EI354">
            <v>44.920000000000009</v>
          </cell>
          <cell r="EJ354">
            <v>0</v>
          </cell>
          <cell r="EK354">
            <v>0</v>
          </cell>
          <cell r="EL354">
            <v>358.33333333333343</v>
          </cell>
          <cell r="EM354">
            <v>358.33333333333343</v>
          </cell>
          <cell r="EN354">
            <v>43.920000000000009</v>
          </cell>
          <cell r="EO354">
            <v>0</v>
          </cell>
          <cell r="EP354">
            <v>0</v>
          </cell>
          <cell r="EQ354">
            <v>350.00000000000011</v>
          </cell>
          <cell r="ER354">
            <v>350.00000000000011</v>
          </cell>
          <cell r="ES354">
            <v>42.920000000000009</v>
          </cell>
          <cell r="ET354">
            <v>0</v>
          </cell>
          <cell r="EU354">
            <v>0</v>
          </cell>
          <cell r="EV354">
            <v>341.6666666666668</v>
          </cell>
          <cell r="EW354">
            <v>341.6666666666668</v>
          </cell>
          <cell r="EX354">
            <v>41.920000000000016</v>
          </cell>
          <cell r="EY354">
            <v>0</v>
          </cell>
          <cell r="EZ354">
            <v>0</v>
          </cell>
          <cell r="FA354">
            <v>333.33333333333348</v>
          </cell>
          <cell r="FB354">
            <v>333.33333333333348</v>
          </cell>
          <cell r="FC354">
            <v>40.920000000000016</v>
          </cell>
          <cell r="FD354">
            <v>0</v>
          </cell>
          <cell r="FE354">
            <v>0</v>
          </cell>
          <cell r="FF354">
            <v>325.00000000000017</v>
          </cell>
          <cell r="FG354">
            <v>325.00000000000017</v>
          </cell>
          <cell r="FH354">
            <v>39.920000000000016</v>
          </cell>
          <cell r="FI354">
            <v>0</v>
          </cell>
          <cell r="FJ354">
            <v>0</v>
          </cell>
          <cell r="FK354">
            <v>316.66666666666686</v>
          </cell>
          <cell r="FL354">
            <v>316.66666666666686</v>
          </cell>
          <cell r="FM354">
            <v>38.920000000000023</v>
          </cell>
          <cell r="FN354">
            <v>0</v>
          </cell>
          <cell r="FO354">
            <v>0</v>
          </cell>
          <cell r="FP354">
            <v>308.33333333333354</v>
          </cell>
          <cell r="FQ354">
            <v>308.33333333333354</v>
          </cell>
          <cell r="FR354">
            <v>37.920000000000023</v>
          </cell>
          <cell r="FS354">
            <v>0</v>
          </cell>
          <cell r="FT354">
            <v>9</v>
          </cell>
          <cell r="FU354">
            <v>1.0333333333333334</v>
          </cell>
          <cell r="FW354" t="str">
            <v>SIN ROTACIÓN</v>
          </cell>
          <cell r="FX354" t="str">
            <v>STOCK MUERTO</v>
          </cell>
          <cell r="FY354" t="str">
            <v>Si</v>
          </cell>
        </row>
        <row r="355">
          <cell r="B355" t="str">
            <v>REP-0372</v>
          </cell>
          <cell r="C355" t="str">
            <v>MIX</v>
          </cell>
          <cell r="D355">
            <v>0</v>
          </cell>
          <cell r="E355">
            <v>0</v>
          </cell>
          <cell r="F355">
            <v>0</v>
          </cell>
          <cell r="G355">
            <v>3000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3000</v>
          </cell>
          <cell r="AA355">
            <v>3000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16.666666666666668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7.4535599249992996</v>
          </cell>
          <cell r="AM355">
            <v>0</v>
          </cell>
          <cell r="AN355">
            <v>0</v>
          </cell>
          <cell r="AO355">
            <v>0</v>
          </cell>
          <cell r="AP355">
            <v>3000</v>
          </cell>
          <cell r="AQ355">
            <v>179</v>
          </cell>
          <cell r="AR355">
            <v>0</v>
          </cell>
          <cell r="AS355">
            <v>2966.666666666667</v>
          </cell>
          <cell r="AT355">
            <v>3000</v>
          </cell>
          <cell r="AU355" t="str">
            <v/>
          </cell>
          <cell r="AV355">
            <v>0</v>
          </cell>
          <cell r="AW355">
            <v>3000</v>
          </cell>
          <cell r="AX355">
            <v>3000</v>
          </cell>
          <cell r="AY355" t="str">
            <v/>
          </cell>
          <cell r="AZ355">
            <v>0</v>
          </cell>
          <cell r="BA355">
            <v>3000</v>
          </cell>
          <cell r="BB355">
            <v>3000</v>
          </cell>
          <cell r="BC355" t="str">
            <v/>
          </cell>
          <cell r="BD355">
            <v>0</v>
          </cell>
          <cell r="BE355">
            <v>3000</v>
          </cell>
          <cell r="BF355" t="str">
            <v/>
          </cell>
          <cell r="BG355">
            <v>0</v>
          </cell>
          <cell r="BH355">
            <v>3000</v>
          </cell>
          <cell r="BI355">
            <v>3000</v>
          </cell>
          <cell r="BJ355" t="str">
            <v/>
          </cell>
          <cell r="BK355">
            <v>0</v>
          </cell>
          <cell r="BL355">
            <v>3000</v>
          </cell>
          <cell r="BM355">
            <v>3000</v>
          </cell>
          <cell r="BN355" t="str">
            <v/>
          </cell>
          <cell r="BO355">
            <v>0</v>
          </cell>
          <cell r="BP355">
            <v>3000</v>
          </cell>
          <cell r="BQ355">
            <v>3000</v>
          </cell>
          <cell r="BR355" t="str">
            <v/>
          </cell>
          <cell r="BS355">
            <v>0</v>
          </cell>
          <cell r="BT355">
            <v>3000</v>
          </cell>
          <cell r="BU355">
            <v>3000</v>
          </cell>
          <cell r="BV355" t="str">
            <v/>
          </cell>
          <cell r="BW355">
            <v>0</v>
          </cell>
          <cell r="BX355">
            <v>0</v>
          </cell>
          <cell r="BY355">
            <v>3000</v>
          </cell>
          <cell r="BZ355">
            <v>3000</v>
          </cell>
          <cell r="CA355" t="str">
            <v/>
          </cell>
          <cell r="CB355">
            <v>0</v>
          </cell>
          <cell r="CC355">
            <v>0</v>
          </cell>
          <cell r="CD355">
            <v>3000</v>
          </cell>
          <cell r="CE355">
            <v>3000</v>
          </cell>
          <cell r="CF355" t="str">
            <v/>
          </cell>
          <cell r="CG355">
            <v>0</v>
          </cell>
          <cell r="CH355">
            <v>0</v>
          </cell>
          <cell r="CI355">
            <v>3000</v>
          </cell>
          <cell r="CJ355">
            <v>3000</v>
          </cell>
          <cell r="CK355" t="str">
            <v/>
          </cell>
          <cell r="CL355">
            <v>0</v>
          </cell>
          <cell r="CM355">
            <v>0</v>
          </cell>
          <cell r="CN355">
            <v>3000</v>
          </cell>
          <cell r="CO355">
            <v>3000</v>
          </cell>
          <cell r="CP355" t="str">
            <v/>
          </cell>
          <cell r="CQ355">
            <v>0</v>
          </cell>
          <cell r="CR355">
            <v>0</v>
          </cell>
          <cell r="CS355">
            <v>3000</v>
          </cell>
          <cell r="CT355">
            <v>3000</v>
          </cell>
          <cell r="CU355" t="str">
            <v/>
          </cell>
          <cell r="CV355">
            <v>0</v>
          </cell>
          <cell r="CW355">
            <v>0</v>
          </cell>
          <cell r="CX355">
            <v>3000</v>
          </cell>
          <cell r="CY355">
            <v>3000</v>
          </cell>
          <cell r="CZ355" t="str">
            <v/>
          </cell>
          <cell r="DA355">
            <v>0</v>
          </cell>
          <cell r="DB355">
            <v>0</v>
          </cell>
          <cell r="DC355">
            <v>3000</v>
          </cell>
          <cell r="DD355">
            <v>3000</v>
          </cell>
          <cell r="DE355" t="str">
            <v/>
          </cell>
          <cell r="DF355">
            <v>0</v>
          </cell>
          <cell r="DG355">
            <v>0</v>
          </cell>
          <cell r="DH355">
            <v>3000</v>
          </cell>
          <cell r="DI355">
            <v>3000</v>
          </cell>
          <cell r="DJ355" t="str">
            <v/>
          </cell>
          <cell r="DK355">
            <v>0</v>
          </cell>
          <cell r="DL355">
            <v>0</v>
          </cell>
          <cell r="DM355">
            <v>3000</v>
          </cell>
          <cell r="DN355">
            <v>3000</v>
          </cell>
          <cell r="DO355" t="str">
            <v/>
          </cell>
          <cell r="DP355">
            <v>0</v>
          </cell>
          <cell r="DQ355">
            <v>0</v>
          </cell>
          <cell r="DR355">
            <v>3000</v>
          </cell>
          <cell r="DS355">
            <v>3000</v>
          </cell>
          <cell r="DT355" t="str">
            <v/>
          </cell>
          <cell r="DU355">
            <v>0</v>
          </cell>
          <cell r="DV355">
            <v>0</v>
          </cell>
          <cell r="DW355">
            <v>3000</v>
          </cell>
          <cell r="DX355">
            <v>3000</v>
          </cell>
          <cell r="DY355" t="str">
            <v/>
          </cell>
          <cell r="DZ355">
            <v>0</v>
          </cell>
          <cell r="EA355">
            <v>0</v>
          </cell>
          <cell r="EB355">
            <v>3000</v>
          </cell>
          <cell r="EC355">
            <v>3000</v>
          </cell>
          <cell r="ED355" t="str">
            <v/>
          </cell>
          <cell r="EE355">
            <v>0</v>
          </cell>
          <cell r="EF355">
            <v>0</v>
          </cell>
          <cell r="EG355">
            <v>3000</v>
          </cell>
          <cell r="EH355">
            <v>3000</v>
          </cell>
          <cell r="EI355" t="str">
            <v/>
          </cell>
          <cell r="EJ355">
            <v>0</v>
          </cell>
          <cell r="EK355">
            <v>0</v>
          </cell>
          <cell r="EL355">
            <v>3000</v>
          </cell>
          <cell r="EM355">
            <v>3000</v>
          </cell>
          <cell r="EN355" t="str">
            <v/>
          </cell>
          <cell r="EO355">
            <v>0</v>
          </cell>
          <cell r="EP355">
            <v>0</v>
          </cell>
          <cell r="EQ355">
            <v>3000</v>
          </cell>
          <cell r="ER355">
            <v>3000</v>
          </cell>
          <cell r="ES355" t="str">
            <v/>
          </cell>
          <cell r="ET355">
            <v>0</v>
          </cell>
          <cell r="EU355">
            <v>0</v>
          </cell>
          <cell r="EV355">
            <v>3000</v>
          </cell>
          <cell r="EW355">
            <v>3000</v>
          </cell>
          <cell r="EX355" t="str">
            <v/>
          </cell>
          <cell r="EY355">
            <v>0</v>
          </cell>
          <cell r="EZ355">
            <v>0</v>
          </cell>
          <cell r="FA355">
            <v>3000</v>
          </cell>
          <cell r="FB355">
            <v>3000</v>
          </cell>
          <cell r="FC355" t="str">
            <v/>
          </cell>
          <cell r="FD355">
            <v>0</v>
          </cell>
          <cell r="FE355">
            <v>0</v>
          </cell>
          <cell r="FF355">
            <v>3000</v>
          </cell>
          <cell r="FG355">
            <v>3000</v>
          </cell>
          <cell r="FH355" t="str">
            <v/>
          </cell>
          <cell r="FI355">
            <v>0</v>
          </cell>
          <cell r="FJ355">
            <v>0</v>
          </cell>
          <cell r="FK355">
            <v>3000</v>
          </cell>
          <cell r="FL355">
            <v>3000</v>
          </cell>
          <cell r="FM355" t="str">
            <v/>
          </cell>
          <cell r="FN355">
            <v>0</v>
          </cell>
          <cell r="FO355">
            <v>0</v>
          </cell>
          <cell r="FP355">
            <v>3000</v>
          </cell>
          <cell r="FQ355">
            <v>3000</v>
          </cell>
          <cell r="FR355" t="str">
            <v/>
          </cell>
          <cell r="FS355">
            <v>0</v>
          </cell>
          <cell r="FT355">
            <v>0</v>
          </cell>
          <cell r="FU355">
            <v>2.0333333333333332</v>
          </cell>
          <cell r="FW355" t="str">
            <v>SIN ROTACIÓN</v>
          </cell>
          <cell r="FX355" t="str">
            <v>A</v>
          </cell>
          <cell r="FY355" t="str">
            <v>Si</v>
          </cell>
        </row>
        <row r="356">
          <cell r="B356" t="str">
            <v>REP-0373</v>
          </cell>
          <cell r="C356" t="str">
            <v>OSBORNE</v>
          </cell>
          <cell r="D356">
            <v>0</v>
          </cell>
          <cell r="E356">
            <v>0</v>
          </cell>
          <cell r="F356">
            <v>0</v>
          </cell>
          <cell r="G356">
            <v>1600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1600</v>
          </cell>
          <cell r="AA356">
            <v>1600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16.666666666666668</v>
          </cell>
          <cell r="AI356">
            <v>141.66666666666666</v>
          </cell>
          <cell r="AJ356">
            <v>141.66666666666666</v>
          </cell>
          <cell r="AK356">
            <v>141.66666666666666</v>
          </cell>
          <cell r="AL356">
            <v>77.28015412913085</v>
          </cell>
          <cell r="AM356">
            <v>75</v>
          </cell>
          <cell r="AN356">
            <v>1.0304020550550781</v>
          </cell>
          <cell r="AO356">
            <v>0</v>
          </cell>
          <cell r="AP356">
            <v>2977.7777777777778</v>
          </cell>
          <cell r="AQ356" t="str">
            <v/>
          </cell>
          <cell r="AR356">
            <v>0</v>
          </cell>
          <cell r="AS356">
            <v>3000</v>
          </cell>
          <cell r="AT356">
            <v>3000</v>
          </cell>
          <cell r="AU356" t="str">
            <v/>
          </cell>
          <cell r="AV356">
            <v>0</v>
          </cell>
          <cell r="AW356">
            <v>3000</v>
          </cell>
          <cell r="AX356">
            <v>2800</v>
          </cell>
          <cell r="AY356">
            <v>19.764705882352942</v>
          </cell>
          <cell r="AZ356">
            <v>0</v>
          </cell>
          <cell r="BA356">
            <v>2800</v>
          </cell>
          <cell r="BB356">
            <v>2800</v>
          </cell>
          <cell r="BC356">
            <v>42</v>
          </cell>
          <cell r="BD356">
            <v>0</v>
          </cell>
          <cell r="BE356">
            <v>2733.3333333333335</v>
          </cell>
          <cell r="BF356">
            <v>41</v>
          </cell>
          <cell r="BG356">
            <v>0</v>
          </cell>
          <cell r="BH356">
            <v>2666.666666666667</v>
          </cell>
          <cell r="BI356">
            <v>1600</v>
          </cell>
          <cell r="BJ356">
            <v>11.294117647058824</v>
          </cell>
          <cell r="BK356">
            <v>0</v>
          </cell>
          <cell r="BL356">
            <v>2766.6666666666665</v>
          </cell>
          <cell r="BM356">
            <v>2800</v>
          </cell>
          <cell r="BN356">
            <v>84</v>
          </cell>
          <cell r="BO356">
            <v>0</v>
          </cell>
          <cell r="BP356">
            <v>2766.6666666666665</v>
          </cell>
          <cell r="BQ356">
            <v>2800</v>
          </cell>
          <cell r="BR356">
            <v>19.764705882352942</v>
          </cell>
          <cell r="BS356">
            <v>0</v>
          </cell>
          <cell r="BT356">
            <v>2766.6666666666665</v>
          </cell>
          <cell r="BU356">
            <v>2800</v>
          </cell>
          <cell r="BV356">
            <v>126</v>
          </cell>
          <cell r="BW356">
            <v>0</v>
          </cell>
          <cell r="BX356">
            <v>0</v>
          </cell>
          <cell r="BY356">
            <v>2777.7777777777778</v>
          </cell>
          <cell r="BZ356">
            <v>2800</v>
          </cell>
          <cell r="CA356">
            <v>140</v>
          </cell>
          <cell r="CB356">
            <v>0</v>
          </cell>
          <cell r="CC356">
            <v>0</v>
          </cell>
          <cell r="CD356">
            <v>2780</v>
          </cell>
          <cell r="CE356">
            <v>2800</v>
          </cell>
          <cell r="CF356">
            <v>154</v>
          </cell>
          <cell r="CG356">
            <v>0</v>
          </cell>
          <cell r="CH356">
            <v>0</v>
          </cell>
          <cell r="CI356">
            <v>2761.818181818182</v>
          </cell>
          <cell r="CJ356">
            <v>2350</v>
          </cell>
          <cell r="CK356">
            <v>141</v>
          </cell>
          <cell r="CL356">
            <v>0</v>
          </cell>
          <cell r="CM356">
            <v>0</v>
          </cell>
          <cell r="CN356">
            <v>2333.3333333333335</v>
          </cell>
          <cell r="CO356">
            <v>2300</v>
          </cell>
          <cell r="CP356">
            <v>46</v>
          </cell>
          <cell r="CQ356">
            <v>0</v>
          </cell>
          <cell r="CR356">
            <v>0</v>
          </cell>
          <cell r="CS356">
            <v>2250</v>
          </cell>
          <cell r="CT356">
            <v>2100</v>
          </cell>
          <cell r="CU356">
            <v>16.8</v>
          </cell>
          <cell r="CV356">
            <v>0</v>
          </cell>
          <cell r="CW356">
            <v>0</v>
          </cell>
          <cell r="CX356">
            <v>1975</v>
          </cell>
          <cell r="CY356">
            <v>1600</v>
          </cell>
          <cell r="CZ356">
            <v>8.7272727272727266</v>
          </cell>
          <cell r="DA356">
            <v>0</v>
          </cell>
          <cell r="DB356">
            <v>0</v>
          </cell>
          <cell r="DC356">
            <v>1462.5</v>
          </cell>
          <cell r="DD356">
            <v>1700</v>
          </cell>
          <cell r="DE356">
            <v>8.1280000000000001</v>
          </cell>
          <cell r="DF356">
            <v>0</v>
          </cell>
          <cell r="DG356">
            <v>0</v>
          </cell>
          <cell r="DH356">
            <v>1512.5</v>
          </cell>
          <cell r="DI356">
            <v>1600</v>
          </cell>
          <cell r="DJ356">
            <v>10.376470588235295</v>
          </cell>
          <cell r="DK356">
            <v>0</v>
          </cell>
          <cell r="DL356">
            <v>0</v>
          </cell>
          <cell r="DM356">
            <v>1342.5</v>
          </cell>
          <cell r="DN356">
            <v>1600</v>
          </cell>
          <cell r="DO356">
            <v>12.256470588235295</v>
          </cell>
          <cell r="DP356">
            <v>0</v>
          </cell>
          <cell r="DQ356">
            <v>0</v>
          </cell>
          <cell r="DR356">
            <v>1458.3333333333333</v>
          </cell>
          <cell r="DS356">
            <v>1458.3333333333333</v>
          </cell>
          <cell r="DT356">
            <v>11.256470588235294</v>
          </cell>
          <cell r="DU356">
            <v>0</v>
          </cell>
          <cell r="DV356">
            <v>0</v>
          </cell>
          <cell r="DW356">
            <v>1316.6666666666665</v>
          </cell>
          <cell r="DX356">
            <v>1316.6666666666665</v>
          </cell>
          <cell r="DY356">
            <v>10.256470588235294</v>
          </cell>
          <cell r="DZ356">
            <v>0</v>
          </cell>
          <cell r="EA356">
            <v>0</v>
          </cell>
          <cell r="EB356">
            <v>1174.9999999999998</v>
          </cell>
          <cell r="EC356">
            <v>1174.9999999999998</v>
          </cell>
          <cell r="ED356">
            <v>9.2564705882352918</v>
          </cell>
          <cell r="EE356">
            <v>0</v>
          </cell>
          <cell r="EF356">
            <v>0</v>
          </cell>
          <cell r="EG356">
            <v>1033.333333333333</v>
          </cell>
          <cell r="EH356">
            <v>1033.333333333333</v>
          </cell>
          <cell r="EI356">
            <v>8.2564705882352918</v>
          </cell>
          <cell r="EJ356">
            <v>0</v>
          </cell>
          <cell r="EK356">
            <v>0</v>
          </cell>
          <cell r="EL356">
            <v>891.6666666666664</v>
          </cell>
          <cell r="EM356">
            <v>891.6666666666664</v>
          </cell>
          <cell r="EN356">
            <v>7.2564705882352927</v>
          </cell>
          <cell r="EO356">
            <v>0</v>
          </cell>
          <cell r="EP356">
            <v>2000</v>
          </cell>
          <cell r="EQ356">
            <v>2750</v>
          </cell>
          <cell r="ER356">
            <v>2750</v>
          </cell>
          <cell r="ES356">
            <v>20.374117647058824</v>
          </cell>
          <cell r="ET356">
            <v>0</v>
          </cell>
          <cell r="EU356">
            <v>0</v>
          </cell>
          <cell r="EV356">
            <v>2608.3333333333335</v>
          </cell>
          <cell r="EW356">
            <v>2608.3333333333335</v>
          </cell>
          <cell r="EX356">
            <v>19.374117647058824</v>
          </cell>
          <cell r="EY356">
            <v>0</v>
          </cell>
          <cell r="EZ356">
            <v>0</v>
          </cell>
          <cell r="FA356">
            <v>2466.666666666667</v>
          </cell>
          <cell r="FB356">
            <v>2466.666666666667</v>
          </cell>
          <cell r="FC356">
            <v>18.374117647058828</v>
          </cell>
          <cell r="FD356">
            <v>0</v>
          </cell>
          <cell r="FE356">
            <v>0</v>
          </cell>
          <cell r="FF356">
            <v>2325.0000000000005</v>
          </cell>
          <cell r="FG356">
            <v>2325.0000000000005</v>
          </cell>
          <cell r="FH356">
            <v>17.374117647058828</v>
          </cell>
          <cell r="FI356">
            <v>0</v>
          </cell>
          <cell r="FJ356">
            <v>0</v>
          </cell>
          <cell r="FK356">
            <v>2183.3333333333339</v>
          </cell>
          <cell r="FL356">
            <v>2183.3333333333339</v>
          </cell>
          <cell r="FM356">
            <v>16.374117647058828</v>
          </cell>
          <cell r="FN356">
            <v>0</v>
          </cell>
          <cell r="FO356">
            <v>0</v>
          </cell>
          <cell r="FP356">
            <v>2041.6666666666672</v>
          </cell>
          <cell r="FQ356">
            <v>2041.6666666666672</v>
          </cell>
          <cell r="FR356">
            <v>15.374117647058828</v>
          </cell>
          <cell r="FS356">
            <v>0</v>
          </cell>
          <cell r="FT356">
            <v>147</v>
          </cell>
          <cell r="FU356">
            <v>1.0333333333333334</v>
          </cell>
          <cell r="FW356" t="str">
            <v>SOBRESTOCK</v>
          </cell>
          <cell r="FX356" t="str">
            <v>A</v>
          </cell>
          <cell r="FY356" t="str">
            <v>Si</v>
          </cell>
        </row>
        <row r="357">
          <cell r="B357" t="str">
            <v>REP-0374</v>
          </cell>
          <cell r="C357" t="str">
            <v>MIX</v>
          </cell>
          <cell r="D357">
            <v>0</v>
          </cell>
          <cell r="E357">
            <v>48</v>
          </cell>
          <cell r="F357">
            <v>0</v>
          </cell>
          <cell r="G357">
            <v>0</v>
          </cell>
          <cell r="H357">
            <v>10</v>
          </cell>
          <cell r="I357">
            <v>10</v>
          </cell>
          <cell r="J357">
            <v>0</v>
          </cell>
          <cell r="K357">
            <v>7</v>
          </cell>
          <cell r="L357">
            <v>0</v>
          </cell>
          <cell r="M357">
            <v>3</v>
          </cell>
          <cell r="N357">
            <v>1</v>
          </cell>
          <cell r="O357">
            <v>1</v>
          </cell>
          <cell r="P357">
            <v>0</v>
          </cell>
          <cell r="Q357">
            <v>1</v>
          </cell>
          <cell r="R357">
            <v>0</v>
          </cell>
          <cell r="S357">
            <v>2</v>
          </cell>
          <cell r="T357">
            <v>1</v>
          </cell>
          <cell r="U357">
            <v>0</v>
          </cell>
          <cell r="V357">
            <v>0</v>
          </cell>
          <cell r="W357">
            <v>1</v>
          </cell>
          <cell r="X357">
            <v>0</v>
          </cell>
          <cell r="Y357">
            <v>85</v>
          </cell>
          <cell r="AA357">
            <v>85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0.16666666666666666</v>
          </cell>
          <cell r="AG357">
            <v>0.25</v>
          </cell>
          <cell r="AH357">
            <v>1.6666666666666667</v>
          </cell>
          <cell r="AI357">
            <v>2.1666666666666665</v>
          </cell>
          <cell r="AJ357">
            <v>2.1666666666666665</v>
          </cell>
          <cell r="AK357">
            <v>2.1666666666666665</v>
          </cell>
          <cell r="AL357">
            <v>0.90619013212214727</v>
          </cell>
          <cell r="AM357">
            <v>1.5625</v>
          </cell>
          <cell r="AN357">
            <v>0.57996168455817421</v>
          </cell>
          <cell r="AO357">
            <v>0</v>
          </cell>
          <cell r="AP357">
            <v>13</v>
          </cell>
          <cell r="AQ357">
            <v>59</v>
          </cell>
          <cell r="AR357">
            <v>0</v>
          </cell>
          <cell r="AS357">
            <v>14.666666666666668</v>
          </cell>
          <cell r="AT357">
            <v>15</v>
          </cell>
          <cell r="AU357">
            <v>60</v>
          </cell>
          <cell r="AV357">
            <v>0</v>
          </cell>
          <cell r="AW357">
            <v>14.75</v>
          </cell>
          <cell r="AX357">
            <v>15</v>
          </cell>
          <cell r="AY357">
            <v>6.9230769230769234</v>
          </cell>
          <cell r="AZ357">
            <v>0</v>
          </cell>
          <cell r="BA357">
            <v>14.75</v>
          </cell>
          <cell r="BB357">
            <v>15</v>
          </cell>
          <cell r="BC357">
            <v>60</v>
          </cell>
          <cell r="BD357">
            <v>0</v>
          </cell>
          <cell r="BE357">
            <v>14.75</v>
          </cell>
          <cell r="BF357">
            <v>59</v>
          </cell>
          <cell r="BG357">
            <v>0</v>
          </cell>
          <cell r="BH357">
            <v>14.5</v>
          </cell>
          <cell r="BI357">
            <v>85</v>
          </cell>
          <cell r="BJ357">
            <v>39.230769230769234</v>
          </cell>
          <cell r="BK357">
            <v>0</v>
          </cell>
          <cell r="BL357">
            <v>13.75</v>
          </cell>
          <cell r="BM357">
            <v>11</v>
          </cell>
          <cell r="BN357">
            <v>16.5</v>
          </cell>
          <cell r="BO357">
            <v>0</v>
          </cell>
          <cell r="BP357">
            <v>10.333333333333334</v>
          </cell>
          <cell r="BQ357">
            <v>8</v>
          </cell>
          <cell r="BR357">
            <v>3.6923076923076925</v>
          </cell>
          <cell r="BS357">
            <v>0</v>
          </cell>
          <cell r="BT357">
            <v>6.833333333333333</v>
          </cell>
          <cell r="BU357">
            <v>5</v>
          </cell>
          <cell r="BV357">
            <v>2.5</v>
          </cell>
          <cell r="BW357">
            <v>11</v>
          </cell>
          <cell r="BX357">
            <v>0</v>
          </cell>
          <cell r="BY357">
            <v>3</v>
          </cell>
          <cell r="BZ357">
            <v>4</v>
          </cell>
          <cell r="CA357">
            <v>1.8461538461538463</v>
          </cell>
          <cell r="CB357">
            <v>14</v>
          </cell>
          <cell r="CC357">
            <v>0</v>
          </cell>
          <cell r="CD357">
            <v>51.833333333333336</v>
          </cell>
          <cell r="CE357">
            <v>50</v>
          </cell>
          <cell r="CF357">
            <v>18.75</v>
          </cell>
          <cell r="CG357">
            <v>0</v>
          </cell>
          <cell r="CH357">
            <v>40</v>
          </cell>
          <cell r="CI357">
            <v>49.166666666666671</v>
          </cell>
          <cell r="CJ357">
            <v>87</v>
          </cell>
          <cell r="CK357">
            <v>27.473684210526319</v>
          </cell>
          <cell r="CL357">
            <v>0</v>
          </cell>
          <cell r="CM357">
            <v>0</v>
          </cell>
          <cell r="CN357">
            <v>83.833333333333329</v>
          </cell>
          <cell r="CO357">
            <v>84</v>
          </cell>
          <cell r="CP357">
            <v>26.526315789473685</v>
          </cell>
          <cell r="CQ357">
            <v>0</v>
          </cell>
          <cell r="CR357">
            <v>0</v>
          </cell>
          <cell r="CS357">
            <v>80.833333333333329</v>
          </cell>
          <cell r="CT357">
            <v>88</v>
          </cell>
          <cell r="CU357">
            <v>33</v>
          </cell>
          <cell r="CV357">
            <v>0</v>
          </cell>
          <cell r="CW357">
            <v>0</v>
          </cell>
          <cell r="CX357">
            <v>85.333333333333329</v>
          </cell>
          <cell r="CY357">
            <v>83</v>
          </cell>
          <cell r="CZ357">
            <v>31.125</v>
          </cell>
          <cell r="DA357">
            <v>0</v>
          </cell>
          <cell r="DB357">
            <v>0</v>
          </cell>
          <cell r="DC357">
            <v>80</v>
          </cell>
          <cell r="DD357">
            <v>82</v>
          </cell>
          <cell r="DE357">
            <v>24</v>
          </cell>
          <cell r="DF357">
            <v>0</v>
          </cell>
          <cell r="DG357">
            <v>0</v>
          </cell>
          <cell r="DH357">
            <v>78.833333333333329</v>
          </cell>
          <cell r="DI357">
            <v>82</v>
          </cell>
          <cell r="DJ357">
            <v>32.4</v>
          </cell>
          <cell r="DK357">
            <v>0</v>
          </cell>
          <cell r="DL357">
            <v>0</v>
          </cell>
          <cell r="DM357">
            <v>76.333333333333329</v>
          </cell>
          <cell r="DN357">
            <v>85</v>
          </cell>
          <cell r="DO357">
            <v>38.923076923076927</v>
          </cell>
          <cell r="DP357">
            <v>0</v>
          </cell>
          <cell r="DQ357">
            <v>0</v>
          </cell>
          <cell r="DR357">
            <v>82.833333333333329</v>
          </cell>
          <cell r="DS357">
            <v>82.833333333333329</v>
          </cell>
          <cell r="DT357">
            <v>37.92307692307692</v>
          </cell>
          <cell r="DU357">
            <v>0</v>
          </cell>
          <cell r="DV357">
            <v>0</v>
          </cell>
          <cell r="DW357">
            <v>80.666666666666657</v>
          </cell>
          <cell r="DX357">
            <v>80.666666666666657</v>
          </cell>
          <cell r="DY357">
            <v>36.92307692307692</v>
          </cell>
          <cell r="DZ357">
            <v>0</v>
          </cell>
          <cell r="EA357">
            <v>0</v>
          </cell>
          <cell r="EB357">
            <v>78.499999999999986</v>
          </cell>
          <cell r="EC357">
            <v>78.499999999999986</v>
          </cell>
          <cell r="ED357">
            <v>35.92307692307692</v>
          </cell>
          <cell r="EE357">
            <v>0</v>
          </cell>
          <cell r="EF357">
            <v>0</v>
          </cell>
          <cell r="EG357">
            <v>76.333333333333314</v>
          </cell>
          <cell r="EH357">
            <v>76.333333333333314</v>
          </cell>
          <cell r="EI357">
            <v>34.92307692307692</v>
          </cell>
          <cell r="EJ357">
            <v>0</v>
          </cell>
          <cell r="EK357">
            <v>0</v>
          </cell>
          <cell r="EL357">
            <v>74.166666666666643</v>
          </cell>
          <cell r="EM357">
            <v>74.166666666666643</v>
          </cell>
          <cell r="EN357">
            <v>33.923076923076913</v>
          </cell>
          <cell r="EO357">
            <v>0</v>
          </cell>
          <cell r="EP357">
            <v>0</v>
          </cell>
          <cell r="EQ357">
            <v>71.999999999999972</v>
          </cell>
          <cell r="ER357">
            <v>71.999999999999972</v>
          </cell>
          <cell r="ES357">
            <v>32.923076923076913</v>
          </cell>
          <cell r="ET357">
            <v>0</v>
          </cell>
          <cell r="EU357">
            <v>0</v>
          </cell>
          <cell r="EV357">
            <v>69.8333333333333</v>
          </cell>
          <cell r="EW357">
            <v>69.8333333333333</v>
          </cell>
          <cell r="EX357">
            <v>31.923076923076909</v>
          </cell>
          <cell r="EY357">
            <v>0</v>
          </cell>
          <cell r="EZ357">
            <v>0</v>
          </cell>
          <cell r="FA357">
            <v>67.666666666666629</v>
          </cell>
          <cell r="FB357">
            <v>67.666666666666629</v>
          </cell>
          <cell r="FC357">
            <v>30.923076923076909</v>
          </cell>
          <cell r="FD357">
            <v>0</v>
          </cell>
          <cell r="FE357">
            <v>0</v>
          </cell>
          <cell r="FF357">
            <v>65.499999999999957</v>
          </cell>
          <cell r="FG357">
            <v>65.499999999999957</v>
          </cell>
          <cell r="FH357">
            <v>29.923076923076906</v>
          </cell>
          <cell r="FI357">
            <v>0</v>
          </cell>
          <cell r="FJ357">
            <v>0</v>
          </cell>
          <cell r="FK357">
            <v>63.333333333333293</v>
          </cell>
          <cell r="FL357">
            <v>63.333333333333293</v>
          </cell>
          <cell r="FM357">
            <v>28.923076923076906</v>
          </cell>
          <cell r="FN357">
            <v>0</v>
          </cell>
          <cell r="FO357">
            <v>0</v>
          </cell>
          <cell r="FP357">
            <v>61.166666666666629</v>
          </cell>
          <cell r="FQ357">
            <v>61.166666666666629</v>
          </cell>
          <cell r="FR357">
            <v>27.923076923076906</v>
          </cell>
          <cell r="FS357">
            <v>0</v>
          </cell>
          <cell r="FT357">
            <v>5</v>
          </cell>
          <cell r="FU357">
            <v>2.0333333333333332</v>
          </cell>
          <cell r="FW357" t="str">
            <v>SOBRESTOCK</v>
          </cell>
          <cell r="FX357" t="str">
            <v>B</v>
          </cell>
          <cell r="FY357" t="str">
            <v>Si</v>
          </cell>
        </row>
        <row r="358">
          <cell r="B358" t="str">
            <v>REP-0375</v>
          </cell>
          <cell r="C358" t="str">
            <v>MIX</v>
          </cell>
          <cell r="D358">
            <v>0</v>
          </cell>
          <cell r="E358">
            <v>10</v>
          </cell>
          <cell r="F358">
            <v>0</v>
          </cell>
          <cell r="G358">
            <v>0</v>
          </cell>
          <cell r="H358">
            <v>1</v>
          </cell>
          <cell r="I358">
            <v>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12</v>
          </cell>
          <cell r="AA358">
            <v>12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8.3333333333333329E-2</v>
          </cell>
          <cell r="AG358">
            <v>0.16666666666666666</v>
          </cell>
          <cell r="AH358">
            <v>0.16666666666666666</v>
          </cell>
          <cell r="AI358">
            <v>0</v>
          </cell>
          <cell r="AJ358">
            <v>0</v>
          </cell>
          <cell r="AK358">
            <v>0.16666666666666666</v>
          </cell>
          <cell r="AL358">
            <v>9.6225044864937631E-2</v>
          </cell>
          <cell r="AM358">
            <v>8.3333333333333329E-2</v>
          </cell>
          <cell r="AN358">
            <v>1.1547005383792517</v>
          </cell>
          <cell r="AO358">
            <v>0</v>
          </cell>
          <cell r="AP358">
            <v>12.666666666666666</v>
          </cell>
          <cell r="AQ358">
            <v>77.000000000000014</v>
          </cell>
          <cell r="AR358">
            <v>0</v>
          </cell>
          <cell r="AS358">
            <v>12.666666666666668</v>
          </cell>
          <cell r="AT358">
            <v>13</v>
          </cell>
          <cell r="AU358">
            <v>78</v>
          </cell>
          <cell r="AV358">
            <v>0</v>
          </cell>
          <cell r="AW358">
            <v>12.833333333333334</v>
          </cell>
          <cell r="AX358">
            <v>13</v>
          </cell>
          <cell r="AY358">
            <v>78</v>
          </cell>
          <cell r="AZ358">
            <v>0</v>
          </cell>
          <cell r="BA358">
            <v>12.833333333333334</v>
          </cell>
          <cell r="BB358">
            <v>12</v>
          </cell>
          <cell r="BC358">
            <v>36</v>
          </cell>
          <cell r="BD358">
            <v>0</v>
          </cell>
          <cell r="BE358">
            <v>11.666666666666666</v>
          </cell>
          <cell r="BF358">
            <v>35</v>
          </cell>
          <cell r="BG358">
            <v>0</v>
          </cell>
          <cell r="BH358">
            <v>11.333333333333332</v>
          </cell>
          <cell r="BI358">
            <v>12</v>
          </cell>
          <cell r="BJ358">
            <v>72</v>
          </cell>
          <cell r="BK358">
            <v>0</v>
          </cell>
          <cell r="BL358">
            <v>11.833333333333334</v>
          </cell>
          <cell r="BM358">
            <v>11</v>
          </cell>
          <cell r="BN358">
            <v>33</v>
          </cell>
          <cell r="BO358">
            <v>0</v>
          </cell>
          <cell r="BP358">
            <v>10.666666666666666</v>
          </cell>
          <cell r="BQ358">
            <v>11</v>
          </cell>
          <cell r="BR358">
            <v>66</v>
          </cell>
          <cell r="BS358">
            <v>0</v>
          </cell>
          <cell r="BT358">
            <v>10.666666666666666</v>
          </cell>
          <cell r="BU358">
            <v>11</v>
          </cell>
          <cell r="BV358">
            <v>33</v>
          </cell>
          <cell r="BW358">
            <v>0</v>
          </cell>
          <cell r="BX358">
            <v>0</v>
          </cell>
          <cell r="BY358">
            <v>10.666666666666666</v>
          </cell>
          <cell r="BZ358">
            <v>11</v>
          </cell>
          <cell r="CA358">
            <v>55</v>
          </cell>
          <cell r="CB358">
            <v>0</v>
          </cell>
          <cell r="CC358">
            <v>0</v>
          </cell>
          <cell r="CD358">
            <v>10.8</v>
          </cell>
          <cell r="CE358">
            <v>11</v>
          </cell>
          <cell r="CF358">
            <v>60.5</v>
          </cell>
          <cell r="CG358">
            <v>0</v>
          </cell>
          <cell r="CH358">
            <v>0</v>
          </cell>
          <cell r="CI358">
            <v>10.618181818181819</v>
          </cell>
          <cell r="CJ358">
            <v>11</v>
          </cell>
          <cell r="CK358">
            <v>66</v>
          </cell>
          <cell r="CL358">
            <v>0</v>
          </cell>
          <cell r="CM358">
            <v>0</v>
          </cell>
          <cell r="CN358">
            <v>10.833333333333334</v>
          </cell>
          <cell r="CO358">
            <v>11</v>
          </cell>
          <cell r="CP358">
            <v>66</v>
          </cell>
          <cell r="CQ358">
            <v>0</v>
          </cell>
          <cell r="CR358">
            <v>0</v>
          </cell>
          <cell r="CS358">
            <v>10.833333333333334</v>
          </cell>
          <cell r="CT358">
            <v>11</v>
          </cell>
          <cell r="CU358">
            <v>66</v>
          </cell>
          <cell r="CV358">
            <v>0</v>
          </cell>
          <cell r="CW358">
            <v>0</v>
          </cell>
          <cell r="CX358">
            <v>10.833333333333334</v>
          </cell>
          <cell r="CY358">
            <v>11</v>
          </cell>
          <cell r="CZ358">
            <v>66</v>
          </cell>
          <cell r="DA358">
            <v>0</v>
          </cell>
          <cell r="DB358">
            <v>0</v>
          </cell>
          <cell r="DC358">
            <v>10.833333333333334</v>
          </cell>
          <cell r="DD358">
            <v>11</v>
          </cell>
          <cell r="DE358">
            <v>60</v>
          </cell>
          <cell r="DF358">
            <v>0</v>
          </cell>
          <cell r="DG358">
            <v>0</v>
          </cell>
          <cell r="DH358">
            <v>10.833333333333334</v>
          </cell>
          <cell r="DI358">
            <v>11</v>
          </cell>
          <cell r="DJ358">
            <v>62</v>
          </cell>
          <cell r="DK358">
            <v>0</v>
          </cell>
          <cell r="DL358">
            <v>0</v>
          </cell>
          <cell r="DM358">
            <v>10.666666666666668</v>
          </cell>
          <cell r="DN358">
            <v>12</v>
          </cell>
          <cell r="DO358">
            <v>68</v>
          </cell>
          <cell r="DP358">
            <v>0</v>
          </cell>
          <cell r="DQ358">
            <v>0</v>
          </cell>
          <cell r="DR358">
            <v>11.833333333333334</v>
          </cell>
          <cell r="DS358">
            <v>11.833333333333334</v>
          </cell>
          <cell r="DT358">
            <v>67.000000000000014</v>
          </cell>
          <cell r="DU358">
            <v>0</v>
          </cell>
          <cell r="DV358">
            <v>0</v>
          </cell>
          <cell r="DW358">
            <v>11.666666666666668</v>
          </cell>
          <cell r="DX358">
            <v>11.666666666666668</v>
          </cell>
          <cell r="DY358">
            <v>66.000000000000014</v>
          </cell>
          <cell r="DZ358">
            <v>0</v>
          </cell>
          <cell r="EA358">
            <v>0</v>
          </cell>
          <cell r="EB358">
            <v>11.500000000000002</v>
          </cell>
          <cell r="EC358">
            <v>11.500000000000002</v>
          </cell>
          <cell r="ED358">
            <v>65.000000000000014</v>
          </cell>
          <cell r="EE358">
            <v>0</v>
          </cell>
          <cell r="EF358">
            <v>0</v>
          </cell>
          <cell r="EG358">
            <v>11.333333333333336</v>
          </cell>
          <cell r="EH358">
            <v>11.333333333333336</v>
          </cell>
          <cell r="EI358">
            <v>64.000000000000014</v>
          </cell>
          <cell r="EJ358">
            <v>0</v>
          </cell>
          <cell r="EK358">
            <v>0</v>
          </cell>
          <cell r="EL358">
            <v>11.16666666666667</v>
          </cell>
          <cell r="EM358">
            <v>11.16666666666667</v>
          </cell>
          <cell r="EN358">
            <v>63.000000000000021</v>
          </cell>
          <cell r="EO358">
            <v>0</v>
          </cell>
          <cell r="EP358">
            <v>0</v>
          </cell>
          <cell r="EQ358">
            <v>11.000000000000004</v>
          </cell>
          <cell r="ER358">
            <v>11.000000000000004</v>
          </cell>
          <cell r="ES358">
            <v>62.000000000000021</v>
          </cell>
          <cell r="ET358">
            <v>0</v>
          </cell>
          <cell r="EU358">
            <v>0</v>
          </cell>
          <cell r="EV358">
            <v>10.833333333333337</v>
          </cell>
          <cell r="EW358">
            <v>10.833333333333337</v>
          </cell>
          <cell r="EX358">
            <v>61.000000000000028</v>
          </cell>
          <cell r="EY358">
            <v>0</v>
          </cell>
          <cell r="EZ358">
            <v>0</v>
          </cell>
          <cell r="FA358">
            <v>10.666666666666671</v>
          </cell>
          <cell r="FB358">
            <v>10.666666666666671</v>
          </cell>
          <cell r="FC358">
            <v>60.000000000000028</v>
          </cell>
          <cell r="FD358">
            <v>0</v>
          </cell>
          <cell r="FE358">
            <v>0</v>
          </cell>
          <cell r="FF358">
            <v>10.500000000000005</v>
          </cell>
          <cell r="FG358">
            <v>10.500000000000005</v>
          </cell>
          <cell r="FH358">
            <v>59.000000000000036</v>
          </cell>
          <cell r="FI358">
            <v>0</v>
          </cell>
          <cell r="FJ358">
            <v>0</v>
          </cell>
          <cell r="FK358">
            <v>10.333333333333339</v>
          </cell>
          <cell r="FL358">
            <v>10.333333333333339</v>
          </cell>
          <cell r="FM358">
            <v>58.000000000000036</v>
          </cell>
          <cell r="FN358">
            <v>0</v>
          </cell>
          <cell r="FO358">
            <v>0</v>
          </cell>
          <cell r="FP358">
            <v>10.166666666666673</v>
          </cell>
          <cell r="FQ358">
            <v>10.166666666666673</v>
          </cell>
          <cell r="FR358">
            <v>57.000000000000043</v>
          </cell>
          <cell r="FS358">
            <v>0</v>
          </cell>
          <cell r="FT358">
            <v>1</v>
          </cell>
          <cell r="FU358">
            <v>2.0333333333333332</v>
          </cell>
          <cell r="FW358" t="str">
            <v>SIN ROTACIÓN</v>
          </cell>
          <cell r="FX358" t="str">
            <v>C</v>
          </cell>
          <cell r="FY358" t="str">
            <v>Si</v>
          </cell>
        </row>
        <row r="359">
          <cell r="B359" t="str">
            <v>REP-0376</v>
          </cell>
          <cell r="C359" t="str">
            <v>MIX</v>
          </cell>
          <cell r="D359">
            <v>0</v>
          </cell>
          <cell r="E359">
            <v>2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2</v>
          </cell>
          <cell r="AA359">
            <v>2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2</v>
          </cell>
          <cell r="AQ359" t="str">
            <v/>
          </cell>
          <cell r="AR359">
            <v>0</v>
          </cell>
          <cell r="AS359">
            <v>2</v>
          </cell>
          <cell r="AT359">
            <v>2</v>
          </cell>
          <cell r="AU359" t="str">
            <v/>
          </cell>
          <cell r="AV359">
            <v>0</v>
          </cell>
          <cell r="AW359">
            <v>2</v>
          </cell>
          <cell r="AX359">
            <v>2</v>
          </cell>
          <cell r="AY359" t="str">
            <v/>
          </cell>
          <cell r="AZ359">
            <v>0</v>
          </cell>
          <cell r="BA359">
            <v>2</v>
          </cell>
          <cell r="BB359">
            <v>2</v>
          </cell>
          <cell r="BC359" t="str">
            <v/>
          </cell>
          <cell r="BD359">
            <v>0</v>
          </cell>
          <cell r="BE359">
            <v>2</v>
          </cell>
          <cell r="BF359" t="str">
            <v/>
          </cell>
          <cell r="BG359">
            <v>0</v>
          </cell>
          <cell r="BH359">
            <v>2</v>
          </cell>
          <cell r="BI359">
            <v>2</v>
          </cell>
          <cell r="BJ359" t="str">
            <v/>
          </cell>
          <cell r="BK359">
            <v>0</v>
          </cell>
          <cell r="BL359">
            <v>2</v>
          </cell>
          <cell r="BM359">
            <v>2</v>
          </cell>
          <cell r="BN359" t="str">
            <v/>
          </cell>
          <cell r="BO359">
            <v>0</v>
          </cell>
          <cell r="BP359">
            <v>2</v>
          </cell>
          <cell r="BQ359">
            <v>2</v>
          </cell>
          <cell r="BR359" t="str">
            <v/>
          </cell>
          <cell r="BS359">
            <v>0</v>
          </cell>
          <cell r="BT359">
            <v>2</v>
          </cell>
          <cell r="BU359">
            <v>2</v>
          </cell>
          <cell r="BV359" t="str">
            <v/>
          </cell>
          <cell r="BW359">
            <v>0</v>
          </cell>
          <cell r="BX359">
            <v>0</v>
          </cell>
          <cell r="BY359">
            <v>2</v>
          </cell>
          <cell r="BZ359">
            <v>2</v>
          </cell>
          <cell r="CA359" t="str">
            <v/>
          </cell>
          <cell r="CB359">
            <v>0</v>
          </cell>
          <cell r="CC359">
            <v>0</v>
          </cell>
          <cell r="CD359">
            <v>2</v>
          </cell>
          <cell r="CE359">
            <v>2</v>
          </cell>
          <cell r="CF359" t="str">
            <v/>
          </cell>
          <cell r="CG359">
            <v>0</v>
          </cell>
          <cell r="CH359">
            <v>0</v>
          </cell>
          <cell r="CI359">
            <v>2</v>
          </cell>
          <cell r="CJ359">
            <v>2</v>
          </cell>
          <cell r="CK359" t="str">
            <v/>
          </cell>
          <cell r="CL359">
            <v>0</v>
          </cell>
          <cell r="CM359">
            <v>0</v>
          </cell>
          <cell r="CN359">
            <v>2</v>
          </cell>
          <cell r="CO359">
            <v>2</v>
          </cell>
          <cell r="CP359" t="str">
            <v/>
          </cell>
          <cell r="CQ359">
            <v>0</v>
          </cell>
          <cell r="CR359">
            <v>0</v>
          </cell>
          <cell r="CS359">
            <v>2</v>
          </cell>
          <cell r="CT359">
            <v>2</v>
          </cell>
          <cell r="CU359" t="str">
            <v/>
          </cell>
          <cell r="CV359">
            <v>0</v>
          </cell>
          <cell r="CW359">
            <v>0</v>
          </cell>
          <cell r="CX359">
            <v>2</v>
          </cell>
          <cell r="CY359">
            <v>2</v>
          </cell>
          <cell r="CZ359" t="str">
            <v/>
          </cell>
          <cell r="DA359">
            <v>0</v>
          </cell>
          <cell r="DB359">
            <v>0</v>
          </cell>
          <cell r="DC359">
            <v>2</v>
          </cell>
          <cell r="DD359">
            <v>2</v>
          </cell>
          <cell r="DE359" t="str">
            <v/>
          </cell>
          <cell r="DF359">
            <v>0</v>
          </cell>
          <cell r="DG359">
            <v>0</v>
          </cell>
          <cell r="DH359">
            <v>2</v>
          </cell>
          <cell r="DI359">
            <v>2</v>
          </cell>
          <cell r="DJ359" t="str">
            <v/>
          </cell>
          <cell r="DK359">
            <v>0</v>
          </cell>
          <cell r="DL359">
            <v>0</v>
          </cell>
          <cell r="DM359">
            <v>2</v>
          </cell>
          <cell r="DN359">
            <v>2</v>
          </cell>
          <cell r="DO359" t="str">
            <v/>
          </cell>
          <cell r="DP359">
            <v>0</v>
          </cell>
          <cell r="DQ359">
            <v>0</v>
          </cell>
          <cell r="DR359">
            <v>2</v>
          </cell>
          <cell r="DS359">
            <v>2</v>
          </cell>
          <cell r="DT359" t="str">
            <v/>
          </cell>
          <cell r="DU359">
            <v>0</v>
          </cell>
          <cell r="DV359">
            <v>0</v>
          </cell>
          <cell r="DW359">
            <v>2</v>
          </cell>
          <cell r="DX359">
            <v>2</v>
          </cell>
          <cell r="DY359" t="str">
            <v/>
          </cell>
          <cell r="DZ359">
            <v>0</v>
          </cell>
          <cell r="EA359">
            <v>0</v>
          </cell>
          <cell r="EB359">
            <v>2</v>
          </cell>
          <cell r="EC359">
            <v>2</v>
          </cell>
          <cell r="ED359" t="str">
            <v/>
          </cell>
          <cell r="EE359">
            <v>0</v>
          </cell>
          <cell r="EF359">
            <v>0</v>
          </cell>
          <cell r="EG359">
            <v>2</v>
          </cell>
          <cell r="EH359">
            <v>2</v>
          </cell>
          <cell r="EI359" t="str">
            <v/>
          </cell>
          <cell r="EJ359">
            <v>0</v>
          </cell>
          <cell r="EK359">
            <v>0</v>
          </cell>
          <cell r="EL359">
            <v>2</v>
          </cell>
          <cell r="EM359">
            <v>2</v>
          </cell>
          <cell r="EN359" t="str">
            <v/>
          </cell>
          <cell r="EO359">
            <v>0</v>
          </cell>
          <cell r="EP359">
            <v>0</v>
          </cell>
          <cell r="EQ359">
            <v>2</v>
          </cell>
          <cell r="ER359">
            <v>2</v>
          </cell>
          <cell r="ES359" t="str">
            <v/>
          </cell>
          <cell r="ET359">
            <v>0</v>
          </cell>
          <cell r="EU359">
            <v>0</v>
          </cell>
          <cell r="EV359">
            <v>2</v>
          </cell>
          <cell r="EW359">
            <v>2</v>
          </cell>
          <cell r="EX359" t="str">
            <v/>
          </cell>
          <cell r="EY359">
            <v>0</v>
          </cell>
          <cell r="EZ359">
            <v>0</v>
          </cell>
          <cell r="FA359">
            <v>2</v>
          </cell>
          <cell r="FB359">
            <v>2</v>
          </cell>
          <cell r="FC359" t="str">
            <v/>
          </cell>
          <cell r="FD359">
            <v>0</v>
          </cell>
          <cell r="FE359">
            <v>0</v>
          </cell>
          <cell r="FF359">
            <v>2</v>
          </cell>
          <cell r="FG359">
            <v>2</v>
          </cell>
          <cell r="FH359" t="str">
            <v/>
          </cell>
          <cell r="FI359">
            <v>0</v>
          </cell>
          <cell r="FJ359">
            <v>0</v>
          </cell>
          <cell r="FK359">
            <v>2</v>
          </cell>
          <cell r="FL359">
            <v>2</v>
          </cell>
          <cell r="FM359" t="str">
            <v/>
          </cell>
          <cell r="FN359">
            <v>0</v>
          </cell>
          <cell r="FO359">
            <v>0</v>
          </cell>
          <cell r="FP359">
            <v>2</v>
          </cell>
          <cell r="FQ359">
            <v>2</v>
          </cell>
          <cell r="FR359" t="str">
            <v/>
          </cell>
          <cell r="FS359">
            <v>0</v>
          </cell>
          <cell r="FT359">
            <v>0</v>
          </cell>
          <cell r="FU359">
            <v>2.0333333333333332</v>
          </cell>
          <cell r="FW359" t="str">
            <v>SIN ROTACIÓN</v>
          </cell>
          <cell r="FX359" t="str">
            <v>STOCK MUERTO</v>
          </cell>
          <cell r="FY359" t="str">
            <v>Si</v>
          </cell>
        </row>
        <row r="360">
          <cell r="B360" t="str">
            <v>REP-0377</v>
          </cell>
          <cell r="C360" t="str">
            <v>MIX</v>
          </cell>
          <cell r="D360">
            <v>0</v>
          </cell>
          <cell r="E360">
            <v>10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1</v>
          </cell>
          <cell r="O360">
            <v>2</v>
          </cell>
          <cell r="P360">
            <v>0</v>
          </cell>
          <cell r="Q360">
            <v>1</v>
          </cell>
          <cell r="R360">
            <v>2</v>
          </cell>
          <cell r="S360">
            <v>1</v>
          </cell>
          <cell r="T360">
            <v>1</v>
          </cell>
          <cell r="U360">
            <v>1</v>
          </cell>
          <cell r="V360">
            <v>1</v>
          </cell>
          <cell r="W360">
            <v>1</v>
          </cell>
          <cell r="X360">
            <v>1</v>
          </cell>
          <cell r="Y360">
            <v>22</v>
          </cell>
          <cell r="AA360">
            <v>22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8.3333333333333329E-2</v>
          </cell>
          <cell r="AG360">
            <v>0.25</v>
          </cell>
          <cell r="AH360">
            <v>0.16666666666666666</v>
          </cell>
          <cell r="AI360">
            <v>0</v>
          </cell>
          <cell r="AJ360">
            <v>0</v>
          </cell>
          <cell r="AK360">
            <v>0.25</v>
          </cell>
          <cell r="AL360">
            <v>0.125</v>
          </cell>
          <cell r="AM360">
            <v>0.10416666666666666</v>
          </cell>
          <cell r="AN360">
            <v>1.2000000000000002</v>
          </cell>
          <cell r="AO360">
            <v>0</v>
          </cell>
          <cell r="AP360">
            <v>22.75</v>
          </cell>
          <cell r="AQ360">
            <v>68.000000000000014</v>
          </cell>
          <cell r="AR360">
            <v>0</v>
          </cell>
          <cell r="AS360">
            <v>22</v>
          </cell>
          <cell r="AT360">
            <v>22</v>
          </cell>
          <cell r="AU360">
            <v>44</v>
          </cell>
          <cell r="AV360">
            <v>0</v>
          </cell>
          <cell r="AW360">
            <v>21.5</v>
          </cell>
          <cell r="AX360">
            <v>22</v>
          </cell>
          <cell r="AY360">
            <v>88</v>
          </cell>
          <cell r="AZ360">
            <v>0</v>
          </cell>
          <cell r="BA360">
            <v>21.666666666666668</v>
          </cell>
          <cell r="BB360">
            <v>22</v>
          </cell>
          <cell r="BC360">
            <v>66</v>
          </cell>
          <cell r="BD360">
            <v>0</v>
          </cell>
          <cell r="BE360">
            <v>21.666666666666668</v>
          </cell>
          <cell r="BF360">
            <v>65.000000000000014</v>
          </cell>
          <cell r="BG360">
            <v>0</v>
          </cell>
          <cell r="BH360">
            <v>21.333333333333336</v>
          </cell>
          <cell r="BI360">
            <v>22</v>
          </cell>
          <cell r="BJ360">
            <v>88</v>
          </cell>
          <cell r="BK360">
            <v>0</v>
          </cell>
          <cell r="BL360">
            <v>20.666666666666668</v>
          </cell>
          <cell r="BM360">
            <v>21</v>
          </cell>
          <cell r="BN360">
            <v>73.5</v>
          </cell>
          <cell r="BO360">
            <v>0</v>
          </cell>
          <cell r="BP360">
            <v>20.714285714285715</v>
          </cell>
          <cell r="BQ360">
            <v>21</v>
          </cell>
          <cell r="BR360">
            <v>84</v>
          </cell>
          <cell r="BS360">
            <v>0</v>
          </cell>
          <cell r="BT360">
            <v>20.75</v>
          </cell>
          <cell r="BU360">
            <v>21</v>
          </cell>
          <cell r="BV360">
            <v>84</v>
          </cell>
          <cell r="BW360">
            <v>0</v>
          </cell>
          <cell r="BX360">
            <v>0</v>
          </cell>
          <cell r="BY360">
            <v>20.75</v>
          </cell>
          <cell r="BZ360">
            <v>21</v>
          </cell>
          <cell r="CA360">
            <v>84</v>
          </cell>
          <cell r="CB360">
            <v>0</v>
          </cell>
          <cell r="CC360">
            <v>0</v>
          </cell>
          <cell r="CD360">
            <v>20.75</v>
          </cell>
          <cell r="CE360">
            <v>21</v>
          </cell>
          <cell r="CF360">
            <v>84</v>
          </cell>
          <cell r="CG360">
            <v>0</v>
          </cell>
          <cell r="CH360">
            <v>0</v>
          </cell>
          <cell r="CI360">
            <v>20.5</v>
          </cell>
          <cell r="CJ360">
            <v>26</v>
          </cell>
          <cell r="CK360">
            <v>104</v>
          </cell>
          <cell r="CL360">
            <v>0</v>
          </cell>
          <cell r="CM360">
            <v>0</v>
          </cell>
          <cell r="CN360">
            <v>25.75</v>
          </cell>
          <cell r="CO360">
            <v>27</v>
          </cell>
          <cell r="CP360">
            <v>108</v>
          </cell>
          <cell r="CQ360">
            <v>0</v>
          </cell>
          <cell r="CR360">
            <v>0</v>
          </cell>
          <cell r="CS360">
            <v>26.75</v>
          </cell>
          <cell r="CT360">
            <v>27</v>
          </cell>
          <cell r="CU360">
            <v>108</v>
          </cell>
          <cell r="CV360">
            <v>0</v>
          </cell>
          <cell r="CW360">
            <v>0</v>
          </cell>
          <cell r="CX360">
            <v>26.75</v>
          </cell>
          <cell r="CY360">
            <v>26</v>
          </cell>
          <cell r="CZ360">
            <v>104</v>
          </cell>
          <cell r="DA360">
            <v>0</v>
          </cell>
          <cell r="DB360">
            <v>0</v>
          </cell>
          <cell r="DC360">
            <v>25.75</v>
          </cell>
          <cell r="DD360">
            <v>22</v>
          </cell>
          <cell r="DE360">
            <v>84</v>
          </cell>
          <cell r="DF360">
            <v>0</v>
          </cell>
          <cell r="DG360">
            <v>0</v>
          </cell>
          <cell r="DH360">
            <v>21.75</v>
          </cell>
          <cell r="DI360">
            <v>22</v>
          </cell>
          <cell r="DJ360">
            <v>86</v>
          </cell>
          <cell r="DK360">
            <v>0</v>
          </cell>
          <cell r="DL360">
            <v>0</v>
          </cell>
          <cell r="DM360">
            <v>21.5</v>
          </cell>
          <cell r="DN360">
            <v>22</v>
          </cell>
          <cell r="DO360">
            <v>86</v>
          </cell>
          <cell r="DP360">
            <v>0</v>
          </cell>
          <cell r="DQ360">
            <v>0</v>
          </cell>
          <cell r="DR360">
            <v>21.75</v>
          </cell>
          <cell r="DS360">
            <v>21.75</v>
          </cell>
          <cell r="DT360">
            <v>85</v>
          </cell>
          <cell r="DU360">
            <v>0</v>
          </cell>
          <cell r="DV360">
            <v>0</v>
          </cell>
          <cell r="DW360">
            <v>21.5</v>
          </cell>
          <cell r="DX360">
            <v>21.5</v>
          </cell>
          <cell r="DY360">
            <v>84</v>
          </cell>
          <cell r="DZ360">
            <v>0</v>
          </cell>
          <cell r="EA360">
            <v>0</v>
          </cell>
          <cell r="EB360">
            <v>21.25</v>
          </cell>
          <cell r="EC360">
            <v>21.25</v>
          </cell>
          <cell r="ED360">
            <v>83</v>
          </cell>
          <cell r="EE360">
            <v>0</v>
          </cell>
          <cell r="EF360">
            <v>0</v>
          </cell>
          <cell r="EG360">
            <v>21</v>
          </cell>
          <cell r="EH360">
            <v>21</v>
          </cell>
          <cell r="EI360">
            <v>82</v>
          </cell>
          <cell r="EJ360">
            <v>0</v>
          </cell>
          <cell r="EK360">
            <v>0</v>
          </cell>
          <cell r="EL360">
            <v>20.75</v>
          </cell>
          <cell r="EM360">
            <v>20.75</v>
          </cell>
          <cell r="EN360">
            <v>81</v>
          </cell>
          <cell r="EO360">
            <v>0</v>
          </cell>
          <cell r="EP360">
            <v>0</v>
          </cell>
          <cell r="EQ360">
            <v>20.5</v>
          </cell>
          <cell r="ER360">
            <v>20.5</v>
          </cell>
          <cell r="ES360">
            <v>80</v>
          </cell>
          <cell r="ET360">
            <v>0</v>
          </cell>
          <cell r="EU360">
            <v>0</v>
          </cell>
          <cell r="EV360">
            <v>20.25</v>
          </cell>
          <cell r="EW360">
            <v>20.25</v>
          </cell>
          <cell r="EX360">
            <v>79</v>
          </cell>
          <cell r="EY360">
            <v>0</v>
          </cell>
          <cell r="EZ360">
            <v>0</v>
          </cell>
          <cell r="FA360">
            <v>20</v>
          </cell>
          <cell r="FB360">
            <v>20</v>
          </cell>
          <cell r="FC360">
            <v>78</v>
          </cell>
          <cell r="FD360">
            <v>0</v>
          </cell>
          <cell r="FE360">
            <v>0</v>
          </cell>
          <cell r="FF360">
            <v>19.75</v>
          </cell>
          <cell r="FG360">
            <v>19.75</v>
          </cell>
          <cell r="FH360">
            <v>77</v>
          </cell>
          <cell r="FI360">
            <v>0</v>
          </cell>
          <cell r="FJ360">
            <v>0</v>
          </cell>
          <cell r="FK360">
            <v>19.5</v>
          </cell>
          <cell r="FL360">
            <v>19.5</v>
          </cell>
          <cell r="FM360">
            <v>76</v>
          </cell>
          <cell r="FN360">
            <v>0</v>
          </cell>
          <cell r="FO360">
            <v>0</v>
          </cell>
          <cell r="FP360">
            <v>19.25</v>
          </cell>
          <cell r="FQ360">
            <v>19.25</v>
          </cell>
          <cell r="FR360">
            <v>75</v>
          </cell>
          <cell r="FS360">
            <v>0</v>
          </cell>
          <cell r="FT360">
            <v>1</v>
          </cell>
          <cell r="FU360">
            <v>2.0333333333333332</v>
          </cell>
          <cell r="FW360" t="str">
            <v>SIN ROTACIÓN</v>
          </cell>
          <cell r="FX360" t="str">
            <v>C</v>
          </cell>
          <cell r="FY360" t="str">
            <v>Si</v>
          </cell>
        </row>
        <row r="361">
          <cell r="B361" t="str">
            <v>REP-0378</v>
          </cell>
          <cell r="C361" t="str">
            <v>MIX</v>
          </cell>
          <cell r="D361">
            <v>0</v>
          </cell>
          <cell r="E361">
            <v>4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1</v>
          </cell>
          <cell r="O361">
            <v>1</v>
          </cell>
          <cell r="P361">
            <v>0</v>
          </cell>
          <cell r="Q361">
            <v>1</v>
          </cell>
          <cell r="R361">
            <v>0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  <cell r="Y361">
            <v>13</v>
          </cell>
          <cell r="AA361">
            <v>13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8.3333333333333329E-2</v>
          </cell>
          <cell r="AG361">
            <v>0.41666666666666669</v>
          </cell>
          <cell r="AH361">
            <v>8.3333333333333329E-2</v>
          </cell>
          <cell r="AI361">
            <v>0</v>
          </cell>
          <cell r="AJ361">
            <v>0</v>
          </cell>
          <cell r="AK361">
            <v>0.41666666666666669</v>
          </cell>
          <cell r="AL361">
            <v>0.19837301190396808</v>
          </cell>
          <cell r="AM361">
            <v>0.125</v>
          </cell>
          <cell r="AN361">
            <v>1.5869840952317447</v>
          </cell>
          <cell r="AO361">
            <v>0</v>
          </cell>
          <cell r="AP361">
            <v>14.583333333333334</v>
          </cell>
          <cell r="AQ361">
            <v>17</v>
          </cell>
          <cell r="AR361">
            <v>0</v>
          </cell>
          <cell r="AS361">
            <v>13.333333333333332</v>
          </cell>
          <cell r="AT361">
            <v>15</v>
          </cell>
          <cell r="AU361">
            <v>18</v>
          </cell>
          <cell r="AV361">
            <v>0</v>
          </cell>
          <cell r="AW361">
            <v>14.166666666666666</v>
          </cell>
          <cell r="AX361">
            <v>15</v>
          </cell>
          <cell r="AY361">
            <v>36</v>
          </cell>
          <cell r="AZ361">
            <v>0</v>
          </cell>
          <cell r="BA361">
            <v>14.166666666666666</v>
          </cell>
          <cell r="BB361">
            <v>15</v>
          </cell>
          <cell r="BC361">
            <v>30</v>
          </cell>
          <cell r="BD361">
            <v>0</v>
          </cell>
          <cell r="BE361">
            <v>14.5</v>
          </cell>
          <cell r="BF361">
            <v>29</v>
          </cell>
          <cell r="BG361">
            <v>0</v>
          </cell>
          <cell r="BH361">
            <v>14</v>
          </cell>
          <cell r="BI361">
            <v>13</v>
          </cell>
          <cell r="BJ361">
            <v>31.2</v>
          </cell>
          <cell r="BK361">
            <v>0</v>
          </cell>
          <cell r="BL361">
            <v>14.583333333333334</v>
          </cell>
          <cell r="BM361">
            <v>15</v>
          </cell>
          <cell r="BN361">
            <v>36</v>
          </cell>
          <cell r="BO361">
            <v>0</v>
          </cell>
          <cell r="BP361">
            <v>14.583333333333334</v>
          </cell>
          <cell r="BQ361">
            <v>15</v>
          </cell>
          <cell r="BR361">
            <v>36</v>
          </cell>
          <cell r="BS361">
            <v>0</v>
          </cell>
          <cell r="BT361">
            <v>14.583333333333334</v>
          </cell>
          <cell r="BU361">
            <v>15</v>
          </cell>
          <cell r="BV361">
            <v>36</v>
          </cell>
          <cell r="BW361">
            <v>0</v>
          </cell>
          <cell r="BX361">
            <v>0</v>
          </cell>
          <cell r="BY361">
            <v>14.583333333333334</v>
          </cell>
          <cell r="BZ361">
            <v>15</v>
          </cell>
          <cell r="CA361">
            <v>36</v>
          </cell>
          <cell r="CB361">
            <v>0</v>
          </cell>
          <cell r="CC361">
            <v>0</v>
          </cell>
          <cell r="CD361">
            <v>14.583333333333334</v>
          </cell>
          <cell r="CE361">
            <v>15</v>
          </cell>
          <cell r="CF361">
            <v>36</v>
          </cell>
          <cell r="CG361">
            <v>0</v>
          </cell>
          <cell r="CH361">
            <v>0</v>
          </cell>
          <cell r="CI361">
            <v>14.166666666666668</v>
          </cell>
          <cell r="CJ361">
            <v>14</v>
          </cell>
          <cell r="CK361">
            <v>33.6</v>
          </cell>
          <cell r="CL361">
            <v>0</v>
          </cell>
          <cell r="CM361">
            <v>0</v>
          </cell>
          <cell r="CN361">
            <v>13.583333333333334</v>
          </cell>
          <cell r="CO361">
            <v>14</v>
          </cell>
          <cell r="CP361">
            <v>33.6</v>
          </cell>
          <cell r="CQ361">
            <v>0</v>
          </cell>
          <cell r="CR361">
            <v>0</v>
          </cell>
          <cell r="CS361">
            <v>13.583333333333334</v>
          </cell>
          <cell r="CT361">
            <v>14</v>
          </cell>
          <cell r="CU361">
            <v>33.6</v>
          </cell>
          <cell r="CV361">
            <v>0</v>
          </cell>
          <cell r="CW361">
            <v>0</v>
          </cell>
          <cell r="CX361">
            <v>13.583333333333334</v>
          </cell>
          <cell r="CY361">
            <v>15</v>
          </cell>
          <cell r="CZ361">
            <v>36</v>
          </cell>
          <cell r="DA361">
            <v>0</v>
          </cell>
          <cell r="DB361">
            <v>0</v>
          </cell>
          <cell r="DC361">
            <v>14.583333333333334</v>
          </cell>
          <cell r="DD361">
            <v>13</v>
          </cell>
          <cell r="DE361">
            <v>28.799999999999997</v>
          </cell>
          <cell r="DF361">
            <v>0</v>
          </cell>
          <cell r="DG361">
            <v>0</v>
          </cell>
          <cell r="DH361">
            <v>12.583333333333334</v>
          </cell>
          <cell r="DI361">
            <v>13</v>
          </cell>
          <cell r="DJ361">
            <v>30.799999999999997</v>
          </cell>
          <cell r="DK361">
            <v>0</v>
          </cell>
          <cell r="DL361">
            <v>0</v>
          </cell>
          <cell r="DM361">
            <v>12.166666666666668</v>
          </cell>
          <cell r="DN361">
            <v>13</v>
          </cell>
          <cell r="DO361">
            <v>30.799999999999997</v>
          </cell>
          <cell r="DP361">
            <v>0</v>
          </cell>
          <cell r="DQ361">
            <v>0</v>
          </cell>
          <cell r="DR361">
            <v>12.583333333333334</v>
          </cell>
          <cell r="DS361">
            <v>12.583333333333334</v>
          </cell>
          <cell r="DT361">
            <v>29.8</v>
          </cell>
          <cell r="DU361">
            <v>0</v>
          </cell>
          <cell r="DV361">
            <v>0</v>
          </cell>
          <cell r="DW361">
            <v>12.166666666666668</v>
          </cell>
          <cell r="DX361">
            <v>12.166666666666668</v>
          </cell>
          <cell r="DY361">
            <v>28.8</v>
          </cell>
          <cell r="DZ361">
            <v>0</v>
          </cell>
          <cell r="EA361">
            <v>0</v>
          </cell>
          <cell r="EB361">
            <v>11.750000000000002</v>
          </cell>
          <cell r="EC361">
            <v>11.750000000000002</v>
          </cell>
          <cell r="ED361">
            <v>27.800000000000004</v>
          </cell>
          <cell r="EE361">
            <v>0</v>
          </cell>
          <cell r="EF361">
            <v>0</v>
          </cell>
          <cell r="EG361">
            <v>11.333333333333336</v>
          </cell>
          <cell r="EH361">
            <v>11.333333333333336</v>
          </cell>
          <cell r="EI361">
            <v>26.800000000000004</v>
          </cell>
          <cell r="EJ361">
            <v>0</v>
          </cell>
          <cell r="EK361">
            <v>0</v>
          </cell>
          <cell r="EL361">
            <v>10.91666666666667</v>
          </cell>
          <cell r="EM361">
            <v>10.91666666666667</v>
          </cell>
          <cell r="EN361">
            <v>25.800000000000008</v>
          </cell>
          <cell r="EO361">
            <v>0</v>
          </cell>
          <cell r="EP361">
            <v>0</v>
          </cell>
          <cell r="EQ361">
            <v>10.500000000000004</v>
          </cell>
          <cell r="ER361">
            <v>10.500000000000004</v>
          </cell>
          <cell r="ES361">
            <v>24.800000000000008</v>
          </cell>
          <cell r="ET361">
            <v>0</v>
          </cell>
          <cell r="EU361">
            <v>0</v>
          </cell>
          <cell r="EV361">
            <v>10.083333333333337</v>
          </cell>
          <cell r="EW361">
            <v>10.083333333333337</v>
          </cell>
          <cell r="EX361">
            <v>23.800000000000008</v>
          </cell>
          <cell r="EY361">
            <v>0</v>
          </cell>
          <cell r="EZ361">
            <v>0</v>
          </cell>
          <cell r="FA361">
            <v>9.6666666666666714</v>
          </cell>
          <cell r="FB361">
            <v>9.6666666666666714</v>
          </cell>
          <cell r="FC361">
            <v>22.800000000000011</v>
          </cell>
          <cell r="FD361">
            <v>0</v>
          </cell>
          <cell r="FE361">
            <v>0</v>
          </cell>
          <cell r="FF361">
            <v>9.2500000000000053</v>
          </cell>
          <cell r="FG361">
            <v>9.2500000000000053</v>
          </cell>
          <cell r="FH361">
            <v>21.800000000000011</v>
          </cell>
          <cell r="FI361">
            <v>0</v>
          </cell>
          <cell r="FJ361">
            <v>0</v>
          </cell>
          <cell r="FK361">
            <v>8.8333333333333393</v>
          </cell>
          <cell r="FL361">
            <v>8.8333333333333393</v>
          </cell>
          <cell r="FM361">
            <v>20.800000000000015</v>
          </cell>
          <cell r="FN361">
            <v>0</v>
          </cell>
          <cell r="FO361">
            <v>0</v>
          </cell>
          <cell r="FP361">
            <v>8.4166666666666732</v>
          </cell>
          <cell r="FQ361">
            <v>8.4166666666666732</v>
          </cell>
          <cell r="FR361">
            <v>19.800000000000015</v>
          </cell>
          <cell r="FS361">
            <v>0</v>
          </cell>
          <cell r="FT361">
            <v>1</v>
          </cell>
          <cell r="FU361">
            <v>2.0333333333333332</v>
          </cell>
          <cell r="FW361" t="str">
            <v>SIN ROTACIÓN</v>
          </cell>
          <cell r="FX361" t="str">
            <v>C</v>
          </cell>
          <cell r="FY361" t="str">
            <v>Si</v>
          </cell>
        </row>
        <row r="362">
          <cell r="B362" t="str">
            <v>REP-0379</v>
          </cell>
          <cell r="C362" t="str">
            <v>MIX</v>
          </cell>
          <cell r="D362">
            <v>0</v>
          </cell>
          <cell r="E362">
            <v>3</v>
          </cell>
          <cell r="F362">
            <v>0</v>
          </cell>
          <cell r="G362">
            <v>0</v>
          </cell>
          <cell r="H362">
            <v>4</v>
          </cell>
          <cell r="I362">
            <v>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T362">
            <v>1</v>
          </cell>
          <cell r="U362">
            <v>0</v>
          </cell>
          <cell r="V362">
            <v>1</v>
          </cell>
          <cell r="W362">
            <v>0</v>
          </cell>
          <cell r="X362">
            <v>0</v>
          </cell>
          <cell r="Y362">
            <v>14</v>
          </cell>
          <cell r="AA362">
            <v>14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8.3333333333333329E-2</v>
          </cell>
          <cell r="AG362">
            <v>0.41666666666666669</v>
          </cell>
          <cell r="AH362">
            <v>0.5</v>
          </cell>
          <cell r="AI362">
            <v>0.16666666666666666</v>
          </cell>
          <cell r="AJ362">
            <v>0.16666666666666666</v>
          </cell>
          <cell r="AK362">
            <v>0.5</v>
          </cell>
          <cell r="AL362">
            <v>0.17179606773406916</v>
          </cell>
          <cell r="AM362">
            <v>0.31250000000000006</v>
          </cell>
          <cell r="AN362">
            <v>0.54974741674902128</v>
          </cell>
          <cell r="AO362">
            <v>0</v>
          </cell>
          <cell r="AP362">
            <v>19.444444444444443</v>
          </cell>
          <cell r="AQ362">
            <v>46.999999999999993</v>
          </cell>
          <cell r="AR362">
            <v>0</v>
          </cell>
          <cell r="AS362">
            <v>18</v>
          </cell>
          <cell r="AT362">
            <v>18</v>
          </cell>
          <cell r="AU362">
            <v>18</v>
          </cell>
          <cell r="AV362">
            <v>0</v>
          </cell>
          <cell r="AW362">
            <v>17</v>
          </cell>
          <cell r="AX362">
            <v>17</v>
          </cell>
          <cell r="AY362">
            <v>34</v>
          </cell>
          <cell r="AZ362">
            <v>0</v>
          </cell>
          <cell r="BA362">
            <v>16</v>
          </cell>
          <cell r="BB362">
            <v>17</v>
          </cell>
          <cell r="BC362">
            <v>17</v>
          </cell>
          <cell r="BD362">
            <v>0</v>
          </cell>
          <cell r="BE362">
            <v>16</v>
          </cell>
          <cell r="BF362">
            <v>16</v>
          </cell>
          <cell r="BG362">
            <v>0</v>
          </cell>
          <cell r="BH362">
            <v>15</v>
          </cell>
          <cell r="BI362">
            <v>14</v>
          </cell>
          <cell r="BJ362">
            <v>28</v>
          </cell>
          <cell r="BK362">
            <v>0</v>
          </cell>
          <cell r="BL362">
            <v>15.333333333333334</v>
          </cell>
          <cell r="BM362">
            <v>16</v>
          </cell>
          <cell r="BN362">
            <v>24</v>
          </cell>
          <cell r="BO362">
            <v>0</v>
          </cell>
          <cell r="BP362">
            <v>15.333333333333334</v>
          </cell>
          <cell r="BQ362">
            <v>15</v>
          </cell>
          <cell r="BR362">
            <v>30</v>
          </cell>
          <cell r="BS362">
            <v>0</v>
          </cell>
          <cell r="BT362">
            <v>14.375</v>
          </cell>
          <cell r="BU362">
            <v>15</v>
          </cell>
          <cell r="BV362">
            <v>27</v>
          </cell>
          <cell r="BW362">
            <v>0</v>
          </cell>
          <cell r="BX362">
            <v>0</v>
          </cell>
          <cell r="BY362">
            <v>14.444444444444445</v>
          </cell>
          <cell r="BZ362">
            <v>15</v>
          </cell>
          <cell r="CA362">
            <v>30</v>
          </cell>
          <cell r="CB362">
            <v>0</v>
          </cell>
          <cell r="CC362">
            <v>0</v>
          </cell>
          <cell r="CD362">
            <v>14.5</v>
          </cell>
          <cell r="CE362">
            <v>14</v>
          </cell>
          <cell r="CF362">
            <v>25.666666666666668</v>
          </cell>
          <cell r="CG362">
            <v>0</v>
          </cell>
          <cell r="CH362">
            <v>0</v>
          </cell>
          <cell r="CI362">
            <v>13.954545454545455</v>
          </cell>
          <cell r="CJ362">
            <v>14</v>
          </cell>
          <cell r="CK362">
            <v>28</v>
          </cell>
          <cell r="CL362">
            <v>0</v>
          </cell>
          <cell r="CM362">
            <v>0</v>
          </cell>
          <cell r="CN362">
            <v>13.5</v>
          </cell>
          <cell r="CO362">
            <v>14</v>
          </cell>
          <cell r="CP362">
            <v>28</v>
          </cell>
          <cell r="CQ362">
            <v>0</v>
          </cell>
          <cell r="CR362">
            <v>0</v>
          </cell>
          <cell r="CS362">
            <v>13.5</v>
          </cell>
          <cell r="CT362">
            <v>14</v>
          </cell>
          <cell r="CU362">
            <v>28</v>
          </cell>
          <cell r="CV362">
            <v>0</v>
          </cell>
          <cell r="CW362">
            <v>0</v>
          </cell>
          <cell r="CX362">
            <v>13.5</v>
          </cell>
          <cell r="CY362">
            <v>12</v>
          </cell>
          <cell r="CZ362">
            <v>24</v>
          </cell>
          <cell r="DA362">
            <v>0</v>
          </cell>
          <cell r="DB362">
            <v>0</v>
          </cell>
          <cell r="DC362">
            <v>11.5</v>
          </cell>
          <cell r="DD362">
            <v>12</v>
          </cell>
          <cell r="DE362">
            <v>20</v>
          </cell>
          <cell r="DF362">
            <v>0</v>
          </cell>
          <cell r="DG362">
            <v>0</v>
          </cell>
          <cell r="DH362">
            <v>11.5</v>
          </cell>
          <cell r="DI362">
            <v>13</v>
          </cell>
          <cell r="DJ362">
            <v>24</v>
          </cell>
          <cell r="DK362">
            <v>0</v>
          </cell>
          <cell r="DL362">
            <v>0</v>
          </cell>
          <cell r="DM362">
            <v>11</v>
          </cell>
          <cell r="DN362">
            <v>14</v>
          </cell>
          <cell r="DO362">
            <v>26</v>
          </cell>
          <cell r="DP362">
            <v>0</v>
          </cell>
          <cell r="DQ362">
            <v>0</v>
          </cell>
          <cell r="DR362">
            <v>13.5</v>
          </cell>
          <cell r="DS362">
            <v>13.5</v>
          </cell>
          <cell r="DT362">
            <v>25</v>
          </cell>
          <cell r="DU362">
            <v>0</v>
          </cell>
          <cell r="DV362">
            <v>0</v>
          </cell>
          <cell r="DW362">
            <v>13</v>
          </cell>
          <cell r="DX362">
            <v>13</v>
          </cell>
          <cell r="DY362">
            <v>24</v>
          </cell>
          <cell r="DZ362">
            <v>0</v>
          </cell>
          <cell r="EA362">
            <v>0</v>
          </cell>
          <cell r="EB362">
            <v>12.5</v>
          </cell>
          <cell r="EC362">
            <v>12.5</v>
          </cell>
          <cell r="ED362">
            <v>23</v>
          </cell>
          <cell r="EE362">
            <v>0</v>
          </cell>
          <cell r="EF362">
            <v>0</v>
          </cell>
          <cell r="EG362">
            <v>12</v>
          </cell>
          <cell r="EH362">
            <v>12</v>
          </cell>
          <cell r="EI362">
            <v>22</v>
          </cell>
          <cell r="EJ362">
            <v>0</v>
          </cell>
          <cell r="EK362">
            <v>0</v>
          </cell>
          <cell r="EL362">
            <v>11.5</v>
          </cell>
          <cell r="EM362">
            <v>11.5</v>
          </cell>
          <cell r="EN362">
            <v>21</v>
          </cell>
          <cell r="EO362">
            <v>0</v>
          </cell>
          <cell r="EP362">
            <v>0</v>
          </cell>
          <cell r="EQ362">
            <v>11</v>
          </cell>
          <cell r="ER362">
            <v>11</v>
          </cell>
          <cell r="ES362">
            <v>20</v>
          </cell>
          <cell r="ET362">
            <v>0</v>
          </cell>
          <cell r="EU362">
            <v>0</v>
          </cell>
          <cell r="EV362">
            <v>10.5</v>
          </cell>
          <cell r="EW362">
            <v>10.5</v>
          </cell>
          <cell r="EX362">
            <v>19</v>
          </cell>
          <cell r="EY362">
            <v>0</v>
          </cell>
          <cell r="EZ362">
            <v>0</v>
          </cell>
          <cell r="FA362">
            <v>10</v>
          </cell>
          <cell r="FB362">
            <v>10</v>
          </cell>
          <cell r="FC362">
            <v>18</v>
          </cell>
          <cell r="FD362">
            <v>0</v>
          </cell>
          <cell r="FE362">
            <v>0</v>
          </cell>
          <cell r="FF362">
            <v>9.5</v>
          </cell>
          <cell r="FG362">
            <v>9.5</v>
          </cell>
          <cell r="FH362">
            <v>17</v>
          </cell>
          <cell r="FI362">
            <v>0</v>
          </cell>
          <cell r="FJ362">
            <v>0</v>
          </cell>
          <cell r="FK362">
            <v>9</v>
          </cell>
          <cell r="FL362">
            <v>9</v>
          </cell>
          <cell r="FM362">
            <v>16</v>
          </cell>
          <cell r="FN362">
            <v>0</v>
          </cell>
          <cell r="FO362">
            <v>0</v>
          </cell>
          <cell r="FP362">
            <v>8.5</v>
          </cell>
          <cell r="FQ362">
            <v>8.5</v>
          </cell>
          <cell r="FR362">
            <v>15</v>
          </cell>
          <cell r="FS362">
            <v>0</v>
          </cell>
          <cell r="FT362">
            <v>2</v>
          </cell>
          <cell r="FU362">
            <v>2.0333333333333332</v>
          </cell>
          <cell r="FV362" t="str">
            <v>SI</v>
          </cell>
          <cell r="FW362" t="str">
            <v>SOBRESTOCK</v>
          </cell>
          <cell r="FX362" t="str">
            <v>C</v>
          </cell>
          <cell r="FY362" t="str">
            <v>Si</v>
          </cell>
        </row>
        <row r="363">
          <cell r="B363" t="str">
            <v>REP-0380</v>
          </cell>
          <cell r="C363" t="str">
            <v>MIX</v>
          </cell>
          <cell r="D363">
            <v>0</v>
          </cell>
          <cell r="E363">
            <v>17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1</v>
          </cell>
          <cell r="T363">
            <v>1</v>
          </cell>
          <cell r="U363">
            <v>1</v>
          </cell>
          <cell r="V363">
            <v>1</v>
          </cell>
          <cell r="W363">
            <v>0</v>
          </cell>
          <cell r="X363">
            <v>1</v>
          </cell>
          <cell r="Y363">
            <v>22</v>
          </cell>
          <cell r="AA363">
            <v>22</v>
          </cell>
          <cell r="AB363">
            <v>0</v>
          </cell>
          <cell r="AC363">
            <v>0.33333333333333331</v>
          </cell>
          <cell r="AD363">
            <v>1.111111111111111E-2</v>
          </cell>
          <cell r="AE363">
            <v>0.16666666666666666</v>
          </cell>
          <cell r="AF363">
            <v>0.25</v>
          </cell>
          <cell r="AG363">
            <v>0.16666666666666666</v>
          </cell>
          <cell r="AH363">
            <v>0.5</v>
          </cell>
          <cell r="AI363">
            <v>0.33333333333333331</v>
          </cell>
          <cell r="AJ363">
            <v>0.33333333333333331</v>
          </cell>
          <cell r="AK363">
            <v>0.5</v>
          </cell>
          <cell r="AL363">
            <v>0.13608276348795437</v>
          </cell>
          <cell r="AM363">
            <v>0.33333333333333331</v>
          </cell>
          <cell r="AN363">
            <v>0.40824829046386313</v>
          </cell>
          <cell r="AO363">
            <v>0</v>
          </cell>
          <cell r="AP363">
            <v>11.333333333333334</v>
          </cell>
          <cell r="AQ363">
            <v>47</v>
          </cell>
          <cell r="AR363">
            <v>0</v>
          </cell>
          <cell r="AS363">
            <v>9</v>
          </cell>
          <cell r="AT363">
            <v>9</v>
          </cell>
          <cell r="AU363">
            <v>6</v>
          </cell>
          <cell r="AV363">
            <v>0</v>
          </cell>
          <cell r="AW363">
            <v>7.5</v>
          </cell>
          <cell r="AX363">
            <v>9</v>
          </cell>
          <cell r="AY363">
            <v>18</v>
          </cell>
          <cell r="AZ363">
            <v>0</v>
          </cell>
          <cell r="BA363">
            <v>8</v>
          </cell>
          <cell r="BB363">
            <v>6</v>
          </cell>
          <cell r="BC363">
            <v>3</v>
          </cell>
          <cell r="BD363">
            <v>0</v>
          </cell>
          <cell r="BE363">
            <v>4</v>
          </cell>
          <cell r="BF363">
            <v>2</v>
          </cell>
          <cell r="BG363">
            <v>0</v>
          </cell>
          <cell r="BH363">
            <v>2</v>
          </cell>
          <cell r="BI363">
            <v>22</v>
          </cell>
          <cell r="BJ363">
            <v>44</v>
          </cell>
          <cell r="BK363">
            <v>0</v>
          </cell>
          <cell r="BL363">
            <v>25</v>
          </cell>
          <cell r="BM363">
            <v>26</v>
          </cell>
          <cell r="BN363">
            <v>26</v>
          </cell>
          <cell r="BO363">
            <v>0</v>
          </cell>
          <cell r="BP363">
            <v>25</v>
          </cell>
          <cell r="BQ363">
            <v>26</v>
          </cell>
          <cell r="BR363">
            <v>52</v>
          </cell>
          <cell r="BS363">
            <v>0</v>
          </cell>
          <cell r="BT363">
            <v>25.25</v>
          </cell>
          <cell r="BU363">
            <v>26</v>
          </cell>
          <cell r="BV363">
            <v>39</v>
          </cell>
          <cell r="BW363">
            <v>0</v>
          </cell>
          <cell r="BX363">
            <v>0</v>
          </cell>
          <cell r="BY363">
            <v>25.333333333333332</v>
          </cell>
          <cell r="BZ363">
            <v>26</v>
          </cell>
          <cell r="CA363">
            <v>43.333333333333336</v>
          </cell>
          <cell r="CB363">
            <v>0</v>
          </cell>
          <cell r="CC363">
            <v>0</v>
          </cell>
          <cell r="CD363">
            <v>25.4</v>
          </cell>
          <cell r="CE363">
            <v>26</v>
          </cell>
          <cell r="CF363">
            <v>47.666666666666671</v>
          </cell>
          <cell r="CG363">
            <v>0</v>
          </cell>
          <cell r="CH363">
            <v>0</v>
          </cell>
          <cell r="CI363">
            <v>24.854545454545452</v>
          </cell>
          <cell r="CJ363">
            <v>26</v>
          </cell>
          <cell r="CK363">
            <v>52</v>
          </cell>
          <cell r="CL363">
            <v>0</v>
          </cell>
          <cell r="CM363">
            <v>0</v>
          </cell>
          <cell r="CN363">
            <v>25.5</v>
          </cell>
          <cell r="CO363">
            <v>26</v>
          </cell>
          <cell r="CP363">
            <v>52</v>
          </cell>
          <cell r="CQ363">
            <v>0</v>
          </cell>
          <cell r="CR363">
            <v>0</v>
          </cell>
          <cell r="CS363">
            <v>25.5</v>
          </cell>
          <cell r="CT363">
            <v>26</v>
          </cell>
          <cell r="CU363">
            <v>52</v>
          </cell>
          <cell r="CV363">
            <v>0</v>
          </cell>
          <cell r="CW363">
            <v>0</v>
          </cell>
          <cell r="CX363">
            <v>25.5</v>
          </cell>
          <cell r="CY363">
            <v>27</v>
          </cell>
          <cell r="CZ363">
            <v>54</v>
          </cell>
          <cell r="DA363">
            <v>0</v>
          </cell>
          <cell r="DB363">
            <v>0</v>
          </cell>
          <cell r="DC363">
            <v>26.5</v>
          </cell>
          <cell r="DD363">
            <v>24</v>
          </cell>
          <cell r="DE363">
            <v>44</v>
          </cell>
          <cell r="DF363">
            <v>0</v>
          </cell>
          <cell r="DG363">
            <v>0</v>
          </cell>
          <cell r="DH363">
            <v>23.5</v>
          </cell>
          <cell r="DI363">
            <v>23</v>
          </cell>
          <cell r="DJ363">
            <v>44</v>
          </cell>
          <cell r="DK363">
            <v>0</v>
          </cell>
          <cell r="DL363">
            <v>0</v>
          </cell>
          <cell r="DM363">
            <v>23</v>
          </cell>
          <cell r="DN363">
            <v>22</v>
          </cell>
          <cell r="DO363">
            <v>42</v>
          </cell>
          <cell r="DP363">
            <v>0</v>
          </cell>
          <cell r="DQ363">
            <v>0</v>
          </cell>
          <cell r="DR363">
            <v>21.5</v>
          </cell>
          <cell r="DS363">
            <v>21.5</v>
          </cell>
          <cell r="DT363">
            <v>41</v>
          </cell>
          <cell r="DU363">
            <v>0</v>
          </cell>
          <cell r="DV363">
            <v>0</v>
          </cell>
          <cell r="DW363">
            <v>21</v>
          </cell>
          <cell r="DX363">
            <v>21</v>
          </cell>
          <cell r="DY363">
            <v>40</v>
          </cell>
          <cell r="DZ363">
            <v>0</v>
          </cell>
          <cell r="EA363">
            <v>0</v>
          </cell>
          <cell r="EB363">
            <v>20.5</v>
          </cell>
          <cell r="EC363">
            <v>20.5</v>
          </cell>
          <cell r="ED363">
            <v>39</v>
          </cell>
          <cell r="EE363">
            <v>0</v>
          </cell>
          <cell r="EF363">
            <v>0</v>
          </cell>
          <cell r="EG363">
            <v>20</v>
          </cell>
          <cell r="EH363">
            <v>20</v>
          </cell>
          <cell r="EI363">
            <v>38</v>
          </cell>
          <cell r="EJ363">
            <v>0</v>
          </cell>
          <cell r="EK363">
            <v>0</v>
          </cell>
          <cell r="EL363">
            <v>19.5</v>
          </cell>
          <cell r="EM363">
            <v>19.5</v>
          </cell>
          <cell r="EN363">
            <v>37</v>
          </cell>
          <cell r="EO363">
            <v>0</v>
          </cell>
          <cell r="EP363">
            <v>0</v>
          </cell>
          <cell r="EQ363">
            <v>19</v>
          </cell>
          <cell r="ER363">
            <v>19</v>
          </cell>
          <cell r="ES363">
            <v>36</v>
          </cell>
          <cell r="ET363">
            <v>0</v>
          </cell>
          <cell r="EU363">
            <v>0</v>
          </cell>
          <cell r="EV363">
            <v>18.5</v>
          </cell>
          <cell r="EW363">
            <v>18.5</v>
          </cell>
          <cell r="EX363">
            <v>35</v>
          </cell>
          <cell r="EY363">
            <v>0</v>
          </cell>
          <cell r="EZ363">
            <v>0</v>
          </cell>
          <cell r="FA363">
            <v>18</v>
          </cell>
          <cell r="FB363">
            <v>18</v>
          </cell>
          <cell r="FC363">
            <v>34</v>
          </cell>
          <cell r="FD363">
            <v>0</v>
          </cell>
          <cell r="FE363">
            <v>0</v>
          </cell>
          <cell r="FF363">
            <v>17.5</v>
          </cell>
          <cell r="FG363">
            <v>17.5</v>
          </cell>
          <cell r="FH363">
            <v>33</v>
          </cell>
          <cell r="FI363">
            <v>0</v>
          </cell>
          <cell r="FJ363">
            <v>0</v>
          </cell>
          <cell r="FK363">
            <v>17</v>
          </cell>
          <cell r="FL363">
            <v>17</v>
          </cell>
          <cell r="FM363">
            <v>32</v>
          </cell>
          <cell r="FN363">
            <v>0</v>
          </cell>
          <cell r="FO363">
            <v>0</v>
          </cell>
          <cell r="FP363">
            <v>16.5</v>
          </cell>
          <cell r="FQ363">
            <v>16.5</v>
          </cell>
          <cell r="FR363">
            <v>31</v>
          </cell>
          <cell r="FS363">
            <v>0</v>
          </cell>
          <cell r="FT363">
            <v>2</v>
          </cell>
          <cell r="FU363">
            <v>2.0333333333333332</v>
          </cell>
          <cell r="FW363" t="str">
            <v>SOBRESTOCK</v>
          </cell>
          <cell r="FX363" t="str">
            <v>C</v>
          </cell>
          <cell r="FY363" t="str">
            <v>Si</v>
          </cell>
        </row>
        <row r="364">
          <cell r="B364" t="str">
            <v>REP-0381</v>
          </cell>
          <cell r="C364" t="str">
            <v>MIX</v>
          </cell>
          <cell r="D364">
            <v>0</v>
          </cell>
          <cell r="E364">
            <v>5</v>
          </cell>
          <cell r="F364">
            <v>0</v>
          </cell>
          <cell r="G364">
            <v>0</v>
          </cell>
          <cell r="H364">
            <v>1</v>
          </cell>
          <cell r="I364">
            <v>1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1</v>
          </cell>
          <cell r="V364">
            <v>1</v>
          </cell>
          <cell r="W364">
            <v>0</v>
          </cell>
          <cell r="X364">
            <v>0</v>
          </cell>
          <cell r="Y364">
            <v>9</v>
          </cell>
          <cell r="AA364">
            <v>9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8.3333333333333329E-2</v>
          </cell>
          <cell r="AG364">
            <v>0.16666666666666666</v>
          </cell>
          <cell r="AH364">
            <v>0.41666666666666669</v>
          </cell>
          <cell r="AI364">
            <v>0.16666666666666666</v>
          </cell>
          <cell r="AJ364">
            <v>0.16666666666666666</v>
          </cell>
          <cell r="AK364">
            <v>0.41666666666666669</v>
          </cell>
          <cell r="AL364">
            <v>0.12500000000000006</v>
          </cell>
          <cell r="AM364">
            <v>0.22916666666666666</v>
          </cell>
          <cell r="AN364">
            <v>0.54545454545454575</v>
          </cell>
          <cell r="AO364">
            <v>0</v>
          </cell>
          <cell r="AP364">
            <v>13.5</v>
          </cell>
          <cell r="AQ364">
            <v>83.000000000000014</v>
          </cell>
          <cell r="AR364">
            <v>0</v>
          </cell>
          <cell r="AS364">
            <v>13</v>
          </cell>
          <cell r="AT364">
            <v>13</v>
          </cell>
          <cell r="AU364">
            <v>26</v>
          </cell>
          <cell r="AV364">
            <v>0</v>
          </cell>
          <cell r="AW364">
            <v>12.5</v>
          </cell>
          <cell r="AX364">
            <v>13</v>
          </cell>
          <cell r="AY364">
            <v>31.2</v>
          </cell>
          <cell r="AZ364">
            <v>0</v>
          </cell>
          <cell r="BA364">
            <v>12.666666666666666</v>
          </cell>
          <cell r="BB364">
            <v>13</v>
          </cell>
          <cell r="BC364">
            <v>39</v>
          </cell>
          <cell r="BD364">
            <v>0</v>
          </cell>
          <cell r="BE364">
            <v>12.666666666666666</v>
          </cell>
          <cell r="BF364">
            <v>38</v>
          </cell>
          <cell r="BG364">
            <v>0</v>
          </cell>
          <cell r="BH364">
            <v>12.333333333333332</v>
          </cell>
          <cell r="BI364">
            <v>9</v>
          </cell>
          <cell r="BJ364">
            <v>21.599999999999998</v>
          </cell>
          <cell r="BK364">
            <v>0</v>
          </cell>
          <cell r="BL364">
            <v>11.666666666666666</v>
          </cell>
          <cell r="BM364">
            <v>12</v>
          </cell>
          <cell r="BN364">
            <v>36</v>
          </cell>
          <cell r="BO364">
            <v>0</v>
          </cell>
          <cell r="BP364">
            <v>11.666666666666666</v>
          </cell>
          <cell r="BQ364">
            <v>12</v>
          </cell>
          <cell r="BR364">
            <v>28.799999999999997</v>
          </cell>
          <cell r="BS364">
            <v>0</v>
          </cell>
          <cell r="BT364">
            <v>11.75</v>
          </cell>
          <cell r="BU364">
            <v>10</v>
          </cell>
          <cell r="BV364">
            <v>20</v>
          </cell>
          <cell r="BW364">
            <v>0</v>
          </cell>
          <cell r="BX364">
            <v>0</v>
          </cell>
          <cell r="BY364">
            <v>9.5</v>
          </cell>
          <cell r="BZ364">
            <v>9</v>
          </cell>
          <cell r="CA364">
            <v>13.5</v>
          </cell>
          <cell r="CB364">
            <v>0</v>
          </cell>
          <cell r="CC364">
            <v>0</v>
          </cell>
          <cell r="CD364">
            <v>8.3333333333333339</v>
          </cell>
          <cell r="CE364">
            <v>9</v>
          </cell>
          <cell r="CF364">
            <v>18</v>
          </cell>
          <cell r="CG364">
            <v>0</v>
          </cell>
          <cell r="CH364">
            <v>0</v>
          </cell>
          <cell r="CI364">
            <v>7.8333333333333339</v>
          </cell>
          <cell r="CJ364">
            <v>10</v>
          </cell>
          <cell r="CK364">
            <v>20</v>
          </cell>
          <cell r="CL364">
            <v>0</v>
          </cell>
          <cell r="CM364">
            <v>0</v>
          </cell>
          <cell r="CN364">
            <v>9.5</v>
          </cell>
          <cell r="CO364">
            <v>10</v>
          </cell>
          <cell r="CP364">
            <v>20</v>
          </cell>
          <cell r="CQ364">
            <v>0</v>
          </cell>
          <cell r="CR364">
            <v>0</v>
          </cell>
          <cell r="CS364">
            <v>9.5</v>
          </cell>
          <cell r="CT364">
            <v>9</v>
          </cell>
          <cell r="CU364">
            <v>18</v>
          </cell>
          <cell r="CV364">
            <v>0</v>
          </cell>
          <cell r="CW364">
            <v>0</v>
          </cell>
          <cell r="CX364">
            <v>8.5</v>
          </cell>
          <cell r="CY364">
            <v>10</v>
          </cell>
          <cell r="CZ364">
            <v>24</v>
          </cell>
          <cell r="DA364">
            <v>0</v>
          </cell>
          <cell r="DB364">
            <v>0</v>
          </cell>
          <cell r="DC364">
            <v>9.5833333333333339</v>
          </cell>
          <cell r="DD364">
            <v>9</v>
          </cell>
          <cell r="DE364">
            <v>19.2</v>
          </cell>
          <cell r="DF364">
            <v>0</v>
          </cell>
          <cell r="DG364">
            <v>0</v>
          </cell>
          <cell r="DH364">
            <v>8.5833333333333339</v>
          </cell>
          <cell r="DI364">
            <v>9</v>
          </cell>
          <cell r="DJ364">
            <v>21.2</v>
          </cell>
          <cell r="DK364">
            <v>0</v>
          </cell>
          <cell r="DL364">
            <v>0</v>
          </cell>
          <cell r="DM364">
            <v>8.1666666666666679</v>
          </cell>
          <cell r="DN364">
            <v>9</v>
          </cell>
          <cell r="DO364">
            <v>21.2</v>
          </cell>
          <cell r="DP364">
            <v>0</v>
          </cell>
          <cell r="DQ364">
            <v>0</v>
          </cell>
          <cell r="DR364">
            <v>8.5833333333333339</v>
          </cell>
          <cell r="DS364">
            <v>8.5833333333333339</v>
          </cell>
          <cell r="DT364">
            <v>20.2</v>
          </cell>
          <cell r="DU364">
            <v>0</v>
          </cell>
          <cell r="DV364">
            <v>0</v>
          </cell>
          <cell r="DW364">
            <v>8.1666666666666679</v>
          </cell>
          <cell r="DX364">
            <v>8.1666666666666679</v>
          </cell>
          <cell r="DY364">
            <v>19.200000000000003</v>
          </cell>
          <cell r="DZ364">
            <v>0</v>
          </cell>
          <cell r="EA364">
            <v>0</v>
          </cell>
          <cell r="EB364">
            <v>7.7500000000000009</v>
          </cell>
          <cell r="EC364">
            <v>7.7500000000000009</v>
          </cell>
          <cell r="ED364">
            <v>18.200000000000003</v>
          </cell>
          <cell r="EE364">
            <v>0</v>
          </cell>
          <cell r="EF364">
            <v>0</v>
          </cell>
          <cell r="EG364">
            <v>7.3333333333333339</v>
          </cell>
          <cell r="EH364">
            <v>7.3333333333333339</v>
          </cell>
          <cell r="EI364">
            <v>17.200000000000003</v>
          </cell>
          <cell r="EJ364">
            <v>0</v>
          </cell>
          <cell r="EK364">
            <v>0</v>
          </cell>
          <cell r="EL364">
            <v>6.916666666666667</v>
          </cell>
          <cell r="EM364">
            <v>6.916666666666667</v>
          </cell>
          <cell r="EN364">
            <v>16.2</v>
          </cell>
          <cell r="EO364">
            <v>0</v>
          </cell>
          <cell r="EP364">
            <v>0</v>
          </cell>
          <cell r="EQ364">
            <v>6.5</v>
          </cell>
          <cell r="ER364">
            <v>6.5</v>
          </cell>
          <cell r="ES364">
            <v>15.2</v>
          </cell>
          <cell r="ET364">
            <v>0</v>
          </cell>
          <cell r="EU364">
            <v>0</v>
          </cell>
          <cell r="EV364">
            <v>6.083333333333333</v>
          </cell>
          <cell r="EW364">
            <v>6.083333333333333</v>
          </cell>
          <cell r="EX364">
            <v>14.2</v>
          </cell>
          <cell r="EY364">
            <v>0</v>
          </cell>
          <cell r="EZ364">
            <v>0</v>
          </cell>
          <cell r="FA364">
            <v>5.6666666666666661</v>
          </cell>
          <cell r="FB364">
            <v>5.6666666666666661</v>
          </cell>
          <cell r="FC364">
            <v>13.199999999999998</v>
          </cell>
          <cell r="FD364">
            <v>0</v>
          </cell>
          <cell r="FE364">
            <v>0</v>
          </cell>
          <cell r="FF364">
            <v>5.2499999999999991</v>
          </cell>
          <cell r="FG364">
            <v>5.2499999999999991</v>
          </cell>
          <cell r="FH364">
            <v>12.199999999999998</v>
          </cell>
          <cell r="FI364">
            <v>0</v>
          </cell>
          <cell r="FJ364">
            <v>0</v>
          </cell>
          <cell r="FK364">
            <v>4.8333333333333321</v>
          </cell>
          <cell r="FL364">
            <v>4.8333333333333321</v>
          </cell>
          <cell r="FM364">
            <v>11.199999999999998</v>
          </cell>
          <cell r="FN364">
            <v>0</v>
          </cell>
          <cell r="FO364">
            <v>0</v>
          </cell>
          <cell r="FP364">
            <v>4.4166666666666652</v>
          </cell>
          <cell r="FQ364">
            <v>4.4166666666666652</v>
          </cell>
          <cell r="FR364">
            <v>10.199999999999996</v>
          </cell>
          <cell r="FS364">
            <v>0</v>
          </cell>
          <cell r="FT364">
            <v>1</v>
          </cell>
          <cell r="FU364">
            <v>2.0333333333333332</v>
          </cell>
          <cell r="FW364" t="str">
            <v>SOBRESTOCK</v>
          </cell>
          <cell r="FX364" t="str">
            <v>C</v>
          </cell>
          <cell r="FY364" t="str">
            <v>Si</v>
          </cell>
        </row>
        <row r="365">
          <cell r="B365" t="str">
            <v>REP-0382</v>
          </cell>
          <cell r="C365" t="str">
            <v>MIX</v>
          </cell>
          <cell r="D365">
            <v>0</v>
          </cell>
          <cell r="E365">
            <v>1</v>
          </cell>
          <cell r="F365">
            <v>0</v>
          </cell>
          <cell r="G365">
            <v>0</v>
          </cell>
          <cell r="H365">
            <v>1</v>
          </cell>
          <cell r="I365">
            <v>1</v>
          </cell>
          <cell r="J365">
            <v>0</v>
          </cell>
          <cell r="K365">
            <v>2</v>
          </cell>
          <cell r="L365">
            <v>0</v>
          </cell>
          <cell r="M365">
            <v>0</v>
          </cell>
          <cell r="N365">
            <v>0</v>
          </cell>
          <cell r="O365">
            <v>1</v>
          </cell>
          <cell r="P365">
            <v>0</v>
          </cell>
          <cell r="Q365">
            <v>0</v>
          </cell>
          <cell r="R365">
            <v>1</v>
          </cell>
          <cell r="S365">
            <v>0</v>
          </cell>
          <cell r="T365">
            <v>1</v>
          </cell>
          <cell r="U365">
            <v>0</v>
          </cell>
          <cell r="V365">
            <v>0</v>
          </cell>
          <cell r="W365">
            <v>1</v>
          </cell>
          <cell r="X365">
            <v>1</v>
          </cell>
          <cell r="Y365">
            <v>10</v>
          </cell>
          <cell r="AA365">
            <v>10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8.3333333333333329E-2</v>
          </cell>
          <cell r="AG365">
            <v>8.3333333333333329E-2</v>
          </cell>
          <cell r="AH365">
            <v>0.41666666666666669</v>
          </cell>
          <cell r="AI365">
            <v>1.1666666666666667</v>
          </cell>
          <cell r="AJ365">
            <v>1.1666666666666667</v>
          </cell>
          <cell r="AK365">
            <v>1.1666666666666667</v>
          </cell>
          <cell r="AL365">
            <v>0.54645321035850025</v>
          </cell>
          <cell r="AM365">
            <v>0.70833333333333337</v>
          </cell>
          <cell r="AN365">
            <v>0.77146335580023562</v>
          </cell>
          <cell r="AO365">
            <v>0</v>
          </cell>
          <cell r="AP365">
            <v>21.444444444444443</v>
          </cell>
          <cell r="AQ365">
            <v>263.00000000000006</v>
          </cell>
          <cell r="AR365">
            <v>0</v>
          </cell>
          <cell r="AS365">
            <v>21.833333333333336</v>
          </cell>
          <cell r="AT365">
            <v>22</v>
          </cell>
          <cell r="AU365">
            <v>264</v>
          </cell>
          <cell r="AV365">
            <v>0</v>
          </cell>
          <cell r="AW365">
            <v>21.916666666666668</v>
          </cell>
          <cell r="AX365">
            <v>20</v>
          </cell>
          <cell r="AY365">
            <v>17.142857142857142</v>
          </cell>
          <cell r="AZ365">
            <v>0</v>
          </cell>
          <cell r="BA365">
            <v>19.666666666666668</v>
          </cell>
          <cell r="BB365">
            <v>19</v>
          </cell>
          <cell r="BC365">
            <v>19</v>
          </cell>
          <cell r="BD365">
            <v>0</v>
          </cell>
          <cell r="BE365">
            <v>18</v>
          </cell>
          <cell r="BF365">
            <v>18</v>
          </cell>
          <cell r="BG365">
            <v>0</v>
          </cell>
          <cell r="BH365">
            <v>17</v>
          </cell>
          <cell r="BI365">
            <v>10</v>
          </cell>
          <cell r="BJ365">
            <v>8.5714285714285712</v>
          </cell>
          <cell r="BK365">
            <v>0</v>
          </cell>
          <cell r="BL365">
            <v>17.333333333333332</v>
          </cell>
          <cell r="BM365">
            <v>17</v>
          </cell>
          <cell r="BN365">
            <v>25.5</v>
          </cell>
          <cell r="BO365">
            <v>0</v>
          </cell>
          <cell r="BP365">
            <v>16.333333333333332</v>
          </cell>
          <cell r="BQ365">
            <v>17</v>
          </cell>
          <cell r="BR365">
            <v>14.571428571428571</v>
          </cell>
          <cell r="BS365">
            <v>0</v>
          </cell>
          <cell r="BT365">
            <v>16.166666666666668</v>
          </cell>
          <cell r="BU365">
            <v>17</v>
          </cell>
          <cell r="BV365">
            <v>30.599999999999998</v>
          </cell>
          <cell r="BW365">
            <v>0</v>
          </cell>
          <cell r="BX365">
            <v>0</v>
          </cell>
          <cell r="BY365">
            <v>16.444444444444443</v>
          </cell>
          <cell r="BZ365">
            <v>17</v>
          </cell>
          <cell r="CA365">
            <v>34</v>
          </cell>
          <cell r="CB365">
            <v>0</v>
          </cell>
          <cell r="CC365">
            <v>0</v>
          </cell>
          <cell r="CD365">
            <v>16.5</v>
          </cell>
          <cell r="CE365">
            <v>17</v>
          </cell>
          <cell r="CF365">
            <v>37.4</v>
          </cell>
          <cell r="CG365">
            <v>0</v>
          </cell>
          <cell r="CH365">
            <v>0</v>
          </cell>
          <cell r="CI365">
            <v>16.045454545454547</v>
          </cell>
          <cell r="CJ365">
            <v>17</v>
          </cell>
          <cell r="CK365">
            <v>40.799999999999997</v>
          </cell>
          <cell r="CL365">
            <v>0</v>
          </cell>
          <cell r="CM365">
            <v>0</v>
          </cell>
          <cell r="CN365">
            <v>16.583333333333332</v>
          </cell>
          <cell r="CO365">
            <v>16</v>
          </cell>
          <cell r="CP365">
            <v>16</v>
          </cell>
          <cell r="CQ365">
            <v>0</v>
          </cell>
          <cell r="CR365">
            <v>0</v>
          </cell>
          <cell r="CS365">
            <v>15</v>
          </cell>
          <cell r="CT365">
            <v>15</v>
          </cell>
          <cell r="CU365">
            <v>15</v>
          </cell>
          <cell r="CV365">
            <v>0</v>
          </cell>
          <cell r="CW365">
            <v>0</v>
          </cell>
          <cell r="CX365">
            <v>14</v>
          </cell>
          <cell r="CY365">
            <v>16</v>
          </cell>
          <cell r="CZ365">
            <v>24</v>
          </cell>
          <cell r="DA365">
            <v>0</v>
          </cell>
          <cell r="DB365">
            <v>0</v>
          </cell>
          <cell r="DC365">
            <v>15</v>
          </cell>
          <cell r="DD365">
            <v>13</v>
          </cell>
          <cell r="DE365">
            <v>10</v>
          </cell>
          <cell r="DF365">
            <v>0</v>
          </cell>
          <cell r="DG365">
            <v>0</v>
          </cell>
          <cell r="DH365">
            <v>12</v>
          </cell>
          <cell r="DI365">
            <v>12</v>
          </cell>
          <cell r="DJ365">
            <v>11</v>
          </cell>
          <cell r="DK365">
            <v>0</v>
          </cell>
          <cell r="DL365">
            <v>0</v>
          </cell>
          <cell r="DM365">
            <v>11</v>
          </cell>
          <cell r="DN365">
            <v>10</v>
          </cell>
          <cell r="DO365">
            <v>8</v>
          </cell>
          <cell r="DP365">
            <v>0</v>
          </cell>
          <cell r="DQ365">
            <v>0</v>
          </cell>
          <cell r="DR365">
            <v>8.8333333333333339</v>
          </cell>
          <cell r="DS365">
            <v>8.8333333333333339</v>
          </cell>
          <cell r="DT365">
            <v>7</v>
          </cell>
          <cell r="DU365">
            <v>0</v>
          </cell>
          <cell r="DV365">
            <v>0</v>
          </cell>
          <cell r="DW365">
            <v>7.666666666666667</v>
          </cell>
          <cell r="DX365">
            <v>7.666666666666667</v>
          </cell>
          <cell r="DY365">
            <v>6</v>
          </cell>
          <cell r="DZ365">
            <v>0</v>
          </cell>
          <cell r="EA365">
            <v>0</v>
          </cell>
          <cell r="EB365">
            <v>6.5</v>
          </cell>
          <cell r="EC365">
            <v>6.5</v>
          </cell>
          <cell r="ED365">
            <v>5</v>
          </cell>
          <cell r="EE365">
            <v>0</v>
          </cell>
          <cell r="EF365">
            <v>0</v>
          </cell>
          <cell r="EG365">
            <v>5.333333333333333</v>
          </cell>
          <cell r="EH365">
            <v>5.333333333333333</v>
          </cell>
          <cell r="EI365">
            <v>3.9999999999999996</v>
          </cell>
          <cell r="EJ365">
            <v>0</v>
          </cell>
          <cell r="EK365">
            <v>0</v>
          </cell>
          <cell r="EL365">
            <v>4.1666666666666661</v>
          </cell>
          <cell r="EM365">
            <v>4.1666666666666661</v>
          </cell>
          <cell r="EN365">
            <v>2.9999999999999996</v>
          </cell>
          <cell r="EO365">
            <v>0</v>
          </cell>
          <cell r="EP365">
            <v>0</v>
          </cell>
          <cell r="EQ365">
            <v>2.9999999999999991</v>
          </cell>
          <cell r="ER365">
            <v>2.9999999999999991</v>
          </cell>
          <cell r="ES365">
            <v>1.9999999999999993</v>
          </cell>
          <cell r="ET365">
            <v>8.8817841970012523E-16</v>
          </cell>
          <cell r="EU365">
            <v>0</v>
          </cell>
          <cell r="EV365">
            <v>1.8333333333333324</v>
          </cell>
          <cell r="EW365">
            <v>1.8333333333333324</v>
          </cell>
          <cell r="EX365">
            <v>0.99999999999999933</v>
          </cell>
          <cell r="EY365">
            <v>1.1666666666666676</v>
          </cell>
          <cell r="EZ365">
            <v>0</v>
          </cell>
          <cell r="FA365">
            <v>0.66666666666666563</v>
          </cell>
          <cell r="FB365">
            <v>0.66666666666666563</v>
          </cell>
          <cell r="FC365">
            <v>-8.8817841970012523E-16</v>
          </cell>
          <cell r="FD365">
            <v>2.3333333333333344</v>
          </cell>
          <cell r="FE365">
            <v>5</v>
          </cell>
          <cell r="FF365">
            <v>4.4999999999999991</v>
          </cell>
          <cell r="FG365">
            <v>4.4999999999999991</v>
          </cell>
          <cell r="FH365">
            <v>3.2857142857142847</v>
          </cell>
          <cell r="FI365">
            <v>0</v>
          </cell>
          <cell r="FJ365">
            <v>0</v>
          </cell>
          <cell r="FK365">
            <v>3.3333333333333321</v>
          </cell>
          <cell r="FL365">
            <v>3.3333333333333321</v>
          </cell>
          <cell r="FM365">
            <v>2.2857142857142847</v>
          </cell>
          <cell r="FN365">
            <v>0</v>
          </cell>
          <cell r="FO365">
            <v>2</v>
          </cell>
          <cell r="FP365">
            <v>4.1666666666666652</v>
          </cell>
          <cell r="FQ365">
            <v>4.1666666666666652</v>
          </cell>
          <cell r="FR365">
            <v>2.9999999999999987</v>
          </cell>
          <cell r="FS365">
            <v>0</v>
          </cell>
          <cell r="FT365">
            <v>3</v>
          </cell>
          <cell r="FU365">
            <v>2.0333333333333332</v>
          </cell>
          <cell r="FV365" t="str">
            <v>SI</v>
          </cell>
          <cell r="FW365" t="str">
            <v>SOBRESTOCK</v>
          </cell>
          <cell r="FX365" t="str">
            <v>C</v>
          </cell>
          <cell r="FY365" t="str">
            <v>Si</v>
          </cell>
        </row>
        <row r="366">
          <cell r="B366" t="str">
            <v>REP-0383</v>
          </cell>
          <cell r="C366" t="str">
            <v>MIX</v>
          </cell>
          <cell r="D366">
            <v>0</v>
          </cell>
          <cell r="E366">
            <v>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3</v>
          </cell>
          <cell r="AA366">
            <v>3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8.3333333333333329E-2</v>
          </cell>
          <cell r="AI366">
            <v>0</v>
          </cell>
          <cell r="AJ366">
            <v>0</v>
          </cell>
          <cell r="AK366">
            <v>8.3333333333333329E-2</v>
          </cell>
          <cell r="AL366">
            <v>4.1666666666666664E-2</v>
          </cell>
          <cell r="AM366">
            <v>2.0833333333333332E-2</v>
          </cell>
          <cell r="AN366">
            <v>2</v>
          </cell>
          <cell r="AO366">
            <v>0</v>
          </cell>
          <cell r="AP366">
            <v>4</v>
          </cell>
          <cell r="AQ366" t="str">
            <v/>
          </cell>
          <cell r="AR366">
            <v>0</v>
          </cell>
          <cell r="AS366">
            <v>4</v>
          </cell>
          <cell r="AT366">
            <v>4</v>
          </cell>
          <cell r="AU366" t="str">
            <v/>
          </cell>
          <cell r="AV366">
            <v>0</v>
          </cell>
          <cell r="AW366">
            <v>4</v>
          </cell>
          <cell r="AX366">
            <v>4</v>
          </cell>
          <cell r="AY366">
            <v>48</v>
          </cell>
          <cell r="AZ366">
            <v>0</v>
          </cell>
          <cell r="BA366">
            <v>4</v>
          </cell>
          <cell r="BB366">
            <v>4</v>
          </cell>
          <cell r="BC366" t="str">
            <v/>
          </cell>
          <cell r="BD366">
            <v>0</v>
          </cell>
          <cell r="BE366">
            <v>4</v>
          </cell>
          <cell r="BF366" t="str">
            <v/>
          </cell>
          <cell r="BG366">
            <v>0</v>
          </cell>
          <cell r="BH366">
            <v>4</v>
          </cell>
          <cell r="BI366">
            <v>3</v>
          </cell>
          <cell r="BJ366">
            <v>36</v>
          </cell>
          <cell r="BK366">
            <v>0</v>
          </cell>
          <cell r="BL366">
            <v>4</v>
          </cell>
          <cell r="BM366">
            <v>4</v>
          </cell>
          <cell r="BN366" t="str">
            <v/>
          </cell>
          <cell r="BO366">
            <v>0</v>
          </cell>
          <cell r="BP366">
            <v>4</v>
          </cell>
          <cell r="BQ366">
            <v>4</v>
          </cell>
          <cell r="BR366">
            <v>48</v>
          </cell>
          <cell r="BS366">
            <v>0</v>
          </cell>
          <cell r="BT366">
            <v>4</v>
          </cell>
          <cell r="BU366">
            <v>4</v>
          </cell>
          <cell r="BV366" t="str">
            <v/>
          </cell>
          <cell r="BW366">
            <v>0</v>
          </cell>
          <cell r="BX366">
            <v>0</v>
          </cell>
          <cell r="BY366">
            <v>4</v>
          </cell>
          <cell r="BZ366">
            <v>3</v>
          </cell>
          <cell r="CA366">
            <v>18</v>
          </cell>
          <cell r="CB366">
            <v>0</v>
          </cell>
          <cell r="CC366">
            <v>0</v>
          </cell>
          <cell r="CD366">
            <v>2.8333333333333335</v>
          </cell>
          <cell r="CE366">
            <v>3</v>
          </cell>
          <cell r="CF366">
            <v>18</v>
          </cell>
          <cell r="CG366">
            <v>0</v>
          </cell>
          <cell r="CH366">
            <v>0</v>
          </cell>
          <cell r="CI366">
            <v>2.666666666666667</v>
          </cell>
          <cell r="CJ366">
            <v>3</v>
          </cell>
          <cell r="CK366">
            <v>18</v>
          </cell>
          <cell r="CL366">
            <v>0</v>
          </cell>
          <cell r="CM366">
            <v>0</v>
          </cell>
          <cell r="CN366">
            <v>2.8333333333333335</v>
          </cell>
          <cell r="CO366">
            <v>3</v>
          </cell>
          <cell r="CP366">
            <v>18</v>
          </cell>
          <cell r="CQ366">
            <v>0</v>
          </cell>
          <cell r="CR366">
            <v>0</v>
          </cell>
          <cell r="CS366">
            <v>2.8333333333333335</v>
          </cell>
          <cell r="CT366">
            <v>3</v>
          </cell>
          <cell r="CU366">
            <v>18</v>
          </cell>
          <cell r="CV366">
            <v>0</v>
          </cell>
          <cell r="CW366">
            <v>0</v>
          </cell>
          <cell r="CX366">
            <v>2.8333333333333335</v>
          </cell>
          <cell r="CY366">
            <v>3</v>
          </cell>
          <cell r="CZ366">
            <v>18</v>
          </cell>
          <cell r="DA366">
            <v>0</v>
          </cell>
          <cell r="DB366">
            <v>0</v>
          </cell>
          <cell r="DC366">
            <v>2.9166666666666665</v>
          </cell>
          <cell r="DD366">
            <v>3</v>
          </cell>
          <cell r="DE366">
            <v>24</v>
          </cell>
          <cell r="DF366">
            <v>0</v>
          </cell>
          <cell r="DG366">
            <v>0</v>
          </cell>
          <cell r="DH366">
            <v>2.9166666666666665</v>
          </cell>
          <cell r="DI366">
            <v>3</v>
          </cell>
          <cell r="DJ366">
            <v>26</v>
          </cell>
          <cell r="DK366">
            <v>0</v>
          </cell>
          <cell r="DL366">
            <v>0</v>
          </cell>
          <cell r="DM366">
            <v>2.833333333333333</v>
          </cell>
          <cell r="DN366">
            <v>3</v>
          </cell>
          <cell r="DO366">
            <v>26</v>
          </cell>
          <cell r="DP366">
            <v>0</v>
          </cell>
          <cell r="DQ366">
            <v>0</v>
          </cell>
          <cell r="DR366">
            <v>2.9166666666666665</v>
          </cell>
          <cell r="DS366">
            <v>2.9166666666666665</v>
          </cell>
          <cell r="DT366">
            <v>25</v>
          </cell>
          <cell r="DU366">
            <v>0</v>
          </cell>
          <cell r="DV366">
            <v>0</v>
          </cell>
          <cell r="DW366">
            <v>2.833333333333333</v>
          </cell>
          <cell r="DX366">
            <v>2.833333333333333</v>
          </cell>
          <cell r="DY366">
            <v>23.999999999999996</v>
          </cell>
          <cell r="DZ366">
            <v>0</v>
          </cell>
          <cell r="EA366">
            <v>0</v>
          </cell>
          <cell r="EB366">
            <v>2.7499999999999996</v>
          </cell>
          <cell r="EC366">
            <v>2.7499999999999996</v>
          </cell>
          <cell r="ED366">
            <v>22.999999999999996</v>
          </cell>
          <cell r="EE366">
            <v>0</v>
          </cell>
          <cell r="EF366">
            <v>0</v>
          </cell>
          <cell r="EG366">
            <v>2.6666666666666661</v>
          </cell>
          <cell r="EH366">
            <v>2.6666666666666661</v>
          </cell>
          <cell r="EI366">
            <v>21.999999999999993</v>
          </cell>
          <cell r="EJ366">
            <v>0</v>
          </cell>
          <cell r="EK366">
            <v>0</v>
          </cell>
          <cell r="EL366">
            <v>2.5833333333333326</v>
          </cell>
          <cell r="EM366">
            <v>2.5833333333333326</v>
          </cell>
          <cell r="EN366">
            <v>20.999999999999993</v>
          </cell>
          <cell r="EO366">
            <v>0</v>
          </cell>
          <cell r="EP366">
            <v>0</v>
          </cell>
          <cell r="EQ366">
            <v>2.4999999999999991</v>
          </cell>
          <cell r="ER366">
            <v>2.4999999999999991</v>
          </cell>
          <cell r="ES366">
            <v>19.999999999999989</v>
          </cell>
          <cell r="ET366">
            <v>0</v>
          </cell>
          <cell r="EU366">
            <v>0</v>
          </cell>
          <cell r="EV366">
            <v>2.4166666666666656</v>
          </cell>
          <cell r="EW366">
            <v>2.4166666666666656</v>
          </cell>
          <cell r="EX366">
            <v>18.999999999999989</v>
          </cell>
          <cell r="EY366">
            <v>0</v>
          </cell>
          <cell r="EZ366">
            <v>0</v>
          </cell>
          <cell r="FA366">
            <v>2.3333333333333321</v>
          </cell>
          <cell r="FB366">
            <v>2.3333333333333321</v>
          </cell>
          <cell r="FC366">
            <v>17.999999999999986</v>
          </cell>
          <cell r="FD366">
            <v>0</v>
          </cell>
          <cell r="FE366">
            <v>0</v>
          </cell>
          <cell r="FF366">
            <v>2.2499999999999987</v>
          </cell>
          <cell r="FG366">
            <v>2.2499999999999987</v>
          </cell>
          <cell r="FH366">
            <v>16.999999999999986</v>
          </cell>
          <cell r="FI366">
            <v>0</v>
          </cell>
          <cell r="FJ366">
            <v>0</v>
          </cell>
          <cell r="FK366">
            <v>2.1666666666666652</v>
          </cell>
          <cell r="FL366">
            <v>2.1666666666666652</v>
          </cell>
          <cell r="FM366">
            <v>15.999999999999982</v>
          </cell>
          <cell r="FN366">
            <v>0</v>
          </cell>
          <cell r="FO366">
            <v>0</v>
          </cell>
          <cell r="FP366">
            <v>2.0833333333333317</v>
          </cell>
          <cell r="FQ366">
            <v>2.0833333333333317</v>
          </cell>
          <cell r="FR366">
            <v>14.99999999999998</v>
          </cell>
          <cell r="FS366">
            <v>0</v>
          </cell>
          <cell r="FT366">
            <v>1</v>
          </cell>
          <cell r="FU366">
            <v>2.0333333333333332</v>
          </cell>
          <cell r="FW366" t="str">
            <v>SIN ROTACIÓN</v>
          </cell>
          <cell r="FX366" t="str">
            <v>STOCK MUERTO</v>
          </cell>
          <cell r="FY366" t="str">
            <v>Si</v>
          </cell>
        </row>
        <row r="367">
          <cell r="B367" t="str">
            <v>REP-0384</v>
          </cell>
          <cell r="C367" t="str">
            <v>MIX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0.33333333333333331</v>
          </cell>
          <cell r="AG367">
            <v>0.33333333333333331</v>
          </cell>
          <cell r="AH367">
            <v>0</v>
          </cell>
          <cell r="AI367">
            <v>0</v>
          </cell>
          <cell r="AJ367">
            <v>0</v>
          </cell>
          <cell r="AK367">
            <v>0.33333333333333331</v>
          </cell>
          <cell r="AM367">
            <v>8.3333333333333329E-2</v>
          </cell>
          <cell r="AO367">
            <v>0</v>
          </cell>
          <cell r="AP367">
            <v>-0.33333333333333331</v>
          </cell>
          <cell r="AQ367">
            <v>-1</v>
          </cell>
          <cell r="AR367">
            <v>0</v>
          </cell>
          <cell r="AS367">
            <v>-0.66666666666666663</v>
          </cell>
          <cell r="AT367">
            <v>0</v>
          </cell>
          <cell r="AU367">
            <v>0</v>
          </cell>
          <cell r="AV367">
            <v>0</v>
          </cell>
          <cell r="AW367">
            <v>-0.33333333333333331</v>
          </cell>
          <cell r="AX367">
            <v>0</v>
          </cell>
          <cell r="AY367">
            <v>0</v>
          </cell>
          <cell r="AZ367">
            <v>0</v>
          </cell>
          <cell r="BA367">
            <v>-0.33333333333333331</v>
          </cell>
          <cell r="BB367">
            <v>0</v>
          </cell>
          <cell r="BC367">
            <v>0</v>
          </cell>
          <cell r="BD367">
            <v>0</v>
          </cell>
          <cell r="BE367">
            <v>-0.33333333333333331</v>
          </cell>
          <cell r="BF367">
            <v>-1</v>
          </cell>
          <cell r="BG367">
            <v>0</v>
          </cell>
          <cell r="BH367">
            <v>-0.66666666666666663</v>
          </cell>
          <cell r="BI367">
            <v>0</v>
          </cell>
          <cell r="BJ367">
            <v>0</v>
          </cell>
          <cell r="BK367">
            <v>0</v>
          </cell>
          <cell r="BL367">
            <v>-0.33333333333333331</v>
          </cell>
          <cell r="BM367">
            <v>0</v>
          </cell>
          <cell r="BN367">
            <v>0</v>
          </cell>
          <cell r="BO367">
            <v>0</v>
          </cell>
          <cell r="BP367">
            <v>-0.33333333333333331</v>
          </cell>
          <cell r="BQ367">
            <v>0</v>
          </cell>
          <cell r="BR367">
            <v>0</v>
          </cell>
          <cell r="BS367">
            <v>0</v>
          </cell>
          <cell r="BT367">
            <v>-0.33333333333333331</v>
          </cell>
          <cell r="BU367">
            <v>0</v>
          </cell>
          <cell r="BV367">
            <v>0</v>
          </cell>
          <cell r="BW367">
            <v>44</v>
          </cell>
          <cell r="BX367">
            <v>0</v>
          </cell>
          <cell r="BY367">
            <v>-0.33333333333333331</v>
          </cell>
          <cell r="BZ367">
            <v>0</v>
          </cell>
          <cell r="CA367">
            <v>0</v>
          </cell>
          <cell r="CB367">
            <v>44</v>
          </cell>
          <cell r="CD367">
            <v>-0.33333333333333331</v>
          </cell>
          <cell r="CE367">
            <v>0</v>
          </cell>
          <cell r="CF367">
            <v>0</v>
          </cell>
          <cell r="CG367">
            <v>44</v>
          </cell>
          <cell r="CH367">
            <v>0</v>
          </cell>
          <cell r="CI367">
            <v>43.333333333333329</v>
          </cell>
          <cell r="CJ367">
            <v>0</v>
          </cell>
          <cell r="CK367">
            <v>0</v>
          </cell>
          <cell r="CL367">
            <v>44</v>
          </cell>
          <cell r="CM367">
            <v>0</v>
          </cell>
          <cell r="CN367">
            <v>-0.33333333333333331</v>
          </cell>
          <cell r="CO367">
            <v>0</v>
          </cell>
          <cell r="CP367">
            <v>0</v>
          </cell>
          <cell r="CQ367">
            <v>44.333333333333336</v>
          </cell>
          <cell r="CS367">
            <v>-0.33333333333333331</v>
          </cell>
          <cell r="CT367">
            <v>0</v>
          </cell>
          <cell r="CU367">
            <v>0</v>
          </cell>
          <cell r="CV367">
            <v>23</v>
          </cell>
          <cell r="CX367">
            <v>-0.33333333333333331</v>
          </cell>
          <cell r="CY367">
            <v>0</v>
          </cell>
          <cell r="CZ367">
            <v>0</v>
          </cell>
          <cell r="DA367">
            <v>23.333333333333332</v>
          </cell>
          <cell r="DB367">
            <v>0</v>
          </cell>
          <cell r="DC367">
            <v>-0.33333333333333331</v>
          </cell>
          <cell r="DD367">
            <v>0</v>
          </cell>
          <cell r="DE367">
            <v>-69</v>
          </cell>
          <cell r="DF367">
            <v>23.333333333333332</v>
          </cell>
          <cell r="DG367">
            <v>0</v>
          </cell>
          <cell r="DH367">
            <v>-0.33333333333333331</v>
          </cell>
          <cell r="DI367">
            <v>0</v>
          </cell>
          <cell r="DJ367">
            <v>-67</v>
          </cell>
          <cell r="DK367">
            <v>23.333333333333332</v>
          </cell>
          <cell r="DL367">
            <v>0</v>
          </cell>
          <cell r="DM367">
            <v>22.666666666666668</v>
          </cell>
          <cell r="DN367">
            <v>0</v>
          </cell>
          <cell r="DO367">
            <v>-67</v>
          </cell>
          <cell r="DP367">
            <v>23</v>
          </cell>
          <cell r="DQ367">
            <v>0</v>
          </cell>
          <cell r="DR367">
            <v>-0.33333333333333331</v>
          </cell>
          <cell r="DS367">
            <v>-0.33333333333333331</v>
          </cell>
          <cell r="DT367">
            <v>-68</v>
          </cell>
          <cell r="DU367">
            <v>23.333333333333332</v>
          </cell>
          <cell r="DV367">
            <v>0</v>
          </cell>
          <cell r="DW367">
            <v>-0.66666666666666663</v>
          </cell>
          <cell r="DX367">
            <v>-0.66666666666666663</v>
          </cell>
          <cell r="DY367">
            <v>-69.000000000000014</v>
          </cell>
          <cell r="DZ367">
            <v>23.666666666666668</v>
          </cell>
          <cell r="EA367">
            <v>0</v>
          </cell>
          <cell r="EB367">
            <v>-1</v>
          </cell>
          <cell r="EC367">
            <v>-1</v>
          </cell>
          <cell r="ED367">
            <v>-70</v>
          </cell>
          <cell r="EE367">
            <v>24</v>
          </cell>
          <cell r="EF367">
            <v>0</v>
          </cell>
          <cell r="EG367">
            <v>-1.3333333333333333</v>
          </cell>
          <cell r="EH367">
            <v>-1.3333333333333333</v>
          </cell>
          <cell r="EI367">
            <v>-71</v>
          </cell>
          <cell r="EJ367">
            <v>24.333333333333332</v>
          </cell>
          <cell r="EK367">
            <v>0</v>
          </cell>
          <cell r="EL367">
            <v>-1.6666666666666665</v>
          </cell>
          <cell r="EM367">
            <v>-1.6666666666666665</v>
          </cell>
          <cell r="EN367">
            <v>-72.000000000000014</v>
          </cell>
          <cell r="EO367">
            <v>24.666666666666668</v>
          </cell>
          <cell r="EP367">
            <v>0</v>
          </cell>
          <cell r="EQ367">
            <v>-1.9999999999999998</v>
          </cell>
          <cell r="ER367">
            <v>-1.9999999999999998</v>
          </cell>
          <cell r="ES367">
            <v>-73</v>
          </cell>
          <cell r="ET367">
            <v>25</v>
          </cell>
          <cell r="EU367">
            <v>0</v>
          </cell>
          <cell r="EV367">
            <v>-2.333333333333333</v>
          </cell>
          <cell r="EW367">
            <v>-2.333333333333333</v>
          </cell>
          <cell r="EX367">
            <v>-74</v>
          </cell>
          <cell r="EY367">
            <v>25.333333333333332</v>
          </cell>
          <cell r="EZ367">
            <v>0</v>
          </cell>
          <cell r="FA367">
            <v>-2.6666666666666665</v>
          </cell>
          <cell r="FB367">
            <v>-2.6666666666666665</v>
          </cell>
          <cell r="FC367">
            <v>-75.000000000000014</v>
          </cell>
          <cell r="FD367">
            <v>25.666666666666668</v>
          </cell>
          <cell r="FE367">
            <v>0</v>
          </cell>
          <cell r="FF367">
            <v>-3</v>
          </cell>
          <cell r="FG367">
            <v>-3</v>
          </cell>
          <cell r="FH367">
            <v>-76</v>
          </cell>
          <cell r="FI367">
            <v>26</v>
          </cell>
          <cell r="FJ367">
            <v>0</v>
          </cell>
          <cell r="FK367">
            <v>-3.3333333333333335</v>
          </cell>
          <cell r="FL367">
            <v>-3.3333333333333335</v>
          </cell>
          <cell r="FM367">
            <v>-77</v>
          </cell>
          <cell r="FN367">
            <v>26.333333333333332</v>
          </cell>
          <cell r="FO367">
            <v>0</v>
          </cell>
          <cell r="FP367">
            <v>-3.666666666666667</v>
          </cell>
          <cell r="FQ367">
            <v>-3.666666666666667</v>
          </cell>
          <cell r="FR367">
            <v>-78.000000000000014</v>
          </cell>
          <cell r="FS367">
            <v>26.666666666666668</v>
          </cell>
          <cell r="FT367">
            <v>23</v>
          </cell>
          <cell r="FU367">
            <v>66.666666666666671</v>
          </cell>
          <cell r="FV367" t="str">
            <v>SI</v>
          </cell>
          <cell r="FW367" t="str">
            <v>SIN ROTACIÓN</v>
          </cell>
          <cell r="FX367" t="str">
            <v/>
          </cell>
          <cell r="FY367" t="str">
            <v>No</v>
          </cell>
        </row>
        <row r="368">
          <cell r="B368" t="str">
            <v>REP-0385</v>
          </cell>
          <cell r="C368" t="str">
            <v>MIX</v>
          </cell>
          <cell r="D368">
            <v>0</v>
          </cell>
          <cell r="E368">
            <v>54</v>
          </cell>
          <cell r="F368">
            <v>0</v>
          </cell>
          <cell r="G368">
            <v>0</v>
          </cell>
          <cell r="H368">
            <v>2</v>
          </cell>
          <cell r="I368">
            <v>2</v>
          </cell>
          <cell r="J368">
            <v>0</v>
          </cell>
          <cell r="K368">
            <v>0</v>
          </cell>
          <cell r="L368">
            <v>1</v>
          </cell>
          <cell r="M368">
            <v>0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2</v>
          </cell>
          <cell r="S368">
            <v>1</v>
          </cell>
          <cell r="T368">
            <v>0</v>
          </cell>
          <cell r="U368">
            <v>2</v>
          </cell>
          <cell r="V368">
            <v>1</v>
          </cell>
          <cell r="W368">
            <v>1</v>
          </cell>
          <cell r="X368">
            <v>1</v>
          </cell>
          <cell r="Y368">
            <v>71</v>
          </cell>
          <cell r="AA368">
            <v>71</v>
          </cell>
          <cell r="AB368">
            <v>0</v>
          </cell>
          <cell r="AC368">
            <v>0.33333333333333331</v>
          </cell>
          <cell r="AD368">
            <v>1.111111111111111E-2</v>
          </cell>
          <cell r="AE368">
            <v>0.25</v>
          </cell>
          <cell r="AF368">
            <v>2.75</v>
          </cell>
          <cell r="AG368">
            <v>2.75</v>
          </cell>
          <cell r="AH368">
            <v>1.3333333333333333</v>
          </cell>
          <cell r="AI368">
            <v>1.8333333333333333</v>
          </cell>
          <cell r="AJ368">
            <v>1.8333333333333333</v>
          </cell>
          <cell r="AK368">
            <v>2.75</v>
          </cell>
          <cell r="AL368">
            <v>0.59072695328157709</v>
          </cell>
          <cell r="AM368">
            <v>1.9374999999999998</v>
          </cell>
          <cell r="AN368">
            <v>0.3048913307259753</v>
          </cell>
          <cell r="AO368">
            <v>0</v>
          </cell>
          <cell r="AP368">
            <v>98.25</v>
          </cell>
          <cell r="AQ368">
            <v>35.727272727272727</v>
          </cell>
          <cell r="AR368">
            <v>0</v>
          </cell>
          <cell r="AS368">
            <v>95.5</v>
          </cell>
          <cell r="AT368">
            <v>98</v>
          </cell>
          <cell r="AU368">
            <v>35.636363636363633</v>
          </cell>
          <cell r="AV368">
            <v>0</v>
          </cell>
          <cell r="AW368">
            <v>95.25</v>
          </cell>
          <cell r="AX368">
            <v>97</v>
          </cell>
          <cell r="AY368">
            <v>35.272727272727273</v>
          </cell>
          <cell r="AZ368">
            <v>0</v>
          </cell>
          <cell r="BA368">
            <v>94.25</v>
          </cell>
          <cell r="BB368">
            <v>95</v>
          </cell>
          <cell r="BC368">
            <v>34.545454545454547</v>
          </cell>
          <cell r="BD368">
            <v>0</v>
          </cell>
          <cell r="BE368">
            <v>92.25</v>
          </cell>
          <cell r="BF368">
            <v>33.545454545454547</v>
          </cell>
          <cell r="BG368">
            <v>0</v>
          </cell>
          <cell r="BH368">
            <v>89.5</v>
          </cell>
          <cell r="BI368">
            <v>71</v>
          </cell>
          <cell r="BJ368">
            <v>25.818181818181817</v>
          </cell>
          <cell r="BK368">
            <v>0</v>
          </cell>
          <cell r="BL368">
            <v>88.25</v>
          </cell>
          <cell r="BM368">
            <v>91</v>
          </cell>
          <cell r="BN368">
            <v>33.090909090909093</v>
          </cell>
          <cell r="BO368">
            <v>0</v>
          </cell>
          <cell r="BP368">
            <v>88.25</v>
          </cell>
          <cell r="BQ368">
            <v>91</v>
          </cell>
          <cell r="BR368">
            <v>33.090909090909093</v>
          </cell>
          <cell r="BS368">
            <v>0</v>
          </cell>
          <cell r="BT368">
            <v>88.25</v>
          </cell>
          <cell r="BU368">
            <v>91</v>
          </cell>
          <cell r="BV368">
            <v>33.090909090909093</v>
          </cell>
          <cell r="BW368">
            <v>0</v>
          </cell>
          <cell r="BX368">
            <v>0</v>
          </cell>
          <cell r="BY368">
            <v>88.25</v>
          </cell>
          <cell r="BZ368">
            <v>89</v>
          </cell>
          <cell r="CA368">
            <v>32.363636363636367</v>
          </cell>
          <cell r="CB368">
            <v>0</v>
          </cell>
          <cell r="CC368">
            <v>0</v>
          </cell>
          <cell r="CD368">
            <v>86.25</v>
          </cell>
          <cell r="CE368">
            <v>86</v>
          </cell>
          <cell r="CF368">
            <v>31.272727272727273</v>
          </cell>
          <cell r="CG368">
            <v>0</v>
          </cell>
          <cell r="CH368">
            <v>0</v>
          </cell>
          <cell r="CI368">
            <v>83.5</v>
          </cell>
          <cell r="CJ368">
            <v>85</v>
          </cell>
          <cell r="CK368">
            <v>30.90909090909091</v>
          </cell>
          <cell r="CL368">
            <v>0</v>
          </cell>
          <cell r="CM368">
            <v>0</v>
          </cell>
          <cell r="CN368">
            <v>82.25</v>
          </cell>
          <cell r="CO368">
            <v>83</v>
          </cell>
          <cell r="CP368">
            <v>27.666666666666668</v>
          </cell>
          <cell r="CQ368">
            <v>0</v>
          </cell>
          <cell r="CR368">
            <v>0</v>
          </cell>
          <cell r="CS368">
            <v>80</v>
          </cell>
          <cell r="CT368">
            <v>80</v>
          </cell>
          <cell r="CU368">
            <v>29.09090909090909</v>
          </cell>
          <cell r="CV368">
            <v>0</v>
          </cell>
          <cell r="CW368">
            <v>0</v>
          </cell>
          <cell r="CX368">
            <v>77.25</v>
          </cell>
          <cell r="CY368">
            <v>76</v>
          </cell>
          <cell r="CZ368">
            <v>27.636363636363637</v>
          </cell>
          <cell r="DA368">
            <v>0</v>
          </cell>
          <cell r="DB368">
            <v>0</v>
          </cell>
          <cell r="DC368">
            <v>73.25</v>
          </cell>
          <cell r="DD368">
            <v>75</v>
          </cell>
          <cell r="DE368">
            <v>20.363636363636363</v>
          </cell>
          <cell r="DF368">
            <v>0</v>
          </cell>
          <cell r="DG368">
            <v>0</v>
          </cell>
          <cell r="DH368">
            <v>72.25</v>
          </cell>
          <cell r="DI368">
            <v>73</v>
          </cell>
          <cell r="DJ368">
            <v>21.636363636363637</v>
          </cell>
          <cell r="DK368">
            <v>0</v>
          </cell>
          <cell r="DL368">
            <v>0</v>
          </cell>
          <cell r="DM368">
            <v>69.5</v>
          </cell>
          <cell r="DN368">
            <v>71</v>
          </cell>
          <cell r="DO368">
            <v>20.90909090909091</v>
          </cell>
          <cell r="DP368">
            <v>0</v>
          </cell>
          <cell r="DQ368">
            <v>0</v>
          </cell>
          <cell r="DR368">
            <v>68.25</v>
          </cell>
          <cell r="DS368">
            <v>68.25</v>
          </cell>
          <cell r="DT368">
            <v>19.90909090909091</v>
          </cell>
          <cell r="DU368">
            <v>0</v>
          </cell>
          <cell r="DV368">
            <v>0</v>
          </cell>
          <cell r="DW368">
            <v>65.5</v>
          </cell>
          <cell r="DX368">
            <v>65.5</v>
          </cell>
          <cell r="DY368">
            <v>18.90909090909091</v>
          </cell>
          <cell r="DZ368">
            <v>0</v>
          </cell>
          <cell r="EA368">
            <v>0</v>
          </cell>
          <cell r="EB368">
            <v>62.75</v>
          </cell>
          <cell r="EC368">
            <v>62.75</v>
          </cell>
          <cell r="ED368">
            <v>17.909090909090907</v>
          </cell>
          <cell r="EE368">
            <v>0</v>
          </cell>
          <cell r="EF368">
            <v>0</v>
          </cell>
          <cell r="EG368">
            <v>60</v>
          </cell>
          <cell r="EH368">
            <v>60</v>
          </cell>
          <cell r="EI368">
            <v>16.909090909090907</v>
          </cell>
          <cell r="EJ368">
            <v>0</v>
          </cell>
          <cell r="EK368">
            <v>0</v>
          </cell>
          <cell r="EL368">
            <v>57.25</v>
          </cell>
          <cell r="EM368">
            <v>57.25</v>
          </cell>
          <cell r="EN368">
            <v>15.909090909090908</v>
          </cell>
          <cell r="EO368">
            <v>0</v>
          </cell>
          <cell r="EP368">
            <v>0</v>
          </cell>
          <cell r="EQ368">
            <v>54.5</v>
          </cell>
          <cell r="ER368">
            <v>54.5</v>
          </cell>
          <cell r="ES368">
            <v>14.909090909090908</v>
          </cell>
          <cell r="ET368">
            <v>0</v>
          </cell>
          <cell r="EU368">
            <v>0</v>
          </cell>
          <cell r="EV368">
            <v>51.75</v>
          </cell>
          <cell r="EW368">
            <v>51.75</v>
          </cell>
          <cell r="EX368">
            <v>13.909090909090908</v>
          </cell>
          <cell r="EY368">
            <v>0</v>
          </cell>
          <cell r="EZ368">
            <v>0</v>
          </cell>
          <cell r="FA368">
            <v>49</v>
          </cell>
          <cell r="FB368">
            <v>49</v>
          </cell>
          <cell r="FC368">
            <v>12.909090909090908</v>
          </cell>
          <cell r="FD368">
            <v>0</v>
          </cell>
          <cell r="FE368">
            <v>0</v>
          </cell>
          <cell r="FF368">
            <v>46.25</v>
          </cell>
          <cell r="FG368">
            <v>46.25</v>
          </cell>
          <cell r="FH368">
            <v>11.909090909090908</v>
          </cell>
          <cell r="FI368">
            <v>0</v>
          </cell>
          <cell r="FJ368">
            <v>0</v>
          </cell>
          <cell r="FK368">
            <v>43.5</v>
          </cell>
          <cell r="FL368">
            <v>43.5</v>
          </cell>
          <cell r="FM368">
            <v>10.909090909090908</v>
          </cell>
          <cell r="FN368">
            <v>0</v>
          </cell>
          <cell r="FO368">
            <v>0</v>
          </cell>
          <cell r="FP368">
            <v>40.75</v>
          </cell>
          <cell r="FQ368">
            <v>40.75</v>
          </cell>
          <cell r="FR368">
            <v>9.9090909090909101</v>
          </cell>
          <cell r="FS368">
            <v>0</v>
          </cell>
          <cell r="FT368">
            <v>19</v>
          </cell>
          <cell r="FU368">
            <v>2.0333333333333332</v>
          </cell>
          <cell r="FW368" t="str">
            <v>SOBRESTOCK</v>
          </cell>
          <cell r="FX368" t="str">
            <v>B</v>
          </cell>
          <cell r="FY368" t="str">
            <v>Si</v>
          </cell>
        </row>
        <row r="369">
          <cell r="B369" t="str">
            <v>REP-0386</v>
          </cell>
          <cell r="C369" t="str">
            <v>MIX</v>
          </cell>
          <cell r="D369">
            <v>0</v>
          </cell>
          <cell r="E369">
            <v>16</v>
          </cell>
          <cell r="F369">
            <v>0</v>
          </cell>
          <cell r="G369">
            <v>0</v>
          </cell>
          <cell r="H369">
            <v>3</v>
          </cell>
          <cell r="I369">
            <v>3</v>
          </cell>
          <cell r="J369">
            <v>0</v>
          </cell>
          <cell r="K369">
            <v>1</v>
          </cell>
          <cell r="L369">
            <v>1</v>
          </cell>
          <cell r="M369">
            <v>1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0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35</v>
          </cell>
          <cell r="AA369">
            <v>35</v>
          </cell>
          <cell r="AB369">
            <v>0</v>
          </cell>
          <cell r="AC369">
            <v>0.33333333333333331</v>
          </cell>
          <cell r="AD369">
            <v>1.111111111111111E-2</v>
          </cell>
          <cell r="AE369">
            <v>0.16666666666666666</v>
          </cell>
          <cell r="AF369">
            <v>1.1666666666666667</v>
          </cell>
          <cell r="AG369">
            <v>2.8333333333333335</v>
          </cell>
          <cell r="AH369">
            <v>2.75</v>
          </cell>
          <cell r="AI369">
            <v>3</v>
          </cell>
          <cell r="AJ369">
            <v>3</v>
          </cell>
          <cell r="AK369">
            <v>3</v>
          </cell>
          <cell r="AL369">
            <v>0.78084711834149756</v>
          </cell>
          <cell r="AM369">
            <v>2.8958333333333335</v>
          </cell>
          <cell r="AN369">
            <v>0.26964504806037326</v>
          </cell>
          <cell r="AO369">
            <v>0</v>
          </cell>
          <cell r="AP369">
            <v>27.166666666666668</v>
          </cell>
          <cell r="AQ369">
            <v>9.5882352941176467</v>
          </cell>
          <cell r="AR369">
            <v>0</v>
          </cell>
          <cell r="AS369">
            <v>22</v>
          </cell>
          <cell r="AT369">
            <v>22</v>
          </cell>
          <cell r="AU369">
            <v>5.5</v>
          </cell>
          <cell r="AV369">
            <v>0</v>
          </cell>
          <cell r="AW369">
            <v>18</v>
          </cell>
          <cell r="AX369">
            <v>22</v>
          </cell>
          <cell r="AY369">
            <v>7.333333333333333</v>
          </cell>
          <cell r="AZ369">
            <v>0</v>
          </cell>
          <cell r="BA369">
            <v>28.666666666666668</v>
          </cell>
          <cell r="BB369">
            <v>17</v>
          </cell>
          <cell r="BC369">
            <v>3.9230769230769234</v>
          </cell>
          <cell r="BD369">
            <v>0</v>
          </cell>
          <cell r="BE369">
            <v>12.666666666666668</v>
          </cell>
          <cell r="BF369">
            <v>2.9230769230769234</v>
          </cell>
          <cell r="BG369">
            <v>10</v>
          </cell>
          <cell r="BH369">
            <v>18.333333333333336</v>
          </cell>
          <cell r="BI369">
            <v>35</v>
          </cell>
          <cell r="BJ369">
            <v>11.666666666666666</v>
          </cell>
          <cell r="BK369">
            <v>0</v>
          </cell>
          <cell r="BL369">
            <v>52.166666666666664</v>
          </cell>
          <cell r="BM369">
            <v>53</v>
          </cell>
          <cell r="BN369">
            <v>18.705882352941174</v>
          </cell>
          <cell r="BO369">
            <v>0</v>
          </cell>
          <cell r="BP369">
            <v>50.166666666666664</v>
          </cell>
          <cell r="BQ369">
            <v>51</v>
          </cell>
          <cell r="BR369">
            <v>17</v>
          </cell>
          <cell r="BS369">
            <v>0</v>
          </cell>
          <cell r="BT369">
            <v>48.166666666666664</v>
          </cell>
          <cell r="BU369">
            <v>46</v>
          </cell>
          <cell r="BV369">
            <v>16.235294117647058</v>
          </cell>
          <cell r="BW369">
            <v>0</v>
          </cell>
          <cell r="BX369">
            <v>0</v>
          </cell>
          <cell r="BY369">
            <v>43.166666666666664</v>
          </cell>
          <cell r="BZ369">
            <v>45</v>
          </cell>
          <cell r="CA369">
            <v>15.882352941176469</v>
          </cell>
          <cell r="CB369">
            <v>0</v>
          </cell>
          <cell r="CC369">
            <v>0</v>
          </cell>
          <cell r="CD369">
            <v>42.166666666666664</v>
          </cell>
          <cell r="CE369">
            <v>42</v>
          </cell>
          <cell r="CF369">
            <v>14.823529411764705</v>
          </cell>
          <cell r="CG369">
            <v>0</v>
          </cell>
          <cell r="CH369">
            <v>0</v>
          </cell>
          <cell r="CI369">
            <v>39.333333333333329</v>
          </cell>
          <cell r="CJ369">
            <v>38</v>
          </cell>
          <cell r="CK369">
            <v>13.411764705882351</v>
          </cell>
          <cell r="CL369">
            <v>0</v>
          </cell>
          <cell r="CM369">
            <v>5</v>
          </cell>
          <cell r="CN369">
            <v>40.166666666666664</v>
          </cell>
          <cell r="CO369">
            <v>39</v>
          </cell>
          <cell r="CP369">
            <v>9.75</v>
          </cell>
          <cell r="CQ369">
            <v>0</v>
          </cell>
          <cell r="CR369">
            <v>0</v>
          </cell>
          <cell r="CS369">
            <v>35</v>
          </cell>
          <cell r="CT369">
            <v>35</v>
          </cell>
          <cell r="CU369">
            <v>7.7777777777777777</v>
          </cell>
          <cell r="CV369">
            <v>0</v>
          </cell>
          <cell r="CW369">
            <v>0</v>
          </cell>
          <cell r="CX369">
            <v>30.5</v>
          </cell>
          <cell r="CY369">
            <v>35</v>
          </cell>
          <cell r="CZ369">
            <v>11.666666666666666</v>
          </cell>
          <cell r="DA369">
            <v>0</v>
          </cell>
          <cell r="DB369">
            <v>10</v>
          </cell>
          <cell r="DC369">
            <v>42.166666666666664</v>
          </cell>
          <cell r="DD369">
            <v>41</v>
          </cell>
          <cell r="DE369">
            <v>7.7647058823529411</v>
          </cell>
          <cell r="DF369">
            <v>0</v>
          </cell>
          <cell r="DG369">
            <v>0</v>
          </cell>
          <cell r="DH369">
            <v>38.166666666666664</v>
          </cell>
          <cell r="DI369">
            <v>39</v>
          </cell>
          <cell r="DJ369">
            <v>9.0588235294117645</v>
          </cell>
          <cell r="DK369">
            <v>0</v>
          </cell>
          <cell r="DL369">
            <v>0</v>
          </cell>
          <cell r="DM369">
            <v>35.333333333333329</v>
          </cell>
          <cell r="DN369">
            <v>35</v>
          </cell>
          <cell r="DO369">
            <v>7.333333333333333</v>
          </cell>
          <cell r="DP369">
            <v>0</v>
          </cell>
          <cell r="DQ369">
            <v>0</v>
          </cell>
          <cell r="DR369">
            <v>32</v>
          </cell>
          <cell r="DS369">
            <v>32</v>
          </cell>
          <cell r="DT369">
            <v>6.333333333333333</v>
          </cell>
          <cell r="DU369">
            <v>0</v>
          </cell>
          <cell r="DV369">
            <v>0</v>
          </cell>
          <cell r="DW369">
            <v>29</v>
          </cell>
          <cell r="DX369">
            <v>29</v>
          </cell>
          <cell r="DY369">
            <v>5.3333333333333339</v>
          </cell>
          <cell r="DZ369">
            <v>0</v>
          </cell>
          <cell r="EA369">
            <v>0</v>
          </cell>
          <cell r="EB369">
            <v>26</v>
          </cell>
          <cell r="EC369">
            <v>26</v>
          </cell>
          <cell r="ED369">
            <v>4.3333333333333339</v>
          </cell>
          <cell r="EE369">
            <v>0</v>
          </cell>
          <cell r="EF369">
            <v>0</v>
          </cell>
          <cell r="EG369">
            <v>23</v>
          </cell>
          <cell r="EH369">
            <v>23</v>
          </cell>
          <cell r="EI369">
            <v>3.333333333333333</v>
          </cell>
          <cell r="EJ369">
            <v>0</v>
          </cell>
          <cell r="EK369">
            <v>0</v>
          </cell>
          <cell r="EL369">
            <v>20</v>
          </cell>
          <cell r="EM369">
            <v>20</v>
          </cell>
          <cell r="EN369">
            <v>2.3333333333333335</v>
          </cell>
          <cell r="EO369">
            <v>0</v>
          </cell>
          <cell r="EP369">
            <v>0</v>
          </cell>
          <cell r="EQ369">
            <v>17</v>
          </cell>
          <cell r="ER369">
            <v>17</v>
          </cell>
          <cell r="ES369">
            <v>1.3333333333333335</v>
          </cell>
          <cell r="ET369">
            <v>2</v>
          </cell>
          <cell r="EU369">
            <v>0</v>
          </cell>
          <cell r="EV369">
            <v>14</v>
          </cell>
          <cell r="EW369">
            <v>14</v>
          </cell>
          <cell r="EX369">
            <v>0.33333333333333326</v>
          </cell>
          <cell r="EY369">
            <v>5</v>
          </cell>
          <cell r="EZ369">
            <v>0</v>
          </cell>
          <cell r="FA369">
            <v>11</v>
          </cell>
          <cell r="FB369">
            <v>11</v>
          </cell>
          <cell r="FC369">
            <v>-0.66666666666666652</v>
          </cell>
          <cell r="FD369">
            <v>8</v>
          </cell>
          <cell r="FE369">
            <v>15</v>
          </cell>
          <cell r="FF369">
            <v>23</v>
          </cell>
          <cell r="FG369">
            <v>23</v>
          </cell>
          <cell r="FH369">
            <v>3.333333333333333</v>
          </cell>
          <cell r="FI369">
            <v>0</v>
          </cell>
          <cell r="FJ369">
            <v>0</v>
          </cell>
          <cell r="FK369">
            <v>20</v>
          </cell>
          <cell r="FL369">
            <v>20</v>
          </cell>
          <cell r="FM369">
            <v>2.3333333333333335</v>
          </cell>
          <cell r="FN369">
            <v>0</v>
          </cell>
          <cell r="FO369">
            <v>5</v>
          </cell>
          <cell r="FP369">
            <v>22</v>
          </cell>
          <cell r="FQ369">
            <v>22</v>
          </cell>
          <cell r="FR369">
            <v>3</v>
          </cell>
          <cell r="FS369">
            <v>0</v>
          </cell>
          <cell r="FT369">
            <v>19</v>
          </cell>
          <cell r="FU369">
            <v>2.0333333333333332</v>
          </cell>
          <cell r="FW369" t="str">
            <v>SOBRESTOCK</v>
          </cell>
          <cell r="FX369" t="str">
            <v>B</v>
          </cell>
          <cell r="FY369" t="str">
            <v>Si</v>
          </cell>
        </row>
        <row r="370">
          <cell r="B370" t="str">
            <v>REP-0387</v>
          </cell>
          <cell r="C370" t="str">
            <v>MIX</v>
          </cell>
          <cell r="D370">
            <v>0</v>
          </cell>
          <cell r="E370">
            <v>27</v>
          </cell>
          <cell r="F370">
            <v>0</v>
          </cell>
          <cell r="G370">
            <v>0</v>
          </cell>
          <cell r="H370">
            <v>1</v>
          </cell>
          <cell r="I370">
            <v>1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1</v>
          </cell>
          <cell r="U370">
            <v>0</v>
          </cell>
          <cell r="V370">
            <v>1</v>
          </cell>
          <cell r="W370">
            <v>1</v>
          </cell>
          <cell r="X370">
            <v>0</v>
          </cell>
          <cell r="Y370">
            <v>33</v>
          </cell>
          <cell r="AA370">
            <v>33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0.33333333333333331</v>
          </cell>
          <cell r="AG370">
            <v>0.58333333333333337</v>
          </cell>
          <cell r="AH370">
            <v>1.1666666666666667</v>
          </cell>
          <cell r="AI370">
            <v>0.83333333333333337</v>
          </cell>
          <cell r="AJ370">
            <v>0.83333333333333337</v>
          </cell>
          <cell r="AK370">
            <v>1.1666666666666667</v>
          </cell>
          <cell r="AL370">
            <v>0.23935677693908483</v>
          </cell>
          <cell r="AM370">
            <v>0.85416666666666674</v>
          </cell>
          <cell r="AN370">
            <v>0.28022256812380658</v>
          </cell>
          <cell r="AO370">
            <v>0</v>
          </cell>
          <cell r="AP370">
            <v>16.555555555555557</v>
          </cell>
          <cell r="AQ370">
            <v>29.857142857142858</v>
          </cell>
          <cell r="AR370">
            <v>0</v>
          </cell>
          <cell r="AS370">
            <v>13</v>
          </cell>
          <cell r="AT370">
            <v>13</v>
          </cell>
          <cell r="AU370">
            <v>5.2</v>
          </cell>
          <cell r="AV370">
            <v>0</v>
          </cell>
          <cell r="AW370">
            <v>10.5</v>
          </cell>
          <cell r="AX370">
            <v>12</v>
          </cell>
          <cell r="AY370">
            <v>10.285714285714285</v>
          </cell>
          <cell r="AZ370">
            <v>0</v>
          </cell>
          <cell r="BA370">
            <v>10.333333333333334</v>
          </cell>
          <cell r="BB370">
            <v>10</v>
          </cell>
          <cell r="BC370">
            <v>5</v>
          </cell>
          <cell r="BD370">
            <v>0</v>
          </cell>
          <cell r="BE370">
            <v>8</v>
          </cell>
          <cell r="BF370">
            <v>4</v>
          </cell>
          <cell r="BG370">
            <v>0</v>
          </cell>
          <cell r="BH370">
            <v>6</v>
          </cell>
          <cell r="BI370">
            <v>33</v>
          </cell>
          <cell r="BJ370">
            <v>28.285714285714285</v>
          </cell>
          <cell r="BK370">
            <v>0</v>
          </cell>
          <cell r="BL370">
            <v>35.5</v>
          </cell>
          <cell r="BM370">
            <v>37</v>
          </cell>
          <cell r="BN370">
            <v>25.9</v>
          </cell>
          <cell r="BO370">
            <v>0</v>
          </cell>
          <cell r="BP370">
            <v>35.571428571428569</v>
          </cell>
          <cell r="BQ370">
            <v>37</v>
          </cell>
          <cell r="BR370">
            <v>31.714285714285712</v>
          </cell>
          <cell r="BS370">
            <v>0</v>
          </cell>
          <cell r="BT370">
            <v>35.75</v>
          </cell>
          <cell r="BU370">
            <v>34</v>
          </cell>
          <cell r="BV370">
            <v>23.53846153846154</v>
          </cell>
          <cell r="BW370">
            <v>0</v>
          </cell>
          <cell r="BX370">
            <v>0</v>
          </cell>
          <cell r="BY370">
            <v>32.555555555555557</v>
          </cell>
          <cell r="BZ370">
            <v>34</v>
          </cell>
          <cell r="CA370">
            <v>26.153846153846153</v>
          </cell>
          <cell r="CB370">
            <v>0</v>
          </cell>
          <cell r="CC370">
            <v>0</v>
          </cell>
          <cell r="CD370">
            <v>32.700000000000003</v>
          </cell>
          <cell r="CE370">
            <v>33</v>
          </cell>
          <cell r="CF370">
            <v>25.928571428571431</v>
          </cell>
          <cell r="CG370">
            <v>0</v>
          </cell>
          <cell r="CH370">
            <v>0</v>
          </cell>
          <cell r="CI370">
            <v>31.427272727272729</v>
          </cell>
          <cell r="CJ370">
            <v>48</v>
          </cell>
          <cell r="CK370">
            <v>41.142857142857139</v>
          </cell>
          <cell r="CL370">
            <v>0</v>
          </cell>
          <cell r="CM370">
            <v>0</v>
          </cell>
          <cell r="CN370">
            <v>46.833333333333336</v>
          </cell>
          <cell r="CO370">
            <v>48</v>
          </cell>
          <cell r="CP370">
            <v>41.142857142857139</v>
          </cell>
          <cell r="CQ370">
            <v>0</v>
          </cell>
          <cell r="CR370">
            <v>0</v>
          </cell>
          <cell r="CS370">
            <v>46.833333333333336</v>
          </cell>
          <cell r="CT370">
            <v>42</v>
          </cell>
          <cell r="CU370">
            <v>36</v>
          </cell>
          <cell r="CV370">
            <v>0</v>
          </cell>
          <cell r="CW370">
            <v>0</v>
          </cell>
          <cell r="CX370">
            <v>40.833333333333336</v>
          </cell>
          <cell r="CY370">
            <v>40</v>
          </cell>
          <cell r="CZ370">
            <v>34.285714285714285</v>
          </cell>
          <cell r="DA370">
            <v>0</v>
          </cell>
          <cell r="DB370">
            <v>0</v>
          </cell>
          <cell r="DC370">
            <v>38.833333333333336</v>
          </cell>
          <cell r="DD370">
            <v>39</v>
          </cell>
          <cell r="DE370">
            <v>30.857142857142854</v>
          </cell>
          <cell r="DF370">
            <v>0</v>
          </cell>
          <cell r="DG370">
            <v>0</v>
          </cell>
          <cell r="DH370">
            <v>37.833333333333336</v>
          </cell>
          <cell r="DI370">
            <v>38</v>
          </cell>
          <cell r="DJ370">
            <v>31.999999999999996</v>
          </cell>
          <cell r="DK370">
            <v>0</v>
          </cell>
          <cell r="DL370">
            <v>0</v>
          </cell>
          <cell r="DM370">
            <v>36.666666666666671</v>
          </cell>
          <cell r="DN370">
            <v>33</v>
          </cell>
          <cell r="DO370">
            <v>27.714285714285712</v>
          </cell>
          <cell r="DP370">
            <v>0</v>
          </cell>
          <cell r="DQ370">
            <v>0</v>
          </cell>
          <cell r="DR370">
            <v>31.833333333333332</v>
          </cell>
          <cell r="DS370">
            <v>31.833333333333332</v>
          </cell>
          <cell r="DT370">
            <v>26.714285714285712</v>
          </cell>
          <cell r="DU370">
            <v>0</v>
          </cell>
          <cell r="DV370">
            <v>0</v>
          </cell>
          <cell r="DW370">
            <v>30.666666666666664</v>
          </cell>
          <cell r="DX370">
            <v>30.666666666666664</v>
          </cell>
          <cell r="DY370">
            <v>25.714285714285712</v>
          </cell>
          <cell r="DZ370">
            <v>0</v>
          </cell>
          <cell r="EA370">
            <v>0</v>
          </cell>
          <cell r="EB370">
            <v>29.499999999999996</v>
          </cell>
          <cell r="EC370">
            <v>29.499999999999996</v>
          </cell>
          <cell r="ED370">
            <v>24.714285714285708</v>
          </cell>
          <cell r="EE370">
            <v>0</v>
          </cell>
          <cell r="EF370">
            <v>0</v>
          </cell>
          <cell r="EG370">
            <v>28.333333333333329</v>
          </cell>
          <cell r="EH370">
            <v>28.333333333333329</v>
          </cell>
          <cell r="EI370">
            <v>23.714285714285708</v>
          </cell>
          <cell r="EJ370">
            <v>0</v>
          </cell>
          <cell r="EK370">
            <v>0</v>
          </cell>
          <cell r="EL370">
            <v>27.166666666666661</v>
          </cell>
          <cell r="EM370">
            <v>27.166666666666661</v>
          </cell>
          <cell r="EN370">
            <v>22.714285714285708</v>
          </cell>
          <cell r="EO370">
            <v>0</v>
          </cell>
          <cell r="EP370">
            <v>0</v>
          </cell>
          <cell r="EQ370">
            <v>25.999999999999993</v>
          </cell>
          <cell r="ER370">
            <v>25.999999999999993</v>
          </cell>
          <cell r="ES370">
            <v>21.714285714285708</v>
          </cell>
          <cell r="ET370">
            <v>0</v>
          </cell>
          <cell r="EU370">
            <v>0</v>
          </cell>
          <cell r="EV370">
            <v>24.833333333333325</v>
          </cell>
          <cell r="EW370">
            <v>24.833333333333325</v>
          </cell>
          <cell r="EX370">
            <v>20.714285714285705</v>
          </cell>
          <cell r="EY370">
            <v>0</v>
          </cell>
          <cell r="EZ370">
            <v>0</v>
          </cell>
          <cell r="FA370">
            <v>23.666666666666657</v>
          </cell>
          <cell r="FB370">
            <v>23.666666666666657</v>
          </cell>
          <cell r="FC370">
            <v>19.714285714285705</v>
          </cell>
          <cell r="FD370">
            <v>0</v>
          </cell>
          <cell r="FE370">
            <v>0</v>
          </cell>
          <cell r="FF370">
            <v>22.499999999999989</v>
          </cell>
          <cell r="FG370">
            <v>22.499999999999989</v>
          </cell>
          <cell r="FH370">
            <v>18.714285714285705</v>
          </cell>
          <cell r="FI370">
            <v>0</v>
          </cell>
          <cell r="FJ370">
            <v>0</v>
          </cell>
          <cell r="FK370">
            <v>21.333333333333321</v>
          </cell>
          <cell r="FL370">
            <v>21.333333333333321</v>
          </cell>
          <cell r="FM370">
            <v>17.714285714285701</v>
          </cell>
          <cell r="FN370">
            <v>0</v>
          </cell>
          <cell r="FO370">
            <v>0</v>
          </cell>
          <cell r="FP370">
            <v>20.166666666666654</v>
          </cell>
          <cell r="FQ370">
            <v>20.166666666666654</v>
          </cell>
          <cell r="FR370">
            <v>16.714285714285701</v>
          </cell>
          <cell r="FS370">
            <v>0</v>
          </cell>
          <cell r="FT370">
            <v>3</v>
          </cell>
          <cell r="FU370">
            <v>2.0333333333333332</v>
          </cell>
          <cell r="FW370" t="str">
            <v>SOBRESTOCK</v>
          </cell>
          <cell r="FX370" t="str">
            <v>C</v>
          </cell>
          <cell r="FY370" t="str">
            <v>Si</v>
          </cell>
        </row>
        <row r="371">
          <cell r="B371" t="str">
            <v>REP-0388</v>
          </cell>
          <cell r="C371" t="str">
            <v>MIX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</v>
          </cell>
          <cell r="I371">
            <v>3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1</v>
          </cell>
          <cell r="O371">
            <v>0</v>
          </cell>
          <cell r="P371">
            <v>1</v>
          </cell>
          <cell r="Q371">
            <v>0</v>
          </cell>
          <cell r="R371">
            <v>2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1</v>
          </cell>
          <cell r="X371">
            <v>1</v>
          </cell>
          <cell r="Y371">
            <v>12</v>
          </cell>
          <cell r="AA371">
            <v>12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0.58333333333333337</v>
          </cell>
          <cell r="AH371">
            <v>0.41666666666666669</v>
          </cell>
          <cell r="AI371">
            <v>1.5</v>
          </cell>
          <cell r="AJ371">
            <v>1.5</v>
          </cell>
          <cell r="AK371">
            <v>1.1388888888888891</v>
          </cell>
          <cell r="AL371">
            <v>0.58134582045712091</v>
          </cell>
          <cell r="AM371">
            <v>1</v>
          </cell>
          <cell r="AN371">
            <v>0.58134582045712091</v>
          </cell>
          <cell r="AO371">
            <v>0</v>
          </cell>
          <cell r="AP371">
            <v>13.416666666666666</v>
          </cell>
          <cell r="AQ371">
            <v>15.799999999999999</v>
          </cell>
          <cell r="AR371">
            <v>0</v>
          </cell>
          <cell r="AS371">
            <v>13</v>
          </cell>
          <cell r="AT371">
            <v>13</v>
          </cell>
          <cell r="AU371">
            <v>22.285714285714285</v>
          </cell>
          <cell r="AV371">
            <v>0</v>
          </cell>
          <cell r="AW371">
            <v>12.416666666666666</v>
          </cell>
          <cell r="AX371">
            <v>13</v>
          </cell>
          <cell r="AY371">
            <v>11.414634146341461</v>
          </cell>
          <cell r="AZ371">
            <v>0</v>
          </cell>
          <cell r="BA371">
            <v>12.416666666666666</v>
          </cell>
          <cell r="BB371">
            <v>13</v>
          </cell>
          <cell r="BC371">
            <v>22.285714285714285</v>
          </cell>
          <cell r="BD371">
            <v>0</v>
          </cell>
          <cell r="BE371">
            <v>12.416666666666666</v>
          </cell>
          <cell r="BF371">
            <v>21.285714285714285</v>
          </cell>
          <cell r="BG371">
            <v>0</v>
          </cell>
          <cell r="BH371">
            <v>11.833333333333332</v>
          </cell>
          <cell r="BI371">
            <v>12</v>
          </cell>
          <cell r="BJ371">
            <v>10.536585365853657</v>
          </cell>
          <cell r="BK371">
            <v>0</v>
          </cell>
          <cell r="BL371">
            <v>12.416666666666666</v>
          </cell>
          <cell r="BM371">
            <v>13</v>
          </cell>
          <cell r="BN371">
            <v>22.285714285714285</v>
          </cell>
          <cell r="BO371">
            <v>0</v>
          </cell>
          <cell r="BP371">
            <v>22.416666666666668</v>
          </cell>
          <cell r="BQ371">
            <v>23</v>
          </cell>
          <cell r="BR371">
            <v>20.195121951219509</v>
          </cell>
          <cell r="BS371">
            <v>0</v>
          </cell>
          <cell r="BT371">
            <v>22.416666666666668</v>
          </cell>
          <cell r="BU371">
            <v>23</v>
          </cell>
          <cell r="BV371">
            <v>39.428571428571423</v>
          </cell>
          <cell r="BW371">
            <v>0</v>
          </cell>
          <cell r="BX371">
            <v>0</v>
          </cell>
          <cell r="BY371">
            <v>22.416666666666668</v>
          </cell>
          <cell r="BZ371">
            <v>23</v>
          </cell>
          <cell r="CA371">
            <v>39.428571428571423</v>
          </cell>
          <cell r="CB371">
            <v>0</v>
          </cell>
          <cell r="CC371">
            <v>0</v>
          </cell>
          <cell r="CD371">
            <v>22.416666666666668</v>
          </cell>
          <cell r="CE371">
            <v>21</v>
          </cell>
          <cell r="CF371">
            <v>36</v>
          </cell>
          <cell r="CG371">
            <v>0</v>
          </cell>
          <cell r="CH371">
            <v>0</v>
          </cell>
          <cell r="CI371">
            <v>21.833333333333336</v>
          </cell>
          <cell r="CJ371">
            <v>19</v>
          </cell>
          <cell r="CK371">
            <v>28.5</v>
          </cell>
          <cell r="CL371">
            <v>0</v>
          </cell>
          <cell r="CM371">
            <v>0</v>
          </cell>
          <cell r="CN371">
            <v>18.333333333333332</v>
          </cell>
          <cell r="CO371">
            <v>15</v>
          </cell>
          <cell r="CP371">
            <v>15</v>
          </cell>
          <cell r="CQ371">
            <v>0</v>
          </cell>
          <cell r="CR371">
            <v>0</v>
          </cell>
          <cell r="CS371">
            <v>14</v>
          </cell>
          <cell r="CT371">
            <v>14</v>
          </cell>
          <cell r="CU371">
            <v>9.5094339622641506</v>
          </cell>
          <cell r="CV371">
            <v>0</v>
          </cell>
          <cell r="CW371">
            <v>0</v>
          </cell>
          <cell r="CX371">
            <v>12.527777777777779</v>
          </cell>
          <cell r="CY371">
            <v>15</v>
          </cell>
          <cell r="CZ371">
            <v>11.020408163265303</v>
          </cell>
          <cell r="DA371">
            <v>0</v>
          </cell>
          <cell r="DB371">
            <v>0</v>
          </cell>
          <cell r="DC371">
            <v>13.694444444444445</v>
          </cell>
          <cell r="DD371">
            <v>14</v>
          </cell>
          <cell r="DE371">
            <v>8.4255319148936163</v>
          </cell>
          <cell r="DF371">
            <v>0</v>
          </cell>
          <cell r="DG371">
            <v>0</v>
          </cell>
          <cell r="DH371">
            <v>12.694444444444445</v>
          </cell>
          <cell r="DI371">
            <v>13</v>
          </cell>
          <cell r="DJ371">
            <v>10.071748878923767</v>
          </cell>
          <cell r="DK371">
            <v>0</v>
          </cell>
          <cell r="DL371">
            <v>0</v>
          </cell>
          <cell r="DM371">
            <v>11.455555555555556</v>
          </cell>
          <cell r="DN371">
            <v>12</v>
          </cell>
          <cell r="DO371">
            <v>9.9024390243902438</v>
          </cell>
          <cell r="DP371">
            <v>0</v>
          </cell>
          <cell r="DQ371">
            <v>0</v>
          </cell>
          <cell r="DR371">
            <v>10.861111111111111</v>
          </cell>
          <cell r="DS371">
            <v>10.861111111111111</v>
          </cell>
          <cell r="DT371">
            <v>8.9024390243902438</v>
          </cell>
          <cell r="DU371">
            <v>0</v>
          </cell>
          <cell r="DV371">
            <v>0</v>
          </cell>
          <cell r="DW371">
            <v>9.7222222222222214</v>
          </cell>
          <cell r="DX371">
            <v>9.7222222222222214</v>
          </cell>
          <cell r="DY371">
            <v>7.902439024390242</v>
          </cell>
          <cell r="DZ371">
            <v>0</v>
          </cell>
          <cell r="EA371">
            <v>0</v>
          </cell>
          <cell r="EB371">
            <v>8.5833333333333321</v>
          </cell>
          <cell r="EC371">
            <v>8.5833333333333321</v>
          </cell>
          <cell r="ED371">
            <v>6.902439024390242</v>
          </cell>
          <cell r="EE371">
            <v>0</v>
          </cell>
          <cell r="EF371">
            <v>0</v>
          </cell>
          <cell r="EG371">
            <v>7.4444444444444429</v>
          </cell>
          <cell r="EH371">
            <v>7.4444444444444429</v>
          </cell>
          <cell r="EI371">
            <v>5.902439024390242</v>
          </cell>
          <cell r="EJ371">
            <v>0</v>
          </cell>
          <cell r="EK371">
            <v>0</v>
          </cell>
          <cell r="EL371">
            <v>6.3055555555555536</v>
          </cell>
          <cell r="EM371">
            <v>6.3055555555555536</v>
          </cell>
          <cell r="EN371">
            <v>4.902439024390242</v>
          </cell>
          <cell r="EO371">
            <v>0</v>
          </cell>
          <cell r="EP371">
            <v>0</v>
          </cell>
          <cell r="EQ371">
            <v>5.1666666666666643</v>
          </cell>
          <cell r="ER371">
            <v>5.1666666666666643</v>
          </cell>
          <cell r="ES371">
            <v>3.9024390243902416</v>
          </cell>
          <cell r="ET371">
            <v>0</v>
          </cell>
          <cell r="EU371">
            <v>0</v>
          </cell>
          <cell r="EV371">
            <v>4.027777777777775</v>
          </cell>
          <cell r="EW371">
            <v>4.027777777777775</v>
          </cell>
          <cell r="EX371">
            <v>2.9024390243902412</v>
          </cell>
          <cell r="EY371">
            <v>0</v>
          </cell>
          <cell r="EZ371">
            <v>0</v>
          </cell>
          <cell r="FA371">
            <v>2.8888888888888857</v>
          </cell>
          <cell r="FB371">
            <v>2.8888888888888857</v>
          </cell>
          <cell r="FC371">
            <v>1.9024390243902412</v>
          </cell>
          <cell r="FD371">
            <v>0.11111111111111427</v>
          </cell>
          <cell r="FE371">
            <v>2</v>
          </cell>
          <cell r="FF371">
            <v>3.7499999999999964</v>
          </cell>
          <cell r="FG371">
            <v>3.7499999999999964</v>
          </cell>
          <cell r="FH371">
            <v>2.6585365853658507</v>
          </cell>
          <cell r="FI371">
            <v>0</v>
          </cell>
          <cell r="FJ371">
            <v>0</v>
          </cell>
          <cell r="FK371">
            <v>2.6111111111111072</v>
          </cell>
          <cell r="FL371">
            <v>2.6111111111111072</v>
          </cell>
          <cell r="FM371">
            <v>1.6585365853658502</v>
          </cell>
          <cell r="FN371">
            <v>0.38888888888889284</v>
          </cell>
          <cell r="FO371">
            <v>3</v>
          </cell>
          <cell r="FP371">
            <v>4.4722222222222179</v>
          </cell>
          <cell r="FQ371">
            <v>4.4722222222222179</v>
          </cell>
          <cell r="FR371">
            <v>3.2926829268292641</v>
          </cell>
          <cell r="FS371">
            <v>0</v>
          </cell>
          <cell r="FT371">
            <v>3</v>
          </cell>
          <cell r="FU371">
            <v>2.0333333333333332</v>
          </cell>
          <cell r="FW371" t="str">
            <v>SOBRESTOCK</v>
          </cell>
          <cell r="FX371" t="str">
            <v>C</v>
          </cell>
          <cell r="FY371" t="str">
            <v>Si</v>
          </cell>
        </row>
        <row r="372">
          <cell r="B372" t="str">
            <v>REP-0389</v>
          </cell>
          <cell r="C372" t="str">
            <v>MIX</v>
          </cell>
          <cell r="D372">
            <v>0</v>
          </cell>
          <cell r="E372">
            <v>10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1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11</v>
          </cell>
          <cell r="AA372">
            <v>11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8.3333333333333329E-2</v>
          </cell>
          <cell r="AH372">
            <v>0.75</v>
          </cell>
          <cell r="AI372">
            <v>0.83333333333333337</v>
          </cell>
          <cell r="AJ372">
            <v>0.83333333333333337</v>
          </cell>
          <cell r="AK372">
            <v>0.83333333333333337</v>
          </cell>
          <cell r="AL372">
            <v>0.36324157862838952</v>
          </cell>
          <cell r="AM372">
            <v>0.625</v>
          </cell>
          <cell r="AN372">
            <v>0.58118652580542318</v>
          </cell>
          <cell r="AO372">
            <v>0</v>
          </cell>
          <cell r="AP372">
            <v>9.1666666666666661</v>
          </cell>
          <cell r="AQ372">
            <v>119</v>
          </cell>
          <cell r="AR372">
            <v>0</v>
          </cell>
          <cell r="AS372">
            <v>10</v>
          </cell>
          <cell r="AT372">
            <v>10</v>
          </cell>
          <cell r="AU372">
            <v>120</v>
          </cell>
          <cell r="AV372">
            <v>0</v>
          </cell>
          <cell r="AW372">
            <v>9.9166666666666661</v>
          </cell>
          <cell r="AX372">
            <v>8</v>
          </cell>
          <cell r="AY372">
            <v>9.6</v>
          </cell>
          <cell r="AZ372">
            <v>0</v>
          </cell>
          <cell r="BA372">
            <v>7.333333333333333</v>
          </cell>
          <cell r="BB372">
            <v>5</v>
          </cell>
          <cell r="BC372">
            <v>3</v>
          </cell>
          <cell r="BD372">
            <v>0</v>
          </cell>
          <cell r="BE372">
            <v>3.333333333333333</v>
          </cell>
          <cell r="BF372">
            <v>1.9999999999999998</v>
          </cell>
          <cell r="BG372">
            <v>0</v>
          </cell>
          <cell r="BH372">
            <v>1.6666666666666663</v>
          </cell>
          <cell r="BI372">
            <v>11</v>
          </cell>
          <cell r="BJ372">
            <v>13.2</v>
          </cell>
          <cell r="BK372">
            <v>0</v>
          </cell>
          <cell r="BL372">
            <v>4.166666666666667</v>
          </cell>
          <cell r="BM372">
            <v>4</v>
          </cell>
          <cell r="BN372">
            <v>3.4285714285714284</v>
          </cell>
          <cell r="BO372">
            <v>0</v>
          </cell>
          <cell r="BP372">
            <v>7.833333333333333</v>
          </cell>
          <cell r="BQ372">
            <v>9</v>
          </cell>
          <cell r="BR372">
            <v>10.799999999999999</v>
          </cell>
          <cell r="BS372">
            <v>0</v>
          </cell>
          <cell r="BT372">
            <v>7.833333333333333</v>
          </cell>
          <cell r="BU372">
            <v>9</v>
          </cell>
          <cell r="BV372">
            <v>10.799999999999999</v>
          </cell>
          <cell r="BW372">
            <v>0</v>
          </cell>
          <cell r="BX372">
            <v>0</v>
          </cell>
          <cell r="BY372">
            <v>8.1666666666666661</v>
          </cell>
          <cell r="BZ372">
            <v>9</v>
          </cell>
          <cell r="CA372">
            <v>12.857142857142858</v>
          </cell>
          <cell r="CB372">
            <v>0</v>
          </cell>
          <cell r="CC372">
            <v>0</v>
          </cell>
          <cell r="CD372">
            <v>8.3000000000000007</v>
          </cell>
          <cell r="CE372">
            <v>8</v>
          </cell>
          <cell r="CF372">
            <v>11</v>
          </cell>
          <cell r="CG372">
            <v>0</v>
          </cell>
          <cell r="CH372">
            <v>0</v>
          </cell>
          <cell r="CI372">
            <v>7.5727272727272732</v>
          </cell>
          <cell r="CJ372">
            <v>7</v>
          </cell>
          <cell r="CK372">
            <v>9.3333333333333339</v>
          </cell>
          <cell r="CL372">
            <v>0</v>
          </cell>
          <cell r="CM372">
            <v>0</v>
          </cell>
          <cell r="CN372">
            <v>6.25</v>
          </cell>
          <cell r="CO372">
            <v>7</v>
          </cell>
          <cell r="CP372">
            <v>9.3333333333333339</v>
          </cell>
          <cell r="CQ372">
            <v>0</v>
          </cell>
          <cell r="CR372">
            <v>0</v>
          </cell>
          <cell r="CS372">
            <v>6.25</v>
          </cell>
          <cell r="CT372">
            <v>5</v>
          </cell>
          <cell r="CU372">
            <v>5</v>
          </cell>
          <cell r="CV372">
            <v>0</v>
          </cell>
          <cell r="CW372">
            <v>0</v>
          </cell>
          <cell r="CX372">
            <v>4</v>
          </cell>
          <cell r="CY372">
            <v>5</v>
          </cell>
          <cell r="CZ372">
            <v>5</v>
          </cell>
          <cell r="DA372">
            <v>0</v>
          </cell>
          <cell r="DB372">
            <v>10</v>
          </cell>
          <cell r="DC372">
            <v>14</v>
          </cell>
          <cell r="DD372">
            <v>13</v>
          </cell>
          <cell r="DE372">
            <v>12</v>
          </cell>
          <cell r="DF372">
            <v>0</v>
          </cell>
          <cell r="DG372">
            <v>0</v>
          </cell>
          <cell r="DH372">
            <v>12.166666666666666</v>
          </cell>
          <cell r="DI372">
            <v>11</v>
          </cell>
          <cell r="DJ372">
            <v>10</v>
          </cell>
          <cell r="DK372">
            <v>0</v>
          </cell>
          <cell r="DL372">
            <v>0</v>
          </cell>
          <cell r="DM372">
            <v>11.166666666666666</v>
          </cell>
          <cell r="DN372">
            <v>11</v>
          </cell>
          <cell r="DO372">
            <v>12.799999999999999</v>
          </cell>
          <cell r="DP372">
            <v>0</v>
          </cell>
          <cell r="DQ372">
            <v>0</v>
          </cell>
          <cell r="DR372">
            <v>10.166666666666666</v>
          </cell>
          <cell r="DS372">
            <v>10.166666666666666</v>
          </cell>
          <cell r="DT372">
            <v>11.799999999999999</v>
          </cell>
          <cell r="DU372">
            <v>0</v>
          </cell>
          <cell r="DV372">
            <v>0</v>
          </cell>
          <cell r="DW372">
            <v>9.3333333333333321</v>
          </cell>
          <cell r="DX372">
            <v>9.3333333333333321</v>
          </cell>
          <cell r="DY372">
            <v>10.799999999999999</v>
          </cell>
          <cell r="DZ372">
            <v>0</v>
          </cell>
          <cell r="EA372">
            <v>0</v>
          </cell>
          <cell r="EB372">
            <v>8.4999999999999982</v>
          </cell>
          <cell r="EC372">
            <v>8.4999999999999982</v>
          </cell>
          <cell r="ED372">
            <v>9.7999999999999972</v>
          </cell>
          <cell r="EE372">
            <v>0</v>
          </cell>
          <cell r="EF372">
            <v>0</v>
          </cell>
          <cell r="EG372">
            <v>7.6666666666666652</v>
          </cell>
          <cell r="EH372">
            <v>7.6666666666666652</v>
          </cell>
          <cell r="EI372">
            <v>8.7999999999999972</v>
          </cell>
          <cell r="EJ372">
            <v>0</v>
          </cell>
          <cell r="EK372">
            <v>0</v>
          </cell>
          <cell r="EL372">
            <v>6.8333333333333321</v>
          </cell>
          <cell r="EM372">
            <v>6.8333333333333321</v>
          </cell>
          <cell r="EN372">
            <v>7.799999999999998</v>
          </cell>
          <cell r="EO372">
            <v>0</v>
          </cell>
          <cell r="EP372">
            <v>0</v>
          </cell>
          <cell r="EQ372">
            <v>5.9999999999999991</v>
          </cell>
          <cell r="ER372">
            <v>5.9999999999999991</v>
          </cell>
          <cell r="ES372">
            <v>6.7999999999999989</v>
          </cell>
          <cell r="ET372">
            <v>0</v>
          </cell>
          <cell r="EU372">
            <v>0</v>
          </cell>
          <cell r="EV372">
            <v>5.1666666666666661</v>
          </cell>
          <cell r="EW372">
            <v>5.1666666666666661</v>
          </cell>
          <cell r="EX372">
            <v>5.7999999999999989</v>
          </cell>
          <cell r="EY372">
            <v>0</v>
          </cell>
          <cell r="EZ372">
            <v>0</v>
          </cell>
          <cell r="FA372">
            <v>4.333333333333333</v>
          </cell>
          <cell r="FB372">
            <v>4.333333333333333</v>
          </cell>
          <cell r="FC372">
            <v>4.7999999999999989</v>
          </cell>
          <cell r="FD372">
            <v>0</v>
          </cell>
          <cell r="FE372">
            <v>5</v>
          </cell>
          <cell r="FF372">
            <v>8.4999999999999982</v>
          </cell>
          <cell r="FG372">
            <v>8.4999999999999982</v>
          </cell>
          <cell r="FH372">
            <v>9.7999999999999972</v>
          </cell>
          <cell r="FI372">
            <v>0</v>
          </cell>
          <cell r="FJ372">
            <v>0</v>
          </cell>
          <cell r="FK372">
            <v>7.6666666666666652</v>
          </cell>
          <cell r="FL372">
            <v>7.6666666666666652</v>
          </cell>
          <cell r="FM372">
            <v>8.7999999999999972</v>
          </cell>
          <cell r="FN372">
            <v>0</v>
          </cell>
          <cell r="FO372">
            <v>0</v>
          </cell>
          <cell r="FP372">
            <v>6.8333333333333321</v>
          </cell>
          <cell r="FQ372">
            <v>6.8333333333333321</v>
          </cell>
          <cell r="FR372">
            <v>7.799999999999998</v>
          </cell>
          <cell r="FS372">
            <v>0</v>
          </cell>
          <cell r="FT372">
            <v>2</v>
          </cell>
          <cell r="FU372">
            <v>2.0333333333333332</v>
          </cell>
          <cell r="FW372" t="str">
            <v>SOBRESTOCK</v>
          </cell>
          <cell r="FX372" t="str">
            <v>C</v>
          </cell>
          <cell r="FY372" t="str">
            <v>Si</v>
          </cell>
        </row>
        <row r="373">
          <cell r="B373" t="str">
            <v>REP-0390</v>
          </cell>
          <cell r="C373" t="str">
            <v>MIX</v>
          </cell>
          <cell r="D373">
            <v>0</v>
          </cell>
          <cell r="E373">
            <v>4</v>
          </cell>
          <cell r="F373">
            <v>0</v>
          </cell>
          <cell r="G373">
            <v>0</v>
          </cell>
          <cell r="H373">
            <v>3</v>
          </cell>
          <cell r="I373">
            <v>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1</v>
          </cell>
          <cell r="P373">
            <v>0</v>
          </cell>
          <cell r="Q373">
            <v>0</v>
          </cell>
          <cell r="R373">
            <v>1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12</v>
          </cell>
          <cell r="AA373">
            <v>12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0.16666666666666666</v>
          </cell>
          <cell r="AG373">
            <v>0.33333333333333331</v>
          </cell>
          <cell r="AH373">
            <v>0.16666666666666666</v>
          </cell>
          <cell r="AI373">
            <v>0.5</v>
          </cell>
          <cell r="AJ373">
            <v>0.5</v>
          </cell>
          <cell r="AK373">
            <v>0.38888888888888884</v>
          </cell>
          <cell r="AL373">
            <v>0.15957118462605629</v>
          </cell>
          <cell r="AM373">
            <v>0.375</v>
          </cell>
          <cell r="AN373">
            <v>0.42552315900281679</v>
          </cell>
          <cell r="AO373">
            <v>0</v>
          </cell>
          <cell r="AP373">
            <v>12.666666666666666</v>
          </cell>
          <cell r="AQ373">
            <v>25</v>
          </cell>
          <cell r="AR373">
            <v>0</v>
          </cell>
          <cell r="AS373">
            <v>12.666666666666668</v>
          </cell>
          <cell r="AT373">
            <v>13</v>
          </cell>
          <cell r="AU373">
            <v>39</v>
          </cell>
          <cell r="AV373">
            <v>0</v>
          </cell>
          <cell r="AW373">
            <v>12.666666666666666</v>
          </cell>
          <cell r="AX373">
            <v>12</v>
          </cell>
          <cell r="AY373">
            <v>30.857142857142861</v>
          </cell>
          <cell r="AZ373">
            <v>0</v>
          </cell>
          <cell r="BA373">
            <v>11.666666666666666</v>
          </cell>
          <cell r="BB373">
            <v>12</v>
          </cell>
          <cell r="BC373">
            <v>36</v>
          </cell>
          <cell r="BD373">
            <v>0</v>
          </cell>
          <cell r="BE373">
            <v>11.666666666666666</v>
          </cell>
          <cell r="BF373">
            <v>35</v>
          </cell>
          <cell r="BG373">
            <v>0</v>
          </cell>
          <cell r="BH373">
            <v>11.333333333333332</v>
          </cell>
          <cell r="BI373">
            <v>12</v>
          </cell>
          <cell r="BJ373">
            <v>30.857142857142861</v>
          </cell>
          <cell r="BK373">
            <v>0</v>
          </cell>
          <cell r="BL373">
            <v>10.666666666666666</v>
          </cell>
          <cell r="BM373">
            <v>11</v>
          </cell>
          <cell r="BN373">
            <v>33</v>
          </cell>
          <cell r="BO373">
            <v>0</v>
          </cell>
          <cell r="BP373">
            <v>10.666666666666666</v>
          </cell>
          <cell r="BQ373">
            <v>11</v>
          </cell>
          <cell r="BR373">
            <v>28.285714285714288</v>
          </cell>
          <cell r="BS373">
            <v>0</v>
          </cell>
          <cell r="BT373">
            <v>10.666666666666666</v>
          </cell>
          <cell r="BU373">
            <v>11</v>
          </cell>
          <cell r="BV373">
            <v>33</v>
          </cell>
          <cell r="BW373">
            <v>0</v>
          </cell>
          <cell r="BX373">
            <v>0</v>
          </cell>
          <cell r="BY373">
            <v>10.666666666666666</v>
          </cell>
          <cell r="BZ373">
            <v>11</v>
          </cell>
          <cell r="CA373">
            <v>33</v>
          </cell>
          <cell r="CB373">
            <v>0</v>
          </cell>
          <cell r="CC373">
            <v>0</v>
          </cell>
          <cell r="CD373">
            <v>10.666666666666666</v>
          </cell>
          <cell r="CE373">
            <v>11</v>
          </cell>
          <cell r="CF373">
            <v>33</v>
          </cell>
          <cell r="CG373">
            <v>0</v>
          </cell>
          <cell r="CH373">
            <v>0</v>
          </cell>
          <cell r="CI373">
            <v>10.333333333333332</v>
          </cell>
          <cell r="CJ373">
            <v>11</v>
          </cell>
          <cell r="CK373">
            <v>33</v>
          </cell>
          <cell r="CL373">
            <v>0</v>
          </cell>
          <cell r="CM373">
            <v>0</v>
          </cell>
          <cell r="CN373">
            <v>10.666666666666666</v>
          </cell>
          <cell r="CO373">
            <v>10</v>
          </cell>
          <cell r="CP373">
            <v>25.714285714285715</v>
          </cell>
          <cell r="CQ373">
            <v>0</v>
          </cell>
          <cell r="CR373">
            <v>0</v>
          </cell>
          <cell r="CS373">
            <v>9.6111111111111107</v>
          </cell>
          <cell r="CT373">
            <v>10</v>
          </cell>
          <cell r="CU373">
            <v>36.000000000000007</v>
          </cell>
          <cell r="CV373">
            <v>0</v>
          </cell>
          <cell r="CW373">
            <v>0</v>
          </cell>
          <cell r="CX373">
            <v>9.7222222222222214</v>
          </cell>
          <cell r="CY373">
            <v>9</v>
          </cell>
          <cell r="CZ373">
            <v>40.5</v>
          </cell>
          <cell r="DA373">
            <v>0</v>
          </cell>
          <cell r="DB373">
            <v>0</v>
          </cell>
          <cell r="DC373">
            <v>8.6666666666666661</v>
          </cell>
          <cell r="DD373">
            <v>9</v>
          </cell>
          <cell r="DE373">
            <v>24</v>
          </cell>
          <cell r="DF373">
            <v>0</v>
          </cell>
          <cell r="DG373">
            <v>3</v>
          </cell>
          <cell r="DH373">
            <v>11.666666666666666</v>
          </cell>
          <cell r="DI373">
            <v>10</v>
          </cell>
          <cell r="DJ373">
            <v>23.315789473684209</v>
          </cell>
          <cell r="DK373">
            <v>0</v>
          </cell>
          <cell r="DL373">
            <v>0</v>
          </cell>
          <cell r="DM373">
            <v>11.244444444444444</v>
          </cell>
          <cell r="DN373">
            <v>12</v>
          </cell>
          <cell r="DO373">
            <v>30.285714285714288</v>
          </cell>
          <cell r="DP373">
            <v>0</v>
          </cell>
          <cell r="DQ373">
            <v>0</v>
          </cell>
          <cell r="DR373">
            <v>11.611111111111111</v>
          </cell>
          <cell r="DS373">
            <v>11.611111111111111</v>
          </cell>
          <cell r="DT373">
            <v>29.285714285714288</v>
          </cell>
          <cell r="DU373">
            <v>0</v>
          </cell>
          <cell r="DV373">
            <v>0</v>
          </cell>
          <cell r="DW373">
            <v>11.222222222222221</v>
          </cell>
          <cell r="DX373">
            <v>11.222222222222221</v>
          </cell>
          <cell r="DY373">
            <v>28.285714285714288</v>
          </cell>
          <cell r="DZ373">
            <v>0</v>
          </cell>
          <cell r="EA373">
            <v>0</v>
          </cell>
          <cell r="EB373">
            <v>10.833333333333332</v>
          </cell>
          <cell r="EC373">
            <v>10.833333333333332</v>
          </cell>
          <cell r="ED373">
            <v>27.285714285714285</v>
          </cell>
          <cell r="EE373">
            <v>0</v>
          </cell>
          <cell r="EF373">
            <v>0</v>
          </cell>
          <cell r="EG373">
            <v>10.444444444444443</v>
          </cell>
          <cell r="EH373">
            <v>10.444444444444443</v>
          </cell>
          <cell r="EI373">
            <v>26.285714285714285</v>
          </cell>
          <cell r="EJ373">
            <v>0</v>
          </cell>
          <cell r="EK373">
            <v>0</v>
          </cell>
          <cell r="EL373">
            <v>10.055555555555554</v>
          </cell>
          <cell r="EM373">
            <v>10.055555555555554</v>
          </cell>
          <cell r="EN373">
            <v>25.285714285714285</v>
          </cell>
          <cell r="EO373">
            <v>0</v>
          </cell>
          <cell r="EP373">
            <v>0</v>
          </cell>
          <cell r="EQ373">
            <v>9.6666666666666643</v>
          </cell>
          <cell r="ER373">
            <v>9.6666666666666643</v>
          </cell>
          <cell r="ES373">
            <v>24.285714285714281</v>
          </cell>
          <cell r="ET373">
            <v>0</v>
          </cell>
          <cell r="EU373">
            <v>0</v>
          </cell>
          <cell r="EV373">
            <v>9.277777777777775</v>
          </cell>
          <cell r="EW373">
            <v>9.277777777777775</v>
          </cell>
          <cell r="EX373">
            <v>23.285714285714281</v>
          </cell>
          <cell r="EY373">
            <v>0</v>
          </cell>
          <cell r="EZ373">
            <v>0</v>
          </cell>
          <cell r="FA373">
            <v>8.8888888888888857</v>
          </cell>
          <cell r="FB373">
            <v>8.8888888888888857</v>
          </cell>
          <cell r="FC373">
            <v>22.285714285714281</v>
          </cell>
          <cell r="FD373">
            <v>0</v>
          </cell>
          <cell r="FE373">
            <v>0</v>
          </cell>
          <cell r="FF373">
            <v>8.4999999999999964</v>
          </cell>
          <cell r="FG373">
            <v>8.4999999999999964</v>
          </cell>
          <cell r="FH373">
            <v>21.285714285714278</v>
          </cell>
          <cell r="FI373">
            <v>0</v>
          </cell>
          <cell r="FJ373">
            <v>0</v>
          </cell>
          <cell r="FK373">
            <v>8.1111111111111072</v>
          </cell>
          <cell r="FL373">
            <v>8.1111111111111072</v>
          </cell>
          <cell r="FM373">
            <v>20.285714285714278</v>
          </cell>
          <cell r="FN373">
            <v>0</v>
          </cell>
          <cell r="FO373">
            <v>0</v>
          </cell>
          <cell r="FP373">
            <v>7.7222222222222179</v>
          </cell>
          <cell r="FQ373">
            <v>7.7222222222222179</v>
          </cell>
          <cell r="FR373">
            <v>19.285714285714278</v>
          </cell>
          <cell r="FS373">
            <v>0</v>
          </cell>
          <cell r="FT373">
            <v>1</v>
          </cell>
          <cell r="FU373">
            <v>2.0333333333333332</v>
          </cell>
          <cell r="FW373" t="str">
            <v>SOBRESTOCK</v>
          </cell>
          <cell r="FX373" t="str">
            <v>C</v>
          </cell>
          <cell r="FY373" t="str">
            <v>Si</v>
          </cell>
        </row>
        <row r="374">
          <cell r="B374" t="str">
            <v>REP-0391</v>
          </cell>
          <cell r="C374" t="str">
            <v>MIX</v>
          </cell>
          <cell r="D374">
            <v>0</v>
          </cell>
          <cell r="E374">
            <v>4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4</v>
          </cell>
          <cell r="O374">
            <v>0</v>
          </cell>
          <cell r="P374">
            <v>2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10</v>
          </cell>
          <cell r="AA374">
            <v>10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10</v>
          </cell>
          <cell r="AQ374" t="str">
            <v/>
          </cell>
          <cell r="AR374">
            <v>0</v>
          </cell>
          <cell r="AS374">
            <v>10</v>
          </cell>
          <cell r="AT374">
            <v>10</v>
          </cell>
          <cell r="AU374" t="str">
            <v/>
          </cell>
          <cell r="AV374">
            <v>0</v>
          </cell>
          <cell r="AW374">
            <v>10</v>
          </cell>
          <cell r="AX374">
            <v>10</v>
          </cell>
          <cell r="AY374" t="str">
            <v/>
          </cell>
          <cell r="AZ374">
            <v>0</v>
          </cell>
          <cell r="BA374">
            <v>10</v>
          </cell>
          <cell r="BB374">
            <v>10</v>
          </cell>
          <cell r="BC374" t="str">
            <v/>
          </cell>
          <cell r="BD374">
            <v>0</v>
          </cell>
          <cell r="BE374">
            <v>10</v>
          </cell>
          <cell r="BF374" t="str">
            <v/>
          </cell>
          <cell r="BG374">
            <v>0</v>
          </cell>
          <cell r="BH374">
            <v>10</v>
          </cell>
          <cell r="BI374">
            <v>10</v>
          </cell>
          <cell r="BJ374" t="str">
            <v/>
          </cell>
          <cell r="BK374">
            <v>0</v>
          </cell>
          <cell r="BL374">
            <v>10</v>
          </cell>
          <cell r="BM374">
            <v>10</v>
          </cell>
          <cell r="BN374" t="str">
            <v/>
          </cell>
          <cell r="BO374">
            <v>0</v>
          </cell>
          <cell r="BP374">
            <v>10</v>
          </cell>
          <cell r="BQ374">
            <v>10</v>
          </cell>
          <cell r="BR374" t="str">
            <v/>
          </cell>
          <cell r="BS374">
            <v>0</v>
          </cell>
          <cell r="BT374">
            <v>10</v>
          </cell>
          <cell r="BU374">
            <v>10</v>
          </cell>
          <cell r="BV374" t="str">
            <v/>
          </cell>
          <cell r="BW374">
            <v>0</v>
          </cell>
          <cell r="BX374">
            <v>0</v>
          </cell>
          <cell r="BY374">
            <v>10</v>
          </cell>
          <cell r="BZ374">
            <v>10</v>
          </cell>
          <cell r="CA374" t="str">
            <v/>
          </cell>
          <cell r="CB374">
            <v>0</v>
          </cell>
          <cell r="CC374">
            <v>0</v>
          </cell>
          <cell r="CD374">
            <v>10</v>
          </cell>
          <cell r="CE374">
            <v>10</v>
          </cell>
          <cell r="CF374" t="str">
            <v/>
          </cell>
          <cell r="CG374">
            <v>0</v>
          </cell>
          <cell r="CH374">
            <v>0</v>
          </cell>
          <cell r="CI374">
            <v>10</v>
          </cell>
          <cell r="CJ374">
            <v>10</v>
          </cell>
          <cell r="CK374" t="str">
            <v/>
          </cell>
          <cell r="CL374">
            <v>0</v>
          </cell>
          <cell r="CM374">
            <v>0</v>
          </cell>
          <cell r="CN374">
            <v>10</v>
          </cell>
          <cell r="CO374">
            <v>10</v>
          </cell>
          <cell r="CP374" t="str">
            <v/>
          </cell>
          <cell r="CQ374">
            <v>0</v>
          </cell>
          <cell r="CR374">
            <v>0</v>
          </cell>
          <cell r="CS374">
            <v>10</v>
          </cell>
          <cell r="CT374">
            <v>10</v>
          </cell>
          <cell r="CU374" t="str">
            <v/>
          </cell>
          <cell r="CV374">
            <v>0</v>
          </cell>
          <cell r="CW374">
            <v>0</v>
          </cell>
          <cell r="CX374">
            <v>10</v>
          </cell>
          <cell r="CY374">
            <v>10</v>
          </cell>
          <cell r="CZ374" t="str">
            <v/>
          </cell>
          <cell r="DA374">
            <v>0</v>
          </cell>
          <cell r="DB374">
            <v>0</v>
          </cell>
          <cell r="DC374">
            <v>10</v>
          </cell>
          <cell r="DD374">
            <v>10</v>
          </cell>
          <cell r="DE374" t="str">
            <v/>
          </cell>
          <cell r="DF374">
            <v>0</v>
          </cell>
          <cell r="DG374">
            <v>0</v>
          </cell>
          <cell r="DH374">
            <v>10</v>
          </cell>
          <cell r="DI374">
            <v>10</v>
          </cell>
          <cell r="DJ374" t="str">
            <v/>
          </cell>
          <cell r="DK374">
            <v>0</v>
          </cell>
          <cell r="DL374">
            <v>0</v>
          </cell>
          <cell r="DM374">
            <v>10</v>
          </cell>
          <cell r="DN374">
            <v>10</v>
          </cell>
          <cell r="DO374" t="str">
            <v/>
          </cell>
          <cell r="DP374">
            <v>0</v>
          </cell>
          <cell r="DQ374">
            <v>0</v>
          </cell>
          <cell r="DR374">
            <v>10</v>
          </cell>
          <cell r="DS374">
            <v>10</v>
          </cell>
          <cell r="DT374" t="str">
            <v/>
          </cell>
          <cell r="DU374">
            <v>0</v>
          </cell>
          <cell r="DV374">
            <v>0</v>
          </cell>
          <cell r="DW374">
            <v>10</v>
          </cell>
          <cell r="DX374">
            <v>10</v>
          </cell>
          <cell r="DY374" t="str">
            <v/>
          </cell>
          <cell r="DZ374">
            <v>0</v>
          </cell>
          <cell r="EA374">
            <v>0</v>
          </cell>
          <cell r="EB374">
            <v>10</v>
          </cell>
          <cell r="EC374">
            <v>10</v>
          </cell>
          <cell r="ED374" t="str">
            <v/>
          </cell>
          <cell r="EE374">
            <v>0</v>
          </cell>
          <cell r="EF374">
            <v>0</v>
          </cell>
          <cell r="EG374">
            <v>10</v>
          </cell>
          <cell r="EH374">
            <v>10</v>
          </cell>
          <cell r="EI374" t="str">
            <v/>
          </cell>
          <cell r="EJ374">
            <v>0</v>
          </cell>
          <cell r="EK374">
            <v>0</v>
          </cell>
          <cell r="EL374">
            <v>10</v>
          </cell>
          <cell r="EM374">
            <v>10</v>
          </cell>
          <cell r="EN374" t="str">
            <v/>
          </cell>
          <cell r="EO374">
            <v>0</v>
          </cell>
          <cell r="EP374">
            <v>0</v>
          </cell>
          <cell r="EQ374">
            <v>10</v>
          </cell>
          <cell r="ER374">
            <v>10</v>
          </cell>
          <cell r="ES374" t="str">
            <v/>
          </cell>
          <cell r="ET374">
            <v>0</v>
          </cell>
          <cell r="EU374">
            <v>0</v>
          </cell>
          <cell r="EV374">
            <v>10</v>
          </cell>
          <cell r="EW374">
            <v>10</v>
          </cell>
          <cell r="EX374" t="str">
            <v/>
          </cell>
          <cell r="EY374">
            <v>0</v>
          </cell>
          <cell r="EZ374">
            <v>0</v>
          </cell>
          <cell r="FA374">
            <v>10</v>
          </cell>
          <cell r="FB374">
            <v>10</v>
          </cell>
          <cell r="FC374" t="str">
            <v/>
          </cell>
          <cell r="FD374">
            <v>0</v>
          </cell>
          <cell r="FE374">
            <v>0</v>
          </cell>
          <cell r="FF374">
            <v>10</v>
          </cell>
          <cell r="FG374">
            <v>10</v>
          </cell>
          <cell r="FH374" t="str">
            <v/>
          </cell>
          <cell r="FI374">
            <v>0</v>
          </cell>
          <cell r="FJ374">
            <v>0</v>
          </cell>
          <cell r="FK374">
            <v>10</v>
          </cell>
          <cell r="FL374">
            <v>10</v>
          </cell>
          <cell r="FM374" t="str">
            <v/>
          </cell>
          <cell r="FN374">
            <v>0</v>
          </cell>
          <cell r="FO374">
            <v>0</v>
          </cell>
          <cell r="FP374">
            <v>10</v>
          </cell>
          <cell r="FQ374">
            <v>10</v>
          </cell>
          <cell r="FR374" t="str">
            <v/>
          </cell>
          <cell r="FS374">
            <v>0</v>
          </cell>
          <cell r="FT374">
            <v>0</v>
          </cell>
          <cell r="FU374">
            <v>2.0333333333333332</v>
          </cell>
          <cell r="FW374" t="str">
            <v>SIN ROTACIÓN</v>
          </cell>
          <cell r="FX374" t="str">
            <v>STOCK MUERTO</v>
          </cell>
          <cell r="FY374" t="str">
            <v>Si</v>
          </cell>
        </row>
        <row r="375">
          <cell r="B375" t="str">
            <v>REP-0392</v>
          </cell>
          <cell r="C375" t="str">
            <v>MIX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4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1</v>
          </cell>
          <cell r="V375">
            <v>0</v>
          </cell>
          <cell r="W375">
            <v>0</v>
          </cell>
          <cell r="X375">
            <v>1</v>
          </cell>
          <cell r="Y375">
            <v>6</v>
          </cell>
          <cell r="AA375">
            <v>6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0.41666666666666669</v>
          </cell>
          <cell r="AH375">
            <v>0.58333333333333337</v>
          </cell>
          <cell r="AI375">
            <v>0.66666666666666663</v>
          </cell>
          <cell r="AJ375">
            <v>0.66666666666666663</v>
          </cell>
          <cell r="AK375">
            <v>0.66666666666666663</v>
          </cell>
          <cell r="AL375">
            <v>0.11785113019775834</v>
          </cell>
          <cell r="AM375">
            <v>0.58333333333333326</v>
          </cell>
          <cell r="AN375">
            <v>0.20203050891044289</v>
          </cell>
          <cell r="AO375">
            <v>0</v>
          </cell>
          <cell r="AP375">
            <v>7.583333333333333</v>
          </cell>
          <cell r="AQ375">
            <v>8.6</v>
          </cell>
          <cell r="AR375">
            <v>0</v>
          </cell>
          <cell r="AS375">
            <v>16</v>
          </cell>
          <cell r="AT375">
            <v>16</v>
          </cell>
          <cell r="AU375">
            <v>16</v>
          </cell>
          <cell r="AV375">
            <v>0</v>
          </cell>
          <cell r="AW375">
            <v>15</v>
          </cell>
          <cell r="AX375">
            <v>16</v>
          </cell>
          <cell r="AY375">
            <v>24</v>
          </cell>
          <cell r="AZ375">
            <v>0</v>
          </cell>
          <cell r="BA375">
            <v>15.333333333333334</v>
          </cell>
          <cell r="BB375">
            <v>16</v>
          </cell>
          <cell r="BC375">
            <v>24</v>
          </cell>
          <cell r="BD375">
            <v>0</v>
          </cell>
          <cell r="BE375">
            <v>15.333333333333334</v>
          </cell>
          <cell r="BF375">
            <v>23.000000000000004</v>
          </cell>
          <cell r="BG375">
            <v>0</v>
          </cell>
          <cell r="BH375">
            <v>14.666666666666668</v>
          </cell>
          <cell r="BI375">
            <v>6</v>
          </cell>
          <cell r="BJ375">
            <v>9</v>
          </cell>
          <cell r="BK375">
            <v>0</v>
          </cell>
          <cell r="BL375">
            <v>14.583333333333334</v>
          </cell>
          <cell r="BM375">
            <v>16</v>
          </cell>
          <cell r="BN375">
            <v>38.4</v>
          </cell>
          <cell r="BO375">
            <v>0</v>
          </cell>
          <cell r="BP375">
            <v>15.583333333333334</v>
          </cell>
          <cell r="BQ375">
            <v>15</v>
          </cell>
          <cell r="BR375">
            <v>22.5</v>
          </cell>
          <cell r="BS375">
            <v>0</v>
          </cell>
          <cell r="BT375">
            <v>14.583333333333334</v>
          </cell>
          <cell r="BU375">
            <v>15</v>
          </cell>
          <cell r="BV375">
            <v>36</v>
          </cell>
          <cell r="BW375">
            <v>0</v>
          </cell>
          <cell r="BX375">
            <v>0</v>
          </cell>
          <cell r="BY375">
            <v>14.583333333333334</v>
          </cell>
          <cell r="BZ375">
            <v>13</v>
          </cell>
          <cell r="CA375">
            <v>26</v>
          </cell>
          <cell r="CB375">
            <v>0</v>
          </cell>
          <cell r="CC375">
            <v>0</v>
          </cell>
          <cell r="CD375">
            <v>12.5</v>
          </cell>
          <cell r="CE375">
            <v>12</v>
          </cell>
          <cell r="CF375">
            <v>18</v>
          </cell>
          <cell r="CG375">
            <v>0</v>
          </cell>
          <cell r="CH375">
            <v>0</v>
          </cell>
          <cell r="CI375">
            <v>11.833333333333334</v>
          </cell>
          <cell r="CJ375">
            <v>11</v>
          </cell>
          <cell r="CK375">
            <v>13.2</v>
          </cell>
          <cell r="CL375">
            <v>0</v>
          </cell>
          <cell r="CM375">
            <v>0</v>
          </cell>
          <cell r="CN375">
            <v>10.166666666666666</v>
          </cell>
          <cell r="CO375">
            <v>11</v>
          </cell>
          <cell r="CP375">
            <v>13.2</v>
          </cell>
          <cell r="CQ375">
            <v>0</v>
          </cell>
          <cell r="CR375">
            <v>0</v>
          </cell>
          <cell r="CS375">
            <v>10.166666666666666</v>
          </cell>
          <cell r="CT375">
            <v>11</v>
          </cell>
          <cell r="CU375">
            <v>16.5</v>
          </cell>
          <cell r="CV375">
            <v>0</v>
          </cell>
          <cell r="CW375">
            <v>0</v>
          </cell>
          <cell r="CX375">
            <v>10.333333333333334</v>
          </cell>
          <cell r="CY375">
            <v>12</v>
          </cell>
          <cell r="CZ375">
            <v>20.571428571428569</v>
          </cell>
          <cell r="DA375">
            <v>0</v>
          </cell>
          <cell r="DB375">
            <v>0</v>
          </cell>
          <cell r="DC375">
            <v>11</v>
          </cell>
          <cell r="DD375">
            <v>7</v>
          </cell>
          <cell r="DE375">
            <v>5</v>
          </cell>
          <cell r="DF375">
            <v>0</v>
          </cell>
          <cell r="DG375">
            <v>0</v>
          </cell>
          <cell r="DH375">
            <v>6</v>
          </cell>
          <cell r="DI375">
            <v>7</v>
          </cell>
          <cell r="DJ375">
            <v>8.25</v>
          </cell>
          <cell r="DK375">
            <v>0</v>
          </cell>
          <cell r="DL375">
            <v>0</v>
          </cell>
          <cell r="DM375">
            <v>5.2</v>
          </cell>
          <cell r="DN375">
            <v>6</v>
          </cell>
          <cell r="DO375">
            <v>8</v>
          </cell>
          <cell r="DP375">
            <v>0</v>
          </cell>
          <cell r="DQ375">
            <v>0</v>
          </cell>
          <cell r="DR375">
            <v>5.333333333333333</v>
          </cell>
          <cell r="DS375">
            <v>5.333333333333333</v>
          </cell>
          <cell r="DT375">
            <v>7</v>
          </cell>
          <cell r="DU375">
            <v>0</v>
          </cell>
          <cell r="DV375">
            <v>1</v>
          </cell>
          <cell r="DW375">
            <v>5.6666666666666661</v>
          </cell>
          <cell r="DX375">
            <v>5.6666666666666661</v>
          </cell>
          <cell r="DY375">
            <v>7.4999999999999991</v>
          </cell>
          <cell r="DZ375">
            <v>0</v>
          </cell>
          <cell r="EA375">
            <v>0</v>
          </cell>
          <cell r="EB375">
            <v>4.9999999999999991</v>
          </cell>
          <cell r="EC375">
            <v>4.9999999999999991</v>
          </cell>
          <cell r="ED375">
            <v>6.4999999999999991</v>
          </cell>
          <cell r="EE375">
            <v>0</v>
          </cell>
          <cell r="EF375">
            <v>0</v>
          </cell>
          <cell r="EG375">
            <v>4.3333333333333321</v>
          </cell>
          <cell r="EH375">
            <v>4.3333333333333321</v>
          </cell>
          <cell r="EI375">
            <v>5.4999999999999982</v>
          </cell>
          <cell r="EJ375">
            <v>0</v>
          </cell>
          <cell r="EK375">
            <v>0</v>
          </cell>
          <cell r="EL375">
            <v>3.6666666666666656</v>
          </cell>
          <cell r="EM375">
            <v>3.6666666666666656</v>
          </cell>
          <cell r="EN375">
            <v>4.4999999999999982</v>
          </cell>
          <cell r="EO375">
            <v>0</v>
          </cell>
          <cell r="EP375">
            <v>0</v>
          </cell>
          <cell r="EQ375">
            <v>2.9999999999999991</v>
          </cell>
          <cell r="ER375">
            <v>2.9999999999999991</v>
          </cell>
          <cell r="ES375">
            <v>3.4999999999999987</v>
          </cell>
          <cell r="ET375">
            <v>0</v>
          </cell>
          <cell r="EU375">
            <v>0</v>
          </cell>
          <cell r="EV375">
            <v>2.3333333333333326</v>
          </cell>
          <cell r="EW375">
            <v>2.3333333333333326</v>
          </cell>
          <cell r="EX375">
            <v>2.4999999999999991</v>
          </cell>
          <cell r="EY375">
            <v>0</v>
          </cell>
          <cell r="EZ375">
            <v>0</v>
          </cell>
          <cell r="FA375">
            <v>1.6666666666666661</v>
          </cell>
          <cell r="FB375">
            <v>1.6666666666666661</v>
          </cell>
          <cell r="FC375">
            <v>1.4999999999999991</v>
          </cell>
          <cell r="FD375">
            <v>0.33333333333333393</v>
          </cell>
          <cell r="FE375">
            <v>5</v>
          </cell>
          <cell r="FF375">
            <v>5.9999999999999991</v>
          </cell>
          <cell r="FG375">
            <v>5.9999999999999991</v>
          </cell>
          <cell r="FH375">
            <v>7.9999999999999991</v>
          </cell>
          <cell r="FI375">
            <v>0</v>
          </cell>
          <cell r="FJ375">
            <v>0</v>
          </cell>
          <cell r="FK375">
            <v>5.3333333333333321</v>
          </cell>
          <cell r="FL375">
            <v>5.3333333333333321</v>
          </cell>
          <cell r="FM375">
            <v>6.9999999999999982</v>
          </cell>
          <cell r="FN375">
            <v>0</v>
          </cell>
          <cell r="FO375">
            <v>0</v>
          </cell>
          <cell r="FP375">
            <v>4.6666666666666652</v>
          </cell>
          <cell r="FQ375">
            <v>4.6666666666666652</v>
          </cell>
          <cell r="FR375">
            <v>5.9999999999999982</v>
          </cell>
          <cell r="FS375">
            <v>0</v>
          </cell>
          <cell r="FT375">
            <v>2</v>
          </cell>
          <cell r="FU375">
            <v>2.0333333333333332</v>
          </cell>
          <cell r="FW375" t="str">
            <v>SOBRESTOCK</v>
          </cell>
          <cell r="FX375" t="str">
            <v>C</v>
          </cell>
          <cell r="FY375" t="str">
            <v>Si</v>
          </cell>
        </row>
        <row r="376">
          <cell r="B376" t="str">
            <v>REP-0393</v>
          </cell>
          <cell r="C376" t="str">
            <v>MIX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2</v>
          </cell>
          <cell r="L376">
            <v>4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1</v>
          </cell>
          <cell r="V376">
            <v>0</v>
          </cell>
          <cell r="W376">
            <v>0</v>
          </cell>
          <cell r="X376">
            <v>2</v>
          </cell>
          <cell r="Y376">
            <v>9</v>
          </cell>
          <cell r="AA376">
            <v>9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0.41666666666666669</v>
          </cell>
          <cell r="AH376">
            <v>0.5</v>
          </cell>
          <cell r="AI376">
            <v>0.33333333333333331</v>
          </cell>
          <cell r="AJ376">
            <v>0.33333333333333331</v>
          </cell>
          <cell r="AK376">
            <v>0.5</v>
          </cell>
          <cell r="AL376">
            <v>7.9785592313028619E-2</v>
          </cell>
          <cell r="AM376">
            <v>0.39583333333333331</v>
          </cell>
          <cell r="AN376">
            <v>0.20156360163291442</v>
          </cell>
          <cell r="AO376">
            <v>0</v>
          </cell>
          <cell r="AP376">
            <v>7.583333333333333</v>
          </cell>
          <cell r="AQ376">
            <v>8.6</v>
          </cell>
          <cell r="AR376">
            <v>0</v>
          </cell>
          <cell r="AS376">
            <v>16</v>
          </cell>
          <cell r="AT376">
            <v>16</v>
          </cell>
          <cell r="AU376">
            <v>16</v>
          </cell>
          <cell r="AV376">
            <v>0</v>
          </cell>
          <cell r="AW376">
            <v>15</v>
          </cell>
          <cell r="AX376">
            <v>16</v>
          </cell>
          <cell r="AY376">
            <v>32</v>
          </cell>
          <cell r="AZ376">
            <v>0</v>
          </cell>
          <cell r="BA376">
            <v>15.333333333333334</v>
          </cell>
          <cell r="BB376">
            <v>16</v>
          </cell>
          <cell r="BC376">
            <v>24</v>
          </cell>
          <cell r="BD376">
            <v>0</v>
          </cell>
          <cell r="BE376">
            <v>15.333333333333334</v>
          </cell>
          <cell r="BF376">
            <v>23.000000000000004</v>
          </cell>
          <cell r="BG376">
            <v>0</v>
          </cell>
          <cell r="BH376">
            <v>14.666666666666668</v>
          </cell>
          <cell r="BI376">
            <v>9</v>
          </cell>
          <cell r="BJ376">
            <v>18</v>
          </cell>
          <cell r="BK376">
            <v>0</v>
          </cell>
          <cell r="BL376">
            <v>14.583333333333334</v>
          </cell>
          <cell r="BM376">
            <v>16</v>
          </cell>
          <cell r="BN376">
            <v>38.4</v>
          </cell>
          <cell r="BO376">
            <v>0</v>
          </cell>
          <cell r="BP376">
            <v>15.583333333333334</v>
          </cell>
          <cell r="BQ376">
            <v>16</v>
          </cell>
          <cell r="BR376">
            <v>32</v>
          </cell>
          <cell r="BS376">
            <v>0</v>
          </cell>
          <cell r="BT376">
            <v>15.583333333333334</v>
          </cell>
          <cell r="BU376">
            <v>16</v>
          </cell>
          <cell r="BV376">
            <v>38.4</v>
          </cell>
          <cell r="BW376">
            <v>0</v>
          </cell>
          <cell r="BX376">
            <v>0</v>
          </cell>
          <cell r="BY376">
            <v>15.583333333333334</v>
          </cell>
          <cell r="BZ376">
            <v>16</v>
          </cell>
          <cell r="CA376">
            <v>38.4</v>
          </cell>
          <cell r="CB376">
            <v>0</v>
          </cell>
          <cell r="CC376">
            <v>0</v>
          </cell>
          <cell r="CD376">
            <v>15.583333333333334</v>
          </cell>
          <cell r="CE376">
            <v>14</v>
          </cell>
          <cell r="CF376">
            <v>33.6</v>
          </cell>
          <cell r="CG376">
            <v>0</v>
          </cell>
          <cell r="CH376">
            <v>0</v>
          </cell>
          <cell r="CI376">
            <v>15.166666666666668</v>
          </cell>
          <cell r="CJ376">
            <v>12</v>
          </cell>
          <cell r="CK376">
            <v>18</v>
          </cell>
          <cell r="CL376">
            <v>0</v>
          </cell>
          <cell r="CM376">
            <v>0</v>
          </cell>
          <cell r="CN376">
            <v>11.333333333333334</v>
          </cell>
          <cell r="CO376">
            <v>12</v>
          </cell>
          <cell r="CP376">
            <v>18</v>
          </cell>
          <cell r="CQ376">
            <v>0</v>
          </cell>
          <cell r="CR376">
            <v>0</v>
          </cell>
          <cell r="CS376">
            <v>11.333333333333334</v>
          </cell>
          <cell r="CT376">
            <v>12</v>
          </cell>
          <cell r="CU376">
            <v>18</v>
          </cell>
          <cell r="CV376">
            <v>0</v>
          </cell>
          <cell r="CW376">
            <v>0</v>
          </cell>
          <cell r="CX376">
            <v>11.333333333333334</v>
          </cell>
          <cell r="CY376">
            <v>13</v>
          </cell>
          <cell r="CZ376">
            <v>26</v>
          </cell>
          <cell r="DA376">
            <v>0</v>
          </cell>
          <cell r="DB376">
            <v>0</v>
          </cell>
          <cell r="DC376">
            <v>12.5</v>
          </cell>
          <cell r="DD376">
            <v>10</v>
          </cell>
          <cell r="DE376">
            <v>16</v>
          </cell>
          <cell r="DF376">
            <v>0</v>
          </cell>
          <cell r="DG376">
            <v>0</v>
          </cell>
          <cell r="DH376">
            <v>9.5</v>
          </cell>
          <cell r="DI376">
            <v>10</v>
          </cell>
          <cell r="DJ376">
            <v>18</v>
          </cell>
          <cell r="DK376">
            <v>0</v>
          </cell>
          <cell r="DL376">
            <v>0</v>
          </cell>
          <cell r="DM376">
            <v>9</v>
          </cell>
          <cell r="DN376">
            <v>9</v>
          </cell>
          <cell r="DO376">
            <v>16</v>
          </cell>
          <cell r="DP376">
            <v>0</v>
          </cell>
          <cell r="DQ376">
            <v>0</v>
          </cell>
          <cell r="DR376">
            <v>8.5</v>
          </cell>
          <cell r="DS376">
            <v>8.5</v>
          </cell>
          <cell r="DT376">
            <v>15</v>
          </cell>
          <cell r="DU376">
            <v>0</v>
          </cell>
          <cell r="DV376">
            <v>0</v>
          </cell>
          <cell r="DW376">
            <v>8</v>
          </cell>
          <cell r="DX376">
            <v>8</v>
          </cell>
          <cell r="DY376">
            <v>14</v>
          </cell>
          <cell r="DZ376">
            <v>0</v>
          </cell>
          <cell r="EA376">
            <v>0</v>
          </cell>
          <cell r="EB376">
            <v>7.5</v>
          </cell>
          <cell r="EC376">
            <v>7.5</v>
          </cell>
          <cell r="ED376">
            <v>13</v>
          </cell>
          <cell r="EE376">
            <v>0</v>
          </cell>
          <cell r="EF376">
            <v>0</v>
          </cell>
          <cell r="EG376">
            <v>7</v>
          </cell>
          <cell r="EH376">
            <v>7</v>
          </cell>
          <cell r="EI376">
            <v>12</v>
          </cell>
          <cell r="EJ376">
            <v>0</v>
          </cell>
          <cell r="EK376">
            <v>0</v>
          </cell>
          <cell r="EL376">
            <v>6.5</v>
          </cell>
          <cell r="EM376">
            <v>6.5</v>
          </cell>
          <cell r="EN376">
            <v>11</v>
          </cell>
          <cell r="EO376">
            <v>0</v>
          </cell>
          <cell r="EP376">
            <v>0</v>
          </cell>
          <cell r="EQ376">
            <v>6</v>
          </cell>
          <cell r="ER376">
            <v>6</v>
          </cell>
          <cell r="ES376">
            <v>10</v>
          </cell>
          <cell r="ET376">
            <v>0</v>
          </cell>
          <cell r="EU376">
            <v>0</v>
          </cell>
          <cell r="EV376">
            <v>5.5</v>
          </cell>
          <cell r="EW376">
            <v>5.5</v>
          </cell>
          <cell r="EX376">
            <v>9</v>
          </cell>
          <cell r="EY376">
            <v>0</v>
          </cell>
          <cell r="EZ376">
            <v>0</v>
          </cell>
          <cell r="FA376">
            <v>5</v>
          </cell>
          <cell r="FB376">
            <v>5</v>
          </cell>
          <cell r="FC376">
            <v>8</v>
          </cell>
          <cell r="FD376">
            <v>0</v>
          </cell>
          <cell r="FE376">
            <v>0</v>
          </cell>
          <cell r="FF376">
            <v>4.5</v>
          </cell>
          <cell r="FG376">
            <v>4.5</v>
          </cell>
          <cell r="FH376">
            <v>7</v>
          </cell>
          <cell r="FI376">
            <v>0</v>
          </cell>
          <cell r="FJ376">
            <v>0</v>
          </cell>
          <cell r="FK376">
            <v>4</v>
          </cell>
          <cell r="FL376">
            <v>4</v>
          </cell>
          <cell r="FM376">
            <v>6</v>
          </cell>
          <cell r="FN376">
            <v>0</v>
          </cell>
          <cell r="FO376">
            <v>0</v>
          </cell>
          <cell r="FP376">
            <v>3.5</v>
          </cell>
          <cell r="FQ376">
            <v>3.5</v>
          </cell>
          <cell r="FR376">
            <v>5</v>
          </cell>
          <cell r="FS376">
            <v>0</v>
          </cell>
          <cell r="FT376">
            <v>2</v>
          </cell>
          <cell r="FU376">
            <v>2.0333333333333332</v>
          </cell>
          <cell r="FW376" t="str">
            <v>SOBRESTOCK</v>
          </cell>
          <cell r="FX376" t="str">
            <v>C</v>
          </cell>
          <cell r="FY376" t="str">
            <v>Si</v>
          </cell>
        </row>
        <row r="377">
          <cell r="B377" t="str">
            <v>REP-0394</v>
          </cell>
          <cell r="C377" t="str">
            <v>MIX</v>
          </cell>
          <cell r="D377">
            <v>0</v>
          </cell>
          <cell r="E377">
            <v>17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17</v>
          </cell>
          <cell r="AA377">
            <v>17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8.3333333333333329E-2</v>
          </cell>
          <cell r="AH377">
            <v>0</v>
          </cell>
          <cell r="AI377">
            <v>0</v>
          </cell>
          <cell r="AJ377">
            <v>0</v>
          </cell>
          <cell r="AK377">
            <v>8.3333333333333329E-2</v>
          </cell>
          <cell r="AL377">
            <v>4.1666666666666664E-2</v>
          </cell>
          <cell r="AM377">
            <v>2.0833333333333332E-2</v>
          </cell>
          <cell r="AN377">
            <v>2</v>
          </cell>
          <cell r="AO377">
            <v>0</v>
          </cell>
          <cell r="AP377">
            <v>16.916666666666668</v>
          </cell>
          <cell r="AQ377">
            <v>203.00000000000003</v>
          </cell>
          <cell r="AR377">
            <v>0</v>
          </cell>
          <cell r="AS377">
            <v>17</v>
          </cell>
          <cell r="AT377">
            <v>17</v>
          </cell>
          <cell r="AU377">
            <v>204</v>
          </cell>
          <cell r="AV377">
            <v>0</v>
          </cell>
          <cell r="AW377">
            <v>16.916666666666668</v>
          </cell>
          <cell r="AX377">
            <v>17</v>
          </cell>
          <cell r="AY377">
            <v>204</v>
          </cell>
          <cell r="AZ377">
            <v>0</v>
          </cell>
          <cell r="BA377">
            <v>16.916666666666668</v>
          </cell>
          <cell r="BB377">
            <v>17</v>
          </cell>
          <cell r="BC377">
            <v>204</v>
          </cell>
          <cell r="BD377">
            <v>0</v>
          </cell>
          <cell r="BE377">
            <v>16.916666666666668</v>
          </cell>
          <cell r="BF377">
            <v>203.00000000000003</v>
          </cell>
          <cell r="BG377">
            <v>0</v>
          </cell>
          <cell r="BH377">
            <v>16.833333333333336</v>
          </cell>
          <cell r="BI377">
            <v>17</v>
          </cell>
          <cell r="BJ377">
            <v>204</v>
          </cell>
          <cell r="BK377">
            <v>0</v>
          </cell>
          <cell r="BL377">
            <v>16.916666666666668</v>
          </cell>
          <cell r="BM377">
            <v>17</v>
          </cell>
          <cell r="BN377">
            <v>204</v>
          </cell>
          <cell r="BO377">
            <v>0</v>
          </cell>
          <cell r="BP377">
            <v>16.916666666666668</v>
          </cell>
          <cell r="BQ377">
            <v>17</v>
          </cell>
          <cell r="BR377">
            <v>204</v>
          </cell>
          <cell r="BS377">
            <v>0</v>
          </cell>
          <cell r="BT377">
            <v>16.916666666666668</v>
          </cell>
          <cell r="BU377">
            <v>17</v>
          </cell>
          <cell r="BV377">
            <v>204</v>
          </cell>
          <cell r="BW377">
            <v>0</v>
          </cell>
          <cell r="BX377">
            <v>0</v>
          </cell>
          <cell r="BY377">
            <v>16.916666666666668</v>
          </cell>
          <cell r="BZ377">
            <v>17</v>
          </cell>
          <cell r="CA377">
            <v>204</v>
          </cell>
          <cell r="CB377">
            <v>0</v>
          </cell>
          <cell r="CC377">
            <v>0</v>
          </cell>
          <cell r="CD377">
            <v>16.916666666666668</v>
          </cell>
          <cell r="CE377">
            <v>17</v>
          </cell>
          <cell r="CF377">
            <v>204</v>
          </cell>
          <cell r="CG377">
            <v>0</v>
          </cell>
          <cell r="CH377">
            <v>0</v>
          </cell>
          <cell r="CI377">
            <v>16.833333333333336</v>
          </cell>
          <cell r="CJ377">
            <v>17</v>
          </cell>
          <cell r="CK377">
            <v>204</v>
          </cell>
          <cell r="CL377">
            <v>0</v>
          </cell>
          <cell r="CM377">
            <v>0</v>
          </cell>
          <cell r="CN377">
            <v>16.916666666666668</v>
          </cell>
          <cell r="CO377">
            <v>17</v>
          </cell>
          <cell r="CP377">
            <v>204</v>
          </cell>
          <cell r="CQ377">
            <v>0</v>
          </cell>
          <cell r="CR377">
            <v>0</v>
          </cell>
          <cell r="CS377">
            <v>16.916666666666668</v>
          </cell>
          <cell r="CT377">
            <v>17</v>
          </cell>
          <cell r="CU377">
            <v>204</v>
          </cell>
          <cell r="CV377">
            <v>0</v>
          </cell>
          <cell r="CW377">
            <v>0</v>
          </cell>
          <cell r="CX377">
            <v>16.916666666666668</v>
          </cell>
          <cell r="CY377">
            <v>17</v>
          </cell>
          <cell r="CZ377">
            <v>204</v>
          </cell>
          <cell r="DA377">
            <v>0</v>
          </cell>
          <cell r="DB377">
            <v>0</v>
          </cell>
          <cell r="DC377">
            <v>16.916666666666668</v>
          </cell>
          <cell r="DD377">
            <v>17</v>
          </cell>
          <cell r="DE377">
            <v>192</v>
          </cell>
          <cell r="DF377">
            <v>0</v>
          </cell>
          <cell r="DG377">
            <v>0</v>
          </cell>
          <cell r="DH377">
            <v>16.916666666666668</v>
          </cell>
          <cell r="DI377">
            <v>17</v>
          </cell>
          <cell r="DJ377">
            <v>194</v>
          </cell>
          <cell r="DK377">
            <v>0</v>
          </cell>
          <cell r="DL377">
            <v>0</v>
          </cell>
          <cell r="DM377">
            <v>16.833333333333336</v>
          </cell>
          <cell r="DN377">
            <v>17</v>
          </cell>
          <cell r="DO377">
            <v>194</v>
          </cell>
          <cell r="DP377">
            <v>0</v>
          </cell>
          <cell r="DQ377">
            <v>0</v>
          </cell>
          <cell r="DR377">
            <v>16.916666666666668</v>
          </cell>
          <cell r="DS377">
            <v>16.916666666666668</v>
          </cell>
          <cell r="DT377">
            <v>193.00000000000003</v>
          </cell>
          <cell r="DU377">
            <v>0</v>
          </cell>
          <cell r="DV377">
            <v>0</v>
          </cell>
          <cell r="DW377">
            <v>16.833333333333336</v>
          </cell>
          <cell r="DX377">
            <v>16.833333333333336</v>
          </cell>
          <cell r="DY377">
            <v>192.00000000000003</v>
          </cell>
          <cell r="DZ377">
            <v>0</v>
          </cell>
          <cell r="EA377">
            <v>0</v>
          </cell>
          <cell r="EB377">
            <v>16.750000000000004</v>
          </cell>
          <cell r="EC377">
            <v>16.750000000000004</v>
          </cell>
          <cell r="ED377">
            <v>191.00000000000006</v>
          </cell>
          <cell r="EE377">
            <v>0</v>
          </cell>
          <cell r="EF377">
            <v>0</v>
          </cell>
          <cell r="EG377">
            <v>16.666666666666671</v>
          </cell>
          <cell r="EH377">
            <v>16.666666666666671</v>
          </cell>
          <cell r="EI377">
            <v>190.00000000000006</v>
          </cell>
          <cell r="EJ377">
            <v>0</v>
          </cell>
          <cell r="EK377">
            <v>0</v>
          </cell>
          <cell r="EL377">
            <v>16.583333333333339</v>
          </cell>
          <cell r="EM377">
            <v>16.583333333333339</v>
          </cell>
          <cell r="EN377">
            <v>189.00000000000009</v>
          </cell>
          <cell r="EO377">
            <v>0</v>
          </cell>
          <cell r="EP377">
            <v>0</v>
          </cell>
          <cell r="EQ377">
            <v>16.500000000000007</v>
          </cell>
          <cell r="ER377">
            <v>16.500000000000007</v>
          </cell>
          <cell r="ES377">
            <v>188.00000000000009</v>
          </cell>
          <cell r="ET377">
            <v>0</v>
          </cell>
          <cell r="EU377">
            <v>0</v>
          </cell>
          <cell r="EV377">
            <v>16.416666666666675</v>
          </cell>
          <cell r="EW377">
            <v>16.416666666666675</v>
          </cell>
          <cell r="EX377">
            <v>187.00000000000011</v>
          </cell>
          <cell r="EY377">
            <v>0</v>
          </cell>
          <cell r="EZ377">
            <v>0</v>
          </cell>
          <cell r="FA377">
            <v>16.333333333333343</v>
          </cell>
          <cell r="FB377">
            <v>16.333333333333343</v>
          </cell>
          <cell r="FC377">
            <v>186.00000000000011</v>
          </cell>
          <cell r="FD377">
            <v>0</v>
          </cell>
          <cell r="FE377">
            <v>0</v>
          </cell>
          <cell r="FF377">
            <v>16.250000000000011</v>
          </cell>
          <cell r="FG377">
            <v>16.250000000000011</v>
          </cell>
          <cell r="FH377">
            <v>185.00000000000014</v>
          </cell>
          <cell r="FI377">
            <v>0</v>
          </cell>
          <cell r="FJ377">
            <v>0</v>
          </cell>
          <cell r="FK377">
            <v>16.166666666666679</v>
          </cell>
          <cell r="FL377">
            <v>16.166666666666679</v>
          </cell>
          <cell r="FM377">
            <v>184.00000000000014</v>
          </cell>
          <cell r="FN377">
            <v>0</v>
          </cell>
          <cell r="FO377">
            <v>0</v>
          </cell>
          <cell r="FP377">
            <v>16.083333333333346</v>
          </cell>
          <cell r="FQ377">
            <v>16.083333333333346</v>
          </cell>
          <cell r="FR377">
            <v>183.00000000000017</v>
          </cell>
          <cell r="FS377">
            <v>0</v>
          </cell>
          <cell r="FT377">
            <v>1</v>
          </cell>
          <cell r="FU377">
            <v>2.0333333333333332</v>
          </cell>
          <cell r="FW377" t="str">
            <v>SIN ROTACIÓN</v>
          </cell>
          <cell r="FX377" t="str">
            <v>C</v>
          </cell>
          <cell r="FY377" t="str">
            <v>Si</v>
          </cell>
        </row>
        <row r="378">
          <cell r="B378" t="str">
            <v>REP-0395</v>
          </cell>
          <cell r="C378" t="str">
            <v>MIX</v>
          </cell>
          <cell r="D378">
            <v>0</v>
          </cell>
          <cell r="E378">
            <v>12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12</v>
          </cell>
          <cell r="AA378">
            <v>12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 t="str">
            <v/>
          </cell>
          <cell r="AR378">
            <v>0</v>
          </cell>
          <cell r="AS378">
            <v>0</v>
          </cell>
          <cell r="AT378">
            <v>0</v>
          </cell>
          <cell r="AU378" t="str">
            <v/>
          </cell>
          <cell r="AV378">
            <v>0</v>
          </cell>
          <cell r="AW378">
            <v>0</v>
          </cell>
          <cell r="AX378">
            <v>0</v>
          </cell>
          <cell r="AY378" t="str">
            <v/>
          </cell>
          <cell r="AZ378">
            <v>0</v>
          </cell>
          <cell r="BA378">
            <v>10</v>
          </cell>
          <cell r="BB378">
            <v>0</v>
          </cell>
          <cell r="BC378">
            <v>0</v>
          </cell>
          <cell r="BD378">
            <v>0</v>
          </cell>
          <cell r="BE378">
            <v>-0.33333333333333331</v>
          </cell>
          <cell r="BF378">
            <v>-1</v>
          </cell>
          <cell r="BG378">
            <v>10</v>
          </cell>
          <cell r="BH378">
            <v>9.3333333333333321</v>
          </cell>
          <cell r="BI378">
            <v>12</v>
          </cell>
          <cell r="BJ378" t="str">
            <v/>
          </cell>
          <cell r="BK378">
            <v>0</v>
          </cell>
          <cell r="BL378">
            <v>10</v>
          </cell>
          <cell r="BM378">
            <v>10</v>
          </cell>
          <cell r="BN378" t="str">
            <v/>
          </cell>
          <cell r="BO378">
            <v>0</v>
          </cell>
          <cell r="BP378">
            <v>10</v>
          </cell>
          <cell r="BQ378">
            <v>10</v>
          </cell>
          <cell r="BR378" t="str">
            <v/>
          </cell>
          <cell r="BS378">
            <v>0</v>
          </cell>
          <cell r="BT378">
            <v>10</v>
          </cell>
          <cell r="BU378">
            <v>10</v>
          </cell>
          <cell r="BV378" t="str">
            <v/>
          </cell>
          <cell r="BW378">
            <v>0</v>
          </cell>
          <cell r="BX378">
            <v>0</v>
          </cell>
          <cell r="BY378">
            <v>10</v>
          </cell>
          <cell r="BZ378">
            <v>10</v>
          </cell>
          <cell r="CA378" t="str">
            <v/>
          </cell>
          <cell r="CB378">
            <v>0</v>
          </cell>
          <cell r="CC378">
            <v>0</v>
          </cell>
          <cell r="CD378">
            <v>10</v>
          </cell>
          <cell r="CE378">
            <v>10</v>
          </cell>
          <cell r="CF378" t="str">
            <v/>
          </cell>
          <cell r="CG378">
            <v>0</v>
          </cell>
          <cell r="CH378">
            <v>0</v>
          </cell>
          <cell r="CI378">
            <v>10</v>
          </cell>
          <cell r="CJ378">
            <v>12</v>
          </cell>
          <cell r="CK378" t="str">
            <v/>
          </cell>
          <cell r="CL378">
            <v>0</v>
          </cell>
          <cell r="CM378">
            <v>0</v>
          </cell>
          <cell r="CN378">
            <v>12</v>
          </cell>
          <cell r="CO378">
            <v>12</v>
          </cell>
          <cell r="CP378" t="str">
            <v/>
          </cell>
          <cell r="CQ378">
            <v>0</v>
          </cell>
          <cell r="CR378">
            <v>0</v>
          </cell>
          <cell r="CS378">
            <v>12</v>
          </cell>
          <cell r="CT378">
            <v>12</v>
          </cell>
          <cell r="CU378" t="str">
            <v/>
          </cell>
          <cell r="CV378">
            <v>0</v>
          </cell>
          <cell r="CW378">
            <v>0</v>
          </cell>
          <cell r="CX378">
            <v>12</v>
          </cell>
          <cell r="CY378">
            <v>12</v>
          </cell>
          <cell r="CZ378" t="str">
            <v/>
          </cell>
          <cell r="DA378">
            <v>0</v>
          </cell>
          <cell r="DB378">
            <v>0</v>
          </cell>
          <cell r="DC378">
            <v>12</v>
          </cell>
          <cell r="DD378">
            <v>12</v>
          </cell>
          <cell r="DE378" t="str">
            <v/>
          </cell>
          <cell r="DF378">
            <v>0</v>
          </cell>
          <cell r="DG378">
            <v>0</v>
          </cell>
          <cell r="DH378">
            <v>12</v>
          </cell>
          <cell r="DI378">
            <v>12</v>
          </cell>
          <cell r="DJ378" t="str">
            <v/>
          </cell>
          <cell r="DK378">
            <v>0</v>
          </cell>
          <cell r="DL378">
            <v>0</v>
          </cell>
          <cell r="DM378">
            <v>12</v>
          </cell>
          <cell r="DN378">
            <v>12</v>
          </cell>
          <cell r="DO378" t="str">
            <v/>
          </cell>
          <cell r="DP378">
            <v>0</v>
          </cell>
          <cell r="DQ378">
            <v>0</v>
          </cell>
          <cell r="DR378">
            <v>12</v>
          </cell>
          <cell r="DS378">
            <v>12</v>
          </cell>
          <cell r="DT378" t="str">
            <v/>
          </cell>
          <cell r="DU378">
            <v>0</v>
          </cell>
          <cell r="DV378">
            <v>0</v>
          </cell>
          <cell r="DW378">
            <v>12</v>
          </cell>
          <cell r="DX378">
            <v>12</v>
          </cell>
          <cell r="DY378" t="str">
            <v/>
          </cell>
          <cell r="DZ378">
            <v>0</v>
          </cell>
          <cell r="EA378">
            <v>0</v>
          </cell>
          <cell r="EB378">
            <v>12</v>
          </cell>
          <cell r="EC378">
            <v>12</v>
          </cell>
          <cell r="ED378" t="str">
            <v/>
          </cell>
          <cell r="EE378">
            <v>0</v>
          </cell>
          <cell r="EF378">
            <v>0</v>
          </cell>
          <cell r="EG378">
            <v>12</v>
          </cell>
          <cell r="EH378">
            <v>12</v>
          </cell>
          <cell r="EI378" t="str">
            <v/>
          </cell>
          <cell r="EJ378">
            <v>0</v>
          </cell>
          <cell r="EK378">
            <v>0</v>
          </cell>
          <cell r="EL378">
            <v>12</v>
          </cell>
          <cell r="EM378">
            <v>12</v>
          </cell>
          <cell r="EN378" t="str">
            <v/>
          </cell>
          <cell r="EO378">
            <v>0</v>
          </cell>
          <cell r="EP378">
            <v>0</v>
          </cell>
          <cell r="EQ378">
            <v>12</v>
          </cell>
          <cell r="ER378">
            <v>12</v>
          </cell>
          <cell r="ES378" t="str">
            <v/>
          </cell>
          <cell r="ET378">
            <v>0</v>
          </cell>
          <cell r="EU378">
            <v>0</v>
          </cell>
          <cell r="EV378">
            <v>12</v>
          </cell>
          <cell r="EW378">
            <v>12</v>
          </cell>
          <cell r="EX378" t="str">
            <v/>
          </cell>
          <cell r="EY378">
            <v>0</v>
          </cell>
          <cell r="EZ378">
            <v>0</v>
          </cell>
          <cell r="FA378">
            <v>12</v>
          </cell>
          <cell r="FB378">
            <v>12</v>
          </cell>
          <cell r="FC378" t="str">
            <v/>
          </cell>
          <cell r="FD378">
            <v>0</v>
          </cell>
          <cell r="FE378">
            <v>0</v>
          </cell>
          <cell r="FF378">
            <v>12</v>
          </cell>
          <cell r="FG378">
            <v>12</v>
          </cell>
          <cell r="FH378" t="str">
            <v/>
          </cell>
          <cell r="FI378">
            <v>0</v>
          </cell>
          <cell r="FJ378">
            <v>0</v>
          </cell>
          <cell r="FK378">
            <v>12</v>
          </cell>
          <cell r="FL378">
            <v>12</v>
          </cell>
          <cell r="FM378" t="str">
            <v/>
          </cell>
          <cell r="FN378">
            <v>0</v>
          </cell>
          <cell r="FO378">
            <v>0</v>
          </cell>
          <cell r="FP378">
            <v>12</v>
          </cell>
          <cell r="FQ378">
            <v>12</v>
          </cell>
          <cell r="FR378" t="str">
            <v/>
          </cell>
          <cell r="FS378">
            <v>0</v>
          </cell>
          <cell r="FT378">
            <v>0</v>
          </cell>
          <cell r="FU378">
            <v>2.0333333333333332</v>
          </cell>
          <cell r="FW378" t="str">
            <v>SIN ROTACIÓN</v>
          </cell>
          <cell r="FX378" t="str">
            <v>STOCK MUERTO</v>
          </cell>
          <cell r="FY378" t="str">
            <v>Si</v>
          </cell>
        </row>
        <row r="379">
          <cell r="B379" t="str">
            <v>REP-0396</v>
          </cell>
          <cell r="C379" t="str">
            <v>MIX</v>
          </cell>
          <cell r="D379">
            <v>0</v>
          </cell>
          <cell r="E379">
            <v>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5</v>
          </cell>
          <cell r="AA379">
            <v>5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5</v>
          </cell>
          <cell r="AQ379" t="str">
            <v/>
          </cell>
          <cell r="AR379">
            <v>0</v>
          </cell>
          <cell r="AS379">
            <v>5</v>
          </cell>
          <cell r="AT379">
            <v>5</v>
          </cell>
          <cell r="AU379" t="str">
            <v/>
          </cell>
          <cell r="AV379">
            <v>0</v>
          </cell>
          <cell r="AW379">
            <v>5</v>
          </cell>
          <cell r="AX379">
            <v>5</v>
          </cell>
          <cell r="AY379" t="str">
            <v/>
          </cell>
          <cell r="AZ379">
            <v>0</v>
          </cell>
          <cell r="BA379">
            <v>5</v>
          </cell>
          <cell r="BB379">
            <v>5</v>
          </cell>
          <cell r="BC379" t="str">
            <v/>
          </cell>
          <cell r="BD379">
            <v>0</v>
          </cell>
          <cell r="BE379">
            <v>5</v>
          </cell>
          <cell r="BF379" t="str">
            <v/>
          </cell>
          <cell r="BG379">
            <v>0</v>
          </cell>
          <cell r="BH379">
            <v>5</v>
          </cell>
          <cell r="BI379">
            <v>5</v>
          </cell>
          <cell r="BJ379" t="str">
            <v/>
          </cell>
          <cell r="BK379">
            <v>0</v>
          </cell>
          <cell r="BL379">
            <v>5</v>
          </cell>
          <cell r="BM379">
            <v>5</v>
          </cell>
          <cell r="BN379" t="str">
            <v/>
          </cell>
          <cell r="BO379">
            <v>0</v>
          </cell>
          <cell r="BP379">
            <v>5</v>
          </cell>
          <cell r="BQ379">
            <v>5</v>
          </cell>
          <cell r="BR379" t="str">
            <v/>
          </cell>
          <cell r="BS379">
            <v>0</v>
          </cell>
          <cell r="BT379">
            <v>5</v>
          </cell>
          <cell r="BU379">
            <v>5</v>
          </cell>
          <cell r="BV379" t="str">
            <v/>
          </cell>
          <cell r="BW379">
            <v>0</v>
          </cell>
          <cell r="BX379">
            <v>0</v>
          </cell>
          <cell r="BY379">
            <v>5</v>
          </cell>
          <cell r="BZ379">
            <v>5</v>
          </cell>
          <cell r="CA379" t="str">
            <v/>
          </cell>
          <cell r="CB379">
            <v>0</v>
          </cell>
          <cell r="CC379">
            <v>0</v>
          </cell>
          <cell r="CD379">
            <v>5</v>
          </cell>
          <cell r="CE379">
            <v>5</v>
          </cell>
          <cell r="CF379" t="str">
            <v/>
          </cell>
          <cell r="CG379">
            <v>0</v>
          </cell>
          <cell r="CH379">
            <v>0</v>
          </cell>
          <cell r="CI379">
            <v>5</v>
          </cell>
          <cell r="CJ379">
            <v>5</v>
          </cell>
          <cell r="CK379" t="str">
            <v/>
          </cell>
          <cell r="CL379">
            <v>0</v>
          </cell>
          <cell r="CM379">
            <v>0</v>
          </cell>
          <cell r="CN379">
            <v>5</v>
          </cell>
          <cell r="CO379">
            <v>5</v>
          </cell>
          <cell r="CP379" t="str">
            <v/>
          </cell>
          <cell r="CQ379">
            <v>0</v>
          </cell>
          <cell r="CR379">
            <v>0</v>
          </cell>
          <cell r="CS379">
            <v>5</v>
          </cell>
          <cell r="CT379">
            <v>5</v>
          </cell>
          <cell r="CU379" t="str">
            <v/>
          </cell>
          <cell r="CV379">
            <v>0</v>
          </cell>
          <cell r="CW379">
            <v>0</v>
          </cell>
          <cell r="CX379">
            <v>5</v>
          </cell>
          <cell r="CY379">
            <v>5</v>
          </cell>
          <cell r="CZ379" t="str">
            <v/>
          </cell>
          <cell r="DA379">
            <v>0</v>
          </cell>
          <cell r="DB379">
            <v>0</v>
          </cell>
          <cell r="DC379">
            <v>5</v>
          </cell>
          <cell r="DD379">
            <v>5</v>
          </cell>
          <cell r="DE379" t="str">
            <v/>
          </cell>
          <cell r="DF379">
            <v>0</v>
          </cell>
          <cell r="DG379">
            <v>0</v>
          </cell>
          <cell r="DH379">
            <v>5</v>
          </cell>
          <cell r="DI379">
            <v>5</v>
          </cell>
          <cell r="DJ379" t="str">
            <v/>
          </cell>
          <cell r="DK379">
            <v>0</v>
          </cell>
          <cell r="DL379">
            <v>0</v>
          </cell>
          <cell r="DM379">
            <v>5</v>
          </cell>
          <cell r="DN379">
            <v>5</v>
          </cell>
          <cell r="DO379" t="str">
            <v/>
          </cell>
          <cell r="DP379">
            <v>0</v>
          </cell>
          <cell r="DQ379">
            <v>0</v>
          </cell>
          <cell r="DR379">
            <v>5</v>
          </cell>
          <cell r="DS379">
            <v>5</v>
          </cell>
          <cell r="DT379" t="str">
            <v/>
          </cell>
          <cell r="DU379">
            <v>0</v>
          </cell>
          <cell r="DV379">
            <v>0</v>
          </cell>
          <cell r="DW379">
            <v>5</v>
          </cell>
          <cell r="DX379">
            <v>5</v>
          </cell>
          <cell r="DY379" t="str">
            <v/>
          </cell>
          <cell r="DZ379">
            <v>0</v>
          </cell>
          <cell r="EA379">
            <v>0</v>
          </cell>
          <cell r="EB379">
            <v>5</v>
          </cell>
          <cell r="EC379">
            <v>5</v>
          </cell>
          <cell r="ED379" t="str">
            <v/>
          </cell>
          <cell r="EE379">
            <v>0</v>
          </cell>
          <cell r="EF379">
            <v>0</v>
          </cell>
          <cell r="EG379">
            <v>5</v>
          </cell>
          <cell r="EH379">
            <v>5</v>
          </cell>
          <cell r="EI379" t="str">
            <v/>
          </cell>
          <cell r="EJ379">
            <v>0</v>
          </cell>
          <cell r="EK379">
            <v>0</v>
          </cell>
          <cell r="EL379">
            <v>5</v>
          </cell>
          <cell r="EM379">
            <v>5</v>
          </cell>
          <cell r="EN379" t="str">
            <v/>
          </cell>
          <cell r="EO379">
            <v>0</v>
          </cell>
          <cell r="EP379">
            <v>0</v>
          </cell>
          <cell r="EQ379">
            <v>5</v>
          </cell>
          <cell r="ER379">
            <v>5</v>
          </cell>
          <cell r="ES379" t="str">
            <v/>
          </cell>
          <cell r="ET379">
            <v>0</v>
          </cell>
          <cell r="EU379">
            <v>0</v>
          </cell>
          <cell r="EV379">
            <v>5</v>
          </cell>
          <cell r="EW379">
            <v>5</v>
          </cell>
          <cell r="EX379" t="str">
            <v/>
          </cell>
          <cell r="EY379">
            <v>0</v>
          </cell>
          <cell r="EZ379">
            <v>0</v>
          </cell>
          <cell r="FA379">
            <v>5</v>
          </cell>
          <cell r="FB379">
            <v>5</v>
          </cell>
          <cell r="FC379" t="str">
            <v/>
          </cell>
          <cell r="FD379">
            <v>0</v>
          </cell>
          <cell r="FE379">
            <v>0</v>
          </cell>
          <cell r="FF379">
            <v>5</v>
          </cell>
          <cell r="FG379">
            <v>5</v>
          </cell>
          <cell r="FH379" t="str">
            <v/>
          </cell>
          <cell r="FI379">
            <v>0</v>
          </cell>
          <cell r="FJ379">
            <v>0</v>
          </cell>
          <cell r="FK379">
            <v>5</v>
          </cell>
          <cell r="FL379">
            <v>5</v>
          </cell>
          <cell r="FM379" t="str">
            <v/>
          </cell>
          <cell r="FN379">
            <v>0</v>
          </cell>
          <cell r="FO379">
            <v>0</v>
          </cell>
          <cell r="FP379">
            <v>5</v>
          </cell>
          <cell r="FQ379">
            <v>5</v>
          </cell>
          <cell r="FR379" t="str">
            <v/>
          </cell>
          <cell r="FS379">
            <v>0</v>
          </cell>
          <cell r="FT379">
            <v>0</v>
          </cell>
          <cell r="FU379">
            <v>2.0333333333333332</v>
          </cell>
          <cell r="FW379" t="str">
            <v>SIN ROTACIÓN</v>
          </cell>
          <cell r="FX379" t="str">
            <v>STOCK MUERTO</v>
          </cell>
          <cell r="FY379" t="str">
            <v>Si</v>
          </cell>
        </row>
        <row r="380">
          <cell r="B380" t="str">
            <v>REP-0397</v>
          </cell>
          <cell r="C380" t="str">
            <v>MIX</v>
          </cell>
          <cell r="D380">
            <v>0</v>
          </cell>
          <cell r="E380">
            <v>5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6</v>
          </cell>
          <cell r="AA380">
            <v>6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8.3333333333333329E-2</v>
          </cell>
          <cell r="AI380">
            <v>0</v>
          </cell>
          <cell r="AJ380">
            <v>0</v>
          </cell>
          <cell r="AK380">
            <v>8.3333333333333329E-2</v>
          </cell>
          <cell r="AL380">
            <v>4.1666666666666664E-2</v>
          </cell>
          <cell r="AM380">
            <v>2.0833333333333332E-2</v>
          </cell>
          <cell r="AN380">
            <v>2</v>
          </cell>
          <cell r="AO380">
            <v>0</v>
          </cell>
          <cell r="AP380">
            <v>1.8333333333333333</v>
          </cell>
          <cell r="AQ380" t="str">
            <v/>
          </cell>
          <cell r="AR380">
            <v>0</v>
          </cell>
          <cell r="AS380">
            <v>2</v>
          </cell>
          <cell r="AT380">
            <v>2</v>
          </cell>
          <cell r="AU380" t="str">
            <v/>
          </cell>
          <cell r="AV380">
            <v>0</v>
          </cell>
          <cell r="AW380">
            <v>2</v>
          </cell>
          <cell r="AX380">
            <v>2</v>
          </cell>
          <cell r="AY380">
            <v>24</v>
          </cell>
          <cell r="AZ380">
            <v>0</v>
          </cell>
          <cell r="BA380">
            <v>2</v>
          </cell>
          <cell r="BB380">
            <v>2</v>
          </cell>
          <cell r="BC380" t="str">
            <v/>
          </cell>
          <cell r="BD380">
            <v>0</v>
          </cell>
          <cell r="BE380">
            <v>2</v>
          </cell>
          <cell r="BF380" t="str">
            <v/>
          </cell>
          <cell r="BG380">
            <v>0</v>
          </cell>
          <cell r="BH380">
            <v>2</v>
          </cell>
          <cell r="BI380">
            <v>6</v>
          </cell>
          <cell r="BJ380">
            <v>72</v>
          </cell>
          <cell r="BK380">
            <v>0</v>
          </cell>
          <cell r="BL380">
            <v>2</v>
          </cell>
          <cell r="BM380">
            <v>2</v>
          </cell>
          <cell r="BN380" t="str">
            <v/>
          </cell>
          <cell r="BO380">
            <v>0</v>
          </cell>
          <cell r="BP380">
            <v>2</v>
          </cell>
          <cell r="BQ380">
            <v>1</v>
          </cell>
          <cell r="BR380">
            <v>12</v>
          </cell>
          <cell r="BS380">
            <v>0</v>
          </cell>
          <cell r="BT380">
            <v>0.83333333333333337</v>
          </cell>
          <cell r="BU380">
            <v>1</v>
          </cell>
          <cell r="BV380">
            <v>6</v>
          </cell>
          <cell r="BW380">
            <v>1</v>
          </cell>
          <cell r="BX380">
            <v>0</v>
          </cell>
          <cell r="BY380">
            <v>0.83333333333333337</v>
          </cell>
          <cell r="BZ380">
            <v>1</v>
          </cell>
          <cell r="CA380">
            <v>6</v>
          </cell>
          <cell r="CB380">
            <v>1</v>
          </cell>
          <cell r="CC380">
            <v>0</v>
          </cell>
          <cell r="CD380">
            <v>0.83333333333333337</v>
          </cell>
          <cell r="CE380">
            <v>1</v>
          </cell>
          <cell r="CF380">
            <v>6</v>
          </cell>
          <cell r="CG380">
            <v>1</v>
          </cell>
          <cell r="CH380">
            <v>0</v>
          </cell>
          <cell r="CI380">
            <v>1.6666666666666667</v>
          </cell>
          <cell r="CJ380">
            <v>1</v>
          </cell>
          <cell r="CK380">
            <v>6</v>
          </cell>
          <cell r="CL380">
            <v>1</v>
          </cell>
          <cell r="CM380">
            <v>5</v>
          </cell>
          <cell r="CN380">
            <v>5.833333333333333</v>
          </cell>
          <cell r="CO380">
            <v>6</v>
          </cell>
          <cell r="CP380">
            <v>36</v>
          </cell>
          <cell r="CQ380">
            <v>0</v>
          </cell>
          <cell r="CR380">
            <v>0</v>
          </cell>
          <cell r="CS380">
            <v>5.833333333333333</v>
          </cell>
          <cell r="CT380">
            <v>6</v>
          </cell>
          <cell r="CU380">
            <v>72</v>
          </cell>
          <cell r="CV380">
            <v>0</v>
          </cell>
          <cell r="CW380">
            <v>0</v>
          </cell>
          <cell r="CX380">
            <v>5.916666666666667</v>
          </cell>
          <cell r="CY380">
            <v>6</v>
          </cell>
          <cell r="CZ380">
            <v>72</v>
          </cell>
          <cell r="DA380">
            <v>0</v>
          </cell>
          <cell r="DB380">
            <v>0</v>
          </cell>
          <cell r="DC380">
            <v>5.916666666666667</v>
          </cell>
          <cell r="DD380">
            <v>6</v>
          </cell>
          <cell r="DE380">
            <v>60</v>
          </cell>
          <cell r="DF380">
            <v>0</v>
          </cell>
          <cell r="DG380">
            <v>0</v>
          </cell>
          <cell r="DH380">
            <v>5.916666666666667</v>
          </cell>
          <cell r="DI380">
            <v>6</v>
          </cell>
          <cell r="DJ380">
            <v>62</v>
          </cell>
          <cell r="DK380">
            <v>0</v>
          </cell>
          <cell r="DL380">
            <v>0</v>
          </cell>
          <cell r="DM380">
            <v>5.8333333333333339</v>
          </cell>
          <cell r="DN380">
            <v>6</v>
          </cell>
          <cell r="DO380">
            <v>62</v>
          </cell>
          <cell r="DP380">
            <v>0</v>
          </cell>
          <cell r="DQ380">
            <v>0</v>
          </cell>
          <cell r="DR380">
            <v>5.916666666666667</v>
          </cell>
          <cell r="DS380">
            <v>5.916666666666667</v>
          </cell>
          <cell r="DT380">
            <v>61.000000000000007</v>
          </cell>
          <cell r="DU380">
            <v>0</v>
          </cell>
          <cell r="DV380">
            <v>0</v>
          </cell>
          <cell r="DW380">
            <v>5.8333333333333339</v>
          </cell>
          <cell r="DX380">
            <v>5.8333333333333339</v>
          </cell>
          <cell r="DY380">
            <v>60.000000000000007</v>
          </cell>
          <cell r="DZ380">
            <v>0</v>
          </cell>
          <cell r="EA380">
            <v>0</v>
          </cell>
          <cell r="EB380">
            <v>5.7500000000000009</v>
          </cell>
          <cell r="EC380">
            <v>5.7500000000000009</v>
          </cell>
          <cell r="ED380">
            <v>59.000000000000014</v>
          </cell>
          <cell r="EE380">
            <v>0</v>
          </cell>
          <cell r="EF380">
            <v>0</v>
          </cell>
          <cell r="EG380">
            <v>5.6666666666666679</v>
          </cell>
          <cell r="EH380">
            <v>5.6666666666666679</v>
          </cell>
          <cell r="EI380">
            <v>58.000000000000014</v>
          </cell>
          <cell r="EJ380">
            <v>0</v>
          </cell>
          <cell r="EK380">
            <v>0</v>
          </cell>
          <cell r="EL380">
            <v>5.5833333333333348</v>
          </cell>
          <cell r="EM380">
            <v>5.5833333333333348</v>
          </cell>
          <cell r="EN380">
            <v>57.000000000000021</v>
          </cell>
          <cell r="EO380">
            <v>0</v>
          </cell>
          <cell r="EP380">
            <v>0</v>
          </cell>
          <cell r="EQ380">
            <v>5.5000000000000018</v>
          </cell>
          <cell r="ER380">
            <v>5.5000000000000018</v>
          </cell>
          <cell r="ES380">
            <v>56.000000000000021</v>
          </cell>
          <cell r="ET380">
            <v>0</v>
          </cell>
          <cell r="EU380">
            <v>0</v>
          </cell>
          <cell r="EV380">
            <v>5.4166666666666687</v>
          </cell>
          <cell r="EW380">
            <v>5.4166666666666687</v>
          </cell>
          <cell r="EX380">
            <v>55.000000000000028</v>
          </cell>
          <cell r="EY380">
            <v>0</v>
          </cell>
          <cell r="EZ380">
            <v>0</v>
          </cell>
          <cell r="FA380">
            <v>5.3333333333333357</v>
          </cell>
          <cell r="FB380">
            <v>5.3333333333333357</v>
          </cell>
          <cell r="FC380">
            <v>54.000000000000028</v>
          </cell>
          <cell r="FD380">
            <v>0</v>
          </cell>
          <cell r="FE380">
            <v>0</v>
          </cell>
          <cell r="FF380">
            <v>5.2500000000000027</v>
          </cell>
          <cell r="FG380">
            <v>5.2500000000000027</v>
          </cell>
          <cell r="FH380">
            <v>53.000000000000036</v>
          </cell>
          <cell r="FI380">
            <v>0</v>
          </cell>
          <cell r="FJ380">
            <v>0</v>
          </cell>
          <cell r="FK380">
            <v>5.1666666666666696</v>
          </cell>
          <cell r="FL380">
            <v>5.1666666666666696</v>
          </cell>
          <cell r="FM380">
            <v>52.000000000000036</v>
          </cell>
          <cell r="FN380">
            <v>0</v>
          </cell>
          <cell r="FO380">
            <v>0</v>
          </cell>
          <cell r="FP380">
            <v>5.0833333333333366</v>
          </cell>
          <cell r="FQ380">
            <v>5.0833333333333366</v>
          </cell>
          <cell r="FR380">
            <v>51.000000000000043</v>
          </cell>
          <cell r="FS380">
            <v>0</v>
          </cell>
          <cell r="FT380">
            <v>1</v>
          </cell>
          <cell r="FU380">
            <v>2.0333333333333332</v>
          </cell>
          <cell r="FW380" t="str">
            <v>SIN ROTACIÓN</v>
          </cell>
          <cell r="FX380" t="str">
            <v>STOCK MUERTO</v>
          </cell>
          <cell r="FY380" t="str">
            <v>Si</v>
          </cell>
        </row>
        <row r="381">
          <cell r="B381" t="str">
            <v>REP-0398</v>
          </cell>
          <cell r="C381" t="str">
            <v>MIX</v>
          </cell>
          <cell r="D381">
            <v>0</v>
          </cell>
          <cell r="E381">
            <v>2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2</v>
          </cell>
          <cell r="AA381">
            <v>2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2</v>
          </cell>
          <cell r="AQ381" t="str">
            <v/>
          </cell>
          <cell r="AR381">
            <v>0</v>
          </cell>
          <cell r="AS381">
            <v>2</v>
          </cell>
          <cell r="AT381">
            <v>2</v>
          </cell>
          <cell r="AU381" t="str">
            <v/>
          </cell>
          <cell r="AV381">
            <v>0</v>
          </cell>
          <cell r="AW381">
            <v>2</v>
          </cell>
          <cell r="AX381">
            <v>2</v>
          </cell>
          <cell r="AY381" t="str">
            <v/>
          </cell>
          <cell r="AZ381">
            <v>0</v>
          </cell>
          <cell r="BA381">
            <v>2</v>
          </cell>
          <cell r="BB381">
            <v>2</v>
          </cell>
          <cell r="BC381" t="str">
            <v/>
          </cell>
          <cell r="BD381">
            <v>0</v>
          </cell>
          <cell r="BE381">
            <v>2</v>
          </cell>
          <cell r="BF381" t="str">
            <v/>
          </cell>
          <cell r="BG381">
            <v>0</v>
          </cell>
          <cell r="BH381">
            <v>2</v>
          </cell>
          <cell r="BI381">
            <v>2</v>
          </cell>
          <cell r="BJ381" t="str">
            <v/>
          </cell>
          <cell r="BK381">
            <v>0</v>
          </cell>
          <cell r="BL381">
            <v>2</v>
          </cell>
          <cell r="BM381">
            <v>2</v>
          </cell>
          <cell r="BN381" t="str">
            <v/>
          </cell>
          <cell r="BO381">
            <v>0</v>
          </cell>
          <cell r="BP381">
            <v>2</v>
          </cell>
          <cell r="BQ381">
            <v>2</v>
          </cell>
          <cell r="BR381" t="str">
            <v/>
          </cell>
          <cell r="BS381">
            <v>0</v>
          </cell>
          <cell r="BT381">
            <v>2</v>
          </cell>
          <cell r="BU381">
            <v>2</v>
          </cell>
          <cell r="BV381" t="str">
            <v/>
          </cell>
          <cell r="BW381">
            <v>0</v>
          </cell>
          <cell r="BX381">
            <v>0</v>
          </cell>
          <cell r="BY381">
            <v>2</v>
          </cell>
          <cell r="BZ381">
            <v>2</v>
          </cell>
          <cell r="CA381" t="str">
            <v/>
          </cell>
          <cell r="CB381">
            <v>0</v>
          </cell>
          <cell r="CC381">
            <v>0</v>
          </cell>
          <cell r="CD381">
            <v>2</v>
          </cell>
          <cell r="CE381">
            <v>2</v>
          </cell>
          <cell r="CF381" t="str">
            <v/>
          </cell>
          <cell r="CG381">
            <v>0</v>
          </cell>
          <cell r="CH381">
            <v>0</v>
          </cell>
          <cell r="CI381">
            <v>2</v>
          </cell>
          <cell r="CJ381">
            <v>2</v>
          </cell>
          <cell r="CK381" t="str">
            <v/>
          </cell>
          <cell r="CL381">
            <v>0</v>
          </cell>
          <cell r="CM381">
            <v>0</v>
          </cell>
          <cell r="CN381">
            <v>2</v>
          </cell>
          <cell r="CO381">
            <v>2</v>
          </cell>
          <cell r="CP381" t="str">
            <v/>
          </cell>
          <cell r="CQ381">
            <v>0</v>
          </cell>
          <cell r="CR381">
            <v>0</v>
          </cell>
          <cell r="CS381">
            <v>2</v>
          </cell>
          <cell r="CT381">
            <v>2</v>
          </cell>
          <cell r="CU381" t="str">
            <v/>
          </cell>
          <cell r="CV381">
            <v>0</v>
          </cell>
          <cell r="CW381">
            <v>0</v>
          </cell>
          <cell r="CX381">
            <v>2</v>
          </cell>
          <cell r="CY381">
            <v>2</v>
          </cell>
          <cell r="CZ381" t="str">
            <v/>
          </cell>
          <cell r="DA381">
            <v>0</v>
          </cell>
          <cell r="DB381">
            <v>0</v>
          </cell>
          <cell r="DC381">
            <v>2</v>
          </cell>
          <cell r="DD381">
            <v>2</v>
          </cell>
          <cell r="DE381" t="str">
            <v/>
          </cell>
          <cell r="DF381">
            <v>0</v>
          </cell>
          <cell r="DG381">
            <v>0</v>
          </cell>
          <cell r="DH381">
            <v>2</v>
          </cell>
          <cell r="DI381">
            <v>2</v>
          </cell>
          <cell r="DJ381" t="str">
            <v/>
          </cell>
          <cell r="DK381">
            <v>0</v>
          </cell>
          <cell r="DL381">
            <v>0</v>
          </cell>
          <cell r="DM381">
            <v>2</v>
          </cell>
          <cell r="DN381">
            <v>2</v>
          </cell>
          <cell r="DO381" t="str">
            <v/>
          </cell>
          <cell r="DP381">
            <v>0</v>
          </cell>
          <cell r="DQ381">
            <v>0</v>
          </cell>
          <cell r="DR381">
            <v>2</v>
          </cell>
          <cell r="DS381">
            <v>2</v>
          </cell>
          <cell r="DT381" t="str">
            <v/>
          </cell>
          <cell r="DU381">
            <v>0</v>
          </cell>
          <cell r="DV381">
            <v>0</v>
          </cell>
          <cell r="DW381">
            <v>2</v>
          </cell>
          <cell r="DX381">
            <v>2</v>
          </cell>
          <cell r="DY381" t="str">
            <v/>
          </cell>
          <cell r="DZ381">
            <v>0</v>
          </cell>
          <cell r="EA381">
            <v>0</v>
          </cell>
          <cell r="EB381">
            <v>2</v>
          </cell>
          <cell r="EC381">
            <v>2</v>
          </cell>
          <cell r="ED381" t="str">
            <v/>
          </cell>
          <cell r="EE381">
            <v>0</v>
          </cell>
          <cell r="EF381">
            <v>0</v>
          </cell>
          <cell r="EG381">
            <v>2</v>
          </cell>
          <cell r="EH381">
            <v>2</v>
          </cell>
          <cell r="EI381" t="str">
            <v/>
          </cell>
          <cell r="EJ381">
            <v>0</v>
          </cell>
          <cell r="EK381">
            <v>0</v>
          </cell>
          <cell r="EL381">
            <v>2</v>
          </cell>
          <cell r="EM381">
            <v>2</v>
          </cell>
          <cell r="EN381" t="str">
            <v/>
          </cell>
          <cell r="EO381">
            <v>0</v>
          </cell>
          <cell r="EP381">
            <v>0</v>
          </cell>
          <cell r="EQ381">
            <v>2</v>
          </cell>
          <cell r="ER381">
            <v>2</v>
          </cell>
          <cell r="ES381" t="str">
            <v/>
          </cell>
          <cell r="ET381">
            <v>0</v>
          </cell>
          <cell r="EU381">
            <v>0</v>
          </cell>
          <cell r="EV381">
            <v>2</v>
          </cell>
          <cell r="EW381">
            <v>2</v>
          </cell>
          <cell r="EX381" t="str">
            <v/>
          </cell>
          <cell r="EY381">
            <v>0</v>
          </cell>
          <cell r="EZ381">
            <v>0</v>
          </cell>
          <cell r="FA381">
            <v>2</v>
          </cell>
          <cell r="FB381">
            <v>2</v>
          </cell>
          <cell r="FC381" t="str">
            <v/>
          </cell>
          <cell r="FD381">
            <v>0</v>
          </cell>
          <cell r="FE381">
            <v>0</v>
          </cell>
          <cell r="FF381">
            <v>2</v>
          </cell>
          <cell r="FG381">
            <v>2</v>
          </cell>
          <cell r="FH381" t="str">
            <v/>
          </cell>
          <cell r="FI381">
            <v>0</v>
          </cell>
          <cell r="FJ381">
            <v>0</v>
          </cell>
          <cell r="FK381">
            <v>2</v>
          </cell>
          <cell r="FL381">
            <v>2</v>
          </cell>
          <cell r="FM381" t="str">
            <v/>
          </cell>
          <cell r="FN381">
            <v>0</v>
          </cell>
          <cell r="FO381">
            <v>0</v>
          </cell>
          <cell r="FP381">
            <v>2</v>
          </cell>
          <cell r="FQ381">
            <v>2</v>
          </cell>
          <cell r="FR381" t="str">
            <v/>
          </cell>
          <cell r="FS381">
            <v>0</v>
          </cell>
          <cell r="FT381">
            <v>0</v>
          </cell>
          <cell r="FU381">
            <v>2.0333333333333332</v>
          </cell>
          <cell r="FW381" t="str">
            <v>SIN ROTACIÓN</v>
          </cell>
          <cell r="FX381" t="str">
            <v>STOCK MUERTO</v>
          </cell>
          <cell r="FY381" t="str">
            <v>Si</v>
          </cell>
        </row>
        <row r="382">
          <cell r="B382" t="str">
            <v>REP-0399</v>
          </cell>
          <cell r="C382" t="str">
            <v>MIX</v>
          </cell>
          <cell r="D382">
            <v>0</v>
          </cell>
          <cell r="E382">
            <v>14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14</v>
          </cell>
          <cell r="AA382">
            <v>14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8.3333333333333329E-2</v>
          </cell>
          <cell r="AH382">
            <v>0</v>
          </cell>
          <cell r="AI382">
            <v>0</v>
          </cell>
          <cell r="AJ382">
            <v>0</v>
          </cell>
          <cell r="AK382">
            <v>8.3333333333333329E-2</v>
          </cell>
          <cell r="AL382">
            <v>4.1666666666666664E-2</v>
          </cell>
          <cell r="AM382">
            <v>2.0833333333333332E-2</v>
          </cell>
          <cell r="AN382">
            <v>2</v>
          </cell>
          <cell r="AO382">
            <v>0</v>
          </cell>
          <cell r="AP382">
            <v>14.916666666666666</v>
          </cell>
          <cell r="AQ382">
            <v>179</v>
          </cell>
          <cell r="AR382">
            <v>0</v>
          </cell>
          <cell r="AS382">
            <v>15</v>
          </cell>
          <cell r="AT382">
            <v>15</v>
          </cell>
          <cell r="AU382">
            <v>180</v>
          </cell>
          <cell r="AV382">
            <v>0</v>
          </cell>
          <cell r="AW382">
            <v>14.916666666666666</v>
          </cell>
          <cell r="AX382">
            <v>15</v>
          </cell>
          <cell r="AY382">
            <v>180</v>
          </cell>
          <cell r="AZ382">
            <v>0</v>
          </cell>
          <cell r="BA382">
            <v>14.916666666666666</v>
          </cell>
          <cell r="BB382">
            <v>15</v>
          </cell>
          <cell r="BC382">
            <v>180</v>
          </cell>
          <cell r="BD382">
            <v>0</v>
          </cell>
          <cell r="BE382">
            <v>14.916666666666666</v>
          </cell>
          <cell r="BF382">
            <v>179</v>
          </cell>
          <cell r="BG382">
            <v>0</v>
          </cell>
          <cell r="BH382">
            <v>14.833333333333332</v>
          </cell>
          <cell r="BI382">
            <v>14</v>
          </cell>
          <cell r="BJ382">
            <v>168</v>
          </cell>
          <cell r="BK382">
            <v>0</v>
          </cell>
          <cell r="BL382">
            <v>14.916666666666666</v>
          </cell>
          <cell r="BM382">
            <v>15</v>
          </cell>
          <cell r="BN382">
            <v>180</v>
          </cell>
          <cell r="BO382">
            <v>0</v>
          </cell>
          <cell r="BP382">
            <v>14.916666666666666</v>
          </cell>
          <cell r="BQ382">
            <v>15</v>
          </cell>
          <cell r="BR382">
            <v>180</v>
          </cell>
          <cell r="BS382">
            <v>0</v>
          </cell>
          <cell r="BT382">
            <v>14.916666666666666</v>
          </cell>
          <cell r="BU382">
            <v>15</v>
          </cell>
          <cell r="BV382">
            <v>180</v>
          </cell>
          <cell r="BW382">
            <v>0</v>
          </cell>
          <cell r="BX382">
            <v>0</v>
          </cell>
          <cell r="BY382">
            <v>14.916666666666666</v>
          </cell>
          <cell r="BZ382">
            <v>15</v>
          </cell>
          <cell r="CA382">
            <v>180</v>
          </cell>
          <cell r="CB382">
            <v>0</v>
          </cell>
          <cell r="CC382">
            <v>0</v>
          </cell>
          <cell r="CD382">
            <v>14.916666666666666</v>
          </cell>
          <cell r="CE382">
            <v>15</v>
          </cell>
          <cell r="CF382">
            <v>180</v>
          </cell>
          <cell r="CG382">
            <v>0</v>
          </cell>
          <cell r="CH382">
            <v>0</v>
          </cell>
          <cell r="CI382">
            <v>14.833333333333332</v>
          </cell>
          <cell r="CJ382">
            <v>15</v>
          </cell>
          <cell r="CK382">
            <v>180</v>
          </cell>
          <cell r="CL382">
            <v>0</v>
          </cell>
          <cell r="CM382">
            <v>0</v>
          </cell>
          <cell r="CN382">
            <v>14.916666666666666</v>
          </cell>
          <cell r="CO382">
            <v>15</v>
          </cell>
          <cell r="CP382">
            <v>180</v>
          </cell>
          <cell r="CQ382">
            <v>0</v>
          </cell>
          <cell r="CR382">
            <v>0</v>
          </cell>
          <cell r="CS382">
            <v>14.916666666666666</v>
          </cell>
          <cell r="CT382">
            <v>15</v>
          </cell>
          <cell r="CU382">
            <v>180</v>
          </cell>
          <cell r="CV382">
            <v>0</v>
          </cell>
          <cell r="CW382">
            <v>0</v>
          </cell>
          <cell r="CX382">
            <v>14.916666666666666</v>
          </cell>
          <cell r="CY382">
            <v>15</v>
          </cell>
          <cell r="CZ382">
            <v>180</v>
          </cell>
          <cell r="DA382">
            <v>0</v>
          </cell>
          <cell r="DB382">
            <v>0</v>
          </cell>
          <cell r="DC382">
            <v>14.916666666666666</v>
          </cell>
          <cell r="DD382">
            <v>14</v>
          </cell>
          <cell r="DE382">
            <v>156</v>
          </cell>
          <cell r="DF382">
            <v>0</v>
          </cell>
          <cell r="DG382">
            <v>0</v>
          </cell>
          <cell r="DH382">
            <v>13.916666666666666</v>
          </cell>
          <cell r="DI382">
            <v>14</v>
          </cell>
          <cell r="DJ382">
            <v>158</v>
          </cell>
          <cell r="DK382">
            <v>0</v>
          </cell>
          <cell r="DL382">
            <v>0</v>
          </cell>
          <cell r="DM382">
            <v>13.833333333333332</v>
          </cell>
          <cell r="DN382">
            <v>14</v>
          </cell>
          <cell r="DO382">
            <v>158</v>
          </cell>
          <cell r="DP382">
            <v>0</v>
          </cell>
          <cell r="DQ382">
            <v>0</v>
          </cell>
          <cell r="DR382">
            <v>13.916666666666666</v>
          </cell>
          <cell r="DS382">
            <v>13.916666666666666</v>
          </cell>
          <cell r="DT382">
            <v>157</v>
          </cell>
          <cell r="DU382">
            <v>0</v>
          </cell>
          <cell r="DV382">
            <v>0</v>
          </cell>
          <cell r="DW382">
            <v>13.833333333333332</v>
          </cell>
          <cell r="DX382">
            <v>13.833333333333332</v>
          </cell>
          <cell r="DY382">
            <v>156</v>
          </cell>
          <cell r="DZ382">
            <v>0</v>
          </cell>
          <cell r="EA382">
            <v>0</v>
          </cell>
          <cell r="EB382">
            <v>13.749999999999998</v>
          </cell>
          <cell r="EC382">
            <v>13.749999999999998</v>
          </cell>
          <cell r="ED382">
            <v>155</v>
          </cell>
          <cell r="EE382">
            <v>0</v>
          </cell>
          <cell r="EF382">
            <v>0</v>
          </cell>
          <cell r="EG382">
            <v>13.666666666666664</v>
          </cell>
          <cell r="EH382">
            <v>13.666666666666664</v>
          </cell>
          <cell r="EI382">
            <v>153.99999999999997</v>
          </cell>
          <cell r="EJ382">
            <v>0</v>
          </cell>
          <cell r="EK382">
            <v>0</v>
          </cell>
          <cell r="EL382">
            <v>13.58333333333333</v>
          </cell>
          <cell r="EM382">
            <v>13.58333333333333</v>
          </cell>
          <cell r="EN382">
            <v>152.99999999999997</v>
          </cell>
          <cell r="EO382">
            <v>0</v>
          </cell>
          <cell r="EP382">
            <v>0</v>
          </cell>
          <cell r="EQ382">
            <v>13.499999999999996</v>
          </cell>
          <cell r="ER382">
            <v>13.499999999999996</v>
          </cell>
          <cell r="ES382">
            <v>151.99999999999997</v>
          </cell>
          <cell r="ET382">
            <v>0</v>
          </cell>
          <cell r="EU382">
            <v>0</v>
          </cell>
          <cell r="EV382">
            <v>13.416666666666663</v>
          </cell>
          <cell r="EW382">
            <v>13.416666666666663</v>
          </cell>
          <cell r="EX382">
            <v>150.99999999999997</v>
          </cell>
          <cell r="EY382">
            <v>0</v>
          </cell>
          <cell r="EZ382">
            <v>0</v>
          </cell>
          <cell r="FA382">
            <v>13.333333333333329</v>
          </cell>
          <cell r="FB382">
            <v>13.333333333333329</v>
          </cell>
          <cell r="FC382">
            <v>149.99999999999994</v>
          </cell>
          <cell r="FD382">
            <v>0</v>
          </cell>
          <cell r="FE382">
            <v>0</v>
          </cell>
          <cell r="FF382">
            <v>13.249999999999995</v>
          </cell>
          <cell r="FG382">
            <v>13.249999999999995</v>
          </cell>
          <cell r="FH382">
            <v>148.99999999999994</v>
          </cell>
          <cell r="FI382">
            <v>0</v>
          </cell>
          <cell r="FJ382">
            <v>0</v>
          </cell>
          <cell r="FK382">
            <v>13.166666666666661</v>
          </cell>
          <cell r="FL382">
            <v>13.166666666666661</v>
          </cell>
          <cell r="FM382">
            <v>147.99999999999994</v>
          </cell>
          <cell r="FN382">
            <v>0</v>
          </cell>
          <cell r="FO382">
            <v>0</v>
          </cell>
          <cell r="FP382">
            <v>13.083333333333327</v>
          </cell>
          <cell r="FQ382">
            <v>13.083333333333327</v>
          </cell>
          <cell r="FR382">
            <v>146.99999999999994</v>
          </cell>
          <cell r="FS382">
            <v>0</v>
          </cell>
          <cell r="FT382">
            <v>1</v>
          </cell>
          <cell r="FU382">
            <v>2.0333333333333332</v>
          </cell>
          <cell r="FW382" t="str">
            <v>SIN ROTACIÓN</v>
          </cell>
          <cell r="FX382" t="str">
            <v>C</v>
          </cell>
          <cell r="FY382" t="str">
            <v>Si</v>
          </cell>
        </row>
        <row r="383">
          <cell r="B383" t="str">
            <v>REP-0400</v>
          </cell>
          <cell r="C383" t="str">
            <v>MIX</v>
          </cell>
          <cell r="D383">
            <v>0</v>
          </cell>
          <cell r="E383">
            <v>6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6</v>
          </cell>
          <cell r="AA383">
            <v>6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8.3333333333333329E-2</v>
          </cell>
          <cell r="AI383">
            <v>0</v>
          </cell>
          <cell r="AJ383">
            <v>0</v>
          </cell>
          <cell r="AK383">
            <v>8.3333333333333329E-2</v>
          </cell>
          <cell r="AL383">
            <v>4.1666666666666664E-2</v>
          </cell>
          <cell r="AM383">
            <v>2.0833333333333332E-2</v>
          </cell>
          <cell r="AN383">
            <v>2</v>
          </cell>
          <cell r="AO383">
            <v>0</v>
          </cell>
          <cell r="AP383">
            <v>1.8888888888888888</v>
          </cell>
          <cell r="AQ383" t="str">
            <v/>
          </cell>
          <cell r="AR383">
            <v>0</v>
          </cell>
          <cell r="AS383">
            <v>2</v>
          </cell>
          <cell r="AT383">
            <v>2</v>
          </cell>
          <cell r="AU383" t="str">
            <v/>
          </cell>
          <cell r="AV383">
            <v>0</v>
          </cell>
          <cell r="AW383">
            <v>2</v>
          </cell>
          <cell r="AX383">
            <v>1</v>
          </cell>
          <cell r="AY383">
            <v>12</v>
          </cell>
          <cell r="AZ383">
            <v>0</v>
          </cell>
          <cell r="BA383">
            <v>2.6666666666666665</v>
          </cell>
          <cell r="BB383">
            <v>1</v>
          </cell>
          <cell r="BC383">
            <v>3</v>
          </cell>
          <cell r="BD383">
            <v>0</v>
          </cell>
          <cell r="BE383">
            <v>0.66666666666666674</v>
          </cell>
          <cell r="BF383">
            <v>2.0000000000000004</v>
          </cell>
          <cell r="BG383">
            <v>2</v>
          </cell>
          <cell r="BH383">
            <v>2.3333333333333335</v>
          </cell>
          <cell r="BI383">
            <v>6</v>
          </cell>
          <cell r="BJ383">
            <v>72</v>
          </cell>
          <cell r="BK383">
            <v>0</v>
          </cell>
          <cell r="BL383">
            <v>5.833333333333333</v>
          </cell>
          <cell r="BM383">
            <v>6</v>
          </cell>
          <cell r="BN383">
            <v>36</v>
          </cell>
          <cell r="BO383">
            <v>0</v>
          </cell>
          <cell r="BP383">
            <v>5.833333333333333</v>
          </cell>
          <cell r="BQ383">
            <v>6</v>
          </cell>
          <cell r="BR383">
            <v>72</v>
          </cell>
          <cell r="BS383">
            <v>0</v>
          </cell>
          <cell r="BT383">
            <v>5.833333333333333</v>
          </cell>
          <cell r="BU383">
            <v>6</v>
          </cell>
          <cell r="BV383">
            <v>54</v>
          </cell>
          <cell r="BW383">
            <v>0</v>
          </cell>
          <cell r="BX383">
            <v>0</v>
          </cell>
          <cell r="BY383">
            <v>5.8888888888888893</v>
          </cell>
          <cell r="BZ383">
            <v>6</v>
          </cell>
          <cell r="CA383">
            <v>60</v>
          </cell>
          <cell r="CB383">
            <v>0</v>
          </cell>
          <cell r="CC383">
            <v>0</v>
          </cell>
          <cell r="CD383">
            <v>5.9</v>
          </cell>
          <cell r="CE383">
            <v>6</v>
          </cell>
          <cell r="CF383">
            <v>66</v>
          </cell>
          <cell r="CG383">
            <v>0</v>
          </cell>
          <cell r="CH383">
            <v>0</v>
          </cell>
          <cell r="CI383">
            <v>5.8090909090909095</v>
          </cell>
          <cell r="CJ383">
            <v>6</v>
          </cell>
          <cell r="CK383">
            <v>72</v>
          </cell>
          <cell r="CL383">
            <v>0</v>
          </cell>
          <cell r="CM383">
            <v>0</v>
          </cell>
          <cell r="CN383">
            <v>5.916666666666667</v>
          </cell>
          <cell r="CO383">
            <v>6</v>
          </cell>
          <cell r="CP383">
            <v>72</v>
          </cell>
          <cell r="CQ383">
            <v>0</v>
          </cell>
          <cell r="CR383">
            <v>0</v>
          </cell>
          <cell r="CS383">
            <v>5.916666666666667</v>
          </cell>
          <cell r="CT383">
            <v>6</v>
          </cell>
          <cell r="CU383">
            <v>72</v>
          </cell>
          <cell r="CV383">
            <v>0</v>
          </cell>
          <cell r="CW383">
            <v>0</v>
          </cell>
          <cell r="CX383">
            <v>5.916666666666667</v>
          </cell>
          <cell r="CY383">
            <v>6</v>
          </cell>
          <cell r="CZ383">
            <v>72</v>
          </cell>
          <cell r="DA383">
            <v>0</v>
          </cell>
          <cell r="DB383">
            <v>0</v>
          </cell>
          <cell r="DC383">
            <v>5.916666666666667</v>
          </cell>
          <cell r="DD383">
            <v>6</v>
          </cell>
          <cell r="DE383">
            <v>60</v>
          </cell>
          <cell r="DF383">
            <v>0</v>
          </cell>
          <cell r="DG383">
            <v>0</v>
          </cell>
          <cell r="DH383">
            <v>5.916666666666667</v>
          </cell>
          <cell r="DI383">
            <v>6</v>
          </cell>
          <cell r="DJ383">
            <v>62</v>
          </cell>
          <cell r="DK383">
            <v>0</v>
          </cell>
          <cell r="DL383">
            <v>0</v>
          </cell>
          <cell r="DM383">
            <v>5.8333333333333339</v>
          </cell>
          <cell r="DN383">
            <v>6</v>
          </cell>
          <cell r="DO383">
            <v>62</v>
          </cell>
          <cell r="DP383">
            <v>0</v>
          </cell>
          <cell r="DQ383">
            <v>0</v>
          </cell>
          <cell r="DR383">
            <v>5.916666666666667</v>
          </cell>
          <cell r="DS383">
            <v>5.916666666666667</v>
          </cell>
          <cell r="DT383">
            <v>61.000000000000007</v>
          </cell>
          <cell r="DU383">
            <v>0</v>
          </cell>
          <cell r="DV383">
            <v>0</v>
          </cell>
          <cell r="DW383">
            <v>5.8333333333333339</v>
          </cell>
          <cell r="DX383">
            <v>5.8333333333333339</v>
          </cell>
          <cell r="DY383">
            <v>60.000000000000007</v>
          </cell>
          <cell r="DZ383">
            <v>0</v>
          </cell>
          <cell r="EA383">
            <v>0</v>
          </cell>
          <cell r="EB383">
            <v>5.7500000000000009</v>
          </cell>
          <cell r="EC383">
            <v>5.7500000000000009</v>
          </cell>
          <cell r="ED383">
            <v>59.000000000000014</v>
          </cell>
          <cell r="EE383">
            <v>0</v>
          </cell>
          <cell r="EF383">
            <v>0</v>
          </cell>
          <cell r="EG383">
            <v>5.6666666666666679</v>
          </cell>
          <cell r="EH383">
            <v>5.6666666666666679</v>
          </cell>
          <cell r="EI383">
            <v>58.000000000000014</v>
          </cell>
          <cell r="EJ383">
            <v>0</v>
          </cell>
          <cell r="EK383">
            <v>0</v>
          </cell>
          <cell r="EL383">
            <v>5.5833333333333348</v>
          </cell>
          <cell r="EM383">
            <v>5.5833333333333348</v>
          </cell>
          <cell r="EN383">
            <v>57.000000000000021</v>
          </cell>
          <cell r="EO383">
            <v>0</v>
          </cell>
          <cell r="EP383">
            <v>0</v>
          </cell>
          <cell r="EQ383">
            <v>5.5000000000000018</v>
          </cell>
          <cell r="ER383">
            <v>5.5000000000000018</v>
          </cell>
          <cell r="ES383">
            <v>56.000000000000021</v>
          </cell>
          <cell r="ET383">
            <v>0</v>
          </cell>
          <cell r="EU383">
            <v>0</v>
          </cell>
          <cell r="EV383">
            <v>5.4166666666666687</v>
          </cell>
          <cell r="EW383">
            <v>5.4166666666666687</v>
          </cell>
          <cell r="EX383">
            <v>55.000000000000028</v>
          </cell>
          <cell r="EY383">
            <v>0</v>
          </cell>
          <cell r="EZ383">
            <v>0</v>
          </cell>
          <cell r="FA383">
            <v>5.3333333333333357</v>
          </cell>
          <cell r="FB383">
            <v>5.3333333333333357</v>
          </cell>
          <cell r="FC383">
            <v>54.000000000000028</v>
          </cell>
          <cell r="FD383">
            <v>0</v>
          </cell>
          <cell r="FE383">
            <v>0</v>
          </cell>
          <cell r="FF383">
            <v>5.2500000000000027</v>
          </cell>
          <cell r="FG383">
            <v>5.2500000000000027</v>
          </cell>
          <cell r="FH383">
            <v>53.000000000000036</v>
          </cell>
          <cell r="FI383">
            <v>0</v>
          </cell>
          <cell r="FJ383">
            <v>0</v>
          </cell>
          <cell r="FK383">
            <v>5.1666666666666696</v>
          </cell>
          <cell r="FL383">
            <v>5.1666666666666696</v>
          </cell>
          <cell r="FM383">
            <v>52.000000000000036</v>
          </cell>
          <cell r="FN383">
            <v>0</v>
          </cell>
          <cell r="FO383">
            <v>0</v>
          </cell>
          <cell r="FP383">
            <v>5.0833333333333366</v>
          </cell>
          <cell r="FQ383">
            <v>5.0833333333333366</v>
          </cell>
          <cell r="FR383">
            <v>51.000000000000043</v>
          </cell>
          <cell r="FS383">
            <v>0</v>
          </cell>
          <cell r="FT383">
            <v>1</v>
          </cell>
          <cell r="FU383">
            <v>2.0333333333333332</v>
          </cell>
          <cell r="FW383" t="str">
            <v>SIN ROTACIÓN</v>
          </cell>
          <cell r="FX383" t="str">
            <v>STOCK MUERTO</v>
          </cell>
          <cell r="FY383" t="str">
            <v>Si</v>
          </cell>
        </row>
        <row r="384">
          <cell r="B384" t="str">
            <v>REP-0401</v>
          </cell>
          <cell r="C384" t="str">
            <v>MIX</v>
          </cell>
          <cell r="D384">
            <v>0</v>
          </cell>
          <cell r="E384">
            <v>5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5</v>
          </cell>
          <cell r="AA384">
            <v>5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5</v>
          </cell>
          <cell r="AQ384" t="str">
            <v/>
          </cell>
          <cell r="AR384">
            <v>0</v>
          </cell>
          <cell r="AS384">
            <v>5</v>
          </cell>
          <cell r="AT384">
            <v>5</v>
          </cell>
          <cell r="AU384" t="str">
            <v/>
          </cell>
          <cell r="AV384">
            <v>0</v>
          </cell>
          <cell r="AW384">
            <v>5</v>
          </cell>
          <cell r="AX384">
            <v>5</v>
          </cell>
          <cell r="AY384" t="str">
            <v/>
          </cell>
          <cell r="AZ384">
            <v>0</v>
          </cell>
          <cell r="BA384">
            <v>5</v>
          </cell>
          <cell r="BB384">
            <v>5</v>
          </cell>
          <cell r="BC384" t="str">
            <v/>
          </cell>
          <cell r="BD384">
            <v>0</v>
          </cell>
          <cell r="BE384">
            <v>5</v>
          </cell>
          <cell r="BF384" t="str">
            <v/>
          </cell>
          <cell r="BG384">
            <v>0</v>
          </cell>
          <cell r="BH384">
            <v>5</v>
          </cell>
          <cell r="BI384">
            <v>5</v>
          </cell>
          <cell r="BJ384" t="str">
            <v/>
          </cell>
          <cell r="BK384">
            <v>0</v>
          </cell>
          <cell r="BL384">
            <v>5</v>
          </cell>
          <cell r="BM384">
            <v>5</v>
          </cell>
          <cell r="BN384" t="str">
            <v/>
          </cell>
          <cell r="BO384">
            <v>0</v>
          </cell>
          <cell r="BP384">
            <v>5</v>
          </cell>
          <cell r="BQ384">
            <v>5</v>
          </cell>
          <cell r="BR384" t="str">
            <v/>
          </cell>
          <cell r="BS384">
            <v>0</v>
          </cell>
          <cell r="BT384">
            <v>5</v>
          </cell>
          <cell r="BU384">
            <v>5</v>
          </cell>
          <cell r="BV384" t="str">
            <v/>
          </cell>
          <cell r="BW384">
            <v>0</v>
          </cell>
          <cell r="BX384">
            <v>0</v>
          </cell>
          <cell r="BY384">
            <v>5</v>
          </cell>
          <cell r="BZ384">
            <v>5</v>
          </cell>
          <cell r="CA384" t="str">
            <v/>
          </cell>
          <cell r="CB384">
            <v>0</v>
          </cell>
          <cell r="CC384">
            <v>0</v>
          </cell>
          <cell r="CD384">
            <v>5</v>
          </cell>
          <cell r="CE384">
            <v>5</v>
          </cell>
          <cell r="CF384" t="str">
            <v/>
          </cell>
          <cell r="CG384">
            <v>0</v>
          </cell>
          <cell r="CH384">
            <v>0</v>
          </cell>
          <cell r="CI384">
            <v>5</v>
          </cell>
          <cell r="CJ384">
            <v>5</v>
          </cell>
          <cell r="CK384" t="str">
            <v/>
          </cell>
          <cell r="CL384">
            <v>0</v>
          </cell>
          <cell r="CM384">
            <v>0</v>
          </cell>
          <cell r="CN384">
            <v>5</v>
          </cell>
          <cell r="CO384">
            <v>5</v>
          </cell>
          <cell r="CP384" t="str">
            <v/>
          </cell>
          <cell r="CQ384">
            <v>0</v>
          </cell>
          <cell r="CR384">
            <v>0</v>
          </cell>
          <cell r="CS384">
            <v>5</v>
          </cell>
          <cell r="CT384">
            <v>5</v>
          </cell>
          <cell r="CU384" t="str">
            <v/>
          </cell>
          <cell r="CV384">
            <v>0</v>
          </cell>
          <cell r="CW384">
            <v>0</v>
          </cell>
          <cell r="CX384">
            <v>5</v>
          </cell>
          <cell r="CY384">
            <v>5</v>
          </cell>
          <cell r="CZ384" t="str">
            <v/>
          </cell>
          <cell r="DA384">
            <v>0</v>
          </cell>
          <cell r="DB384">
            <v>0</v>
          </cell>
          <cell r="DC384">
            <v>5</v>
          </cell>
          <cell r="DD384">
            <v>5</v>
          </cell>
          <cell r="DE384" t="str">
            <v/>
          </cell>
          <cell r="DF384">
            <v>0</v>
          </cell>
          <cell r="DG384">
            <v>0</v>
          </cell>
          <cell r="DH384">
            <v>5</v>
          </cell>
          <cell r="DI384">
            <v>5</v>
          </cell>
          <cell r="DJ384" t="str">
            <v/>
          </cell>
          <cell r="DK384">
            <v>0</v>
          </cell>
          <cell r="DL384">
            <v>0</v>
          </cell>
          <cell r="DM384">
            <v>5</v>
          </cell>
          <cell r="DN384">
            <v>5</v>
          </cell>
          <cell r="DO384" t="str">
            <v/>
          </cell>
          <cell r="DP384">
            <v>0</v>
          </cell>
          <cell r="DQ384">
            <v>0</v>
          </cell>
          <cell r="DR384">
            <v>5</v>
          </cell>
          <cell r="DS384">
            <v>5</v>
          </cell>
          <cell r="DT384" t="str">
            <v/>
          </cell>
          <cell r="DU384">
            <v>0</v>
          </cell>
          <cell r="DV384">
            <v>0</v>
          </cell>
          <cell r="DW384">
            <v>5</v>
          </cell>
          <cell r="DX384">
            <v>5</v>
          </cell>
          <cell r="DY384" t="str">
            <v/>
          </cell>
          <cell r="DZ384">
            <v>0</v>
          </cell>
          <cell r="EA384">
            <v>0</v>
          </cell>
          <cell r="EB384">
            <v>5</v>
          </cell>
          <cell r="EC384">
            <v>5</v>
          </cell>
          <cell r="ED384" t="str">
            <v/>
          </cell>
          <cell r="EE384">
            <v>0</v>
          </cell>
          <cell r="EF384">
            <v>0</v>
          </cell>
          <cell r="EG384">
            <v>5</v>
          </cell>
          <cell r="EH384">
            <v>5</v>
          </cell>
          <cell r="EI384" t="str">
            <v/>
          </cell>
          <cell r="EJ384">
            <v>0</v>
          </cell>
          <cell r="EK384">
            <v>0</v>
          </cell>
          <cell r="EL384">
            <v>5</v>
          </cell>
          <cell r="EM384">
            <v>5</v>
          </cell>
          <cell r="EN384" t="str">
            <v/>
          </cell>
          <cell r="EO384">
            <v>0</v>
          </cell>
          <cell r="EP384">
            <v>0</v>
          </cell>
          <cell r="EQ384">
            <v>5</v>
          </cell>
          <cell r="ER384">
            <v>5</v>
          </cell>
          <cell r="ES384" t="str">
            <v/>
          </cell>
          <cell r="ET384">
            <v>0</v>
          </cell>
          <cell r="EU384">
            <v>0</v>
          </cell>
          <cell r="EV384">
            <v>5</v>
          </cell>
          <cell r="EW384">
            <v>5</v>
          </cell>
          <cell r="EX384" t="str">
            <v/>
          </cell>
          <cell r="EY384">
            <v>0</v>
          </cell>
          <cell r="EZ384">
            <v>0</v>
          </cell>
          <cell r="FA384">
            <v>5</v>
          </cell>
          <cell r="FB384">
            <v>5</v>
          </cell>
          <cell r="FC384" t="str">
            <v/>
          </cell>
          <cell r="FD384">
            <v>0</v>
          </cell>
          <cell r="FE384">
            <v>0</v>
          </cell>
          <cell r="FF384">
            <v>5</v>
          </cell>
          <cell r="FG384">
            <v>5</v>
          </cell>
          <cell r="FH384" t="str">
            <v/>
          </cell>
          <cell r="FI384">
            <v>0</v>
          </cell>
          <cell r="FJ384">
            <v>0</v>
          </cell>
          <cell r="FK384">
            <v>5</v>
          </cell>
          <cell r="FL384">
            <v>5</v>
          </cell>
          <cell r="FM384" t="str">
            <v/>
          </cell>
          <cell r="FN384">
            <v>0</v>
          </cell>
          <cell r="FO384">
            <v>0</v>
          </cell>
          <cell r="FP384">
            <v>5</v>
          </cell>
          <cell r="FQ384">
            <v>5</v>
          </cell>
          <cell r="FR384" t="str">
            <v/>
          </cell>
          <cell r="FS384">
            <v>0</v>
          </cell>
          <cell r="FT384">
            <v>0</v>
          </cell>
          <cell r="FU384">
            <v>2.0333333333333332</v>
          </cell>
          <cell r="FW384" t="str">
            <v>SIN ROTACIÓN</v>
          </cell>
          <cell r="FX384" t="str">
            <v>STOCK MUERTO</v>
          </cell>
          <cell r="FY384" t="str">
            <v>Si</v>
          </cell>
        </row>
        <row r="385">
          <cell r="B385" t="str">
            <v>REP-0402</v>
          </cell>
          <cell r="C385" t="str">
            <v>MIX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M385">
            <v>0</v>
          </cell>
          <cell r="AO385">
            <v>0</v>
          </cell>
          <cell r="AP385">
            <v>0</v>
          </cell>
          <cell r="AQ385" t="str">
            <v/>
          </cell>
          <cell r="AR385">
            <v>0</v>
          </cell>
          <cell r="AS385">
            <v>0</v>
          </cell>
          <cell r="AT385">
            <v>0</v>
          </cell>
          <cell r="AU385" t="str">
            <v/>
          </cell>
          <cell r="AV385">
            <v>0</v>
          </cell>
          <cell r="AW385">
            <v>0</v>
          </cell>
          <cell r="AX385">
            <v>0</v>
          </cell>
          <cell r="AY385" t="str">
            <v/>
          </cell>
          <cell r="AZ385">
            <v>0</v>
          </cell>
          <cell r="BA385">
            <v>0</v>
          </cell>
          <cell r="BB385">
            <v>0</v>
          </cell>
          <cell r="BC385" t="str">
            <v/>
          </cell>
          <cell r="BD385">
            <v>0</v>
          </cell>
          <cell r="BE385">
            <v>0</v>
          </cell>
          <cell r="BF385" t="str">
            <v/>
          </cell>
          <cell r="BG385">
            <v>0</v>
          </cell>
          <cell r="BH385">
            <v>0</v>
          </cell>
          <cell r="BI385">
            <v>0</v>
          </cell>
          <cell r="BJ385" t="str">
            <v/>
          </cell>
          <cell r="BK385">
            <v>0</v>
          </cell>
          <cell r="BL385">
            <v>0</v>
          </cell>
          <cell r="BM385">
            <v>0</v>
          </cell>
          <cell r="BN385" t="str">
            <v/>
          </cell>
          <cell r="BO385">
            <v>0</v>
          </cell>
          <cell r="BP385">
            <v>0</v>
          </cell>
          <cell r="BQ385">
            <v>0</v>
          </cell>
          <cell r="BR385" t="str">
            <v/>
          </cell>
          <cell r="BS385">
            <v>0</v>
          </cell>
          <cell r="BT385">
            <v>0</v>
          </cell>
          <cell r="BU385">
            <v>0</v>
          </cell>
          <cell r="BV385" t="str">
            <v/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 t="str">
            <v/>
          </cell>
          <cell r="CB385">
            <v>0</v>
          </cell>
          <cell r="CD385">
            <v>0</v>
          </cell>
          <cell r="CE385">
            <v>0</v>
          </cell>
          <cell r="CF385" t="str">
            <v/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 t="str">
            <v/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 t="str">
            <v/>
          </cell>
          <cell r="CQ385">
            <v>0</v>
          </cell>
          <cell r="CS385">
            <v>0</v>
          </cell>
          <cell r="CT385">
            <v>0</v>
          </cell>
          <cell r="CU385" t="str">
            <v/>
          </cell>
          <cell r="CV385">
            <v>0</v>
          </cell>
          <cell r="CX385">
            <v>0</v>
          </cell>
          <cell r="CY385">
            <v>0</v>
          </cell>
          <cell r="CZ385" t="str">
            <v/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 t="str">
            <v/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 t="str">
            <v/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 t="str">
            <v/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 t="str">
            <v/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 t="str">
            <v/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 t="str">
            <v/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 t="str">
            <v/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 t="str">
            <v/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 t="str">
            <v/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 t="str">
            <v/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 t="str">
            <v/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 t="str">
            <v/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 t="str">
            <v/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 t="str">
            <v/>
          </cell>
          <cell r="FS385">
            <v>0</v>
          </cell>
          <cell r="FT385">
            <v>0</v>
          </cell>
          <cell r="FU385">
            <v>66.666666666666671</v>
          </cell>
          <cell r="FW385" t="str">
            <v>SIN ROTACIÓN</v>
          </cell>
          <cell r="FX385" t="str">
            <v/>
          </cell>
          <cell r="FY385" t="str">
            <v>No</v>
          </cell>
        </row>
        <row r="386">
          <cell r="B386" t="str">
            <v>REP-0403</v>
          </cell>
          <cell r="C386" t="str">
            <v>MIX</v>
          </cell>
          <cell r="D386">
            <v>0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AA386">
            <v>1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1</v>
          </cell>
          <cell r="AQ386" t="str">
            <v/>
          </cell>
          <cell r="AR386">
            <v>0</v>
          </cell>
          <cell r="AS386">
            <v>1</v>
          </cell>
          <cell r="AT386">
            <v>1</v>
          </cell>
          <cell r="AU386" t="str">
            <v/>
          </cell>
          <cell r="AV386">
            <v>0</v>
          </cell>
          <cell r="AW386">
            <v>1</v>
          </cell>
          <cell r="AX386">
            <v>1</v>
          </cell>
          <cell r="AY386" t="str">
            <v/>
          </cell>
          <cell r="AZ386">
            <v>0</v>
          </cell>
          <cell r="BA386">
            <v>1</v>
          </cell>
          <cell r="BB386">
            <v>1</v>
          </cell>
          <cell r="BC386" t="str">
            <v/>
          </cell>
          <cell r="BD386">
            <v>0</v>
          </cell>
          <cell r="BE386">
            <v>1</v>
          </cell>
          <cell r="BF386" t="str">
            <v/>
          </cell>
          <cell r="BG386">
            <v>0</v>
          </cell>
          <cell r="BH386">
            <v>1</v>
          </cell>
          <cell r="BI386">
            <v>1</v>
          </cell>
          <cell r="BJ386" t="str">
            <v/>
          </cell>
          <cell r="BK386">
            <v>0</v>
          </cell>
          <cell r="BL386">
            <v>1</v>
          </cell>
          <cell r="BM386">
            <v>1</v>
          </cell>
          <cell r="BN386" t="str">
            <v/>
          </cell>
          <cell r="BO386">
            <v>0</v>
          </cell>
          <cell r="BP386">
            <v>1</v>
          </cell>
          <cell r="BQ386">
            <v>1</v>
          </cell>
          <cell r="BR386" t="str">
            <v/>
          </cell>
          <cell r="BS386">
            <v>0</v>
          </cell>
          <cell r="BT386">
            <v>1</v>
          </cell>
          <cell r="BU386">
            <v>1</v>
          </cell>
          <cell r="BV386" t="str">
            <v/>
          </cell>
          <cell r="BW386">
            <v>0</v>
          </cell>
          <cell r="BX386">
            <v>0</v>
          </cell>
          <cell r="BY386">
            <v>1</v>
          </cell>
          <cell r="BZ386">
            <v>1</v>
          </cell>
          <cell r="CA386" t="str">
            <v/>
          </cell>
          <cell r="CB386">
            <v>0</v>
          </cell>
          <cell r="CC386">
            <v>0</v>
          </cell>
          <cell r="CD386">
            <v>1</v>
          </cell>
          <cell r="CE386">
            <v>1</v>
          </cell>
          <cell r="CF386" t="str">
            <v/>
          </cell>
          <cell r="CG386">
            <v>0</v>
          </cell>
          <cell r="CH386">
            <v>0</v>
          </cell>
          <cell r="CI386">
            <v>1</v>
          </cell>
          <cell r="CJ386">
            <v>1</v>
          </cell>
          <cell r="CK386" t="str">
            <v/>
          </cell>
          <cell r="CL386">
            <v>0</v>
          </cell>
          <cell r="CM386">
            <v>0</v>
          </cell>
          <cell r="CN386">
            <v>1</v>
          </cell>
          <cell r="CO386">
            <v>1</v>
          </cell>
          <cell r="CP386" t="str">
            <v/>
          </cell>
          <cell r="CQ386">
            <v>0</v>
          </cell>
          <cell r="CR386">
            <v>0</v>
          </cell>
          <cell r="CS386">
            <v>1</v>
          </cell>
          <cell r="CT386">
            <v>1</v>
          </cell>
          <cell r="CU386" t="str">
            <v/>
          </cell>
          <cell r="CV386">
            <v>0</v>
          </cell>
          <cell r="CW386">
            <v>0</v>
          </cell>
          <cell r="CX386">
            <v>1</v>
          </cell>
          <cell r="CY386">
            <v>1</v>
          </cell>
          <cell r="CZ386" t="str">
            <v/>
          </cell>
          <cell r="DA386">
            <v>0</v>
          </cell>
          <cell r="DB386">
            <v>0</v>
          </cell>
          <cell r="DC386">
            <v>1</v>
          </cell>
          <cell r="DD386">
            <v>1</v>
          </cell>
          <cell r="DE386" t="str">
            <v/>
          </cell>
          <cell r="DF386">
            <v>0</v>
          </cell>
          <cell r="DG386">
            <v>0</v>
          </cell>
          <cell r="DH386">
            <v>1</v>
          </cell>
          <cell r="DI386">
            <v>1</v>
          </cell>
          <cell r="DJ386" t="str">
            <v/>
          </cell>
          <cell r="DK386">
            <v>0</v>
          </cell>
          <cell r="DL386">
            <v>0</v>
          </cell>
          <cell r="DM386">
            <v>1</v>
          </cell>
          <cell r="DN386">
            <v>1</v>
          </cell>
          <cell r="DO386" t="str">
            <v/>
          </cell>
          <cell r="DP386">
            <v>0</v>
          </cell>
          <cell r="DQ386">
            <v>0</v>
          </cell>
          <cell r="DR386">
            <v>1</v>
          </cell>
          <cell r="DS386">
            <v>1</v>
          </cell>
          <cell r="DT386" t="str">
            <v/>
          </cell>
          <cell r="DU386">
            <v>0</v>
          </cell>
          <cell r="DV386">
            <v>0</v>
          </cell>
          <cell r="DW386">
            <v>1</v>
          </cell>
          <cell r="DX386">
            <v>1</v>
          </cell>
          <cell r="DY386" t="str">
            <v/>
          </cell>
          <cell r="DZ386">
            <v>0</v>
          </cell>
          <cell r="EA386">
            <v>0</v>
          </cell>
          <cell r="EB386">
            <v>1</v>
          </cell>
          <cell r="EC386">
            <v>1</v>
          </cell>
          <cell r="ED386" t="str">
            <v/>
          </cell>
          <cell r="EE386">
            <v>0</v>
          </cell>
          <cell r="EF386">
            <v>0</v>
          </cell>
          <cell r="EG386">
            <v>1</v>
          </cell>
          <cell r="EH386">
            <v>1</v>
          </cell>
          <cell r="EI386" t="str">
            <v/>
          </cell>
          <cell r="EJ386">
            <v>0</v>
          </cell>
          <cell r="EK386">
            <v>0</v>
          </cell>
          <cell r="EL386">
            <v>1</v>
          </cell>
          <cell r="EM386">
            <v>1</v>
          </cell>
          <cell r="EN386" t="str">
            <v/>
          </cell>
          <cell r="EO386">
            <v>0</v>
          </cell>
          <cell r="EP386">
            <v>0</v>
          </cell>
          <cell r="EQ386">
            <v>1</v>
          </cell>
          <cell r="ER386">
            <v>1</v>
          </cell>
          <cell r="ES386" t="str">
            <v/>
          </cell>
          <cell r="ET386">
            <v>0</v>
          </cell>
          <cell r="EU386">
            <v>0</v>
          </cell>
          <cell r="EV386">
            <v>1</v>
          </cell>
          <cell r="EW386">
            <v>1</v>
          </cell>
          <cell r="EX386" t="str">
            <v/>
          </cell>
          <cell r="EY386">
            <v>0</v>
          </cell>
          <cell r="EZ386">
            <v>0</v>
          </cell>
          <cell r="FA386">
            <v>1</v>
          </cell>
          <cell r="FB386">
            <v>1</v>
          </cell>
          <cell r="FC386" t="str">
            <v/>
          </cell>
          <cell r="FD386">
            <v>0</v>
          </cell>
          <cell r="FE386">
            <v>0</v>
          </cell>
          <cell r="FF386">
            <v>1</v>
          </cell>
          <cell r="FG386">
            <v>1</v>
          </cell>
          <cell r="FH386" t="str">
            <v/>
          </cell>
          <cell r="FI386">
            <v>0</v>
          </cell>
          <cell r="FJ386">
            <v>0</v>
          </cell>
          <cell r="FK386">
            <v>1</v>
          </cell>
          <cell r="FL386">
            <v>1</v>
          </cell>
          <cell r="FM386" t="str">
            <v/>
          </cell>
          <cell r="FN386">
            <v>0</v>
          </cell>
          <cell r="FO386">
            <v>0</v>
          </cell>
          <cell r="FP386">
            <v>1</v>
          </cell>
          <cell r="FQ386">
            <v>1</v>
          </cell>
          <cell r="FR386" t="str">
            <v/>
          </cell>
          <cell r="FS386">
            <v>0</v>
          </cell>
          <cell r="FT386">
            <v>0</v>
          </cell>
          <cell r="FU386">
            <v>2.0333333333333332</v>
          </cell>
          <cell r="FW386" t="str">
            <v>SIN ROTACIÓN</v>
          </cell>
          <cell r="FX386" t="str">
            <v>STOCK MUERTO</v>
          </cell>
          <cell r="FY386" t="str">
            <v>Si</v>
          </cell>
        </row>
        <row r="387">
          <cell r="B387" t="str">
            <v>REP-0404</v>
          </cell>
          <cell r="C387" t="str">
            <v>MIX</v>
          </cell>
          <cell r="D387">
            <v>0</v>
          </cell>
          <cell r="E387">
            <v>5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6</v>
          </cell>
          <cell r="AA387">
            <v>6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8.3333333333333329E-2</v>
          </cell>
          <cell r="AI387">
            <v>0.16666666666666666</v>
          </cell>
          <cell r="AJ387">
            <v>0.16666666666666666</v>
          </cell>
          <cell r="AK387">
            <v>0.16666666666666666</v>
          </cell>
          <cell r="AL387">
            <v>7.9785592313028189E-2</v>
          </cell>
          <cell r="AM387">
            <v>0.10416666666666666</v>
          </cell>
          <cell r="AN387">
            <v>0.76594168620507064</v>
          </cell>
          <cell r="AO387">
            <v>0</v>
          </cell>
          <cell r="AP387">
            <v>1.8333333333333333</v>
          </cell>
          <cell r="AQ387" t="str">
            <v/>
          </cell>
          <cell r="AR387">
            <v>0</v>
          </cell>
          <cell r="AS387">
            <v>2</v>
          </cell>
          <cell r="AT387">
            <v>2</v>
          </cell>
          <cell r="AU387" t="str">
            <v/>
          </cell>
          <cell r="AV387">
            <v>0</v>
          </cell>
          <cell r="AW387">
            <v>2</v>
          </cell>
          <cell r="AX387">
            <v>2</v>
          </cell>
          <cell r="AY387">
            <v>12</v>
          </cell>
          <cell r="AZ387">
            <v>0</v>
          </cell>
          <cell r="BA387">
            <v>2</v>
          </cell>
          <cell r="BB387">
            <v>2</v>
          </cell>
          <cell r="BC387" t="str">
            <v/>
          </cell>
          <cell r="BD387">
            <v>0</v>
          </cell>
          <cell r="BE387">
            <v>2</v>
          </cell>
          <cell r="BF387" t="str">
            <v/>
          </cell>
          <cell r="BG387">
            <v>0</v>
          </cell>
          <cell r="BH387">
            <v>2</v>
          </cell>
          <cell r="BI387">
            <v>6</v>
          </cell>
          <cell r="BJ387">
            <v>36</v>
          </cell>
          <cell r="BK387">
            <v>0</v>
          </cell>
          <cell r="BL387">
            <v>2</v>
          </cell>
          <cell r="BM387">
            <v>2</v>
          </cell>
          <cell r="BN387" t="str">
            <v/>
          </cell>
          <cell r="BO387">
            <v>0</v>
          </cell>
          <cell r="BP387">
            <v>2</v>
          </cell>
          <cell r="BQ387">
            <v>1</v>
          </cell>
          <cell r="BR387">
            <v>6</v>
          </cell>
          <cell r="BS387">
            <v>0</v>
          </cell>
          <cell r="BT387">
            <v>0.83333333333333337</v>
          </cell>
          <cell r="BU387">
            <v>1</v>
          </cell>
          <cell r="BV387">
            <v>6</v>
          </cell>
          <cell r="BW387">
            <v>1</v>
          </cell>
          <cell r="BX387">
            <v>0</v>
          </cell>
          <cell r="BY387">
            <v>0.83333333333333337</v>
          </cell>
          <cell r="BZ387">
            <v>1</v>
          </cell>
          <cell r="CA387">
            <v>6</v>
          </cell>
          <cell r="CB387">
            <v>1</v>
          </cell>
          <cell r="CC387">
            <v>0</v>
          </cell>
          <cell r="CD387">
            <v>0.83333333333333337</v>
          </cell>
          <cell r="CE387">
            <v>1</v>
          </cell>
          <cell r="CF387">
            <v>6</v>
          </cell>
          <cell r="CG387">
            <v>1</v>
          </cell>
          <cell r="CH387">
            <v>0</v>
          </cell>
          <cell r="CI387">
            <v>1.6666666666666667</v>
          </cell>
          <cell r="CJ387">
            <v>2</v>
          </cell>
          <cell r="CK387">
            <v>12</v>
          </cell>
          <cell r="CL387">
            <v>0</v>
          </cell>
          <cell r="CM387">
            <v>4.9999999999999929</v>
          </cell>
          <cell r="CN387">
            <v>6.8333333333333259</v>
          </cell>
          <cell r="CO387">
            <v>7</v>
          </cell>
          <cell r="CP387">
            <v>42</v>
          </cell>
          <cell r="CQ387">
            <v>0</v>
          </cell>
          <cell r="CR387">
            <v>0</v>
          </cell>
          <cell r="CS387">
            <v>6.833333333333333</v>
          </cell>
          <cell r="CT387">
            <v>7</v>
          </cell>
          <cell r="CU387">
            <v>84</v>
          </cell>
          <cell r="CV387">
            <v>0</v>
          </cell>
          <cell r="CW387">
            <v>0</v>
          </cell>
          <cell r="CX387">
            <v>6.916666666666667</v>
          </cell>
          <cell r="CY387">
            <v>6</v>
          </cell>
          <cell r="CZ387">
            <v>18</v>
          </cell>
          <cell r="DA387">
            <v>0</v>
          </cell>
          <cell r="DB387">
            <v>0</v>
          </cell>
          <cell r="DC387">
            <v>5.75</v>
          </cell>
          <cell r="DD387">
            <v>6</v>
          </cell>
          <cell r="DE387">
            <v>20</v>
          </cell>
          <cell r="DF387">
            <v>0</v>
          </cell>
          <cell r="DG387">
            <v>0</v>
          </cell>
          <cell r="DH387">
            <v>5.75</v>
          </cell>
          <cell r="DI387">
            <v>6</v>
          </cell>
          <cell r="DJ387">
            <v>27</v>
          </cell>
          <cell r="DK387">
            <v>0</v>
          </cell>
          <cell r="DL387">
            <v>0</v>
          </cell>
          <cell r="DM387">
            <v>5.55</v>
          </cell>
          <cell r="DN387">
            <v>6</v>
          </cell>
          <cell r="DO387">
            <v>32</v>
          </cell>
          <cell r="DP387">
            <v>0</v>
          </cell>
          <cell r="DQ387">
            <v>0</v>
          </cell>
          <cell r="DR387">
            <v>5.833333333333333</v>
          </cell>
          <cell r="DS387">
            <v>5.833333333333333</v>
          </cell>
          <cell r="DT387">
            <v>31</v>
          </cell>
          <cell r="DU387">
            <v>0</v>
          </cell>
          <cell r="DV387">
            <v>0</v>
          </cell>
          <cell r="DW387">
            <v>5.6666666666666661</v>
          </cell>
          <cell r="DX387">
            <v>5.6666666666666661</v>
          </cell>
          <cell r="DY387">
            <v>29.999999999999996</v>
          </cell>
          <cell r="DZ387">
            <v>0</v>
          </cell>
          <cell r="EA387">
            <v>0</v>
          </cell>
          <cell r="EB387">
            <v>5.4999999999999991</v>
          </cell>
          <cell r="EC387">
            <v>5.4999999999999991</v>
          </cell>
          <cell r="ED387">
            <v>28.999999999999996</v>
          </cell>
          <cell r="EE387">
            <v>0</v>
          </cell>
          <cell r="EF387">
            <v>0</v>
          </cell>
          <cell r="EG387">
            <v>5.3333333333333321</v>
          </cell>
          <cell r="EH387">
            <v>5.3333333333333321</v>
          </cell>
          <cell r="EI387">
            <v>27.999999999999993</v>
          </cell>
          <cell r="EJ387">
            <v>0</v>
          </cell>
          <cell r="EK387">
            <v>0</v>
          </cell>
          <cell r="EL387">
            <v>5.1666666666666652</v>
          </cell>
          <cell r="EM387">
            <v>5.1666666666666652</v>
          </cell>
          <cell r="EN387">
            <v>26.999999999999993</v>
          </cell>
          <cell r="EO387">
            <v>0</v>
          </cell>
          <cell r="EP387">
            <v>0</v>
          </cell>
          <cell r="EQ387">
            <v>4.9999999999999982</v>
          </cell>
          <cell r="ER387">
            <v>4.9999999999999982</v>
          </cell>
          <cell r="ES387">
            <v>25.999999999999989</v>
          </cell>
          <cell r="ET387">
            <v>0</v>
          </cell>
          <cell r="EU387">
            <v>0</v>
          </cell>
          <cell r="EV387">
            <v>4.8333333333333313</v>
          </cell>
          <cell r="EW387">
            <v>4.8333333333333313</v>
          </cell>
          <cell r="EX387">
            <v>24.999999999999989</v>
          </cell>
          <cell r="EY387">
            <v>0</v>
          </cell>
          <cell r="EZ387">
            <v>0</v>
          </cell>
          <cell r="FA387">
            <v>4.6666666666666643</v>
          </cell>
          <cell r="FB387">
            <v>4.6666666666666643</v>
          </cell>
          <cell r="FC387">
            <v>23.999999999999986</v>
          </cell>
          <cell r="FD387">
            <v>0</v>
          </cell>
          <cell r="FE387">
            <v>0</v>
          </cell>
          <cell r="FF387">
            <v>4.4999999999999973</v>
          </cell>
          <cell r="FG387">
            <v>4.4999999999999973</v>
          </cell>
          <cell r="FH387">
            <v>22.999999999999986</v>
          </cell>
          <cell r="FI387">
            <v>0</v>
          </cell>
          <cell r="FJ387">
            <v>0</v>
          </cell>
          <cell r="FK387">
            <v>4.3333333333333304</v>
          </cell>
          <cell r="FL387">
            <v>4.3333333333333304</v>
          </cell>
          <cell r="FM387">
            <v>21.999999999999982</v>
          </cell>
          <cell r="FN387">
            <v>0</v>
          </cell>
          <cell r="FO387">
            <v>0</v>
          </cell>
          <cell r="FP387">
            <v>4.1666666666666634</v>
          </cell>
          <cell r="FQ387">
            <v>4.1666666666666634</v>
          </cell>
          <cell r="FR387">
            <v>20.999999999999982</v>
          </cell>
          <cell r="FS387">
            <v>0</v>
          </cell>
          <cell r="FT387">
            <v>1</v>
          </cell>
          <cell r="FU387">
            <v>2.0333333333333332</v>
          </cell>
          <cell r="FW387" t="str">
            <v>SOBRESTOCK</v>
          </cell>
          <cell r="FX387" t="str">
            <v>C</v>
          </cell>
          <cell r="FY387" t="str">
            <v>Si</v>
          </cell>
        </row>
        <row r="388">
          <cell r="B388" t="str">
            <v>REP-0405</v>
          </cell>
          <cell r="C388" t="str">
            <v>MIX</v>
          </cell>
          <cell r="D388">
            <v>0</v>
          </cell>
          <cell r="E388">
            <v>3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5</v>
          </cell>
          <cell r="AA388">
            <v>5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1</v>
          </cell>
          <cell r="AQ388" t="str">
            <v/>
          </cell>
          <cell r="AR388">
            <v>0</v>
          </cell>
          <cell r="AS388">
            <v>1</v>
          </cell>
          <cell r="AT388">
            <v>1</v>
          </cell>
          <cell r="AU388" t="str">
            <v/>
          </cell>
          <cell r="AV388">
            <v>0</v>
          </cell>
          <cell r="AW388">
            <v>1</v>
          </cell>
          <cell r="AX388">
            <v>1</v>
          </cell>
          <cell r="AY388" t="str">
            <v/>
          </cell>
          <cell r="AZ388">
            <v>0</v>
          </cell>
          <cell r="BA388">
            <v>6</v>
          </cell>
          <cell r="BB388">
            <v>4</v>
          </cell>
          <cell r="BC388" t="str">
            <v/>
          </cell>
          <cell r="BD388">
            <v>0</v>
          </cell>
          <cell r="BE388">
            <v>4</v>
          </cell>
          <cell r="BF388" t="str">
            <v/>
          </cell>
          <cell r="BG388">
            <v>0</v>
          </cell>
          <cell r="BH388">
            <v>4</v>
          </cell>
          <cell r="BI388">
            <v>5</v>
          </cell>
          <cell r="BJ388" t="str">
            <v/>
          </cell>
          <cell r="BK388">
            <v>0</v>
          </cell>
          <cell r="BL388">
            <v>4</v>
          </cell>
          <cell r="BM388">
            <v>4</v>
          </cell>
          <cell r="BN388" t="str">
            <v/>
          </cell>
          <cell r="BO388">
            <v>0</v>
          </cell>
          <cell r="BP388">
            <v>4</v>
          </cell>
          <cell r="BQ388">
            <v>4</v>
          </cell>
          <cell r="BR388" t="str">
            <v/>
          </cell>
          <cell r="BS388">
            <v>0</v>
          </cell>
          <cell r="BT388">
            <v>4</v>
          </cell>
          <cell r="BU388">
            <v>4</v>
          </cell>
          <cell r="BV388" t="str">
            <v/>
          </cell>
          <cell r="BW388">
            <v>0</v>
          </cell>
          <cell r="BX388">
            <v>0</v>
          </cell>
          <cell r="BY388">
            <v>4</v>
          </cell>
          <cell r="BZ388">
            <v>4</v>
          </cell>
          <cell r="CA388" t="str">
            <v/>
          </cell>
          <cell r="CB388">
            <v>0</v>
          </cell>
          <cell r="CC388">
            <v>0</v>
          </cell>
          <cell r="CD388">
            <v>4</v>
          </cell>
          <cell r="CE388">
            <v>4</v>
          </cell>
          <cell r="CF388" t="str">
            <v/>
          </cell>
          <cell r="CG388">
            <v>0</v>
          </cell>
          <cell r="CH388">
            <v>0</v>
          </cell>
          <cell r="CI388">
            <v>4</v>
          </cell>
          <cell r="CJ388">
            <v>4</v>
          </cell>
          <cell r="CK388" t="str">
            <v/>
          </cell>
          <cell r="CL388">
            <v>0</v>
          </cell>
          <cell r="CM388">
            <v>0</v>
          </cell>
          <cell r="CN388">
            <v>4</v>
          </cell>
          <cell r="CO388">
            <v>4</v>
          </cell>
          <cell r="CP388" t="str">
            <v/>
          </cell>
          <cell r="CQ388">
            <v>0</v>
          </cell>
          <cell r="CR388">
            <v>0</v>
          </cell>
          <cell r="CS388">
            <v>4</v>
          </cell>
          <cell r="CT388">
            <v>4</v>
          </cell>
          <cell r="CU388" t="str">
            <v/>
          </cell>
          <cell r="CV388">
            <v>0</v>
          </cell>
          <cell r="CW388">
            <v>0</v>
          </cell>
          <cell r="CX388">
            <v>4</v>
          </cell>
          <cell r="CY388">
            <v>4</v>
          </cell>
          <cell r="CZ388" t="str">
            <v/>
          </cell>
          <cell r="DA388">
            <v>0</v>
          </cell>
          <cell r="DB388">
            <v>0</v>
          </cell>
          <cell r="DC388">
            <v>4</v>
          </cell>
          <cell r="DD388">
            <v>4</v>
          </cell>
          <cell r="DE388" t="str">
            <v/>
          </cell>
          <cell r="DF388">
            <v>0</v>
          </cell>
          <cell r="DG388">
            <v>0</v>
          </cell>
          <cell r="DH388">
            <v>4</v>
          </cell>
          <cell r="DI388">
            <v>4</v>
          </cell>
          <cell r="DJ388" t="str">
            <v/>
          </cell>
          <cell r="DK388">
            <v>0</v>
          </cell>
          <cell r="DL388">
            <v>0</v>
          </cell>
          <cell r="DM388">
            <v>4</v>
          </cell>
          <cell r="DN388">
            <v>5</v>
          </cell>
          <cell r="DO388" t="str">
            <v/>
          </cell>
          <cell r="DP388">
            <v>0</v>
          </cell>
          <cell r="DQ388">
            <v>0</v>
          </cell>
          <cell r="DR388">
            <v>5</v>
          </cell>
          <cell r="DS388">
            <v>5</v>
          </cell>
          <cell r="DT388" t="str">
            <v/>
          </cell>
          <cell r="DU388">
            <v>0</v>
          </cell>
          <cell r="DV388">
            <v>0</v>
          </cell>
          <cell r="DW388">
            <v>5</v>
          </cell>
          <cell r="DX388">
            <v>5</v>
          </cell>
          <cell r="DY388" t="str">
            <v/>
          </cell>
          <cell r="DZ388">
            <v>0</v>
          </cell>
          <cell r="EA388">
            <v>0</v>
          </cell>
          <cell r="EB388">
            <v>5</v>
          </cell>
          <cell r="EC388">
            <v>5</v>
          </cell>
          <cell r="ED388" t="str">
            <v/>
          </cell>
          <cell r="EE388">
            <v>0</v>
          </cell>
          <cell r="EF388">
            <v>0</v>
          </cell>
          <cell r="EG388">
            <v>5</v>
          </cell>
          <cell r="EH388">
            <v>5</v>
          </cell>
          <cell r="EI388" t="str">
            <v/>
          </cell>
          <cell r="EJ388">
            <v>0</v>
          </cell>
          <cell r="EK388">
            <v>0</v>
          </cell>
          <cell r="EL388">
            <v>5</v>
          </cell>
          <cell r="EM388">
            <v>5</v>
          </cell>
          <cell r="EN388" t="str">
            <v/>
          </cell>
          <cell r="EO388">
            <v>0</v>
          </cell>
          <cell r="EP388">
            <v>0</v>
          </cell>
          <cell r="EQ388">
            <v>5</v>
          </cell>
          <cell r="ER388">
            <v>5</v>
          </cell>
          <cell r="ES388" t="str">
            <v/>
          </cell>
          <cell r="ET388">
            <v>0</v>
          </cell>
          <cell r="EU388">
            <v>0</v>
          </cell>
          <cell r="EV388">
            <v>5</v>
          </cell>
          <cell r="EW388">
            <v>5</v>
          </cell>
          <cell r="EX388" t="str">
            <v/>
          </cell>
          <cell r="EY388">
            <v>0</v>
          </cell>
          <cell r="EZ388">
            <v>0</v>
          </cell>
          <cell r="FA388">
            <v>5</v>
          </cell>
          <cell r="FB388">
            <v>5</v>
          </cell>
          <cell r="FC388" t="str">
            <v/>
          </cell>
          <cell r="FD388">
            <v>0</v>
          </cell>
          <cell r="FE388">
            <v>0</v>
          </cell>
          <cell r="FF388">
            <v>5</v>
          </cell>
          <cell r="FG388">
            <v>5</v>
          </cell>
          <cell r="FH388" t="str">
            <v/>
          </cell>
          <cell r="FI388">
            <v>0</v>
          </cell>
          <cell r="FJ388">
            <v>0</v>
          </cell>
          <cell r="FK388">
            <v>5</v>
          </cell>
          <cell r="FL388">
            <v>5</v>
          </cell>
          <cell r="FM388" t="str">
            <v/>
          </cell>
          <cell r="FN388">
            <v>0</v>
          </cell>
          <cell r="FO388">
            <v>0</v>
          </cell>
          <cell r="FP388">
            <v>5</v>
          </cell>
          <cell r="FQ388">
            <v>5</v>
          </cell>
          <cell r="FR388" t="str">
            <v/>
          </cell>
          <cell r="FS388">
            <v>0</v>
          </cell>
          <cell r="FT388">
            <v>0</v>
          </cell>
          <cell r="FU388">
            <v>2.0333333333333332</v>
          </cell>
          <cell r="FW388" t="str">
            <v>SIN ROTACIÓN</v>
          </cell>
          <cell r="FX388" t="str">
            <v>STOCK MUERTO</v>
          </cell>
          <cell r="FY388" t="str">
            <v>Si</v>
          </cell>
        </row>
        <row r="389">
          <cell r="B389" t="str">
            <v>REP-0406</v>
          </cell>
          <cell r="C389" t="str">
            <v>MIX</v>
          </cell>
          <cell r="D389">
            <v>0</v>
          </cell>
          <cell r="E389">
            <v>4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4</v>
          </cell>
          <cell r="AA389">
            <v>4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4</v>
          </cell>
          <cell r="AQ389" t="str">
            <v/>
          </cell>
          <cell r="AR389">
            <v>0</v>
          </cell>
          <cell r="AS389">
            <v>4</v>
          </cell>
          <cell r="AT389">
            <v>4</v>
          </cell>
          <cell r="AU389" t="str">
            <v/>
          </cell>
          <cell r="AV389">
            <v>0</v>
          </cell>
          <cell r="AW389">
            <v>4</v>
          </cell>
          <cell r="AX389">
            <v>4</v>
          </cell>
          <cell r="AY389" t="str">
            <v/>
          </cell>
          <cell r="AZ389">
            <v>0</v>
          </cell>
          <cell r="BA389">
            <v>4</v>
          </cell>
          <cell r="BB389">
            <v>4</v>
          </cell>
          <cell r="BC389" t="str">
            <v/>
          </cell>
          <cell r="BD389">
            <v>0</v>
          </cell>
          <cell r="BE389">
            <v>4</v>
          </cell>
          <cell r="BF389" t="str">
            <v/>
          </cell>
          <cell r="BG389">
            <v>0</v>
          </cell>
          <cell r="BH389">
            <v>4</v>
          </cell>
          <cell r="BI389">
            <v>4</v>
          </cell>
          <cell r="BJ389" t="str">
            <v/>
          </cell>
          <cell r="BK389">
            <v>0</v>
          </cell>
          <cell r="BL389">
            <v>4</v>
          </cell>
          <cell r="BM389">
            <v>4</v>
          </cell>
          <cell r="BN389" t="str">
            <v/>
          </cell>
          <cell r="BO389">
            <v>0</v>
          </cell>
          <cell r="BP389">
            <v>4</v>
          </cell>
          <cell r="BQ389">
            <v>4</v>
          </cell>
          <cell r="BR389" t="str">
            <v/>
          </cell>
          <cell r="BS389">
            <v>0</v>
          </cell>
          <cell r="BT389">
            <v>4</v>
          </cell>
          <cell r="BU389">
            <v>4</v>
          </cell>
          <cell r="BV389" t="str">
            <v/>
          </cell>
          <cell r="BW389">
            <v>0</v>
          </cell>
          <cell r="BX389">
            <v>0</v>
          </cell>
          <cell r="BY389">
            <v>4</v>
          </cell>
          <cell r="BZ389">
            <v>4</v>
          </cell>
          <cell r="CA389" t="str">
            <v/>
          </cell>
          <cell r="CB389">
            <v>0</v>
          </cell>
          <cell r="CC389">
            <v>0</v>
          </cell>
          <cell r="CD389">
            <v>4</v>
          </cell>
          <cell r="CE389">
            <v>4</v>
          </cell>
          <cell r="CF389" t="str">
            <v/>
          </cell>
          <cell r="CG389">
            <v>0</v>
          </cell>
          <cell r="CH389">
            <v>0</v>
          </cell>
          <cell r="CI389">
            <v>4</v>
          </cell>
          <cell r="CJ389">
            <v>4</v>
          </cell>
          <cell r="CK389" t="str">
            <v/>
          </cell>
          <cell r="CL389">
            <v>0</v>
          </cell>
          <cell r="CM389">
            <v>0</v>
          </cell>
          <cell r="CN389">
            <v>4</v>
          </cell>
          <cell r="CO389">
            <v>4</v>
          </cell>
          <cell r="CP389" t="str">
            <v/>
          </cell>
          <cell r="CQ389">
            <v>0</v>
          </cell>
          <cell r="CR389">
            <v>0</v>
          </cell>
          <cell r="CS389">
            <v>4</v>
          </cell>
          <cell r="CT389">
            <v>4</v>
          </cell>
          <cell r="CU389" t="str">
            <v/>
          </cell>
          <cell r="CV389">
            <v>0</v>
          </cell>
          <cell r="CW389">
            <v>0</v>
          </cell>
          <cell r="CX389">
            <v>4</v>
          </cell>
          <cell r="CY389">
            <v>4</v>
          </cell>
          <cell r="CZ389" t="str">
            <v/>
          </cell>
          <cell r="DA389">
            <v>0</v>
          </cell>
          <cell r="DB389">
            <v>0</v>
          </cell>
          <cell r="DC389">
            <v>4</v>
          </cell>
          <cell r="DD389">
            <v>4</v>
          </cell>
          <cell r="DE389" t="str">
            <v/>
          </cell>
          <cell r="DF389">
            <v>0</v>
          </cell>
          <cell r="DG389">
            <v>0</v>
          </cell>
          <cell r="DH389">
            <v>4</v>
          </cell>
          <cell r="DI389">
            <v>4</v>
          </cell>
          <cell r="DJ389" t="str">
            <v/>
          </cell>
          <cell r="DK389">
            <v>0</v>
          </cell>
          <cell r="DL389">
            <v>0</v>
          </cell>
          <cell r="DM389">
            <v>4</v>
          </cell>
          <cell r="DN389">
            <v>4</v>
          </cell>
          <cell r="DO389" t="str">
            <v/>
          </cell>
          <cell r="DP389">
            <v>0</v>
          </cell>
          <cell r="DQ389">
            <v>0</v>
          </cell>
          <cell r="DR389">
            <v>4</v>
          </cell>
          <cell r="DS389">
            <v>4</v>
          </cell>
          <cell r="DT389" t="str">
            <v/>
          </cell>
          <cell r="DU389">
            <v>0</v>
          </cell>
          <cell r="DV389">
            <v>0</v>
          </cell>
          <cell r="DW389">
            <v>4</v>
          </cell>
          <cell r="DX389">
            <v>4</v>
          </cell>
          <cell r="DY389" t="str">
            <v/>
          </cell>
          <cell r="DZ389">
            <v>0</v>
          </cell>
          <cell r="EA389">
            <v>0</v>
          </cell>
          <cell r="EB389">
            <v>4</v>
          </cell>
          <cell r="EC389">
            <v>4</v>
          </cell>
          <cell r="ED389" t="str">
            <v/>
          </cell>
          <cell r="EE389">
            <v>0</v>
          </cell>
          <cell r="EF389">
            <v>0</v>
          </cell>
          <cell r="EG389">
            <v>4</v>
          </cell>
          <cell r="EH389">
            <v>4</v>
          </cell>
          <cell r="EI389" t="str">
            <v/>
          </cell>
          <cell r="EJ389">
            <v>0</v>
          </cell>
          <cell r="EK389">
            <v>0</v>
          </cell>
          <cell r="EL389">
            <v>4</v>
          </cell>
          <cell r="EM389">
            <v>4</v>
          </cell>
          <cell r="EN389" t="str">
            <v/>
          </cell>
          <cell r="EO389">
            <v>0</v>
          </cell>
          <cell r="EP389">
            <v>0</v>
          </cell>
          <cell r="EQ389">
            <v>4</v>
          </cell>
          <cell r="ER389">
            <v>4</v>
          </cell>
          <cell r="ES389" t="str">
            <v/>
          </cell>
          <cell r="ET389">
            <v>0</v>
          </cell>
          <cell r="EU389">
            <v>0</v>
          </cell>
          <cell r="EV389">
            <v>4</v>
          </cell>
          <cell r="EW389">
            <v>4</v>
          </cell>
          <cell r="EX389" t="str">
            <v/>
          </cell>
          <cell r="EY389">
            <v>0</v>
          </cell>
          <cell r="EZ389">
            <v>0</v>
          </cell>
          <cell r="FA389">
            <v>4</v>
          </cell>
          <cell r="FB389">
            <v>4</v>
          </cell>
          <cell r="FC389" t="str">
            <v/>
          </cell>
          <cell r="FD389">
            <v>0</v>
          </cell>
          <cell r="FE389">
            <v>0</v>
          </cell>
          <cell r="FF389">
            <v>4</v>
          </cell>
          <cell r="FG389">
            <v>4</v>
          </cell>
          <cell r="FH389" t="str">
            <v/>
          </cell>
          <cell r="FI389">
            <v>0</v>
          </cell>
          <cell r="FJ389">
            <v>0</v>
          </cell>
          <cell r="FK389">
            <v>4</v>
          </cell>
          <cell r="FL389">
            <v>4</v>
          </cell>
          <cell r="FM389" t="str">
            <v/>
          </cell>
          <cell r="FN389">
            <v>0</v>
          </cell>
          <cell r="FO389">
            <v>0</v>
          </cell>
          <cell r="FP389">
            <v>4</v>
          </cell>
          <cell r="FQ389">
            <v>4</v>
          </cell>
          <cell r="FR389" t="str">
            <v/>
          </cell>
          <cell r="FS389">
            <v>0</v>
          </cell>
          <cell r="FT389">
            <v>0</v>
          </cell>
          <cell r="FU389">
            <v>2.0333333333333332</v>
          </cell>
          <cell r="FW389" t="str">
            <v>SIN ROTACIÓN</v>
          </cell>
          <cell r="FX389" t="str">
            <v>STOCK MUERTO</v>
          </cell>
          <cell r="FY389" t="str">
            <v>Si</v>
          </cell>
        </row>
        <row r="390">
          <cell r="B390" t="str">
            <v>REP-0407</v>
          </cell>
          <cell r="C390" t="str">
            <v>MIX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8.3333333333333329E-2</v>
          </cell>
          <cell r="AH390">
            <v>0</v>
          </cell>
          <cell r="AI390">
            <v>0.5</v>
          </cell>
          <cell r="AJ390">
            <v>0.5</v>
          </cell>
          <cell r="AK390">
            <v>0.27083333333333337</v>
          </cell>
          <cell r="AL390">
            <v>0.26679684322636865</v>
          </cell>
          <cell r="AM390">
            <v>0.27083333333333337</v>
          </cell>
          <cell r="AN390">
            <v>0.98509603652813027</v>
          </cell>
          <cell r="AO390">
            <v>0</v>
          </cell>
          <cell r="AP390">
            <v>2.9166666666666665</v>
          </cell>
          <cell r="AQ390">
            <v>17.000000000000004</v>
          </cell>
          <cell r="AR390">
            <v>0</v>
          </cell>
          <cell r="AS390">
            <v>2.666666666666667</v>
          </cell>
          <cell r="AT390">
            <v>3</v>
          </cell>
          <cell r="AU390">
            <v>18</v>
          </cell>
          <cell r="AV390">
            <v>0</v>
          </cell>
          <cell r="AW390">
            <v>2.8333333333333335</v>
          </cell>
          <cell r="AX390">
            <v>3</v>
          </cell>
          <cell r="AY390">
            <v>11.076923076923075</v>
          </cell>
          <cell r="AZ390">
            <v>0</v>
          </cell>
          <cell r="BA390">
            <v>2.9166666666666665</v>
          </cell>
          <cell r="BB390">
            <v>3</v>
          </cell>
          <cell r="BC390">
            <v>36</v>
          </cell>
          <cell r="BD390">
            <v>0</v>
          </cell>
          <cell r="BE390">
            <v>2.9166666666666665</v>
          </cell>
          <cell r="BF390">
            <v>35</v>
          </cell>
          <cell r="BG390">
            <v>0</v>
          </cell>
          <cell r="BH390">
            <v>2.833333333333333</v>
          </cell>
          <cell r="BI390">
            <v>0</v>
          </cell>
          <cell r="BJ390">
            <v>0</v>
          </cell>
          <cell r="BK390">
            <v>0</v>
          </cell>
          <cell r="BL390">
            <v>2.9166666666666665</v>
          </cell>
          <cell r="BM390">
            <v>3</v>
          </cell>
          <cell r="BN390">
            <v>36</v>
          </cell>
          <cell r="BO390">
            <v>0</v>
          </cell>
          <cell r="BP390">
            <v>2.9166666666666665</v>
          </cell>
          <cell r="BQ390">
            <v>3</v>
          </cell>
          <cell r="BR390">
            <v>11.076923076923075</v>
          </cell>
          <cell r="BS390">
            <v>0</v>
          </cell>
          <cell r="BT390">
            <v>2.9166666666666665</v>
          </cell>
          <cell r="BU390">
            <v>3</v>
          </cell>
          <cell r="BV390">
            <v>36</v>
          </cell>
          <cell r="BW390">
            <v>0</v>
          </cell>
          <cell r="BX390">
            <v>0</v>
          </cell>
          <cell r="BY390">
            <v>2.9166666666666665</v>
          </cell>
          <cell r="BZ390">
            <v>3</v>
          </cell>
          <cell r="CA390">
            <v>36</v>
          </cell>
          <cell r="CB390">
            <v>0</v>
          </cell>
          <cell r="CC390">
            <v>0</v>
          </cell>
          <cell r="CD390">
            <v>2.9166666666666665</v>
          </cell>
          <cell r="CE390">
            <v>3</v>
          </cell>
          <cell r="CF390">
            <v>36</v>
          </cell>
          <cell r="CG390">
            <v>0</v>
          </cell>
          <cell r="CH390">
            <v>0</v>
          </cell>
          <cell r="CI390">
            <v>2.833333333333333</v>
          </cell>
          <cell r="CJ390">
            <v>3</v>
          </cell>
          <cell r="CK390">
            <v>36</v>
          </cell>
          <cell r="CL390">
            <v>0</v>
          </cell>
          <cell r="CM390">
            <v>0</v>
          </cell>
          <cell r="CN390">
            <v>2.9166666666666665</v>
          </cell>
          <cell r="CO390">
            <v>2</v>
          </cell>
          <cell r="CP390">
            <v>7.384615384615385</v>
          </cell>
          <cell r="CQ390">
            <v>0</v>
          </cell>
          <cell r="CR390">
            <v>0</v>
          </cell>
          <cell r="CS390">
            <v>1.7291666666666667</v>
          </cell>
          <cell r="CT390">
            <v>1</v>
          </cell>
          <cell r="CU390">
            <v>2.8235294117647061</v>
          </cell>
          <cell r="CV390">
            <v>2</v>
          </cell>
          <cell r="CW390">
            <v>0</v>
          </cell>
          <cell r="CX390">
            <v>0.64583333333333337</v>
          </cell>
          <cell r="CY390">
            <v>0</v>
          </cell>
          <cell r="CZ390">
            <v>0</v>
          </cell>
          <cell r="DA390">
            <v>2.3541666666666665</v>
          </cell>
          <cell r="DB390">
            <v>0</v>
          </cell>
          <cell r="DC390">
            <v>-0.33333333333333337</v>
          </cell>
          <cell r="DD390">
            <v>0</v>
          </cell>
          <cell r="DE390">
            <v>-2.9999999999999996</v>
          </cell>
          <cell r="DF390">
            <v>1.3333333333333335</v>
          </cell>
          <cell r="DG390">
            <v>0</v>
          </cell>
          <cell r="DH390">
            <v>-0.33333333333333337</v>
          </cell>
          <cell r="DI390">
            <v>0</v>
          </cell>
          <cell r="DJ390">
            <v>-1.380281690140845</v>
          </cell>
          <cell r="DK390">
            <v>1.3333333333333335</v>
          </cell>
          <cell r="DL390">
            <v>0</v>
          </cell>
          <cell r="DM390">
            <v>0.70416666666666661</v>
          </cell>
          <cell r="DN390">
            <v>0</v>
          </cell>
          <cell r="DO390">
            <v>-1.6923076923076916</v>
          </cell>
          <cell r="DP390">
            <v>1</v>
          </cell>
          <cell r="DQ390">
            <v>0</v>
          </cell>
          <cell r="DR390">
            <v>-0.27083333333333337</v>
          </cell>
          <cell r="DS390">
            <v>-0.27083333333333337</v>
          </cell>
          <cell r="DT390">
            <v>-2.6923076923076925</v>
          </cell>
          <cell r="DU390">
            <v>1.2708333333333335</v>
          </cell>
          <cell r="DV390">
            <v>3</v>
          </cell>
          <cell r="DW390">
            <v>2.458333333333333</v>
          </cell>
          <cell r="DX390">
            <v>2.458333333333333</v>
          </cell>
          <cell r="DY390">
            <v>7.3846153846153824</v>
          </cell>
          <cell r="DZ390">
            <v>0</v>
          </cell>
          <cell r="EA390">
            <v>0</v>
          </cell>
          <cell r="EB390">
            <v>2.1874999999999996</v>
          </cell>
          <cell r="EC390">
            <v>2.1874999999999996</v>
          </cell>
          <cell r="ED390">
            <v>6.3846153846153824</v>
          </cell>
          <cell r="EE390">
            <v>0</v>
          </cell>
          <cell r="EF390">
            <v>0</v>
          </cell>
          <cell r="EG390">
            <v>1.9166666666666661</v>
          </cell>
          <cell r="EH390">
            <v>1.9166666666666661</v>
          </cell>
          <cell r="EI390">
            <v>5.3846153846153815</v>
          </cell>
          <cell r="EJ390">
            <v>0</v>
          </cell>
          <cell r="EK390">
            <v>4</v>
          </cell>
          <cell r="EL390">
            <v>5.645833333333333</v>
          </cell>
          <cell r="EM390">
            <v>5.645833333333333</v>
          </cell>
          <cell r="EN390">
            <v>19.15384615384615</v>
          </cell>
          <cell r="EO390">
            <v>0</v>
          </cell>
          <cell r="EP390">
            <v>0</v>
          </cell>
          <cell r="EQ390">
            <v>5.375</v>
          </cell>
          <cell r="ER390">
            <v>5.375</v>
          </cell>
          <cell r="ES390">
            <v>18.153846153846153</v>
          </cell>
          <cell r="ET390">
            <v>0</v>
          </cell>
          <cell r="EU390">
            <v>0</v>
          </cell>
          <cell r="EV390">
            <v>5.104166666666667</v>
          </cell>
          <cell r="EW390">
            <v>5.104166666666667</v>
          </cell>
          <cell r="EX390">
            <v>17.153846153846153</v>
          </cell>
          <cell r="EY390">
            <v>0</v>
          </cell>
          <cell r="EZ390">
            <v>0</v>
          </cell>
          <cell r="FA390">
            <v>4.8333333333333339</v>
          </cell>
          <cell r="FB390">
            <v>4.8333333333333339</v>
          </cell>
          <cell r="FC390">
            <v>16.153846153846153</v>
          </cell>
          <cell r="FD390">
            <v>0</v>
          </cell>
          <cell r="FE390">
            <v>0</v>
          </cell>
          <cell r="FF390">
            <v>4.5625000000000009</v>
          </cell>
          <cell r="FG390">
            <v>4.5625000000000009</v>
          </cell>
          <cell r="FH390">
            <v>15.153846153846155</v>
          </cell>
          <cell r="FI390">
            <v>0</v>
          </cell>
          <cell r="FJ390">
            <v>0</v>
          </cell>
          <cell r="FK390">
            <v>4.2916666666666679</v>
          </cell>
          <cell r="FL390">
            <v>4.2916666666666679</v>
          </cell>
          <cell r="FM390">
            <v>14.153846153846157</v>
          </cell>
          <cell r="FN390">
            <v>0</v>
          </cell>
          <cell r="FO390">
            <v>0</v>
          </cell>
          <cell r="FP390">
            <v>4.0208333333333348</v>
          </cell>
          <cell r="FQ390">
            <v>4.0208333333333348</v>
          </cell>
          <cell r="FR390">
            <v>13.153846153846159</v>
          </cell>
          <cell r="FS390">
            <v>0</v>
          </cell>
          <cell r="FT390">
            <v>1</v>
          </cell>
          <cell r="FU390">
            <v>2.0333333333333332</v>
          </cell>
          <cell r="FW390" t="str">
            <v>QUIEBRE STOCK</v>
          </cell>
          <cell r="FX390" t="str">
            <v>C</v>
          </cell>
          <cell r="FY390" t="str">
            <v>Si</v>
          </cell>
        </row>
        <row r="391">
          <cell r="B391" t="str">
            <v>REP-0408</v>
          </cell>
          <cell r="C391" t="str">
            <v>MIX</v>
          </cell>
          <cell r="D391">
            <v>0</v>
          </cell>
          <cell r="E391">
            <v>5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1</v>
          </cell>
          <cell r="O391">
            <v>1</v>
          </cell>
          <cell r="P391">
            <v>0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W391">
            <v>0</v>
          </cell>
          <cell r="X391">
            <v>0</v>
          </cell>
          <cell r="Y391">
            <v>13</v>
          </cell>
          <cell r="AA391">
            <v>13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0.16666666666666666</v>
          </cell>
          <cell r="AG391">
            <v>0.58333333333333337</v>
          </cell>
          <cell r="AH391">
            <v>0.66666666666666663</v>
          </cell>
          <cell r="AI391">
            <v>0.33333333333333331</v>
          </cell>
          <cell r="AJ391">
            <v>0.33333333333333331</v>
          </cell>
          <cell r="AK391">
            <v>0.66666666666666663</v>
          </cell>
          <cell r="AL391">
            <v>0.17179606773406947</v>
          </cell>
          <cell r="AM391">
            <v>0.47916666666666663</v>
          </cell>
          <cell r="AN391">
            <v>0.35853092396675368</v>
          </cell>
          <cell r="AO391">
            <v>0</v>
          </cell>
          <cell r="AP391">
            <v>23.333333333333332</v>
          </cell>
          <cell r="AQ391">
            <v>40.142857142857139</v>
          </cell>
          <cell r="AR391">
            <v>0</v>
          </cell>
          <cell r="AS391">
            <v>20</v>
          </cell>
          <cell r="AT391">
            <v>20</v>
          </cell>
          <cell r="AU391">
            <v>10</v>
          </cell>
          <cell r="AV391">
            <v>0</v>
          </cell>
          <cell r="AW391">
            <v>18</v>
          </cell>
          <cell r="AX391">
            <v>20</v>
          </cell>
          <cell r="AY391">
            <v>30</v>
          </cell>
          <cell r="AZ391">
            <v>0</v>
          </cell>
          <cell r="BA391">
            <v>18.666666666666668</v>
          </cell>
          <cell r="BB391">
            <v>20</v>
          </cell>
          <cell r="BC391">
            <v>15</v>
          </cell>
          <cell r="BD391">
            <v>0</v>
          </cell>
          <cell r="BE391">
            <v>18.666666666666668</v>
          </cell>
          <cell r="BF391">
            <v>14.000000000000002</v>
          </cell>
          <cell r="BG391">
            <v>0</v>
          </cell>
          <cell r="BH391">
            <v>17.333333333333336</v>
          </cell>
          <cell r="BI391">
            <v>13</v>
          </cell>
          <cell r="BJ391">
            <v>19.5</v>
          </cell>
          <cell r="BK391">
            <v>0</v>
          </cell>
          <cell r="BL391">
            <v>17</v>
          </cell>
          <cell r="BM391">
            <v>18</v>
          </cell>
          <cell r="BN391">
            <v>21</v>
          </cell>
          <cell r="BO391">
            <v>0</v>
          </cell>
          <cell r="BP391">
            <v>17.142857142857142</v>
          </cell>
          <cell r="BQ391">
            <v>18</v>
          </cell>
          <cell r="BR391">
            <v>27</v>
          </cell>
          <cell r="BS391">
            <v>0</v>
          </cell>
          <cell r="BT391">
            <v>17.25</v>
          </cell>
          <cell r="BU391">
            <v>18</v>
          </cell>
          <cell r="BV391">
            <v>27</v>
          </cell>
          <cell r="BW391">
            <v>0</v>
          </cell>
          <cell r="BX391">
            <v>0</v>
          </cell>
          <cell r="BY391">
            <v>17.333333333333332</v>
          </cell>
          <cell r="BZ391">
            <v>18</v>
          </cell>
          <cell r="CA391">
            <v>30</v>
          </cell>
          <cell r="CB391">
            <v>0</v>
          </cell>
          <cell r="CC391">
            <v>0</v>
          </cell>
          <cell r="CD391">
            <v>17.399999999999999</v>
          </cell>
          <cell r="CE391">
            <v>17</v>
          </cell>
          <cell r="CF391">
            <v>26.714285714285715</v>
          </cell>
          <cell r="CG391">
            <v>0</v>
          </cell>
          <cell r="CH391">
            <v>0</v>
          </cell>
          <cell r="CI391">
            <v>16.763636363636362</v>
          </cell>
          <cell r="CJ391">
            <v>16</v>
          </cell>
          <cell r="CK391">
            <v>24</v>
          </cell>
          <cell r="CL391">
            <v>0</v>
          </cell>
          <cell r="CM391">
            <v>0</v>
          </cell>
          <cell r="CN391">
            <v>15.333333333333334</v>
          </cell>
          <cell r="CO391">
            <v>15</v>
          </cell>
          <cell r="CP391">
            <v>15</v>
          </cell>
          <cell r="CQ391">
            <v>0</v>
          </cell>
          <cell r="CR391">
            <v>0</v>
          </cell>
          <cell r="CS391">
            <v>14</v>
          </cell>
          <cell r="CT391">
            <v>15</v>
          </cell>
          <cell r="CU391">
            <v>22.5</v>
          </cell>
          <cell r="CV391">
            <v>0</v>
          </cell>
          <cell r="CW391">
            <v>0</v>
          </cell>
          <cell r="CX391">
            <v>14.333333333333334</v>
          </cell>
          <cell r="CY391">
            <v>14</v>
          </cell>
          <cell r="CZ391">
            <v>21</v>
          </cell>
          <cell r="DA391">
            <v>0</v>
          </cell>
          <cell r="DB391">
            <v>0</v>
          </cell>
          <cell r="DC391">
            <v>13.333333333333334</v>
          </cell>
          <cell r="DD391">
            <v>13</v>
          </cell>
          <cell r="DE391">
            <v>16.5</v>
          </cell>
          <cell r="DF391">
            <v>0</v>
          </cell>
          <cell r="DG391">
            <v>0</v>
          </cell>
          <cell r="DH391">
            <v>12.333333333333334</v>
          </cell>
          <cell r="DI391">
            <v>13</v>
          </cell>
          <cell r="DJ391">
            <v>18.5</v>
          </cell>
          <cell r="DK391">
            <v>0</v>
          </cell>
          <cell r="DL391">
            <v>0</v>
          </cell>
          <cell r="DM391">
            <v>11.666666666666668</v>
          </cell>
          <cell r="DN391">
            <v>13</v>
          </cell>
          <cell r="DO391">
            <v>18.5</v>
          </cell>
          <cell r="DP391">
            <v>0</v>
          </cell>
          <cell r="DQ391">
            <v>0</v>
          </cell>
          <cell r="DR391">
            <v>12.333333333333334</v>
          </cell>
          <cell r="DS391">
            <v>12.333333333333334</v>
          </cell>
          <cell r="DT391">
            <v>17.5</v>
          </cell>
          <cell r="DU391">
            <v>0</v>
          </cell>
          <cell r="DV391">
            <v>0</v>
          </cell>
          <cell r="DW391">
            <v>11.666666666666668</v>
          </cell>
          <cell r="DX391">
            <v>11.666666666666668</v>
          </cell>
          <cell r="DY391">
            <v>16.5</v>
          </cell>
          <cell r="DZ391">
            <v>0</v>
          </cell>
          <cell r="EA391">
            <v>0</v>
          </cell>
          <cell r="EB391">
            <v>11.000000000000002</v>
          </cell>
          <cell r="EC391">
            <v>11.000000000000002</v>
          </cell>
          <cell r="ED391">
            <v>15.500000000000004</v>
          </cell>
          <cell r="EE391">
            <v>0</v>
          </cell>
          <cell r="EF391">
            <v>0</v>
          </cell>
          <cell r="EG391">
            <v>10.333333333333336</v>
          </cell>
          <cell r="EH391">
            <v>10.333333333333336</v>
          </cell>
          <cell r="EI391">
            <v>14.500000000000004</v>
          </cell>
          <cell r="EJ391">
            <v>0</v>
          </cell>
          <cell r="EK391">
            <v>0</v>
          </cell>
          <cell r="EL391">
            <v>9.6666666666666696</v>
          </cell>
          <cell r="EM391">
            <v>9.6666666666666696</v>
          </cell>
          <cell r="EN391">
            <v>13.500000000000005</v>
          </cell>
          <cell r="EO391">
            <v>0</v>
          </cell>
          <cell r="EP391">
            <v>0</v>
          </cell>
          <cell r="EQ391">
            <v>9.0000000000000036</v>
          </cell>
          <cell r="ER391">
            <v>9.0000000000000036</v>
          </cell>
          <cell r="ES391">
            <v>12.500000000000005</v>
          </cell>
          <cell r="ET391">
            <v>0</v>
          </cell>
          <cell r="EU391">
            <v>0</v>
          </cell>
          <cell r="EV391">
            <v>8.3333333333333375</v>
          </cell>
          <cell r="EW391">
            <v>8.3333333333333375</v>
          </cell>
          <cell r="EX391">
            <v>11.500000000000007</v>
          </cell>
          <cell r="EY391">
            <v>0</v>
          </cell>
          <cell r="EZ391">
            <v>0</v>
          </cell>
          <cell r="FA391">
            <v>7.6666666666666705</v>
          </cell>
          <cell r="FB391">
            <v>7.6666666666666705</v>
          </cell>
          <cell r="FC391">
            <v>10.500000000000007</v>
          </cell>
          <cell r="FD391">
            <v>0</v>
          </cell>
          <cell r="FE391">
            <v>0</v>
          </cell>
          <cell r="FF391">
            <v>7.0000000000000036</v>
          </cell>
          <cell r="FG391">
            <v>7.0000000000000036</v>
          </cell>
          <cell r="FH391">
            <v>9.5000000000000053</v>
          </cell>
          <cell r="FI391">
            <v>0</v>
          </cell>
          <cell r="FJ391">
            <v>0</v>
          </cell>
          <cell r="FK391">
            <v>6.3333333333333366</v>
          </cell>
          <cell r="FL391">
            <v>6.3333333333333366</v>
          </cell>
          <cell r="FM391">
            <v>8.5000000000000053</v>
          </cell>
          <cell r="FN391">
            <v>0</v>
          </cell>
          <cell r="FO391">
            <v>0</v>
          </cell>
          <cell r="FP391">
            <v>5.6666666666666696</v>
          </cell>
          <cell r="FQ391">
            <v>5.6666666666666696</v>
          </cell>
          <cell r="FR391">
            <v>7.5000000000000044</v>
          </cell>
          <cell r="FS391">
            <v>0</v>
          </cell>
          <cell r="FT391">
            <v>2</v>
          </cell>
          <cell r="FU391">
            <v>2.0333333333333332</v>
          </cell>
          <cell r="FW391" t="str">
            <v>SOBRESTOCK</v>
          </cell>
          <cell r="FX391" t="str">
            <v>C</v>
          </cell>
          <cell r="FY391" t="str">
            <v>Si</v>
          </cell>
        </row>
        <row r="392">
          <cell r="B392" t="str">
            <v>REP-0409</v>
          </cell>
          <cell r="C392" t="str">
            <v>MIX</v>
          </cell>
          <cell r="D392">
            <v>0</v>
          </cell>
          <cell r="E392">
            <v>2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2</v>
          </cell>
          <cell r="AA392">
            <v>2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2</v>
          </cell>
          <cell r="AQ392" t="str">
            <v/>
          </cell>
          <cell r="AR392">
            <v>0</v>
          </cell>
          <cell r="AS392">
            <v>2</v>
          </cell>
          <cell r="AT392">
            <v>2</v>
          </cell>
          <cell r="AU392" t="str">
            <v/>
          </cell>
          <cell r="AV392">
            <v>0</v>
          </cell>
          <cell r="AW392">
            <v>2</v>
          </cell>
          <cell r="AX392">
            <v>2</v>
          </cell>
          <cell r="AY392" t="str">
            <v/>
          </cell>
          <cell r="AZ392">
            <v>0</v>
          </cell>
          <cell r="BA392">
            <v>2</v>
          </cell>
          <cell r="BB392">
            <v>2</v>
          </cell>
          <cell r="BC392" t="str">
            <v/>
          </cell>
          <cell r="BD392">
            <v>0</v>
          </cell>
          <cell r="BE392">
            <v>2</v>
          </cell>
          <cell r="BF392" t="str">
            <v/>
          </cell>
          <cell r="BG392">
            <v>0</v>
          </cell>
          <cell r="BH392">
            <v>2</v>
          </cell>
          <cell r="BI392">
            <v>2</v>
          </cell>
          <cell r="BJ392" t="str">
            <v/>
          </cell>
          <cell r="BK392">
            <v>0</v>
          </cell>
          <cell r="BL392">
            <v>2</v>
          </cell>
          <cell r="BM392">
            <v>2</v>
          </cell>
          <cell r="BN392" t="str">
            <v/>
          </cell>
          <cell r="BO392">
            <v>0</v>
          </cell>
          <cell r="BP392">
            <v>2</v>
          </cell>
          <cell r="BQ392">
            <v>2</v>
          </cell>
          <cell r="BR392" t="str">
            <v/>
          </cell>
          <cell r="BS392">
            <v>0</v>
          </cell>
          <cell r="BT392">
            <v>2</v>
          </cell>
          <cell r="BU392">
            <v>2</v>
          </cell>
          <cell r="BV392" t="str">
            <v/>
          </cell>
          <cell r="BW392">
            <v>0</v>
          </cell>
          <cell r="BX392">
            <v>0</v>
          </cell>
          <cell r="BY392">
            <v>2</v>
          </cell>
          <cell r="BZ392">
            <v>2</v>
          </cell>
          <cell r="CA392" t="str">
            <v/>
          </cell>
          <cell r="CB392">
            <v>0</v>
          </cell>
          <cell r="CC392">
            <v>0</v>
          </cell>
          <cell r="CD392">
            <v>2</v>
          </cell>
          <cell r="CE392">
            <v>2</v>
          </cell>
          <cell r="CF392" t="str">
            <v/>
          </cell>
          <cell r="CG392">
            <v>0</v>
          </cell>
          <cell r="CH392">
            <v>0</v>
          </cell>
          <cell r="CI392">
            <v>2</v>
          </cell>
          <cell r="CJ392">
            <v>2</v>
          </cell>
          <cell r="CK392" t="str">
            <v/>
          </cell>
          <cell r="CL392">
            <v>0</v>
          </cell>
          <cell r="CM392">
            <v>0</v>
          </cell>
          <cell r="CN392">
            <v>2</v>
          </cell>
          <cell r="CO392">
            <v>2</v>
          </cell>
          <cell r="CP392" t="str">
            <v/>
          </cell>
          <cell r="CQ392">
            <v>0</v>
          </cell>
          <cell r="CR392">
            <v>0</v>
          </cell>
          <cell r="CS392">
            <v>2</v>
          </cell>
          <cell r="CT392">
            <v>2</v>
          </cell>
          <cell r="CU392" t="str">
            <v/>
          </cell>
          <cell r="CV392">
            <v>0</v>
          </cell>
          <cell r="CW392">
            <v>0</v>
          </cell>
          <cell r="CX392">
            <v>2</v>
          </cell>
          <cell r="CY392">
            <v>2</v>
          </cell>
          <cell r="CZ392" t="str">
            <v/>
          </cell>
          <cell r="DA392">
            <v>0</v>
          </cell>
          <cell r="DB392">
            <v>0</v>
          </cell>
          <cell r="DC392">
            <v>2</v>
          </cell>
          <cell r="DD392">
            <v>2</v>
          </cell>
          <cell r="DE392" t="str">
            <v/>
          </cell>
          <cell r="DF392">
            <v>0</v>
          </cell>
          <cell r="DG392">
            <v>0</v>
          </cell>
          <cell r="DH392">
            <v>2</v>
          </cell>
          <cell r="DI392">
            <v>2</v>
          </cell>
          <cell r="DJ392" t="str">
            <v/>
          </cell>
          <cell r="DK392">
            <v>0</v>
          </cell>
          <cell r="DL392">
            <v>0</v>
          </cell>
          <cell r="DM392">
            <v>2</v>
          </cell>
          <cell r="DN392">
            <v>2</v>
          </cell>
          <cell r="DO392" t="str">
            <v/>
          </cell>
          <cell r="DP392">
            <v>0</v>
          </cell>
          <cell r="DQ392">
            <v>0</v>
          </cell>
          <cell r="DR392">
            <v>2</v>
          </cell>
          <cell r="DS392">
            <v>2</v>
          </cell>
          <cell r="DT392" t="str">
            <v/>
          </cell>
          <cell r="DU392">
            <v>0</v>
          </cell>
          <cell r="DV392">
            <v>0</v>
          </cell>
          <cell r="DW392">
            <v>2</v>
          </cell>
          <cell r="DX392">
            <v>2</v>
          </cell>
          <cell r="DY392" t="str">
            <v/>
          </cell>
          <cell r="DZ392">
            <v>0</v>
          </cell>
          <cell r="EA392">
            <v>0</v>
          </cell>
          <cell r="EB392">
            <v>2</v>
          </cell>
          <cell r="EC392">
            <v>2</v>
          </cell>
          <cell r="ED392" t="str">
            <v/>
          </cell>
          <cell r="EE392">
            <v>0</v>
          </cell>
          <cell r="EF392">
            <v>0</v>
          </cell>
          <cell r="EG392">
            <v>2</v>
          </cell>
          <cell r="EH392">
            <v>2</v>
          </cell>
          <cell r="EI392" t="str">
            <v/>
          </cell>
          <cell r="EJ392">
            <v>0</v>
          </cell>
          <cell r="EK392">
            <v>0</v>
          </cell>
          <cell r="EL392">
            <v>2</v>
          </cell>
          <cell r="EM392">
            <v>2</v>
          </cell>
          <cell r="EN392" t="str">
            <v/>
          </cell>
          <cell r="EO392">
            <v>0</v>
          </cell>
          <cell r="EP392">
            <v>0</v>
          </cell>
          <cell r="EQ392">
            <v>2</v>
          </cell>
          <cell r="ER392">
            <v>2</v>
          </cell>
          <cell r="ES392" t="str">
            <v/>
          </cell>
          <cell r="ET392">
            <v>0</v>
          </cell>
          <cell r="EU392">
            <v>0</v>
          </cell>
          <cell r="EV392">
            <v>2</v>
          </cell>
          <cell r="EW392">
            <v>2</v>
          </cell>
          <cell r="EX392" t="str">
            <v/>
          </cell>
          <cell r="EY392">
            <v>0</v>
          </cell>
          <cell r="EZ392">
            <v>0</v>
          </cell>
          <cell r="FA392">
            <v>2</v>
          </cell>
          <cell r="FB392">
            <v>2</v>
          </cell>
          <cell r="FC392" t="str">
            <v/>
          </cell>
          <cell r="FD392">
            <v>0</v>
          </cell>
          <cell r="FE392">
            <v>0</v>
          </cell>
          <cell r="FF392">
            <v>2</v>
          </cell>
          <cell r="FG392">
            <v>2</v>
          </cell>
          <cell r="FH392" t="str">
            <v/>
          </cell>
          <cell r="FI392">
            <v>0</v>
          </cell>
          <cell r="FJ392">
            <v>0</v>
          </cell>
          <cell r="FK392">
            <v>2</v>
          </cell>
          <cell r="FL392">
            <v>2</v>
          </cell>
          <cell r="FM392" t="str">
            <v/>
          </cell>
          <cell r="FN392">
            <v>0</v>
          </cell>
          <cell r="FO392">
            <v>0</v>
          </cell>
          <cell r="FP392">
            <v>2</v>
          </cell>
          <cell r="FQ392">
            <v>2</v>
          </cell>
          <cell r="FR392" t="str">
            <v/>
          </cell>
          <cell r="FS392">
            <v>0</v>
          </cell>
          <cell r="FT392">
            <v>0</v>
          </cell>
          <cell r="FU392">
            <v>2.0333333333333332</v>
          </cell>
          <cell r="FW392" t="str">
            <v>SIN ROTACIÓN</v>
          </cell>
          <cell r="FX392" t="str">
            <v>STOCK MUERTO</v>
          </cell>
          <cell r="FY392" t="str">
            <v>Si</v>
          </cell>
        </row>
        <row r="393">
          <cell r="B393" t="str">
            <v>REP-0410</v>
          </cell>
          <cell r="C393" t="str">
            <v>MIX</v>
          </cell>
          <cell r="D393">
            <v>0</v>
          </cell>
          <cell r="E393">
            <v>4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</v>
          </cell>
          <cell r="O393">
            <v>0</v>
          </cell>
          <cell r="P393">
            <v>0</v>
          </cell>
          <cell r="Q393">
            <v>1</v>
          </cell>
          <cell r="R393">
            <v>2</v>
          </cell>
          <cell r="S393">
            <v>1</v>
          </cell>
          <cell r="T393">
            <v>1</v>
          </cell>
          <cell r="U393">
            <v>1</v>
          </cell>
          <cell r="V393">
            <v>2</v>
          </cell>
          <cell r="W393">
            <v>1</v>
          </cell>
          <cell r="X393">
            <v>1</v>
          </cell>
          <cell r="Y393">
            <v>15</v>
          </cell>
          <cell r="AA393">
            <v>15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0.25</v>
          </cell>
          <cell r="AG393">
            <v>0.25</v>
          </cell>
          <cell r="AH393">
            <v>1</v>
          </cell>
          <cell r="AI393">
            <v>1.6666666666666667</v>
          </cell>
          <cell r="AJ393">
            <v>1.6666666666666667</v>
          </cell>
          <cell r="AK393">
            <v>1.6666666666666667</v>
          </cell>
          <cell r="AL393">
            <v>0.67486281184757435</v>
          </cell>
          <cell r="AM393">
            <v>1.1458333333333335</v>
          </cell>
          <cell r="AN393">
            <v>0.58897118124879211</v>
          </cell>
          <cell r="AO393">
            <v>0</v>
          </cell>
          <cell r="AP393">
            <v>23.5</v>
          </cell>
          <cell r="AQ393">
            <v>71.000000000000014</v>
          </cell>
          <cell r="AR393">
            <v>0</v>
          </cell>
          <cell r="AS393">
            <v>23</v>
          </cell>
          <cell r="AT393">
            <v>23</v>
          </cell>
          <cell r="AU393">
            <v>46</v>
          </cell>
          <cell r="AV393">
            <v>0</v>
          </cell>
          <cell r="AW393">
            <v>22.5</v>
          </cell>
          <cell r="AX393">
            <v>23</v>
          </cell>
          <cell r="AY393">
            <v>13.799999999999999</v>
          </cell>
          <cell r="AZ393">
            <v>0</v>
          </cell>
          <cell r="BA393">
            <v>42.666666666666664</v>
          </cell>
          <cell r="BB393">
            <v>22</v>
          </cell>
          <cell r="BC393">
            <v>33</v>
          </cell>
          <cell r="BD393">
            <v>0</v>
          </cell>
          <cell r="BE393">
            <v>21.333333333333332</v>
          </cell>
          <cell r="BF393">
            <v>32</v>
          </cell>
          <cell r="BG393">
            <v>20</v>
          </cell>
          <cell r="BH393">
            <v>40.666666666666664</v>
          </cell>
          <cell r="BI393">
            <v>15</v>
          </cell>
          <cell r="BJ393">
            <v>9</v>
          </cell>
          <cell r="BK393">
            <v>0</v>
          </cell>
          <cell r="BL393">
            <v>41.666666666666664</v>
          </cell>
          <cell r="BM393">
            <v>38</v>
          </cell>
          <cell r="BN393">
            <v>57</v>
          </cell>
          <cell r="BO393">
            <v>0</v>
          </cell>
          <cell r="BP393">
            <v>37.333333333333336</v>
          </cell>
          <cell r="BQ393">
            <v>40</v>
          </cell>
          <cell r="BR393">
            <v>24</v>
          </cell>
          <cell r="BS393">
            <v>0</v>
          </cell>
          <cell r="BT393">
            <v>39.5</v>
          </cell>
          <cell r="BU393">
            <v>38</v>
          </cell>
          <cell r="BV393">
            <v>76</v>
          </cell>
          <cell r="BW393">
            <v>0</v>
          </cell>
          <cell r="BX393">
            <v>0</v>
          </cell>
          <cell r="BY393">
            <v>37.5</v>
          </cell>
          <cell r="BZ393">
            <v>36</v>
          </cell>
          <cell r="CA393">
            <v>36</v>
          </cell>
          <cell r="CB393">
            <v>0</v>
          </cell>
          <cell r="CC393">
            <v>0</v>
          </cell>
          <cell r="CD393">
            <v>35</v>
          </cell>
          <cell r="CE393">
            <v>35</v>
          </cell>
          <cell r="CF393">
            <v>29.999999999999996</v>
          </cell>
          <cell r="CG393">
            <v>0</v>
          </cell>
          <cell r="CH393">
            <v>0</v>
          </cell>
          <cell r="CI393">
            <v>33.833333333333336</v>
          </cell>
          <cell r="CJ393">
            <v>32</v>
          </cell>
          <cell r="CK393">
            <v>19.2</v>
          </cell>
          <cell r="CL393">
            <v>0</v>
          </cell>
          <cell r="CM393">
            <v>0</v>
          </cell>
          <cell r="CN393">
            <v>30.333333333333332</v>
          </cell>
          <cell r="CO393">
            <v>26</v>
          </cell>
          <cell r="CP393">
            <v>11.7</v>
          </cell>
          <cell r="CQ393">
            <v>0</v>
          </cell>
          <cell r="CR393">
            <v>0</v>
          </cell>
          <cell r="CS393">
            <v>23.777777777777779</v>
          </cell>
          <cell r="CT393">
            <v>24</v>
          </cell>
          <cell r="CU393">
            <v>11.368421052631579</v>
          </cell>
          <cell r="CV393">
            <v>0</v>
          </cell>
          <cell r="CW393">
            <v>0</v>
          </cell>
          <cell r="CX393">
            <v>21.888888888888889</v>
          </cell>
          <cell r="CY393">
            <v>22</v>
          </cell>
          <cell r="CZ393">
            <v>14.142857142857142</v>
          </cell>
          <cell r="DA393">
            <v>0</v>
          </cell>
          <cell r="DB393">
            <v>0</v>
          </cell>
          <cell r="DC393">
            <v>20.166666666666668</v>
          </cell>
          <cell r="DD393">
            <v>18</v>
          </cell>
          <cell r="DE393">
            <v>7.6363636363636367</v>
          </cell>
          <cell r="DF393">
            <v>0</v>
          </cell>
          <cell r="DG393">
            <v>0</v>
          </cell>
          <cell r="DH393">
            <v>16.166666666666668</v>
          </cell>
          <cell r="DI393">
            <v>18</v>
          </cell>
          <cell r="DJ393">
            <v>10.689655172413794</v>
          </cell>
          <cell r="DK393">
            <v>0</v>
          </cell>
          <cell r="DL393">
            <v>0</v>
          </cell>
          <cell r="DM393">
            <v>14.555555555555557</v>
          </cell>
          <cell r="DN393">
            <v>15</v>
          </cell>
          <cell r="DO393">
            <v>9.1999999999999993</v>
          </cell>
          <cell r="DP393">
            <v>0</v>
          </cell>
          <cell r="DQ393">
            <v>0</v>
          </cell>
          <cell r="DR393">
            <v>13.333333333333334</v>
          </cell>
          <cell r="DS393">
            <v>13.333333333333334</v>
          </cell>
          <cell r="DT393">
            <v>8.1999999999999993</v>
          </cell>
          <cell r="DU393">
            <v>0</v>
          </cell>
          <cell r="DV393">
            <v>0</v>
          </cell>
          <cell r="DW393">
            <v>11.666666666666668</v>
          </cell>
          <cell r="DX393">
            <v>11.666666666666668</v>
          </cell>
          <cell r="DY393">
            <v>7.2</v>
          </cell>
          <cell r="DZ393">
            <v>0</v>
          </cell>
          <cell r="EA393">
            <v>0</v>
          </cell>
          <cell r="EB393">
            <v>10.000000000000002</v>
          </cell>
          <cell r="EC393">
            <v>10.000000000000002</v>
          </cell>
          <cell r="ED393">
            <v>6.2000000000000011</v>
          </cell>
          <cell r="EE393">
            <v>0</v>
          </cell>
          <cell r="EF393">
            <v>0</v>
          </cell>
          <cell r="EG393">
            <v>8.3333333333333357</v>
          </cell>
          <cell r="EH393">
            <v>8.3333333333333357</v>
          </cell>
          <cell r="EI393">
            <v>5.2000000000000011</v>
          </cell>
          <cell r="EJ393">
            <v>0</v>
          </cell>
          <cell r="EK393">
            <v>0</v>
          </cell>
          <cell r="EL393">
            <v>6.6666666666666687</v>
          </cell>
          <cell r="EM393">
            <v>6.6666666666666687</v>
          </cell>
          <cell r="EN393">
            <v>4.2000000000000011</v>
          </cell>
          <cell r="EO393">
            <v>0</v>
          </cell>
          <cell r="EP393">
            <v>0</v>
          </cell>
          <cell r="EQ393">
            <v>5.0000000000000018</v>
          </cell>
          <cell r="ER393">
            <v>5.0000000000000018</v>
          </cell>
          <cell r="ES393">
            <v>3.2000000000000011</v>
          </cell>
          <cell r="ET393">
            <v>0</v>
          </cell>
          <cell r="EU393">
            <v>0</v>
          </cell>
          <cell r="EV393">
            <v>3.3333333333333348</v>
          </cell>
          <cell r="EW393">
            <v>3.3333333333333348</v>
          </cell>
          <cell r="EX393">
            <v>2.2000000000000011</v>
          </cell>
          <cell r="EY393">
            <v>0</v>
          </cell>
          <cell r="EZ393">
            <v>0</v>
          </cell>
          <cell r="FA393">
            <v>1.6666666666666681</v>
          </cell>
          <cell r="FB393">
            <v>1.6666666666666681</v>
          </cell>
          <cell r="FC393">
            <v>1.2000000000000008</v>
          </cell>
          <cell r="FD393">
            <v>1.3333333333333319</v>
          </cell>
          <cell r="FE393">
            <v>8</v>
          </cell>
          <cell r="FF393">
            <v>8.0000000000000018</v>
          </cell>
          <cell r="FG393">
            <v>8.0000000000000018</v>
          </cell>
          <cell r="FH393">
            <v>5.0000000000000009</v>
          </cell>
          <cell r="FI393">
            <v>0</v>
          </cell>
          <cell r="FJ393">
            <v>0</v>
          </cell>
          <cell r="FK393">
            <v>6.3333333333333348</v>
          </cell>
          <cell r="FL393">
            <v>6.3333333333333348</v>
          </cell>
          <cell r="FM393">
            <v>4.0000000000000009</v>
          </cell>
          <cell r="FN393">
            <v>0</v>
          </cell>
          <cell r="FO393">
            <v>0</v>
          </cell>
          <cell r="FP393">
            <v>4.6666666666666679</v>
          </cell>
          <cell r="FQ393">
            <v>4.6666666666666679</v>
          </cell>
          <cell r="FR393">
            <v>3.0000000000000009</v>
          </cell>
          <cell r="FS393">
            <v>0</v>
          </cell>
          <cell r="FT393">
            <v>3</v>
          </cell>
          <cell r="FU393">
            <v>2.0333333333333332</v>
          </cell>
          <cell r="FW393" t="str">
            <v>SOBRESTOCK</v>
          </cell>
          <cell r="FX393" t="str">
            <v>B</v>
          </cell>
          <cell r="FY393" t="str">
            <v>Si</v>
          </cell>
        </row>
        <row r="394">
          <cell r="B394" t="str">
            <v>REP-0411</v>
          </cell>
          <cell r="C394" t="str">
            <v>MIX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O394">
            <v>0</v>
          </cell>
          <cell r="AP394">
            <v>0</v>
          </cell>
          <cell r="AQ394" t="str">
            <v/>
          </cell>
          <cell r="AR394">
            <v>0</v>
          </cell>
          <cell r="AS394">
            <v>0</v>
          </cell>
          <cell r="AT394">
            <v>0</v>
          </cell>
          <cell r="AU394" t="str">
            <v/>
          </cell>
          <cell r="AV394">
            <v>0</v>
          </cell>
          <cell r="AW394">
            <v>0</v>
          </cell>
          <cell r="AX394">
            <v>0</v>
          </cell>
          <cell r="AY394" t="str">
            <v/>
          </cell>
          <cell r="AZ394">
            <v>0</v>
          </cell>
          <cell r="BA394">
            <v>0</v>
          </cell>
          <cell r="BB394">
            <v>0</v>
          </cell>
          <cell r="BC394" t="str">
            <v/>
          </cell>
          <cell r="BD394">
            <v>0</v>
          </cell>
          <cell r="BE394">
            <v>0</v>
          </cell>
          <cell r="BF394" t="str">
            <v/>
          </cell>
          <cell r="BG394">
            <v>0</v>
          </cell>
          <cell r="BH394">
            <v>0</v>
          </cell>
          <cell r="BI394">
            <v>0</v>
          </cell>
          <cell r="BJ394" t="str">
            <v/>
          </cell>
          <cell r="BK394">
            <v>0</v>
          </cell>
          <cell r="BL394">
            <v>0</v>
          </cell>
          <cell r="BM394">
            <v>0</v>
          </cell>
          <cell r="BN394" t="str">
            <v/>
          </cell>
          <cell r="BO394">
            <v>0</v>
          </cell>
          <cell r="BP394">
            <v>0</v>
          </cell>
          <cell r="BQ394">
            <v>0</v>
          </cell>
          <cell r="BR394" t="str">
            <v/>
          </cell>
          <cell r="BS394">
            <v>0</v>
          </cell>
          <cell r="BT394">
            <v>0</v>
          </cell>
          <cell r="BU394">
            <v>0</v>
          </cell>
          <cell r="BV394" t="str">
            <v/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 t="str">
            <v/>
          </cell>
          <cell r="CB394">
            <v>0</v>
          </cell>
          <cell r="CD394">
            <v>0</v>
          </cell>
          <cell r="CE394">
            <v>0</v>
          </cell>
          <cell r="CF394" t="str">
            <v/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 t="str">
            <v/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 t="str">
            <v/>
          </cell>
          <cell r="CQ394">
            <v>0</v>
          </cell>
          <cell r="CS394">
            <v>0</v>
          </cell>
          <cell r="CT394">
            <v>0</v>
          </cell>
          <cell r="CU394" t="str">
            <v/>
          </cell>
          <cell r="CV394">
            <v>0</v>
          </cell>
          <cell r="CX394">
            <v>0</v>
          </cell>
          <cell r="CY394">
            <v>0</v>
          </cell>
          <cell r="CZ394" t="str">
            <v/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 t="str">
            <v/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 t="str">
            <v/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 t="str">
            <v/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 t="str">
            <v/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 t="str">
            <v/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 t="str">
            <v/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 t="str">
            <v/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 t="str">
            <v/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 t="str">
            <v/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 t="str">
            <v/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 t="str">
            <v/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 t="str">
            <v/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 t="str">
            <v/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 t="str">
            <v/>
          </cell>
          <cell r="FS394">
            <v>0</v>
          </cell>
          <cell r="FT394">
            <v>0</v>
          </cell>
          <cell r="FU394">
            <v>66.666666666666671</v>
          </cell>
          <cell r="FW394" t="str">
            <v>SIN ROTACIÓN</v>
          </cell>
          <cell r="FX394" t="str">
            <v/>
          </cell>
          <cell r="FY394" t="str">
            <v>No</v>
          </cell>
        </row>
        <row r="395">
          <cell r="B395" t="str">
            <v>REP-0412</v>
          </cell>
          <cell r="C395" t="str">
            <v>MIX</v>
          </cell>
          <cell r="D395">
            <v>0</v>
          </cell>
          <cell r="E395">
            <v>22</v>
          </cell>
          <cell r="F395">
            <v>0</v>
          </cell>
          <cell r="G395">
            <v>0</v>
          </cell>
          <cell r="H395">
            <v>7</v>
          </cell>
          <cell r="I395">
            <v>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1</v>
          </cell>
          <cell r="O395">
            <v>1</v>
          </cell>
          <cell r="P395">
            <v>2</v>
          </cell>
          <cell r="Q395">
            <v>1</v>
          </cell>
          <cell r="R395">
            <v>0</v>
          </cell>
          <cell r="S395">
            <v>1</v>
          </cell>
          <cell r="T395">
            <v>1</v>
          </cell>
          <cell r="U395">
            <v>0</v>
          </cell>
          <cell r="V395">
            <v>1</v>
          </cell>
          <cell r="W395">
            <v>1</v>
          </cell>
          <cell r="X395">
            <v>3</v>
          </cell>
          <cell r="Y395">
            <v>48</v>
          </cell>
          <cell r="AA395">
            <v>48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1.75</v>
          </cell>
          <cell r="AG395">
            <v>1.8333333333333333</v>
          </cell>
          <cell r="AH395">
            <v>1.9166666666666667</v>
          </cell>
          <cell r="AI395">
            <v>1</v>
          </cell>
          <cell r="AJ395">
            <v>1</v>
          </cell>
          <cell r="AK395">
            <v>1.9166666666666667</v>
          </cell>
          <cell r="AL395">
            <v>0.46022337571613564</v>
          </cell>
          <cell r="AM395">
            <v>1.4375</v>
          </cell>
          <cell r="AN395">
            <v>0.32015539180252917</v>
          </cell>
          <cell r="AO395">
            <v>0</v>
          </cell>
          <cell r="AP395">
            <v>20</v>
          </cell>
          <cell r="AQ395">
            <v>11.000000000000002</v>
          </cell>
          <cell r="AR395">
            <v>0</v>
          </cell>
          <cell r="AS395">
            <v>26</v>
          </cell>
          <cell r="AT395">
            <v>27</v>
          </cell>
          <cell r="AU395">
            <v>9</v>
          </cell>
          <cell r="AV395">
            <v>0</v>
          </cell>
          <cell r="AW395">
            <v>24</v>
          </cell>
          <cell r="AX395">
            <v>22</v>
          </cell>
          <cell r="AY395">
            <v>11.478260869565217</v>
          </cell>
          <cell r="AZ395">
            <v>0</v>
          </cell>
          <cell r="BA395">
            <v>59</v>
          </cell>
          <cell r="BB395">
            <v>24</v>
          </cell>
          <cell r="BC395">
            <v>8</v>
          </cell>
          <cell r="BD395">
            <v>0</v>
          </cell>
          <cell r="BE395">
            <v>21</v>
          </cell>
          <cell r="BF395">
            <v>7</v>
          </cell>
          <cell r="BG395">
            <v>40</v>
          </cell>
          <cell r="BH395">
            <v>58</v>
          </cell>
          <cell r="BI395">
            <v>48</v>
          </cell>
          <cell r="BJ395">
            <v>25.043478260869563</v>
          </cell>
          <cell r="BK395">
            <v>0</v>
          </cell>
          <cell r="BL395">
            <v>61.166666666666664</v>
          </cell>
          <cell r="BM395">
            <v>59</v>
          </cell>
          <cell r="BN395">
            <v>29.5</v>
          </cell>
          <cell r="BO395">
            <v>0</v>
          </cell>
          <cell r="BP395">
            <v>57</v>
          </cell>
          <cell r="BQ395">
            <v>56</v>
          </cell>
          <cell r="BR395">
            <v>29.217391304347824</v>
          </cell>
          <cell r="BS395">
            <v>0</v>
          </cell>
          <cell r="BT395">
            <v>53.875</v>
          </cell>
          <cell r="BU395">
            <v>55</v>
          </cell>
          <cell r="BV395">
            <v>27.5</v>
          </cell>
          <cell r="BW395">
            <v>0</v>
          </cell>
          <cell r="BX395">
            <v>0</v>
          </cell>
          <cell r="BY395">
            <v>53</v>
          </cell>
          <cell r="BZ395">
            <v>53</v>
          </cell>
          <cell r="CA395">
            <v>26.5</v>
          </cell>
          <cell r="CB395">
            <v>0</v>
          </cell>
          <cell r="CC395">
            <v>0</v>
          </cell>
          <cell r="CD395">
            <v>51</v>
          </cell>
          <cell r="CE395">
            <v>51</v>
          </cell>
          <cell r="CF395">
            <v>23.53846153846154</v>
          </cell>
          <cell r="CG395">
            <v>0</v>
          </cell>
          <cell r="CH395">
            <v>0</v>
          </cell>
          <cell r="CI395">
            <v>48.833333333333336</v>
          </cell>
          <cell r="CJ395">
            <v>50</v>
          </cell>
          <cell r="CK395">
            <v>23.07692307692308</v>
          </cell>
          <cell r="CL395">
            <v>0</v>
          </cell>
          <cell r="CM395">
            <v>0</v>
          </cell>
          <cell r="CN395">
            <v>47.833333333333336</v>
          </cell>
          <cell r="CO395">
            <v>48</v>
          </cell>
          <cell r="CP395">
            <v>22.153846153846157</v>
          </cell>
          <cell r="CQ395">
            <v>0</v>
          </cell>
          <cell r="CR395">
            <v>0</v>
          </cell>
          <cell r="CS395">
            <v>45.833333333333336</v>
          </cell>
          <cell r="CT395">
            <v>46</v>
          </cell>
          <cell r="CU395">
            <v>24</v>
          </cell>
          <cell r="CV395">
            <v>0</v>
          </cell>
          <cell r="CW395">
            <v>0</v>
          </cell>
          <cell r="CX395">
            <v>44.083333333333336</v>
          </cell>
          <cell r="CY395">
            <v>47</v>
          </cell>
          <cell r="CZ395">
            <v>24.521739130434781</v>
          </cell>
          <cell r="DA395">
            <v>0</v>
          </cell>
          <cell r="DB395">
            <v>0</v>
          </cell>
          <cell r="DC395">
            <v>45.083333333333336</v>
          </cell>
          <cell r="DD395">
            <v>42</v>
          </cell>
          <cell r="DE395">
            <v>19.826086956521738</v>
          </cell>
          <cell r="DF395">
            <v>0</v>
          </cell>
          <cell r="DG395">
            <v>0</v>
          </cell>
          <cell r="DH395">
            <v>40.083333333333336</v>
          </cell>
          <cell r="DI395">
            <v>42</v>
          </cell>
          <cell r="DJ395">
            <v>21.826086956521738</v>
          </cell>
          <cell r="DK395">
            <v>0</v>
          </cell>
          <cell r="DL395">
            <v>0</v>
          </cell>
          <cell r="DM395">
            <v>38.166666666666671</v>
          </cell>
          <cell r="DN395">
            <v>48</v>
          </cell>
          <cell r="DO395">
            <v>24.956521739130434</v>
          </cell>
          <cell r="DP395">
            <v>0</v>
          </cell>
          <cell r="DQ395">
            <v>0</v>
          </cell>
          <cell r="DR395">
            <v>46.083333333333336</v>
          </cell>
          <cell r="DS395">
            <v>46.083333333333336</v>
          </cell>
          <cell r="DT395">
            <v>23.956521739130434</v>
          </cell>
          <cell r="DU395">
            <v>0</v>
          </cell>
          <cell r="DV395">
            <v>0</v>
          </cell>
          <cell r="DW395">
            <v>44.166666666666671</v>
          </cell>
          <cell r="DX395">
            <v>44.166666666666671</v>
          </cell>
          <cell r="DY395">
            <v>22.956521739130437</v>
          </cell>
          <cell r="DZ395">
            <v>0</v>
          </cell>
          <cell r="EA395">
            <v>0</v>
          </cell>
          <cell r="EB395">
            <v>42.250000000000007</v>
          </cell>
          <cell r="EC395">
            <v>42.250000000000007</v>
          </cell>
          <cell r="ED395">
            <v>21.956521739130437</v>
          </cell>
          <cell r="EE395">
            <v>0</v>
          </cell>
          <cell r="EF395">
            <v>0</v>
          </cell>
          <cell r="EG395">
            <v>40.333333333333343</v>
          </cell>
          <cell r="EH395">
            <v>40.333333333333343</v>
          </cell>
          <cell r="EI395">
            <v>20.956521739130437</v>
          </cell>
          <cell r="EJ395">
            <v>0</v>
          </cell>
          <cell r="EK395">
            <v>0</v>
          </cell>
          <cell r="EL395">
            <v>38.416666666666679</v>
          </cell>
          <cell r="EM395">
            <v>38.416666666666679</v>
          </cell>
          <cell r="EN395">
            <v>19.956521739130441</v>
          </cell>
          <cell r="EO395">
            <v>0</v>
          </cell>
          <cell r="EP395">
            <v>0</v>
          </cell>
          <cell r="EQ395">
            <v>36.500000000000014</v>
          </cell>
          <cell r="ER395">
            <v>36.500000000000014</v>
          </cell>
          <cell r="ES395">
            <v>18.956521739130441</v>
          </cell>
          <cell r="ET395">
            <v>0</v>
          </cell>
          <cell r="EU395">
            <v>0</v>
          </cell>
          <cell r="EV395">
            <v>34.58333333333335</v>
          </cell>
          <cell r="EW395">
            <v>34.58333333333335</v>
          </cell>
          <cell r="EX395">
            <v>17.956521739130444</v>
          </cell>
          <cell r="EY395">
            <v>0</v>
          </cell>
          <cell r="EZ395">
            <v>0</v>
          </cell>
          <cell r="FA395">
            <v>32.666666666666686</v>
          </cell>
          <cell r="FB395">
            <v>32.666666666666686</v>
          </cell>
          <cell r="FC395">
            <v>16.956521739130444</v>
          </cell>
          <cell r="FD395">
            <v>0</v>
          </cell>
          <cell r="FE395">
            <v>0</v>
          </cell>
          <cell r="FF395">
            <v>30.750000000000018</v>
          </cell>
          <cell r="FG395">
            <v>30.750000000000018</v>
          </cell>
          <cell r="FH395">
            <v>15.956521739130444</v>
          </cell>
          <cell r="FI395">
            <v>0</v>
          </cell>
          <cell r="FJ395">
            <v>0</v>
          </cell>
          <cell r="FK395">
            <v>28.83333333333335</v>
          </cell>
          <cell r="FL395">
            <v>28.83333333333335</v>
          </cell>
          <cell r="FM395">
            <v>14.956521739130443</v>
          </cell>
          <cell r="FN395">
            <v>0</v>
          </cell>
          <cell r="FO395">
            <v>0</v>
          </cell>
          <cell r="FP395">
            <v>26.916666666666682</v>
          </cell>
          <cell r="FQ395">
            <v>26.916666666666682</v>
          </cell>
          <cell r="FR395">
            <v>13.956521739130443</v>
          </cell>
          <cell r="FS395">
            <v>0</v>
          </cell>
          <cell r="FT395">
            <v>4</v>
          </cell>
          <cell r="FU395">
            <v>2.0333333333333332</v>
          </cell>
          <cell r="FV395" t="str">
            <v>SI</v>
          </cell>
          <cell r="FW395" t="str">
            <v>SOBRESTOCK</v>
          </cell>
          <cell r="FX395" t="str">
            <v>B</v>
          </cell>
          <cell r="FY395" t="str">
            <v>Si</v>
          </cell>
        </row>
        <row r="396">
          <cell r="B396" t="str">
            <v>REP-0413</v>
          </cell>
          <cell r="C396" t="str">
            <v>MIX</v>
          </cell>
          <cell r="D396">
            <v>0</v>
          </cell>
          <cell r="E396">
            <v>2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2</v>
          </cell>
          <cell r="AA396">
            <v>2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2</v>
          </cell>
          <cell r="AQ396" t="str">
            <v/>
          </cell>
          <cell r="AR396">
            <v>0</v>
          </cell>
          <cell r="AS396">
            <v>2</v>
          </cell>
          <cell r="AT396">
            <v>2</v>
          </cell>
          <cell r="AU396" t="str">
            <v/>
          </cell>
          <cell r="AV396">
            <v>0</v>
          </cell>
          <cell r="AW396">
            <v>2</v>
          </cell>
          <cell r="AX396">
            <v>2</v>
          </cell>
          <cell r="AY396" t="str">
            <v/>
          </cell>
          <cell r="AZ396">
            <v>0</v>
          </cell>
          <cell r="BA396">
            <v>2</v>
          </cell>
          <cell r="BB396">
            <v>2</v>
          </cell>
          <cell r="BC396" t="str">
            <v/>
          </cell>
          <cell r="BD396">
            <v>0</v>
          </cell>
          <cell r="BE396">
            <v>2</v>
          </cell>
          <cell r="BF396" t="str">
            <v/>
          </cell>
          <cell r="BG396">
            <v>0</v>
          </cell>
          <cell r="BH396">
            <v>2</v>
          </cell>
          <cell r="BI396">
            <v>2</v>
          </cell>
          <cell r="BJ396" t="str">
            <v/>
          </cell>
          <cell r="BK396">
            <v>0</v>
          </cell>
          <cell r="BL396">
            <v>2</v>
          </cell>
          <cell r="BM396">
            <v>2</v>
          </cell>
          <cell r="BN396" t="str">
            <v/>
          </cell>
          <cell r="BO396">
            <v>0</v>
          </cell>
          <cell r="BP396">
            <v>2</v>
          </cell>
          <cell r="BQ396">
            <v>2</v>
          </cell>
          <cell r="BR396" t="str">
            <v/>
          </cell>
          <cell r="BS396">
            <v>0</v>
          </cell>
          <cell r="BT396">
            <v>2</v>
          </cell>
          <cell r="BU396">
            <v>2</v>
          </cell>
          <cell r="BV396" t="str">
            <v/>
          </cell>
          <cell r="BW396">
            <v>0</v>
          </cell>
          <cell r="BX396">
            <v>0</v>
          </cell>
          <cell r="BY396">
            <v>2</v>
          </cell>
          <cell r="BZ396">
            <v>2</v>
          </cell>
          <cell r="CA396" t="str">
            <v/>
          </cell>
          <cell r="CB396">
            <v>0</v>
          </cell>
          <cell r="CC396">
            <v>0</v>
          </cell>
          <cell r="CD396">
            <v>2</v>
          </cell>
          <cell r="CE396">
            <v>2</v>
          </cell>
          <cell r="CF396" t="str">
            <v/>
          </cell>
          <cell r="CG396">
            <v>0</v>
          </cell>
          <cell r="CH396">
            <v>0</v>
          </cell>
          <cell r="CI396">
            <v>2</v>
          </cell>
          <cell r="CJ396">
            <v>2</v>
          </cell>
          <cell r="CK396" t="str">
            <v/>
          </cell>
          <cell r="CL396">
            <v>0</v>
          </cell>
          <cell r="CM396">
            <v>0</v>
          </cell>
          <cell r="CN396">
            <v>2</v>
          </cell>
          <cell r="CO396">
            <v>2</v>
          </cell>
          <cell r="CP396" t="str">
            <v/>
          </cell>
          <cell r="CQ396">
            <v>0</v>
          </cell>
          <cell r="CR396">
            <v>0</v>
          </cell>
          <cell r="CS396">
            <v>2</v>
          </cell>
          <cell r="CT396">
            <v>2</v>
          </cell>
          <cell r="CU396" t="str">
            <v/>
          </cell>
          <cell r="CV396">
            <v>0</v>
          </cell>
          <cell r="CW396">
            <v>0</v>
          </cell>
          <cell r="CX396">
            <v>2</v>
          </cell>
          <cell r="CY396">
            <v>2</v>
          </cell>
          <cell r="CZ396" t="str">
            <v/>
          </cell>
          <cell r="DA396">
            <v>0</v>
          </cell>
          <cell r="DB396">
            <v>0</v>
          </cell>
          <cell r="DC396">
            <v>2</v>
          </cell>
          <cell r="DD396">
            <v>2</v>
          </cell>
          <cell r="DE396" t="str">
            <v/>
          </cell>
          <cell r="DF396">
            <v>0</v>
          </cell>
          <cell r="DG396">
            <v>0</v>
          </cell>
          <cell r="DH396">
            <v>2</v>
          </cell>
          <cell r="DI396">
            <v>2</v>
          </cell>
          <cell r="DJ396" t="str">
            <v/>
          </cell>
          <cell r="DK396">
            <v>0</v>
          </cell>
          <cell r="DL396">
            <v>0</v>
          </cell>
          <cell r="DM396">
            <v>2</v>
          </cell>
          <cell r="DN396">
            <v>2</v>
          </cell>
          <cell r="DO396" t="str">
            <v/>
          </cell>
          <cell r="DP396">
            <v>0</v>
          </cell>
          <cell r="DQ396">
            <v>0</v>
          </cell>
          <cell r="DR396">
            <v>2</v>
          </cell>
          <cell r="DS396">
            <v>2</v>
          </cell>
          <cell r="DT396" t="str">
            <v/>
          </cell>
          <cell r="DU396">
            <v>0</v>
          </cell>
          <cell r="DV396">
            <v>0</v>
          </cell>
          <cell r="DW396">
            <v>2</v>
          </cell>
          <cell r="DX396">
            <v>2</v>
          </cell>
          <cell r="DY396" t="str">
            <v/>
          </cell>
          <cell r="DZ396">
            <v>0</v>
          </cell>
          <cell r="EA396">
            <v>0</v>
          </cell>
          <cell r="EB396">
            <v>2</v>
          </cell>
          <cell r="EC396">
            <v>2</v>
          </cell>
          <cell r="ED396" t="str">
            <v/>
          </cell>
          <cell r="EE396">
            <v>0</v>
          </cell>
          <cell r="EF396">
            <v>0</v>
          </cell>
          <cell r="EG396">
            <v>2</v>
          </cell>
          <cell r="EH396">
            <v>2</v>
          </cell>
          <cell r="EI396" t="str">
            <v/>
          </cell>
          <cell r="EJ396">
            <v>0</v>
          </cell>
          <cell r="EK396">
            <v>0</v>
          </cell>
          <cell r="EL396">
            <v>2</v>
          </cell>
          <cell r="EM396">
            <v>2</v>
          </cell>
          <cell r="EN396" t="str">
            <v/>
          </cell>
          <cell r="EO396">
            <v>0</v>
          </cell>
          <cell r="EP396">
            <v>0</v>
          </cell>
          <cell r="EQ396">
            <v>2</v>
          </cell>
          <cell r="ER396">
            <v>2</v>
          </cell>
          <cell r="ES396" t="str">
            <v/>
          </cell>
          <cell r="ET396">
            <v>0</v>
          </cell>
          <cell r="EU396">
            <v>0</v>
          </cell>
          <cell r="EV396">
            <v>2</v>
          </cell>
          <cell r="EW396">
            <v>2</v>
          </cell>
          <cell r="EX396" t="str">
            <v/>
          </cell>
          <cell r="EY396">
            <v>0</v>
          </cell>
          <cell r="EZ396">
            <v>0</v>
          </cell>
          <cell r="FA396">
            <v>2</v>
          </cell>
          <cell r="FB396">
            <v>2</v>
          </cell>
          <cell r="FC396" t="str">
            <v/>
          </cell>
          <cell r="FD396">
            <v>0</v>
          </cell>
          <cell r="FE396">
            <v>0</v>
          </cell>
          <cell r="FF396">
            <v>2</v>
          </cell>
          <cell r="FG396">
            <v>2</v>
          </cell>
          <cell r="FH396" t="str">
            <v/>
          </cell>
          <cell r="FI396">
            <v>0</v>
          </cell>
          <cell r="FJ396">
            <v>0</v>
          </cell>
          <cell r="FK396">
            <v>2</v>
          </cell>
          <cell r="FL396">
            <v>2</v>
          </cell>
          <cell r="FM396" t="str">
            <v/>
          </cell>
          <cell r="FN396">
            <v>0</v>
          </cell>
          <cell r="FO396">
            <v>0</v>
          </cell>
          <cell r="FP396">
            <v>2</v>
          </cell>
          <cell r="FQ396">
            <v>2</v>
          </cell>
          <cell r="FR396" t="str">
            <v/>
          </cell>
          <cell r="FS396">
            <v>0</v>
          </cell>
          <cell r="FT396">
            <v>0</v>
          </cell>
          <cell r="FU396">
            <v>2.0333333333333332</v>
          </cell>
          <cell r="FW396" t="str">
            <v>SIN ROTACIÓN</v>
          </cell>
          <cell r="FX396" t="str">
            <v>STOCK MUERTO</v>
          </cell>
          <cell r="FY396" t="str">
            <v>Si</v>
          </cell>
        </row>
        <row r="397">
          <cell r="B397" t="str">
            <v>REP-0414</v>
          </cell>
          <cell r="C397" t="str">
            <v>MIX</v>
          </cell>
          <cell r="D397">
            <v>0</v>
          </cell>
          <cell r="E397">
            <v>18</v>
          </cell>
          <cell r="F397">
            <v>0</v>
          </cell>
          <cell r="G397">
            <v>0</v>
          </cell>
          <cell r="H397">
            <v>4</v>
          </cell>
          <cell r="I397">
            <v>4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1</v>
          </cell>
          <cell r="P397">
            <v>0</v>
          </cell>
          <cell r="Q397">
            <v>1</v>
          </cell>
          <cell r="R397">
            <v>2</v>
          </cell>
          <cell r="S397">
            <v>1</v>
          </cell>
          <cell r="T397">
            <v>1</v>
          </cell>
          <cell r="U397">
            <v>1</v>
          </cell>
          <cell r="V397">
            <v>1</v>
          </cell>
          <cell r="W397">
            <v>2</v>
          </cell>
          <cell r="X397">
            <v>1</v>
          </cell>
          <cell r="Y397">
            <v>37</v>
          </cell>
          <cell r="AA397">
            <v>37</v>
          </cell>
          <cell r="AB397">
            <v>0</v>
          </cell>
          <cell r="AC397">
            <v>0</v>
          </cell>
          <cell r="AD397">
            <v>0</v>
          </cell>
          <cell r="AE397">
            <v>0.16666666666666666</v>
          </cell>
          <cell r="AF397">
            <v>1.8333333333333333</v>
          </cell>
          <cell r="AG397">
            <v>1.5</v>
          </cell>
          <cell r="AH397">
            <v>2.5</v>
          </cell>
          <cell r="AI397">
            <v>1</v>
          </cell>
          <cell r="AJ397">
            <v>1</v>
          </cell>
          <cell r="AK397">
            <v>1.5</v>
          </cell>
          <cell r="AL397">
            <v>0.70710678118654757</v>
          </cell>
          <cell r="AM397">
            <v>1.5</v>
          </cell>
          <cell r="AN397">
            <v>0.47140452079103173</v>
          </cell>
          <cell r="AO397">
            <v>0</v>
          </cell>
          <cell r="AP397">
            <v>55.333333333333336</v>
          </cell>
          <cell r="AQ397">
            <v>30.636363636363637</v>
          </cell>
          <cell r="AR397">
            <v>0</v>
          </cell>
          <cell r="AS397">
            <v>54.333333333333329</v>
          </cell>
          <cell r="AT397">
            <v>57</v>
          </cell>
          <cell r="AU397">
            <v>38</v>
          </cell>
          <cell r="AV397">
            <v>0</v>
          </cell>
          <cell r="AW397">
            <v>55.5</v>
          </cell>
          <cell r="AX397">
            <v>57</v>
          </cell>
          <cell r="AY397">
            <v>38</v>
          </cell>
          <cell r="AZ397">
            <v>0</v>
          </cell>
          <cell r="BA397">
            <v>55.5</v>
          </cell>
          <cell r="BB397">
            <v>52</v>
          </cell>
          <cell r="BC397">
            <v>26</v>
          </cell>
          <cell r="BD397">
            <v>0</v>
          </cell>
          <cell r="BE397">
            <v>50</v>
          </cell>
          <cell r="BF397">
            <v>25</v>
          </cell>
          <cell r="BG397">
            <v>0</v>
          </cell>
          <cell r="BH397">
            <v>48</v>
          </cell>
          <cell r="BI397">
            <v>37</v>
          </cell>
          <cell r="BJ397">
            <v>24.666666666666668</v>
          </cell>
          <cell r="BK397">
            <v>0</v>
          </cell>
          <cell r="BL397">
            <v>40.666666666666664</v>
          </cell>
          <cell r="BM397">
            <v>43</v>
          </cell>
          <cell r="BN397">
            <v>17.2</v>
          </cell>
          <cell r="BO397">
            <v>0</v>
          </cell>
          <cell r="BP397">
            <v>40.5</v>
          </cell>
          <cell r="BQ397">
            <v>42</v>
          </cell>
          <cell r="BR397">
            <v>28</v>
          </cell>
          <cell r="BS397">
            <v>0</v>
          </cell>
          <cell r="BT397">
            <v>39.5</v>
          </cell>
          <cell r="BU397">
            <v>41</v>
          </cell>
          <cell r="BV397">
            <v>15.375</v>
          </cell>
          <cell r="BW397">
            <v>0</v>
          </cell>
          <cell r="BX397">
            <v>0</v>
          </cell>
          <cell r="BY397">
            <v>38.333333333333336</v>
          </cell>
          <cell r="BZ397">
            <v>37</v>
          </cell>
          <cell r="CA397">
            <v>14.8</v>
          </cell>
          <cell r="CB397">
            <v>0</v>
          </cell>
          <cell r="CC397">
            <v>0</v>
          </cell>
          <cell r="CD397">
            <v>34.5</v>
          </cell>
          <cell r="CE397">
            <v>32</v>
          </cell>
          <cell r="CF397">
            <v>12</v>
          </cell>
          <cell r="CG397">
            <v>0</v>
          </cell>
          <cell r="CH397">
            <v>0</v>
          </cell>
          <cell r="CI397">
            <v>31.833333333333332</v>
          </cell>
          <cell r="CJ397">
            <v>28</v>
          </cell>
          <cell r="CK397">
            <v>10.5</v>
          </cell>
          <cell r="CL397">
            <v>0</v>
          </cell>
          <cell r="CM397">
            <v>0</v>
          </cell>
          <cell r="CN397">
            <v>25.333333333333332</v>
          </cell>
          <cell r="CO397">
            <v>26</v>
          </cell>
          <cell r="CP397">
            <v>9.75</v>
          </cell>
          <cell r="CQ397">
            <v>0</v>
          </cell>
          <cell r="CR397">
            <v>0</v>
          </cell>
          <cell r="CS397">
            <v>23.333333333333332</v>
          </cell>
          <cell r="CT397">
            <v>28</v>
          </cell>
          <cell r="CU397">
            <v>9.8823529411764692</v>
          </cell>
          <cell r="CV397">
            <v>0</v>
          </cell>
          <cell r="CW397">
            <v>0</v>
          </cell>
          <cell r="CX397">
            <v>25.166666666666668</v>
          </cell>
          <cell r="CY397">
            <v>24</v>
          </cell>
          <cell r="CZ397">
            <v>9.6</v>
          </cell>
          <cell r="DA397">
            <v>0</v>
          </cell>
          <cell r="DB397">
            <v>10</v>
          </cell>
          <cell r="DC397">
            <v>32.375</v>
          </cell>
          <cell r="DD397">
            <v>37</v>
          </cell>
          <cell r="DE397">
            <v>20.307692307692307</v>
          </cell>
          <cell r="DF397">
            <v>0</v>
          </cell>
          <cell r="DG397">
            <v>0</v>
          </cell>
          <cell r="DH397">
            <v>35.375</v>
          </cell>
          <cell r="DI397">
            <v>34</v>
          </cell>
          <cell r="DJ397">
            <v>19.910447761194028</v>
          </cell>
          <cell r="DK397">
            <v>0</v>
          </cell>
          <cell r="DL397">
            <v>0</v>
          </cell>
          <cell r="DM397">
            <v>33.700000000000003</v>
          </cell>
          <cell r="DN397">
            <v>37</v>
          </cell>
          <cell r="DO397">
            <v>24</v>
          </cell>
          <cell r="DP397">
            <v>0</v>
          </cell>
          <cell r="DQ397">
            <v>0</v>
          </cell>
          <cell r="DR397">
            <v>35.5</v>
          </cell>
          <cell r="DS397">
            <v>35.5</v>
          </cell>
          <cell r="DT397">
            <v>23</v>
          </cell>
          <cell r="DU397">
            <v>0</v>
          </cell>
          <cell r="DV397">
            <v>0</v>
          </cell>
          <cell r="DW397">
            <v>34</v>
          </cell>
          <cell r="DX397">
            <v>34</v>
          </cell>
          <cell r="DY397">
            <v>22</v>
          </cell>
          <cell r="DZ397">
            <v>0</v>
          </cell>
          <cell r="EA397">
            <v>0</v>
          </cell>
          <cell r="EB397">
            <v>32.5</v>
          </cell>
          <cell r="EC397">
            <v>32.5</v>
          </cell>
          <cell r="ED397">
            <v>21</v>
          </cell>
          <cell r="EE397">
            <v>0</v>
          </cell>
          <cell r="EF397">
            <v>0</v>
          </cell>
          <cell r="EG397">
            <v>31</v>
          </cell>
          <cell r="EH397">
            <v>31</v>
          </cell>
          <cell r="EI397">
            <v>20</v>
          </cell>
          <cell r="EJ397">
            <v>0</v>
          </cell>
          <cell r="EK397">
            <v>0</v>
          </cell>
          <cell r="EL397">
            <v>29.5</v>
          </cell>
          <cell r="EM397">
            <v>29.5</v>
          </cell>
          <cell r="EN397">
            <v>19</v>
          </cell>
          <cell r="EO397">
            <v>0</v>
          </cell>
          <cell r="EP397">
            <v>0</v>
          </cell>
          <cell r="EQ397">
            <v>28</v>
          </cell>
          <cell r="ER397">
            <v>28</v>
          </cell>
          <cell r="ES397">
            <v>18</v>
          </cell>
          <cell r="ET397">
            <v>0</v>
          </cell>
          <cell r="EU397">
            <v>0</v>
          </cell>
          <cell r="EV397">
            <v>26.5</v>
          </cell>
          <cell r="EW397">
            <v>26.5</v>
          </cell>
          <cell r="EX397">
            <v>17</v>
          </cell>
          <cell r="EY397">
            <v>0</v>
          </cell>
          <cell r="EZ397">
            <v>0</v>
          </cell>
          <cell r="FA397">
            <v>25</v>
          </cell>
          <cell r="FB397">
            <v>25</v>
          </cell>
          <cell r="FC397">
            <v>16</v>
          </cell>
          <cell r="FD397">
            <v>0</v>
          </cell>
          <cell r="FE397">
            <v>0</v>
          </cell>
          <cell r="FF397">
            <v>23.5</v>
          </cell>
          <cell r="FG397">
            <v>23.5</v>
          </cell>
          <cell r="FH397">
            <v>15</v>
          </cell>
          <cell r="FI397">
            <v>0</v>
          </cell>
          <cell r="FJ397">
            <v>0</v>
          </cell>
          <cell r="FK397">
            <v>22</v>
          </cell>
          <cell r="FL397">
            <v>22</v>
          </cell>
          <cell r="FM397">
            <v>14</v>
          </cell>
          <cell r="FN397">
            <v>0</v>
          </cell>
          <cell r="FO397">
            <v>0</v>
          </cell>
          <cell r="FP397">
            <v>20.5</v>
          </cell>
          <cell r="FQ397">
            <v>20.5</v>
          </cell>
          <cell r="FR397">
            <v>13</v>
          </cell>
          <cell r="FS397">
            <v>0</v>
          </cell>
          <cell r="FT397">
            <v>4</v>
          </cell>
          <cell r="FU397">
            <v>2.0333333333333332</v>
          </cell>
          <cell r="FW397" t="str">
            <v>SOBRESTOCK</v>
          </cell>
          <cell r="FX397" t="str">
            <v>B</v>
          </cell>
          <cell r="FY397" t="str">
            <v>Si</v>
          </cell>
        </row>
        <row r="398">
          <cell r="B398" t="str">
            <v>REP-0415</v>
          </cell>
          <cell r="C398" t="str">
            <v>MIX</v>
          </cell>
          <cell r="D398">
            <v>0</v>
          </cell>
          <cell r="E398">
            <v>3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3</v>
          </cell>
          <cell r="AA398">
            <v>3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8.3333333333333329E-2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3.7267799624996489E-2</v>
          </cell>
          <cell r="AM398">
            <v>0</v>
          </cell>
          <cell r="AN398">
            <v>0</v>
          </cell>
          <cell r="AO398">
            <v>0</v>
          </cell>
          <cell r="AP398">
            <v>4</v>
          </cell>
          <cell r="AQ398">
            <v>47</v>
          </cell>
          <cell r="AR398">
            <v>0</v>
          </cell>
          <cell r="AS398">
            <v>3.833333333333333</v>
          </cell>
          <cell r="AT398">
            <v>4</v>
          </cell>
          <cell r="AU398" t="str">
            <v/>
          </cell>
          <cell r="AV398">
            <v>0</v>
          </cell>
          <cell r="AW398">
            <v>4</v>
          </cell>
          <cell r="AX398">
            <v>4</v>
          </cell>
          <cell r="AY398" t="str">
            <v/>
          </cell>
          <cell r="AZ398">
            <v>0</v>
          </cell>
          <cell r="BA398">
            <v>4</v>
          </cell>
          <cell r="BB398">
            <v>4</v>
          </cell>
          <cell r="BC398" t="str">
            <v/>
          </cell>
          <cell r="BD398">
            <v>0</v>
          </cell>
          <cell r="BE398">
            <v>4</v>
          </cell>
          <cell r="BF398" t="str">
            <v/>
          </cell>
          <cell r="BG398">
            <v>0</v>
          </cell>
          <cell r="BH398">
            <v>4</v>
          </cell>
          <cell r="BI398">
            <v>3</v>
          </cell>
          <cell r="BJ398" t="str">
            <v/>
          </cell>
          <cell r="BK398">
            <v>0</v>
          </cell>
          <cell r="BL398">
            <v>4</v>
          </cell>
          <cell r="BM398">
            <v>4</v>
          </cell>
          <cell r="BN398" t="str">
            <v/>
          </cell>
          <cell r="BO398">
            <v>0</v>
          </cell>
          <cell r="BP398">
            <v>4</v>
          </cell>
          <cell r="BQ398">
            <v>4</v>
          </cell>
          <cell r="BR398" t="str">
            <v/>
          </cell>
          <cell r="BS398">
            <v>0</v>
          </cell>
          <cell r="BT398">
            <v>4</v>
          </cell>
          <cell r="BU398">
            <v>4</v>
          </cell>
          <cell r="BV398" t="str">
            <v/>
          </cell>
          <cell r="BW398">
            <v>0</v>
          </cell>
          <cell r="BX398">
            <v>0</v>
          </cell>
          <cell r="BY398">
            <v>4</v>
          </cell>
          <cell r="BZ398">
            <v>4</v>
          </cell>
          <cell r="CA398" t="str">
            <v/>
          </cell>
          <cell r="CB398">
            <v>0</v>
          </cell>
          <cell r="CC398">
            <v>0</v>
          </cell>
          <cell r="CD398">
            <v>4</v>
          </cell>
          <cell r="CE398">
            <v>4</v>
          </cell>
          <cell r="CF398" t="str">
            <v/>
          </cell>
          <cell r="CG398">
            <v>0</v>
          </cell>
          <cell r="CH398">
            <v>0</v>
          </cell>
          <cell r="CI398">
            <v>4</v>
          </cell>
          <cell r="CJ398">
            <v>4</v>
          </cell>
          <cell r="CK398" t="str">
            <v/>
          </cell>
          <cell r="CL398">
            <v>0</v>
          </cell>
          <cell r="CM398">
            <v>0</v>
          </cell>
          <cell r="CN398">
            <v>4</v>
          </cell>
          <cell r="CO398">
            <v>4</v>
          </cell>
          <cell r="CP398" t="str">
            <v/>
          </cell>
          <cell r="CQ398">
            <v>0</v>
          </cell>
          <cell r="CR398">
            <v>0</v>
          </cell>
          <cell r="CS398">
            <v>4</v>
          </cell>
          <cell r="CT398">
            <v>4</v>
          </cell>
          <cell r="CU398" t="str">
            <v/>
          </cell>
          <cell r="CV398">
            <v>0</v>
          </cell>
          <cell r="CW398">
            <v>0</v>
          </cell>
          <cell r="CX398">
            <v>4</v>
          </cell>
          <cell r="CY398">
            <v>4</v>
          </cell>
          <cell r="CZ398" t="str">
            <v/>
          </cell>
          <cell r="DA398">
            <v>0</v>
          </cell>
          <cell r="DB398">
            <v>0</v>
          </cell>
          <cell r="DC398">
            <v>4</v>
          </cell>
          <cell r="DD398">
            <v>4</v>
          </cell>
          <cell r="DE398" t="str">
            <v/>
          </cell>
          <cell r="DF398">
            <v>0</v>
          </cell>
          <cell r="DG398">
            <v>0</v>
          </cell>
          <cell r="DH398">
            <v>4</v>
          </cell>
          <cell r="DI398">
            <v>4</v>
          </cell>
          <cell r="DJ398" t="str">
            <v/>
          </cell>
          <cell r="DK398">
            <v>0</v>
          </cell>
          <cell r="DL398">
            <v>0</v>
          </cell>
          <cell r="DM398">
            <v>4</v>
          </cell>
          <cell r="DN398">
            <v>3</v>
          </cell>
          <cell r="DO398" t="str">
            <v/>
          </cell>
          <cell r="DP398">
            <v>0</v>
          </cell>
          <cell r="DQ398">
            <v>0</v>
          </cell>
          <cell r="DR398">
            <v>3</v>
          </cell>
          <cell r="DS398">
            <v>3</v>
          </cell>
          <cell r="DT398" t="str">
            <v/>
          </cell>
          <cell r="DU398">
            <v>0</v>
          </cell>
          <cell r="DV398">
            <v>0</v>
          </cell>
          <cell r="DW398">
            <v>3</v>
          </cell>
          <cell r="DX398">
            <v>3</v>
          </cell>
          <cell r="DY398" t="str">
            <v/>
          </cell>
          <cell r="DZ398">
            <v>0</v>
          </cell>
          <cell r="EA398">
            <v>0</v>
          </cell>
          <cell r="EB398">
            <v>3</v>
          </cell>
          <cell r="EC398">
            <v>3</v>
          </cell>
          <cell r="ED398" t="str">
            <v/>
          </cell>
          <cell r="EE398">
            <v>0</v>
          </cell>
          <cell r="EF398">
            <v>0</v>
          </cell>
          <cell r="EG398">
            <v>3</v>
          </cell>
          <cell r="EH398">
            <v>3</v>
          </cell>
          <cell r="EI398" t="str">
            <v/>
          </cell>
          <cell r="EJ398">
            <v>0</v>
          </cell>
          <cell r="EK398">
            <v>0</v>
          </cell>
          <cell r="EL398">
            <v>3</v>
          </cell>
          <cell r="EM398">
            <v>3</v>
          </cell>
          <cell r="EN398" t="str">
            <v/>
          </cell>
          <cell r="EO398">
            <v>0</v>
          </cell>
          <cell r="EP398">
            <v>0</v>
          </cell>
          <cell r="EQ398">
            <v>3</v>
          </cell>
          <cell r="ER398">
            <v>3</v>
          </cell>
          <cell r="ES398" t="str">
            <v/>
          </cell>
          <cell r="ET398">
            <v>0</v>
          </cell>
          <cell r="EU398">
            <v>0</v>
          </cell>
          <cell r="EV398">
            <v>3</v>
          </cell>
          <cell r="EW398">
            <v>3</v>
          </cell>
          <cell r="EX398" t="str">
            <v/>
          </cell>
          <cell r="EY398">
            <v>0</v>
          </cell>
          <cell r="EZ398">
            <v>0</v>
          </cell>
          <cell r="FA398">
            <v>3</v>
          </cell>
          <cell r="FB398">
            <v>3</v>
          </cell>
          <cell r="FC398" t="str">
            <v/>
          </cell>
          <cell r="FD398">
            <v>0</v>
          </cell>
          <cell r="FE398">
            <v>0</v>
          </cell>
          <cell r="FF398">
            <v>3</v>
          </cell>
          <cell r="FG398">
            <v>3</v>
          </cell>
          <cell r="FH398" t="str">
            <v/>
          </cell>
          <cell r="FI398">
            <v>0</v>
          </cell>
          <cell r="FJ398">
            <v>0</v>
          </cell>
          <cell r="FK398">
            <v>3</v>
          </cell>
          <cell r="FL398">
            <v>3</v>
          </cell>
          <cell r="FM398" t="str">
            <v/>
          </cell>
          <cell r="FN398">
            <v>0</v>
          </cell>
          <cell r="FO398">
            <v>0</v>
          </cell>
          <cell r="FP398">
            <v>3</v>
          </cell>
          <cell r="FQ398">
            <v>3</v>
          </cell>
          <cell r="FR398" t="str">
            <v/>
          </cell>
          <cell r="FS398">
            <v>0</v>
          </cell>
          <cell r="FT398">
            <v>0</v>
          </cell>
          <cell r="FU398">
            <v>2.0333333333333332</v>
          </cell>
          <cell r="FW398" t="str">
            <v>SIN ROTACIÓN</v>
          </cell>
          <cell r="FX398" t="str">
            <v>C</v>
          </cell>
          <cell r="FY398" t="str">
            <v>Si</v>
          </cell>
        </row>
        <row r="399">
          <cell r="B399" t="str">
            <v>REP-0416</v>
          </cell>
          <cell r="C399" t="str">
            <v>MIX</v>
          </cell>
          <cell r="D399">
            <v>0</v>
          </cell>
          <cell r="E399">
            <v>1</v>
          </cell>
          <cell r="F399">
            <v>0</v>
          </cell>
          <cell r="G399">
            <v>0</v>
          </cell>
          <cell r="H399">
            <v>5</v>
          </cell>
          <cell r="I399">
            <v>5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1</v>
          </cell>
          <cell r="P399">
            <v>0</v>
          </cell>
          <cell r="Q399">
            <v>0</v>
          </cell>
          <cell r="R399">
            <v>1</v>
          </cell>
          <cell r="S399">
            <v>1</v>
          </cell>
          <cell r="T399">
            <v>1</v>
          </cell>
          <cell r="U399">
            <v>1</v>
          </cell>
          <cell r="V399">
            <v>0</v>
          </cell>
          <cell r="W399">
            <v>0</v>
          </cell>
          <cell r="X399">
            <v>0</v>
          </cell>
          <cell r="Y399">
            <v>16</v>
          </cell>
          <cell r="AA399">
            <v>16</v>
          </cell>
          <cell r="AB399">
            <v>0</v>
          </cell>
          <cell r="AC399">
            <v>0.5</v>
          </cell>
          <cell r="AD399">
            <v>1.6666666666666666E-2</v>
          </cell>
          <cell r="AE399">
            <v>0.25</v>
          </cell>
          <cell r="AF399">
            <v>0.83333333333333337</v>
          </cell>
          <cell r="AG399">
            <v>0.16666666666666666</v>
          </cell>
          <cell r="AH399">
            <v>0.33333333333333331</v>
          </cell>
          <cell r="AI399">
            <v>0.16666666666666666</v>
          </cell>
          <cell r="AJ399">
            <v>0.16666666666666666</v>
          </cell>
          <cell r="AK399">
            <v>0.33333333333333331</v>
          </cell>
          <cell r="AL399">
            <v>8.3333333333333467E-2</v>
          </cell>
          <cell r="AM399">
            <v>0.20833333333333331</v>
          </cell>
          <cell r="AN399">
            <v>0.40000000000000069</v>
          </cell>
          <cell r="AO399">
            <v>0</v>
          </cell>
          <cell r="AP399">
            <v>18.5</v>
          </cell>
          <cell r="AQ399">
            <v>21.8</v>
          </cell>
          <cell r="AR399">
            <v>0</v>
          </cell>
          <cell r="AS399">
            <v>17.333333333333336</v>
          </cell>
          <cell r="AT399">
            <v>19</v>
          </cell>
          <cell r="AU399">
            <v>114</v>
          </cell>
          <cell r="AV399">
            <v>0</v>
          </cell>
          <cell r="AW399">
            <v>18.833333333333332</v>
          </cell>
          <cell r="AX399">
            <v>19</v>
          </cell>
          <cell r="AY399">
            <v>57</v>
          </cell>
          <cell r="AZ399">
            <v>0</v>
          </cell>
          <cell r="BA399">
            <v>18.833333333333332</v>
          </cell>
          <cell r="BB399">
            <v>19</v>
          </cell>
          <cell r="BC399">
            <v>114</v>
          </cell>
          <cell r="BD399">
            <v>0</v>
          </cell>
          <cell r="BE399">
            <v>18.833333333333332</v>
          </cell>
          <cell r="BF399">
            <v>113</v>
          </cell>
          <cell r="BG399">
            <v>0</v>
          </cell>
          <cell r="BH399">
            <v>18.666666666666664</v>
          </cell>
          <cell r="BI399">
            <v>16</v>
          </cell>
          <cell r="BJ399">
            <v>48</v>
          </cell>
          <cell r="BK399">
            <v>0</v>
          </cell>
          <cell r="BL399">
            <v>17.833333333333332</v>
          </cell>
          <cell r="BM399">
            <v>18</v>
          </cell>
          <cell r="BN399">
            <v>108</v>
          </cell>
          <cell r="BO399">
            <v>0</v>
          </cell>
          <cell r="BP399">
            <v>17.833333333333332</v>
          </cell>
          <cell r="BQ399">
            <v>17</v>
          </cell>
          <cell r="BR399">
            <v>51</v>
          </cell>
          <cell r="BS399">
            <v>0</v>
          </cell>
          <cell r="BT399">
            <v>16.666666666666668</v>
          </cell>
          <cell r="BU399">
            <v>16</v>
          </cell>
          <cell r="BV399">
            <v>32</v>
          </cell>
          <cell r="BW399">
            <v>0</v>
          </cell>
          <cell r="BX399">
            <v>0</v>
          </cell>
          <cell r="BY399">
            <v>15.5</v>
          </cell>
          <cell r="BZ399">
            <v>15</v>
          </cell>
          <cell r="CA399">
            <v>22.5</v>
          </cell>
          <cell r="CB399">
            <v>0</v>
          </cell>
          <cell r="CC399">
            <v>0</v>
          </cell>
          <cell r="CD399">
            <v>14.333333333333334</v>
          </cell>
          <cell r="CE399">
            <v>15</v>
          </cell>
          <cell r="CF399">
            <v>30</v>
          </cell>
          <cell r="CG399">
            <v>0</v>
          </cell>
          <cell r="CH399">
            <v>0</v>
          </cell>
          <cell r="CI399">
            <v>13.833333333333334</v>
          </cell>
          <cell r="CJ399">
            <v>16</v>
          </cell>
          <cell r="CK399">
            <v>32</v>
          </cell>
          <cell r="CL399">
            <v>0</v>
          </cell>
          <cell r="CM399">
            <v>0</v>
          </cell>
          <cell r="CN399">
            <v>15.5</v>
          </cell>
          <cell r="CO399">
            <v>15</v>
          </cell>
          <cell r="CP399">
            <v>15</v>
          </cell>
          <cell r="CQ399">
            <v>0</v>
          </cell>
          <cell r="CR399">
            <v>0</v>
          </cell>
          <cell r="CS399">
            <v>14</v>
          </cell>
          <cell r="CT399">
            <v>15</v>
          </cell>
          <cell r="CU399">
            <v>30</v>
          </cell>
          <cell r="CV399">
            <v>0</v>
          </cell>
          <cell r="CW399">
            <v>0</v>
          </cell>
          <cell r="CX399">
            <v>14.5</v>
          </cell>
          <cell r="CY399">
            <v>15</v>
          </cell>
          <cell r="CZ399">
            <v>45</v>
          </cell>
          <cell r="DA399">
            <v>0</v>
          </cell>
          <cell r="DB399">
            <v>0</v>
          </cell>
          <cell r="DC399">
            <v>14.666666666666666</v>
          </cell>
          <cell r="DD399">
            <v>14</v>
          </cell>
          <cell r="DE399">
            <v>39</v>
          </cell>
          <cell r="DF399">
            <v>0</v>
          </cell>
          <cell r="DG399">
            <v>0</v>
          </cell>
          <cell r="DH399">
            <v>13.666666666666666</v>
          </cell>
          <cell r="DI399">
            <v>14</v>
          </cell>
          <cell r="DJ399">
            <v>41</v>
          </cell>
          <cell r="DK399">
            <v>0</v>
          </cell>
          <cell r="DL399">
            <v>0</v>
          </cell>
          <cell r="DM399">
            <v>13.333333333333332</v>
          </cell>
          <cell r="DN399">
            <v>16</v>
          </cell>
          <cell r="DO399">
            <v>47</v>
          </cell>
          <cell r="DP399">
            <v>0</v>
          </cell>
          <cell r="DQ399">
            <v>0</v>
          </cell>
          <cell r="DR399">
            <v>15.666666666666666</v>
          </cell>
          <cell r="DS399">
            <v>15.666666666666666</v>
          </cell>
          <cell r="DT399">
            <v>46</v>
          </cell>
          <cell r="DU399">
            <v>0</v>
          </cell>
          <cell r="DV399">
            <v>0</v>
          </cell>
          <cell r="DW399">
            <v>15.333333333333332</v>
          </cell>
          <cell r="DX399">
            <v>15.333333333333332</v>
          </cell>
          <cell r="DY399">
            <v>45</v>
          </cell>
          <cell r="DZ399">
            <v>0</v>
          </cell>
          <cell r="EA399">
            <v>0</v>
          </cell>
          <cell r="EB399">
            <v>14.999999999999998</v>
          </cell>
          <cell r="EC399">
            <v>14.999999999999998</v>
          </cell>
          <cell r="ED399">
            <v>44</v>
          </cell>
          <cell r="EE399">
            <v>0</v>
          </cell>
          <cell r="EF399">
            <v>0</v>
          </cell>
          <cell r="EG399">
            <v>14.666666666666664</v>
          </cell>
          <cell r="EH399">
            <v>14.666666666666664</v>
          </cell>
          <cell r="EI399">
            <v>42.999999999999993</v>
          </cell>
          <cell r="EJ399">
            <v>0</v>
          </cell>
          <cell r="EK399">
            <v>0</v>
          </cell>
          <cell r="EL399">
            <v>14.33333333333333</v>
          </cell>
          <cell r="EM399">
            <v>14.33333333333333</v>
          </cell>
          <cell r="EN399">
            <v>41.999999999999993</v>
          </cell>
          <cell r="EO399">
            <v>0</v>
          </cell>
          <cell r="EP399">
            <v>0</v>
          </cell>
          <cell r="EQ399">
            <v>13.999999999999996</v>
          </cell>
          <cell r="ER399">
            <v>13.999999999999996</v>
          </cell>
          <cell r="ES399">
            <v>40.999999999999993</v>
          </cell>
          <cell r="ET399">
            <v>0</v>
          </cell>
          <cell r="EU399">
            <v>0</v>
          </cell>
          <cell r="EV399">
            <v>13.666666666666663</v>
          </cell>
          <cell r="EW399">
            <v>13.666666666666663</v>
          </cell>
          <cell r="EX399">
            <v>39.999999999999993</v>
          </cell>
          <cell r="EY399">
            <v>0</v>
          </cell>
          <cell r="EZ399">
            <v>0</v>
          </cell>
          <cell r="FA399">
            <v>13.333333333333329</v>
          </cell>
          <cell r="FB399">
            <v>13.333333333333329</v>
          </cell>
          <cell r="FC399">
            <v>38.999999999999986</v>
          </cell>
          <cell r="FD399">
            <v>0</v>
          </cell>
          <cell r="FE399">
            <v>0</v>
          </cell>
          <cell r="FF399">
            <v>12.999999999999995</v>
          </cell>
          <cell r="FG399">
            <v>12.999999999999995</v>
          </cell>
          <cell r="FH399">
            <v>37.999999999999986</v>
          </cell>
          <cell r="FI399">
            <v>0</v>
          </cell>
          <cell r="FJ399">
            <v>0</v>
          </cell>
          <cell r="FK399">
            <v>12.666666666666661</v>
          </cell>
          <cell r="FL399">
            <v>12.666666666666661</v>
          </cell>
          <cell r="FM399">
            <v>36.999999999999986</v>
          </cell>
          <cell r="FN399">
            <v>0</v>
          </cell>
          <cell r="FO399">
            <v>0</v>
          </cell>
          <cell r="FP399">
            <v>12.333333333333327</v>
          </cell>
          <cell r="FQ399">
            <v>12.333333333333327</v>
          </cell>
          <cell r="FR399">
            <v>35.999999999999986</v>
          </cell>
          <cell r="FS399">
            <v>0</v>
          </cell>
          <cell r="FT399">
            <v>1</v>
          </cell>
          <cell r="FU399">
            <v>2.0333333333333332</v>
          </cell>
          <cell r="FW399" t="str">
            <v>SOBRESTOCK</v>
          </cell>
          <cell r="FX399" t="str">
            <v>C</v>
          </cell>
          <cell r="FY399" t="str">
            <v>Si</v>
          </cell>
        </row>
        <row r="400">
          <cell r="B400" t="str">
            <v>REP-0417</v>
          </cell>
          <cell r="C400" t="str">
            <v>MIX</v>
          </cell>
          <cell r="D400">
            <v>0</v>
          </cell>
          <cell r="E400">
            <v>10</v>
          </cell>
          <cell r="F400">
            <v>0</v>
          </cell>
          <cell r="G400">
            <v>0</v>
          </cell>
          <cell r="H400">
            <v>1</v>
          </cell>
          <cell r="I400">
            <v>1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1</v>
          </cell>
          <cell r="P400">
            <v>0</v>
          </cell>
          <cell r="Q400">
            <v>1</v>
          </cell>
          <cell r="R400">
            <v>2</v>
          </cell>
          <cell r="S400">
            <v>1</v>
          </cell>
          <cell r="T400">
            <v>0</v>
          </cell>
          <cell r="U400">
            <v>1</v>
          </cell>
          <cell r="V400">
            <v>0</v>
          </cell>
          <cell r="W400">
            <v>0</v>
          </cell>
          <cell r="X400">
            <v>0</v>
          </cell>
          <cell r="Y400">
            <v>18</v>
          </cell>
          <cell r="AA400">
            <v>18</v>
          </cell>
          <cell r="AB400">
            <v>0</v>
          </cell>
          <cell r="AC400">
            <v>0.66666666666666663</v>
          </cell>
          <cell r="AD400">
            <v>2.222222222222222E-2</v>
          </cell>
          <cell r="AE400">
            <v>0.33333333333333331</v>
          </cell>
          <cell r="AF400">
            <v>1.1666666666666667</v>
          </cell>
          <cell r="AG400">
            <v>1.0833333333333333</v>
          </cell>
          <cell r="AH400">
            <v>1</v>
          </cell>
          <cell r="AI400">
            <v>2.5</v>
          </cell>
          <cell r="AJ400">
            <v>2.5</v>
          </cell>
          <cell r="AK400">
            <v>2</v>
          </cell>
          <cell r="AL400">
            <v>0.84265618400652864</v>
          </cell>
          <cell r="AM400">
            <v>1.7708333333333333</v>
          </cell>
          <cell r="AN400">
            <v>0.47585290390956914</v>
          </cell>
          <cell r="AO400">
            <v>0</v>
          </cell>
          <cell r="AP400">
            <v>13.5</v>
          </cell>
          <cell r="AQ400">
            <v>11.857142857142858</v>
          </cell>
          <cell r="AR400">
            <v>0</v>
          </cell>
          <cell r="AS400">
            <v>12.666666666666668</v>
          </cell>
          <cell r="AT400">
            <v>14</v>
          </cell>
          <cell r="AU400">
            <v>12.923076923076923</v>
          </cell>
          <cell r="AV400">
            <v>0</v>
          </cell>
          <cell r="AW400">
            <v>12.916666666666666</v>
          </cell>
          <cell r="AX400">
            <v>14</v>
          </cell>
          <cell r="AY400">
            <v>7</v>
          </cell>
          <cell r="AZ400">
            <v>0</v>
          </cell>
          <cell r="BA400">
            <v>12.916666666666666</v>
          </cell>
          <cell r="BB400">
            <v>14</v>
          </cell>
          <cell r="BC400">
            <v>12.923076923076923</v>
          </cell>
          <cell r="BD400">
            <v>0</v>
          </cell>
          <cell r="BE400">
            <v>12.916666666666666</v>
          </cell>
          <cell r="BF400">
            <v>11.923076923076923</v>
          </cell>
          <cell r="BG400">
            <v>0</v>
          </cell>
          <cell r="BH400">
            <v>11.833333333333332</v>
          </cell>
          <cell r="BI400">
            <v>18</v>
          </cell>
          <cell r="BJ400">
            <v>9</v>
          </cell>
          <cell r="BK400">
            <v>0</v>
          </cell>
          <cell r="BL400">
            <v>9.8333333333333339</v>
          </cell>
          <cell r="BM400">
            <v>9</v>
          </cell>
          <cell r="BN400">
            <v>6</v>
          </cell>
          <cell r="BO400">
            <v>0</v>
          </cell>
          <cell r="BP400">
            <v>7.5</v>
          </cell>
          <cell r="BQ400">
            <v>9</v>
          </cell>
          <cell r="BR400">
            <v>4.5</v>
          </cell>
          <cell r="BS400">
            <v>0</v>
          </cell>
          <cell r="BT400">
            <v>7.666666666666667</v>
          </cell>
          <cell r="BU400">
            <v>8</v>
          </cell>
          <cell r="BV400">
            <v>5.333333333333333</v>
          </cell>
          <cell r="BW400">
            <v>4</v>
          </cell>
          <cell r="BX400">
            <v>0</v>
          </cell>
          <cell r="BY400">
            <v>6.5</v>
          </cell>
          <cell r="BZ400">
            <v>7</v>
          </cell>
          <cell r="CA400">
            <v>4.2</v>
          </cell>
          <cell r="CB400">
            <v>7</v>
          </cell>
          <cell r="CC400">
            <v>0</v>
          </cell>
          <cell r="CD400">
            <v>15.333333333333334</v>
          </cell>
          <cell r="CE400">
            <v>6</v>
          </cell>
          <cell r="CF400">
            <v>4.5</v>
          </cell>
          <cell r="CG400">
            <v>4</v>
          </cell>
          <cell r="CH400">
            <v>10</v>
          </cell>
          <cell r="CI400">
            <v>18.000000000000004</v>
          </cell>
          <cell r="CJ400">
            <v>16</v>
          </cell>
          <cell r="CK400">
            <v>14.76923076923077</v>
          </cell>
          <cell r="CL400">
            <v>0</v>
          </cell>
          <cell r="CM400">
            <v>20</v>
          </cell>
          <cell r="CN400">
            <v>34.916666666666664</v>
          </cell>
          <cell r="CO400">
            <v>31</v>
          </cell>
          <cell r="CP400">
            <v>13.609756097560973</v>
          </cell>
          <cell r="CQ400">
            <v>0</v>
          </cell>
          <cell r="CR400">
            <v>0</v>
          </cell>
          <cell r="CS400">
            <v>28.722222222222221</v>
          </cell>
          <cell r="CT400">
            <v>28</v>
          </cell>
          <cell r="CU400">
            <v>13.621621621621619</v>
          </cell>
          <cell r="CV400">
            <v>0</v>
          </cell>
          <cell r="CW400">
            <v>0</v>
          </cell>
          <cell r="CX400">
            <v>25.944444444444443</v>
          </cell>
          <cell r="CY400">
            <v>26</v>
          </cell>
          <cell r="CZ400">
            <v>16.714285714285715</v>
          </cell>
          <cell r="DA400">
            <v>0</v>
          </cell>
          <cell r="DB400">
            <v>0</v>
          </cell>
          <cell r="DC400">
            <v>24.277777777777779</v>
          </cell>
          <cell r="DD400">
            <v>25</v>
          </cell>
          <cell r="DE400">
            <v>12.193548387096774</v>
          </cell>
          <cell r="DF400">
            <v>0</v>
          </cell>
          <cell r="DG400">
            <v>0</v>
          </cell>
          <cell r="DH400">
            <v>23.277777777777779</v>
          </cell>
          <cell r="DI400">
            <v>24</v>
          </cell>
          <cell r="DJ400">
            <v>13.920529801324504</v>
          </cell>
          <cell r="DK400">
            <v>0</v>
          </cell>
          <cell r="DL400">
            <v>0</v>
          </cell>
          <cell r="DM400">
            <v>21.6</v>
          </cell>
          <cell r="DN400">
            <v>18</v>
          </cell>
          <cell r="DO400">
            <v>8.5</v>
          </cell>
          <cell r="DP400">
            <v>0</v>
          </cell>
          <cell r="DQ400">
            <v>0</v>
          </cell>
          <cell r="DR400">
            <v>16</v>
          </cell>
          <cell r="DS400">
            <v>16</v>
          </cell>
          <cell r="DT400">
            <v>7.5</v>
          </cell>
          <cell r="DU400">
            <v>0</v>
          </cell>
          <cell r="DV400">
            <v>0</v>
          </cell>
          <cell r="DW400">
            <v>14</v>
          </cell>
          <cell r="DX400">
            <v>14</v>
          </cell>
          <cell r="DY400">
            <v>6.5</v>
          </cell>
          <cell r="DZ400">
            <v>0</v>
          </cell>
          <cell r="EA400">
            <v>0</v>
          </cell>
          <cell r="EB400">
            <v>12</v>
          </cell>
          <cell r="EC400">
            <v>12</v>
          </cell>
          <cell r="ED400">
            <v>5.5</v>
          </cell>
          <cell r="EE400">
            <v>0</v>
          </cell>
          <cell r="EF400">
            <v>0</v>
          </cell>
          <cell r="EG400">
            <v>10</v>
          </cell>
          <cell r="EH400">
            <v>10</v>
          </cell>
          <cell r="EI400">
            <v>4.5</v>
          </cell>
          <cell r="EJ400">
            <v>0</v>
          </cell>
          <cell r="EK400">
            <v>4</v>
          </cell>
          <cell r="EL400">
            <v>12</v>
          </cell>
          <cell r="EM400">
            <v>12</v>
          </cell>
          <cell r="EN400">
            <v>5.5</v>
          </cell>
          <cell r="EO400">
            <v>0</v>
          </cell>
          <cell r="EP400">
            <v>0</v>
          </cell>
          <cell r="EQ400">
            <v>10</v>
          </cell>
          <cell r="ER400">
            <v>10</v>
          </cell>
          <cell r="ES400">
            <v>4.5</v>
          </cell>
          <cell r="ET400">
            <v>0</v>
          </cell>
          <cell r="EU400">
            <v>0</v>
          </cell>
          <cell r="EV400">
            <v>8</v>
          </cell>
          <cell r="EW400">
            <v>8</v>
          </cell>
          <cell r="EX400">
            <v>3.5</v>
          </cell>
          <cell r="EY400">
            <v>0</v>
          </cell>
          <cell r="EZ400">
            <v>0</v>
          </cell>
          <cell r="FA400">
            <v>6</v>
          </cell>
          <cell r="FB400">
            <v>6</v>
          </cell>
          <cell r="FC400">
            <v>2.5</v>
          </cell>
          <cell r="FD400">
            <v>0</v>
          </cell>
          <cell r="FE400">
            <v>0</v>
          </cell>
          <cell r="FF400">
            <v>4</v>
          </cell>
          <cell r="FG400">
            <v>4</v>
          </cell>
          <cell r="FH400">
            <v>1.5</v>
          </cell>
          <cell r="FI400">
            <v>1</v>
          </cell>
          <cell r="FJ400">
            <v>0</v>
          </cell>
          <cell r="FK400">
            <v>2</v>
          </cell>
          <cell r="FL400">
            <v>2</v>
          </cell>
          <cell r="FM400">
            <v>0.5</v>
          </cell>
          <cell r="FN400">
            <v>3</v>
          </cell>
          <cell r="FO400">
            <v>0</v>
          </cell>
          <cell r="FP400">
            <v>0</v>
          </cell>
          <cell r="FQ400">
            <v>0</v>
          </cell>
          <cell r="FR400">
            <v>-0.5</v>
          </cell>
          <cell r="FS400">
            <v>5</v>
          </cell>
          <cell r="FT400">
            <v>5</v>
          </cell>
          <cell r="FU400">
            <v>2.0333333333333332</v>
          </cell>
          <cell r="FW400" t="str">
            <v>SOBRESTOCK</v>
          </cell>
          <cell r="FX400" t="str">
            <v>B</v>
          </cell>
          <cell r="FY400" t="str">
            <v>Si</v>
          </cell>
        </row>
        <row r="401">
          <cell r="B401" t="str">
            <v>REP-0418</v>
          </cell>
          <cell r="C401" t="str">
            <v>NAC</v>
          </cell>
          <cell r="D401">
            <v>0</v>
          </cell>
          <cell r="E401">
            <v>74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5</v>
          </cell>
          <cell r="Y401">
            <v>79</v>
          </cell>
          <cell r="AA401">
            <v>79</v>
          </cell>
          <cell r="AB401">
            <v>0</v>
          </cell>
          <cell r="AC401">
            <v>0.5</v>
          </cell>
          <cell r="AD401">
            <v>1.6666666666666666E-2</v>
          </cell>
          <cell r="AE401">
            <v>0.41666666666666669</v>
          </cell>
          <cell r="AF401">
            <v>0.58333333333333337</v>
          </cell>
          <cell r="AG401">
            <v>0.33333333333333331</v>
          </cell>
          <cell r="AH401">
            <v>1.0833333333333333</v>
          </cell>
          <cell r="AI401">
            <v>0</v>
          </cell>
          <cell r="AJ401">
            <v>0</v>
          </cell>
          <cell r="AK401">
            <v>1.0833333333333333</v>
          </cell>
          <cell r="AL401">
            <v>0.51087705993748667</v>
          </cell>
          <cell r="AM401">
            <v>0.35416666666666663</v>
          </cell>
          <cell r="AN401">
            <v>1.4424764045293743</v>
          </cell>
          <cell r="AO401">
            <v>0</v>
          </cell>
          <cell r="AP401">
            <v>88</v>
          </cell>
          <cell r="AQ401">
            <v>151.57142857142858</v>
          </cell>
          <cell r="AR401">
            <v>0</v>
          </cell>
          <cell r="AS401">
            <v>87.833333333333343</v>
          </cell>
          <cell r="AT401">
            <v>89</v>
          </cell>
          <cell r="AU401">
            <v>267</v>
          </cell>
          <cell r="AV401">
            <v>0</v>
          </cell>
          <cell r="AW401">
            <v>88.666666666666671</v>
          </cell>
          <cell r="AX401">
            <v>89</v>
          </cell>
          <cell r="AY401">
            <v>82.15384615384616</v>
          </cell>
          <cell r="AZ401">
            <v>0</v>
          </cell>
          <cell r="BA401">
            <v>88.666666666666671</v>
          </cell>
          <cell r="BB401">
            <v>89</v>
          </cell>
          <cell r="BC401">
            <v>267</v>
          </cell>
          <cell r="BD401">
            <v>0</v>
          </cell>
          <cell r="BE401">
            <v>88.666666666666671</v>
          </cell>
          <cell r="BF401">
            <v>266.00000000000006</v>
          </cell>
          <cell r="BG401">
            <v>0</v>
          </cell>
          <cell r="BH401">
            <v>88.333333333333343</v>
          </cell>
          <cell r="BI401">
            <v>79</v>
          </cell>
          <cell r="BJ401">
            <v>72.923076923076934</v>
          </cell>
          <cell r="BK401">
            <v>0</v>
          </cell>
          <cell r="BL401">
            <v>82</v>
          </cell>
          <cell r="BM401">
            <v>83</v>
          </cell>
          <cell r="BN401">
            <v>83</v>
          </cell>
          <cell r="BO401">
            <v>0</v>
          </cell>
          <cell r="BP401">
            <v>82</v>
          </cell>
          <cell r="BQ401">
            <v>83</v>
          </cell>
          <cell r="BR401">
            <v>76.615384615384627</v>
          </cell>
          <cell r="BS401">
            <v>0</v>
          </cell>
          <cell r="BT401">
            <v>82</v>
          </cell>
          <cell r="BU401">
            <v>83</v>
          </cell>
          <cell r="BV401">
            <v>83</v>
          </cell>
          <cell r="BW401">
            <v>0</v>
          </cell>
          <cell r="BX401">
            <v>0</v>
          </cell>
          <cell r="BY401">
            <v>82</v>
          </cell>
          <cell r="BZ401">
            <v>83</v>
          </cell>
          <cell r="CA401">
            <v>83</v>
          </cell>
          <cell r="CB401">
            <v>0</v>
          </cell>
          <cell r="CC401">
            <v>0</v>
          </cell>
          <cell r="CD401">
            <v>82</v>
          </cell>
          <cell r="CE401">
            <v>83</v>
          </cell>
          <cell r="CF401">
            <v>83</v>
          </cell>
          <cell r="CG401">
            <v>0</v>
          </cell>
          <cell r="CH401">
            <v>0</v>
          </cell>
          <cell r="CI401">
            <v>81</v>
          </cell>
          <cell r="CJ401">
            <v>76</v>
          </cell>
          <cell r="CK401">
            <v>65.142857142857139</v>
          </cell>
          <cell r="CL401">
            <v>0</v>
          </cell>
          <cell r="CM401">
            <v>0</v>
          </cell>
          <cell r="CN401">
            <v>74.833333333333329</v>
          </cell>
          <cell r="CO401">
            <v>76</v>
          </cell>
          <cell r="CP401">
            <v>65.142857142857139</v>
          </cell>
          <cell r="CQ401">
            <v>0</v>
          </cell>
          <cell r="CR401">
            <v>0</v>
          </cell>
          <cell r="CS401">
            <v>74.833333333333329</v>
          </cell>
          <cell r="CT401">
            <v>76</v>
          </cell>
          <cell r="CU401">
            <v>65.142857142857139</v>
          </cell>
          <cell r="CV401">
            <v>0</v>
          </cell>
          <cell r="CW401">
            <v>0</v>
          </cell>
          <cell r="CX401">
            <v>74.833333333333329</v>
          </cell>
          <cell r="CY401">
            <v>75</v>
          </cell>
          <cell r="CZ401">
            <v>69.230769230769241</v>
          </cell>
          <cell r="DA401">
            <v>0</v>
          </cell>
          <cell r="DB401">
            <v>0</v>
          </cell>
          <cell r="DC401">
            <v>73.916666666666671</v>
          </cell>
          <cell r="DD401">
            <v>79</v>
          </cell>
          <cell r="DE401">
            <v>71.07692307692308</v>
          </cell>
          <cell r="DF401">
            <v>0</v>
          </cell>
          <cell r="DG401">
            <v>0</v>
          </cell>
          <cell r="DH401">
            <v>77.916666666666671</v>
          </cell>
          <cell r="DI401">
            <v>79</v>
          </cell>
          <cell r="DJ401">
            <v>73.07692307692308</v>
          </cell>
          <cell r="DK401">
            <v>0</v>
          </cell>
          <cell r="DL401">
            <v>0</v>
          </cell>
          <cell r="DM401">
            <v>76.833333333333343</v>
          </cell>
          <cell r="DN401">
            <v>79</v>
          </cell>
          <cell r="DO401">
            <v>73.07692307692308</v>
          </cell>
          <cell r="DP401">
            <v>0</v>
          </cell>
          <cell r="DQ401">
            <v>0</v>
          </cell>
          <cell r="DR401">
            <v>77.916666666666671</v>
          </cell>
          <cell r="DS401">
            <v>77.916666666666671</v>
          </cell>
          <cell r="DT401">
            <v>72.07692307692308</v>
          </cell>
          <cell r="DU401">
            <v>0</v>
          </cell>
          <cell r="DV401">
            <v>0</v>
          </cell>
          <cell r="DW401">
            <v>76.833333333333343</v>
          </cell>
          <cell r="DX401">
            <v>76.833333333333343</v>
          </cell>
          <cell r="DY401">
            <v>71.076923076923094</v>
          </cell>
          <cell r="DZ401">
            <v>0</v>
          </cell>
          <cell r="EA401">
            <v>0</v>
          </cell>
          <cell r="EB401">
            <v>75.750000000000014</v>
          </cell>
          <cell r="EC401">
            <v>75.750000000000014</v>
          </cell>
          <cell r="ED401">
            <v>70.076923076923094</v>
          </cell>
          <cell r="EE401">
            <v>0</v>
          </cell>
          <cell r="EF401">
            <v>0</v>
          </cell>
          <cell r="EG401">
            <v>74.666666666666686</v>
          </cell>
          <cell r="EH401">
            <v>74.666666666666686</v>
          </cell>
          <cell r="EI401">
            <v>69.076923076923094</v>
          </cell>
          <cell r="EJ401">
            <v>0</v>
          </cell>
          <cell r="EK401">
            <v>0</v>
          </cell>
          <cell r="EL401">
            <v>73.583333333333357</v>
          </cell>
          <cell r="EM401">
            <v>73.583333333333357</v>
          </cell>
          <cell r="EN401">
            <v>68.076923076923109</v>
          </cell>
          <cell r="EO401">
            <v>0</v>
          </cell>
          <cell r="EP401">
            <v>0</v>
          </cell>
          <cell r="EQ401">
            <v>72.500000000000028</v>
          </cell>
          <cell r="ER401">
            <v>72.500000000000028</v>
          </cell>
          <cell r="ES401">
            <v>67.076923076923109</v>
          </cell>
          <cell r="ET401">
            <v>0</v>
          </cell>
          <cell r="EU401">
            <v>0</v>
          </cell>
          <cell r="EV401">
            <v>71.4166666666667</v>
          </cell>
          <cell r="EW401">
            <v>71.4166666666667</v>
          </cell>
          <cell r="EX401">
            <v>66.076923076923109</v>
          </cell>
          <cell r="EY401">
            <v>0</v>
          </cell>
          <cell r="EZ401">
            <v>0</v>
          </cell>
          <cell r="FA401">
            <v>70.333333333333371</v>
          </cell>
          <cell r="FB401">
            <v>70.333333333333371</v>
          </cell>
          <cell r="FC401">
            <v>65.076923076923123</v>
          </cell>
          <cell r="FD401">
            <v>0</v>
          </cell>
          <cell r="FE401">
            <v>0</v>
          </cell>
          <cell r="FF401">
            <v>69.250000000000043</v>
          </cell>
          <cell r="FG401">
            <v>69.250000000000043</v>
          </cell>
          <cell r="FH401">
            <v>64.076923076923123</v>
          </cell>
          <cell r="FI401">
            <v>0</v>
          </cell>
          <cell r="FJ401">
            <v>0</v>
          </cell>
          <cell r="FK401">
            <v>68.166666666666714</v>
          </cell>
          <cell r="FL401">
            <v>68.166666666666714</v>
          </cell>
          <cell r="FM401">
            <v>63.076923076923123</v>
          </cell>
          <cell r="FN401">
            <v>0</v>
          </cell>
          <cell r="FO401">
            <v>0</v>
          </cell>
          <cell r="FP401">
            <v>67.083333333333385</v>
          </cell>
          <cell r="FQ401">
            <v>67.083333333333385</v>
          </cell>
          <cell r="FR401">
            <v>62.07692307692313</v>
          </cell>
          <cell r="FS401">
            <v>0</v>
          </cell>
          <cell r="FT401">
            <v>2</v>
          </cell>
          <cell r="FU401">
            <v>1.0333333333333334</v>
          </cell>
          <cell r="FW401" t="str">
            <v>SIN ROTACIÓN</v>
          </cell>
          <cell r="FX401" t="str">
            <v>C</v>
          </cell>
          <cell r="FY401" t="str">
            <v>Si</v>
          </cell>
        </row>
        <row r="402">
          <cell r="B402" t="str">
            <v>REP-0419</v>
          </cell>
          <cell r="C402" t="str">
            <v>MIX</v>
          </cell>
          <cell r="D402">
            <v>0</v>
          </cell>
          <cell r="E402">
            <v>4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2</v>
          </cell>
          <cell r="R402">
            <v>1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1</v>
          </cell>
          <cell r="Y402">
            <v>8</v>
          </cell>
          <cell r="AA402">
            <v>8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8.3333333333333329E-2</v>
          </cell>
          <cell r="AG402">
            <v>0.25</v>
          </cell>
          <cell r="AH402">
            <v>0.16666666666666666</v>
          </cell>
          <cell r="AI402">
            <v>0</v>
          </cell>
          <cell r="AJ402">
            <v>0</v>
          </cell>
          <cell r="AK402">
            <v>0.25</v>
          </cell>
          <cell r="AL402">
            <v>0.125</v>
          </cell>
          <cell r="AM402">
            <v>0.10416666666666666</v>
          </cell>
          <cell r="AN402">
            <v>1.2000000000000002</v>
          </cell>
          <cell r="AO402">
            <v>0</v>
          </cell>
          <cell r="AP402">
            <v>11.75</v>
          </cell>
          <cell r="AQ402">
            <v>47</v>
          </cell>
          <cell r="AR402">
            <v>0</v>
          </cell>
          <cell r="AS402">
            <v>11.833333333333332</v>
          </cell>
          <cell r="AT402">
            <v>12</v>
          </cell>
          <cell r="AU402">
            <v>48</v>
          </cell>
          <cell r="AV402">
            <v>0</v>
          </cell>
          <cell r="AW402">
            <v>11.75</v>
          </cell>
          <cell r="AX402">
            <v>12</v>
          </cell>
          <cell r="AY402">
            <v>48</v>
          </cell>
          <cell r="AZ402">
            <v>0</v>
          </cell>
          <cell r="BA402">
            <v>11.75</v>
          </cell>
          <cell r="BB402">
            <v>12</v>
          </cell>
          <cell r="BC402">
            <v>48</v>
          </cell>
          <cell r="BD402">
            <v>0</v>
          </cell>
          <cell r="BE402">
            <v>11.75</v>
          </cell>
          <cell r="BF402">
            <v>47</v>
          </cell>
          <cell r="BG402">
            <v>0</v>
          </cell>
          <cell r="BH402">
            <v>11.5</v>
          </cell>
          <cell r="BI402">
            <v>8</v>
          </cell>
          <cell r="BJ402">
            <v>32</v>
          </cell>
          <cell r="BK402">
            <v>0</v>
          </cell>
          <cell r="BL402">
            <v>10.75</v>
          </cell>
          <cell r="BM402">
            <v>11</v>
          </cell>
          <cell r="BN402">
            <v>44</v>
          </cell>
          <cell r="BO402">
            <v>0</v>
          </cell>
          <cell r="BP402">
            <v>10.75</v>
          </cell>
          <cell r="BQ402">
            <v>11</v>
          </cell>
          <cell r="BR402">
            <v>44</v>
          </cell>
          <cell r="BS402">
            <v>0</v>
          </cell>
          <cell r="BT402">
            <v>10.75</v>
          </cell>
          <cell r="BU402">
            <v>11</v>
          </cell>
          <cell r="BV402">
            <v>44</v>
          </cell>
          <cell r="BW402">
            <v>0</v>
          </cell>
          <cell r="BX402">
            <v>0</v>
          </cell>
          <cell r="BY402">
            <v>10.75</v>
          </cell>
          <cell r="BZ402">
            <v>11</v>
          </cell>
          <cell r="CA402">
            <v>44</v>
          </cell>
          <cell r="CB402">
            <v>0</v>
          </cell>
          <cell r="CC402">
            <v>0</v>
          </cell>
          <cell r="CD402">
            <v>10.75</v>
          </cell>
          <cell r="CE402">
            <v>10</v>
          </cell>
          <cell r="CF402">
            <v>40</v>
          </cell>
          <cell r="CG402">
            <v>0</v>
          </cell>
          <cell r="CH402">
            <v>0</v>
          </cell>
          <cell r="CI402">
            <v>10.5</v>
          </cell>
          <cell r="CJ402">
            <v>10</v>
          </cell>
          <cell r="CK402">
            <v>40</v>
          </cell>
          <cell r="CL402">
            <v>0</v>
          </cell>
          <cell r="CM402">
            <v>0</v>
          </cell>
          <cell r="CN402">
            <v>9.75</v>
          </cell>
          <cell r="CO402">
            <v>10</v>
          </cell>
          <cell r="CP402">
            <v>40</v>
          </cell>
          <cell r="CQ402">
            <v>0</v>
          </cell>
          <cell r="CR402">
            <v>0</v>
          </cell>
          <cell r="CS402">
            <v>9.75</v>
          </cell>
          <cell r="CT402">
            <v>10</v>
          </cell>
          <cell r="CU402">
            <v>40</v>
          </cell>
          <cell r="CV402">
            <v>0</v>
          </cell>
          <cell r="CW402">
            <v>0</v>
          </cell>
          <cell r="CX402">
            <v>9.75</v>
          </cell>
          <cell r="CY402">
            <v>9</v>
          </cell>
          <cell r="CZ402">
            <v>36</v>
          </cell>
          <cell r="DA402">
            <v>0</v>
          </cell>
          <cell r="DB402">
            <v>0</v>
          </cell>
          <cell r="DC402">
            <v>8.75</v>
          </cell>
          <cell r="DD402">
            <v>9</v>
          </cell>
          <cell r="DE402">
            <v>32</v>
          </cell>
          <cell r="DF402">
            <v>0</v>
          </cell>
          <cell r="DG402">
            <v>0</v>
          </cell>
          <cell r="DH402">
            <v>8.75</v>
          </cell>
          <cell r="DI402">
            <v>9</v>
          </cell>
          <cell r="DJ402">
            <v>34</v>
          </cell>
          <cell r="DK402">
            <v>0</v>
          </cell>
          <cell r="DL402">
            <v>0</v>
          </cell>
          <cell r="DM402">
            <v>8.5</v>
          </cell>
          <cell r="DN402">
            <v>8</v>
          </cell>
          <cell r="DO402">
            <v>30</v>
          </cell>
          <cell r="DP402">
            <v>0</v>
          </cell>
          <cell r="DQ402">
            <v>0</v>
          </cell>
          <cell r="DR402">
            <v>7.75</v>
          </cell>
          <cell r="DS402">
            <v>7.75</v>
          </cell>
          <cell r="DT402">
            <v>29</v>
          </cell>
          <cell r="DU402">
            <v>0</v>
          </cell>
          <cell r="DV402">
            <v>0</v>
          </cell>
          <cell r="DW402">
            <v>7.5</v>
          </cell>
          <cell r="DX402">
            <v>7.5</v>
          </cell>
          <cell r="DY402">
            <v>28</v>
          </cell>
          <cell r="DZ402">
            <v>0</v>
          </cell>
          <cell r="EA402">
            <v>0</v>
          </cell>
          <cell r="EB402">
            <v>7.25</v>
          </cell>
          <cell r="EC402">
            <v>7.25</v>
          </cell>
          <cell r="ED402">
            <v>27</v>
          </cell>
          <cell r="EE402">
            <v>0</v>
          </cell>
          <cell r="EF402">
            <v>0</v>
          </cell>
          <cell r="EG402">
            <v>7</v>
          </cell>
          <cell r="EH402">
            <v>7</v>
          </cell>
          <cell r="EI402">
            <v>26</v>
          </cell>
          <cell r="EJ402">
            <v>0</v>
          </cell>
          <cell r="EK402">
            <v>0</v>
          </cell>
          <cell r="EL402">
            <v>6.75</v>
          </cell>
          <cell r="EM402">
            <v>6.75</v>
          </cell>
          <cell r="EN402">
            <v>25</v>
          </cell>
          <cell r="EO402">
            <v>0</v>
          </cell>
          <cell r="EP402">
            <v>0</v>
          </cell>
          <cell r="EQ402">
            <v>6.5</v>
          </cell>
          <cell r="ER402">
            <v>6.5</v>
          </cell>
          <cell r="ES402">
            <v>24</v>
          </cell>
          <cell r="ET402">
            <v>0</v>
          </cell>
          <cell r="EU402">
            <v>0</v>
          </cell>
          <cell r="EV402">
            <v>6.25</v>
          </cell>
          <cell r="EW402">
            <v>6.25</v>
          </cell>
          <cell r="EX402">
            <v>23</v>
          </cell>
          <cell r="EY402">
            <v>0</v>
          </cell>
          <cell r="EZ402">
            <v>0</v>
          </cell>
          <cell r="FA402">
            <v>6</v>
          </cell>
          <cell r="FB402">
            <v>6</v>
          </cell>
          <cell r="FC402">
            <v>22</v>
          </cell>
          <cell r="FD402">
            <v>0</v>
          </cell>
          <cell r="FE402">
            <v>0</v>
          </cell>
          <cell r="FF402">
            <v>5.75</v>
          </cell>
          <cell r="FG402">
            <v>5.75</v>
          </cell>
          <cell r="FH402">
            <v>21</v>
          </cell>
          <cell r="FI402">
            <v>0</v>
          </cell>
          <cell r="FJ402">
            <v>0</v>
          </cell>
          <cell r="FK402">
            <v>5.5</v>
          </cell>
          <cell r="FL402">
            <v>5.5</v>
          </cell>
          <cell r="FM402">
            <v>20</v>
          </cell>
          <cell r="FN402">
            <v>0</v>
          </cell>
          <cell r="FO402">
            <v>0</v>
          </cell>
          <cell r="FP402">
            <v>5.25</v>
          </cell>
          <cell r="FQ402">
            <v>5.25</v>
          </cell>
          <cell r="FR402">
            <v>19</v>
          </cell>
          <cell r="FS402">
            <v>0</v>
          </cell>
          <cell r="FT402">
            <v>1</v>
          </cell>
          <cell r="FU402">
            <v>2.0333333333333332</v>
          </cell>
          <cell r="FW402" t="str">
            <v>SIN ROTACIÓN</v>
          </cell>
          <cell r="FX402" t="str">
            <v>C</v>
          </cell>
          <cell r="FY402" t="str">
            <v>Si</v>
          </cell>
        </row>
        <row r="403">
          <cell r="B403" t="str">
            <v>REP-0420</v>
          </cell>
          <cell r="C403" t="str">
            <v>MIX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AA403">
            <v>0</v>
          </cell>
          <cell r="AB403">
            <v>0</v>
          </cell>
          <cell r="AC403">
            <v>0.16666666666666666</v>
          </cell>
          <cell r="AD403">
            <v>5.5555555555555549E-3</v>
          </cell>
          <cell r="AE403">
            <v>8.3333333333333329E-2</v>
          </cell>
          <cell r="AF403">
            <v>8.3333333333333329E-2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M403">
            <v>0</v>
          </cell>
          <cell r="AO403">
            <v>0</v>
          </cell>
          <cell r="AP403">
            <v>0</v>
          </cell>
          <cell r="AQ403">
            <v>-1</v>
          </cell>
          <cell r="AR403">
            <v>0</v>
          </cell>
          <cell r="AS403">
            <v>-0.16666666666666666</v>
          </cell>
          <cell r="AT403">
            <v>0</v>
          </cell>
          <cell r="AU403" t="str">
            <v/>
          </cell>
          <cell r="AV403">
            <v>0</v>
          </cell>
          <cell r="AW403">
            <v>0</v>
          </cell>
          <cell r="AX403">
            <v>0</v>
          </cell>
          <cell r="AY403" t="str">
            <v/>
          </cell>
          <cell r="AZ403">
            <v>0</v>
          </cell>
          <cell r="BA403">
            <v>0</v>
          </cell>
          <cell r="BB403">
            <v>0</v>
          </cell>
          <cell r="BC403" t="str">
            <v/>
          </cell>
          <cell r="BD403">
            <v>0</v>
          </cell>
          <cell r="BE403">
            <v>0</v>
          </cell>
          <cell r="BF403" t="str">
            <v/>
          </cell>
          <cell r="BG403">
            <v>0</v>
          </cell>
          <cell r="BH403">
            <v>0</v>
          </cell>
          <cell r="BI403">
            <v>0</v>
          </cell>
          <cell r="BJ403" t="str">
            <v/>
          </cell>
          <cell r="BK403">
            <v>0</v>
          </cell>
          <cell r="BL403">
            <v>0</v>
          </cell>
          <cell r="BM403">
            <v>0</v>
          </cell>
          <cell r="BN403" t="str">
            <v/>
          </cell>
          <cell r="BO403">
            <v>0</v>
          </cell>
          <cell r="BP403">
            <v>0</v>
          </cell>
          <cell r="BQ403">
            <v>0</v>
          </cell>
          <cell r="BR403" t="str">
            <v/>
          </cell>
          <cell r="BS403">
            <v>0</v>
          </cell>
          <cell r="BT403">
            <v>0</v>
          </cell>
          <cell r="BU403">
            <v>0</v>
          </cell>
          <cell r="BV403" t="str">
            <v/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 t="str">
            <v/>
          </cell>
          <cell r="CB403">
            <v>0</v>
          </cell>
          <cell r="CD403">
            <v>0</v>
          </cell>
          <cell r="CE403">
            <v>0</v>
          </cell>
          <cell r="CF403" t="str">
            <v/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 t="str">
            <v/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 t="str">
            <v/>
          </cell>
          <cell r="CQ403">
            <v>0</v>
          </cell>
          <cell r="CS403">
            <v>0</v>
          </cell>
          <cell r="CT403">
            <v>0</v>
          </cell>
          <cell r="CU403" t="str">
            <v/>
          </cell>
          <cell r="CV403">
            <v>0</v>
          </cell>
          <cell r="CX403">
            <v>0</v>
          </cell>
          <cell r="CY403">
            <v>0</v>
          </cell>
          <cell r="CZ403" t="str">
            <v/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 t="str">
            <v/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 t="str">
            <v/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 t="str">
            <v/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 t="str">
            <v/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 t="str">
            <v/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 t="str">
            <v/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 t="str">
            <v/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 t="str">
            <v/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 t="str">
            <v/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 t="str">
            <v/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 t="str">
            <v/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 t="str">
            <v/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 t="str">
            <v/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 t="str">
            <v/>
          </cell>
          <cell r="FS403">
            <v>0</v>
          </cell>
          <cell r="FT403">
            <v>0</v>
          </cell>
          <cell r="FU403">
            <v>66.666666666666671</v>
          </cell>
          <cell r="FW403" t="str">
            <v>SIN ROTACIÓN</v>
          </cell>
          <cell r="FX403" t="str">
            <v/>
          </cell>
          <cell r="FY403" t="str">
            <v>No</v>
          </cell>
        </row>
        <row r="404">
          <cell r="B404" t="str">
            <v>REP-0421</v>
          </cell>
          <cell r="C404" t="str">
            <v>MIX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M404">
            <v>0</v>
          </cell>
          <cell r="AO404">
            <v>0</v>
          </cell>
          <cell r="AP404">
            <v>0</v>
          </cell>
          <cell r="AQ404" t="str">
            <v/>
          </cell>
          <cell r="AR404">
            <v>0</v>
          </cell>
          <cell r="AS404">
            <v>0</v>
          </cell>
          <cell r="AT404">
            <v>0</v>
          </cell>
          <cell r="AU404" t="str">
            <v/>
          </cell>
          <cell r="AV404">
            <v>0</v>
          </cell>
          <cell r="AW404">
            <v>0</v>
          </cell>
          <cell r="AX404">
            <v>0</v>
          </cell>
          <cell r="AY404" t="str">
            <v/>
          </cell>
          <cell r="AZ404">
            <v>0</v>
          </cell>
          <cell r="BA404">
            <v>0</v>
          </cell>
          <cell r="BB404">
            <v>0</v>
          </cell>
          <cell r="BC404" t="str">
            <v/>
          </cell>
          <cell r="BD404">
            <v>0</v>
          </cell>
          <cell r="BE404">
            <v>0</v>
          </cell>
          <cell r="BF404" t="str">
            <v/>
          </cell>
          <cell r="BG404">
            <v>0</v>
          </cell>
          <cell r="BH404">
            <v>0</v>
          </cell>
          <cell r="BI404">
            <v>0</v>
          </cell>
          <cell r="BJ404" t="str">
            <v/>
          </cell>
          <cell r="BK404">
            <v>0</v>
          </cell>
          <cell r="BL404">
            <v>0</v>
          </cell>
          <cell r="BM404">
            <v>0</v>
          </cell>
          <cell r="BN404" t="str">
            <v/>
          </cell>
          <cell r="BO404">
            <v>0</v>
          </cell>
          <cell r="BP404">
            <v>0</v>
          </cell>
          <cell r="BQ404">
            <v>0</v>
          </cell>
          <cell r="BR404" t="str">
            <v/>
          </cell>
          <cell r="BS404">
            <v>0</v>
          </cell>
          <cell r="BT404">
            <v>0</v>
          </cell>
          <cell r="BU404">
            <v>0</v>
          </cell>
          <cell r="BV404" t="str">
            <v/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 t="str">
            <v/>
          </cell>
          <cell r="CB404">
            <v>0</v>
          </cell>
          <cell r="CD404">
            <v>0</v>
          </cell>
          <cell r="CE404">
            <v>0</v>
          </cell>
          <cell r="CF404" t="str">
            <v/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 t="str">
            <v/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 t="str">
            <v/>
          </cell>
          <cell r="CQ404">
            <v>0</v>
          </cell>
          <cell r="CS404">
            <v>0</v>
          </cell>
          <cell r="CT404">
            <v>0</v>
          </cell>
          <cell r="CU404" t="str">
            <v/>
          </cell>
          <cell r="CV404">
            <v>0</v>
          </cell>
          <cell r="CX404">
            <v>0</v>
          </cell>
          <cell r="CY404">
            <v>0</v>
          </cell>
          <cell r="CZ404" t="str">
            <v/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 t="str">
            <v/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 t="str">
            <v/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 t="str">
            <v/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 t="str">
            <v/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 t="str">
            <v/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 t="str">
            <v/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 t="str">
            <v/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 t="str">
            <v/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 t="str">
            <v/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 t="str">
            <v/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 t="str">
            <v/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 t="str">
            <v/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 t="str">
            <v/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 t="str">
            <v/>
          </cell>
          <cell r="FS404">
            <v>0</v>
          </cell>
          <cell r="FT404">
            <v>0</v>
          </cell>
          <cell r="FU404">
            <v>66.666666666666671</v>
          </cell>
          <cell r="FW404" t="str">
            <v>SIN ROTACIÓN</v>
          </cell>
          <cell r="FX404" t="str">
            <v/>
          </cell>
          <cell r="FY404" t="str">
            <v>No</v>
          </cell>
        </row>
        <row r="405">
          <cell r="B405" t="str">
            <v>REP-0422</v>
          </cell>
          <cell r="C405" t="str">
            <v>MIX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M405">
            <v>0</v>
          </cell>
          <cell r="AO405">
            <v>0</v>
          </cell>
          <cell r="AP405">
            <v>0</v>
          </cell>
          <cell r="AQ405" t="str">
            <v/>
          </cell>
          <cell r="AR405">
            <v>0</v>
          </cell>
          <cell r="AS405">
            <v>0</v>
          </cell>
          <cell r="AT405">
            <v>0</v>
          </cell>
          <cell r="AU405" t="str">
            <v/>
          </cell>
          <cell r="AV405">
            <v>0</v>
          </cell>
          <cell r="AW405">
            <v>0</v>
          </cell>
          <cell r="AX405">
            <v>0</v>
          </cell>
          <cell r="AY405" t="str">
            <v/>
          </cell>
          <cell r="AZ405">
            <v>0</v>
          </cell>
          <cell r="BA405">
            <v>0</v>
          </cell>
          <cell r="BB405">
            <v>0</v>
          </cell>
          <cell r="BC405" t="str">
            <v/>
          </cell>
          <cell r="BD405">
            <v>0</v>
          </cell>
          <cell r="BE405">
            <v>0</v>
          </cell>
          <cell r="BF405" t="str">
            <v/>
          </cell>
          <cell r="BG405">
            <v>0</v>
          </cell>
          <cell r="BH405">
            <v>0</v>
          </cell>
          <cell r="BI405">
            <v>0</v>
          </cell>
          <cell r="BJ405" t="str">
            <v/>
          </cell>
          <cell r="BK405">
            <v>0</v>
          </cell>
          <cell r="BL405">
            <v>0</v>
          </cell>
          <cell r="BM405">
            <v>0</v>
          </cell>
          <cell r="BN405" t="str">
            <v/>
          </cell>
          <cell r="BO405">
            <v>0</v>
          </cell>
          <cell r="BP405">
            <v>0</v>
          </cell>
          <cell r="BQ405">
            <v>0</v>
          </cell>
          <cell r="BR405" t="str">
            <v/>
          </cell>
          <cell r="BS405">
            <v>0</v>
          </cell>
          <cell r="BT405">
            <v>0</v>
          </cell>
          <cell r="BU405">
            <v>0</v>
          </cell>
          <cell r="BV405" t="str">
            <v/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 t="str">
            <v/>
          </cell>
          <cell r="CB405">
            <v>0</v>
          </cell>
          <cell r="CD405">
            <v>0</v>
          </cell>
          <cell r="CE405">
            <v>0</v>
          </cell>
          <cell r="CF405" t="str">
            <v/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 t="str">
            <v/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 t="str">
            <v/>
          </cell>
          <cell r="CQ405">
            <v>0</v>
          </cell>
          <cell r="CS405">
            <v>0</v>
          </cell>
          <cell r="CT405">
            <v>0</v>
          </cell>
          <cell r="CU405" t="str">
            <v/>
          </cell>
          <cell r="CV405">
            <v>0</v>
          </cell>
          <cell r="CX405">
            <v>0</v>
          </cell>
          <cell r="CY405">
            <v>0</v>
          </cell>
          <cell r="CZ405" t="str">
            <v/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 t="str">
            <v/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 t="str">
            <v/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 t="str">
            <v/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 t="str">
            <v/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 t="str">
            <v/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 t="str">
            <v/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 t="str">
            <v/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 t="str">
            <v/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 t="str">
            <v/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 t="str">
            <v/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 t="str">
            <v/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 t="str">
            <v/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 t="str">
            <v/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 t="str">
            <v/>
          </cell>
          <cell r="FS405">
            <v>0</v>
          </cell>
          <cell r="FT405">
            <v>0</v>
          </cell>
          <cell r="FU405">
            <v>66.666666666666671</v>
          </cell>
          <cell r="FW405" t="str">
            <v>SIN ROTACIÓN</v>
          </cell>
          <cell r="FX405" t="str">
            <v/>
          </cell>
          <cell r="FY405" t="str">
            <v>No</v>
          </cell>
        </row>
        <row r="406">
          <cell r="B406" t="str">
            <v>REP-0423</v>
          </cell>
          <cell r="C406" t="str">
            <v>MIX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M406">
            <v>0</v>
          </cell>
          <cell r="AO406">
            <v>0</v>
          </cell>
          <cell r="AP406">
            <v>0</v>
          </cell>
          <cell r="AQ406" t="str">
            <v/>
          </cell>
          <cell r="AR406">
            <v>0</v>
          </cell>
          <cell r="AS406">
            <v>0</v>
          </cell>
          <cell r="AT406">
            <v>0</v>
          </cell>
          <cell r="AU406" t="str">
            <v/>
          </cell>
          <cell r="AV406">
            <v>0</v>
          </cell>
          <cell r="AW406">
            <v>0</v>
          </cell>
          <cell r="AX406">
            <v>0</v>
          </cell>
          <cell r="AY406" t="str">
            <v/>
          </cell>
          <cell r="AZ406">
            <v>0</v>
          </cell>
          <cell r="BA406">
            <v>0</v>
          </cell>
          <cell r="BB406">
            <v>0</v>
          </cell>
          <cell r="BC406" t="str">
            <v/>
          </cell>
          <cell r="BD406">
            <v>0</v>
          </cell>
          <cell r="BE406">
            <v>0</v>
          </cell>
          <cell r="BF406" t="str">
            <v/>
          </cell>
          <cell r="BG406">
            <v>0</v>
          </cell>
          <cell r="BH406">
            <v>0</v>
          </cell>
          <cell r="BI406">
            <v>0</v>
          </cell>
          <cell r="BJ406" t="str">
            <v/>
          </cell>
          <cell r="BK406">
            <v>0</v>
          </cell>
          <cell r="BL406">
            <v>0</v>
          </cell>
          <cell r="BM406">
            <v>0</v>
          </cell>
          <cell r="BN406" t="str">
            <v/>
          </cell>
          <cell r="BO406">
            <v>0</v>
          </cell>
          <cell r="BP406">
            <v>0</v>
          </cell>
          <cell r="BQ406">
            <v>0</v>
          </cell>
          <cell r="BR406" t="str">
            <v/>
          </cell>
          <cell r="BS406">
            <v>0</v>
          </cell>
          <cell r="BT406">
            <v>0</v>
          </cell>
          <cell r="BU406">
            <v>0</v>
          </cell>
          <cell r="BV406" t="str">
            <v/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 t="str">
            <v/>
          </cell>
          <cell r="CB406">
            <v>0</v>
          </cell>
          <cell r="CD406">
            <v>0</v>
          </cell>
          <cell r="CE406">
            <v>0</v>
          </cell>
          <cell r="CF406" t="str">
            <v/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 t="str">
            <v/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 t="str">
            <v/>
          </cell>
          <cell r="CQ406">
            <v>0</v>
          </cell>
          <cell r="CS406">
            <v>0</v>
          </cell>
          <cell r="CT406">
            <v>0</v>
          </cell>
          <cell r="CU406" t="str">
            <v/>
          </cell>
          <cell r="CV406">
            <v>0</v>
          </cell>
          <cell r="CX406">
            <v>0</v>
          </cell>
          <cell r="CY406">
            <v>0</v>
          </cell>
          <cell r="CZ406" t="str">
            <v/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 t="str">
            <v/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 t="str">
            <v/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 t="str">
            <v/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 t="str">
            <v/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 t="str">
            <v/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 t="str">
            <v/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 t="str">
            <v/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 t="str">
            <v/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 t="str">
            <v/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 t="str">
            <v/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 t="str">
            <v/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 t="str">
            <v/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 t="str">
            <v/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 t="str">
            <v/>
          </cell>
          <cell r="FS406">
            <v>0</v>
          </cell>
          <cell r="FT406">
            <v>0</v>
          </cell>
          <cell r="FU406">
            <v>66.666666666666671</v>
          </cell>
          <cell r="FW406" t="str">
            <v>SIN ROTACIÓN</v>
          </cell>
          <cell r="FX406" t="str">
            <v/>
          </cell>
          <cell r="FY406" t="str">
            <v>No</v>
          </cell>
        </row>
        <row r="407">
          <cell r="B407" t="str">
            <v>REP-0424</v>
          </cell>
          <cell r="C407" t="str">
            <v>NAC</v>
          </cell>
          <cell r="D407">
            <v>0</v>
          </cell>
          <cell r="E407">
            <v>8</v>
          </cell>
          <cell r="F407">
            <v>0</v>
          </cell>
          <cell r="G407">
            <v>0</v>
          </cell>
          <cell r="H407">
            <v>4</v>
          </cell>
          <cell r="I407">
            <v>4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16</v>
          </cell>
          <cell r="AA407">
            <v>16</v>
          </cell>
          <cell r="AB407">
            <v>0</v>
          </cell>
          <cell r="AC407">
            <v>0.5</v>
          </cell>
          <cell r="AD407">
            <v>1.6666666666666666E-2</v>
          </cell>
          <cell r="AE407">
            <v>0.25</v>
          </cell>
          <cell r="AF407">
            <v>0.5</v>
          </cell>
          <cell r="AG407">
            <v>0.16666666666666666</v>
          </cell>
          <cell r="AH407">
            <v>0.41666666666666669</v>
          </cell>
          <cell r="AI407">
            <v>2</v>
          </cell>
          <cell r="AJ407">
            <v>2</v>
          </cell>
          <cell r="AK407">
            <v>2</v>
          </cell>
          <cell r="AL407">
            <v>0.99157329158897389</v>
          </cell>
          <cell r="AM407">
            <v>1.1458333333333335</v>
          </cell>
          <cell r="AN407">
            <v>0.86537305447764978</v>
          </cell>
          <cell r="AO407">
            <v>0</v>
          </cell>
          <cell r="AP407">
            <v>31.5</v>
          </cell>
          <cell r="AQ407">
            <v>63</v>
          </cell>
          <cell r="AR407">
            <v>0</v>
          </cell>
          <cell r="AS407">
            <v>31</v>
          </cell>
          <cell r="AT407">
            <v>32</v>
          </cell>
          <cell r="AU407">
            <v>192</v>
          </cell>
          <cell r="AV407">
            <v>0</v>
          </cell>
          <cell r="AW407">
            <v>31.833333333333332</v>
          </cell>
          <cell r="AX407">
            <v>32</v>
          </cell>
          <cell r="AY407">
            <v>16</v>
          </cell>
          <cell r="AZ407">
            <v>0</v>
          </cell>
          <cell r="BA407">
            <v>31.833333333333332</v>
          </cell>
          <cell r="BB407">
            <v>32</v>
          </cell>
          <cell r="BC407">
            <v>64</v>
          </cell>
          <cell r="BD407">
            <v>0</v>
          </cell>
          <cell r="BE407">
            <v>31.5</v>
          </cell>
          <cell r="BF407">
            <v>63</v>
          </cell>
          <cell r="BG407">
            <v>0</v>
          </cell>
          <cell r="BH407">
            <v>31</v>
          </cell>
          <cell r="BI407">
            <v>16</v>
          </cell>
          <cell r="BJ407">
            <v>8</v>
          </cell>
          <cell r="BK407">
            <v>0</v>
          </cell>
          <cell r="BL407">
            <v>31.833333333333332</v>
          </cell>
          <cell r="BM407">
            <v>31</v>
          </cell>
          <cell r="BN407">
            <v>186</v>
          </cell>
          <cell r="BO407">
            <v>0</v>
          </cell>
          <cell r="BP407">
            <v>30.833333333333332</v>
          </cell>
          <cell r="BQ407">
            <v>29</v>
          </cell>
          <cell r="BR407">
            <v>14.5</v>
          </cell>
          <cell r="BS407">
            <v>0</v>
          </cell>
          <cell r="BT407">
            <v>28.5</v>
          </cell>
          <cell r="BU407">
            <v>29</v>
          </cell>
          <cell r="BV407">
            <v>58</v>
          </cell>
          <cell r="BW407">
            <v>0</v>
          </cell>
          <cell r="BX407">
            <v>0</v>
          </cell>
          <cell r="BY407">
            <v>28.5</v>
          </cell>
          <cell r="BZ407">
            <v>29</v>
          </cell>
          <cell r="CA407">
            <v>58</v>
          </cell>
          <cell r="CB407">
            <v>0</v>
          </cell>
          <cell r="CC407">
            <v>0</v>
          </cell>
          <cell r="CD407">
            <v>28.5</v>
          </cell>
          <cell r="CE407">
            <v>27</v>
          </cell>
          <cell r="CF407">
            <v>32.4</v>
          </cell>
          <cell r="CG407">
            <v>0</v>
          </cell>
          <cell r="CH407">
            <v>0</v>
          </cell>
          <cell r="CI407">
            <v>27.666666666666668</v>
          </cell>
          <cell r="CJ407">
            <v>27</v>
          </cell>
          <cell r="CK407">
            <v>32.4</v>
          </cell>
          <cell r="CL407">
            <v>0</v>
          </cell>
          <cell r="CM407">
            <v>0</v>
          </cell>
          <cell r="CN407">
            <v>26.166666666666668</v>
          </cell>
          <cell r="CO407">
            <v>26</v>
          </cell>
          <cell r="CP407">
            <v>31.2</v>
          </cell>
          <cell r="CQ407">
            <v>0</v>
          </cell>
          <cell r="CR407">
            <v>0</v>
          </cell>
          <cell r="CS407">
            <v>25.166666666666668</v>
          </cell>
          <cell r="CT407">
            <v>21</v>
          </cell>
          <cell r="CU407">
            <v>21</v>
          </cell>
          <cell r="CV407">
            <v>0</v>
          </cell>
          <cell r="CW407">
            <v>0</v>
          </cell>
          <cell r="CX407">
            <v>20</v>
          </cell>
          <cell r="CY407">
            <v>8</v>
          </cell>
          <cell r="CZ407">
            <v>2.1818181818181821</v>
          </cell>
          <cell r="DA407">
            <v>0</v>
          </cell>
          <cell r="DB407">
            <v>0</v>
          </cell>
          <cell r="DC407">
            <v>5</v>
          </cell>
          <cell r="DD407">
            <v>12</v>
          </cell>
          <cell r="DE407">
            <v>3</v>
          </cell>
          <cell r="DF407">
            <v>0</v>
          </cell>
          <cell r="DG407">
            <v>0</v>
          </cell>
          <cell r="DH407">
            <v>9</v>
          </cell>
          <cell r="DI407">
            <v>12</v>
          </cell>
          <cell r="DJ407">
            <v>5.75</v>
          </cell>
          <cell r="DK407">
            <v>0</v>
          </cell>
          <cell r="DL407">
            <v>0</v>
          </cell>
          <cell r="DM407">
            <v>6.6</v>
          </cell>
          <cell r="DN407">
            <v>16</v>
          </cell>
          <cell r="DO407">
            <v>8.5</v>
          </cell>
          <cell r="DP407">
            <v>0</v>
          </cell>
          <cell r="DQ407">
            <v>0</v>
          </cell>
          <cell r="DR407">
            <v>14</v>
          </cell>
          <cell r="DS407">
            <v>14</v>
          </cell>
          <cell r="DT407">
            <v>7.5</v>
          </cell>
          <cell r="DU407">
            <v>0</v>
          </cell>
          <cell r="DV407">
            <v>0</v>
          </cell>
          <cell r="DW407">
            <v>12</v>
          </cell>
          <cell r="DX407">
            <v>12</v>
          </cell>
          <cell r="DY407">
            <v>6.5</v>
          </cell>
          <cell r="DZ407">
            <v>0</v>
          </cell>
          <cell r="EA407">
            <v>0</v>
          </cell>
          <cell r="EB407">
            <v>10</v>
          </cell>
          <cell r="EC407">
            <v>10</v>
          </cell>
          <cell r="ED407">
            <v>5.5</v>
          </cell>
          <cell r="EE407">
            <v>0</v>
          </cell>
          <cell r="EF407">
            <v>0</v>
          </cell>
          <cell r="EG407">
            <v>8</v>
          </cell>
          <cell r="EH407">
            <v>8</v>
          </cell>
          <cell r="EI407">
            <v>4.5</v>
          </cell>
          <cell r="EJ407">
            <v>0</v>
          </cell>
          <cell r="EK407">
            <v>0</v>
          </cell>
          <cell r="EL407">
            <v>6</v>
          </cell>
          <cell r="EM407">
            <v>6</v>
          </cell>
          <cell r="EN407">
            <v>3.5</v>
          </cell>
          <cell r="EO407">
            <v>0</v>
          </cell>
          <cell r="EP407">
            <v>0</v>
          </cell>
          <cell r="EQ407">
            <v>4</v>
          </cell>
          <cell r="ER407">
            <v>4</v>
          </cell>
          <cell r="ES407">
            <v>2.5</v>
          </cell>
          <cell r="ET407">
            <v>0</v>
          </cell>
          <cell r="EU407">
            <v>0</v>
          </cell>
          <cell r="EV407">
            <v>2</v>
          </cell>
          <cell r="EW407">
            <v>2</v>
          </cell>
          <cell r="EX407">
            <v>1.5</v>
          </cell>
          <cell r="EY407">
            <v>1</v>
          </cell>
          <cell r="EZ407">
            <v>0</v>
          </cell>
          <cell r="FA407">
            <v>0</v>
          </cell>
          <cell r="FB407">
            <v>0</v>
          </cell>
          <cell r="FC407">
            <v>0.5</v>
          </cell>
          <cell r="FD407">
            <v>3</v>
          </cell>
          <cell r="FE407">
            <v>0</v>
          </cell>
          <cell r="FF407">
            <v>-2</v>
          </cell>
          <cell r="FG407">
            <v>-2</v>
          </cell>
          <cell r="FH407">
            <v>-0.5</v>
          </cell>
          <cell r="FI407">
            <v>5</v>
          </cell>
          <cell r="FJ407">
            <v>0</v>
          </cell>
          <cell r="FK407">
            <v>-4</v>
          </cell>
          <cell r="FL407">
            <v>-4</v>
          </cell>
          <cell r="FM407">
            <v>-1.5</v>
          </cell>
          <cell r="FN407">
            <v>7</v>
          </cell>
          <cell r="FO407">
            <v>0</v>
          </cell>
          <cell r="FP407">
            <v>-6</v>
          </cell>
          <cell r="FQ407">
            <v>-6</v>
          </cell>
          <cell r="FR407">
            <v>-2.5</v>
          </cell>
          <cell r="FS407">
            <v>9</v>
          </cell>
          <cell r="FT407">
            <v>3</v>
          </cell>
          <cell r="FU407">
            <v>1.0333333333333334</v>
          </cell>
          <cell r="FW407" t="str">
            <v>SOBRESTOCK</v>
          </cell>
          <cell r="FX407" t="str">
            <v>B</v>
          </cell>
          <cell r="FY407" t="str">
            <v>Si</v>
          </cell>
        </row>
        <row r="408">
          <cell r="B408" t="str">
            <v>REP-0425</v>
          </cell>
          <cell r="C408" t="str">
            <v>NAC</v>
          </cell>
          <cell r="D408">
            <v>0</v>
          </cell>
          <cell r="E408">
            <v>64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4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1</v>
          </cell>
          <cell r="V408">
            <v>0</v>
          </cell>
          <cell r="W408">
            <v>4</v>
          </cell>
          <cell r="X408">
            <v>0</v>
          </cell>
          <cell r="Y408">
            <v>73</v>
          </cell>
          <cell r="AA408">
            <v>73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0.5</v>
          </cell>
          <cell r="AH408">
            <v>1.9166666666666667</v>
          </cell>
          <cell r="AI408">
            <v>2.5</v>
          </cell>
          <cell r="AJ408">
            <v>2.5</v>
          </cell>
          <cell r="AK408">
            <v>2.5</v>
          </cell>
          <cell r="AL408">
            <v>0.94372930440884339</v>
          </cell>
          <cell r="AM408">
            <v>1.8541666666666667</v>
          </cell>
          <cell r="AN408">
            <v>0.50897760237780321</v>
          </cell>
          <cell r="AO408">
            <v>0</v>
          </cell>
          <cell r="AP408">
            <v>11</v>
          </cell>
          <cell r="AQ408">
            <v>25</v>
          </cell>
          <cell r="AR408">
            <v>0</v>
          </cell>
          <cell r="AS408">
            <v>12.666666666666668</v>
          </cell>
          <cell r="AT408">
            <v>13</v>
          </cell>
          <cell r="AU408">
            <v>26</v>
          </cell>
          <cell r="AV408">
            <v>0</v>
          </cell>
          <cell r="AW408">
            <v>12.5</v>
          </cell>
          <cell r="AX408">
            <v>10</v>
          </cell>
          <cell r="AY408">
            <v>4</v>
          </cell>
          <cell r="AZ408">
            <v>0</v>
          </cell>
          <cell r="BA408">
            <v>9</v>
          </cell>
          <cell r="BB408">
            <v>8</v>
          </cell>
          <cell r="BC408">
            <v>4.8</v>
          </cell>
          <cell r="BD408">
            <v>0</v>
          </cell>
          <cell r="BE408">
            <v>6.333333333333333</v>
          </cell>
          <cell r="BF408">
            <v>3.8</v>
          </cell>
          <cell r="BG408">
            <v>0</v>
          </cell>
          <cell r="BH408">
            <v>4.6666666666666661</v>
          </cell>
          <cell r="BI408">
            <v>73</v>
          </cell>
          <cell r="BJ408">
            <v>29.2</v>
          </cell>
          <cell r="BK408">
            <v>0</v>
          </cell>
          <cell r="BL408">
            <v>104.83333333333333</v>
          </cell>
          <cell r="BM408">
            <v>103</v>
          </cell>
          <cell r="BN408">
            <v>88.285714285714278</v>
          </cell>
          <cell r="BO408">
            <v>0</v>
          </cell>
          <cell r="BP408">
            <v>101.83333333333333</v>
          </cell>
          <cell r="BQ408">
            <v>99</v>
          </cell>
          <cell r="BR408">
            <v>39.6</v>
          </cell>
          <cell r="BS408">
            <v>0</v>
          </cell>
          <cell r="BT408">
            <v>96.666666666666671</v>
          </cell>
          <cell r="BU408">
            <v>98</v>
          </cell>
          <cell r="BV408">
            <v>49</v>
          </cell>
          <cell r="BW408">
            <v>0</v>
          </cell>
          <cell r="BX408">
            <v>0</v>
          </cell>
          <cell r="BY408">
            <v>96</v>
          </cell>
          <cell r="BZ408">
            <v>96</v>
          </cell>
          <cell r="CA408">
            <v>48</v>
          </cell>
          <cell r="CB408">
            <v>0</v>
          </cell>
          <cell r="CC408">
            <v>0</v>
          </cell>
          <cell r="CD408">
            <v>94</v>
          </cell>
          <cell r="CE408">
            <v>96</v>
          </cell>
          <cell r="CF408">
            <v>48</v>
          </cell>
          <cell r="CG408">
            <v>0</v>
          </cell>
          <cell r="CH408">
            <v>0</v>
          </cell>
          <cell r="CI408">
            <v>92</v>
          </cell>
          <cell r="CJ408">
            <v>90</v>
          </cell>
          <cell r="CK408">
            <v>33.75</v>
          </cell>
          <cell r="CL408">
            <v>0</v>
          </cell>
          <cell r="CM408">
            <v>0</v>
          </cell>
          <cell r="CN408">
            <v>87.333333333333329</v>
          </cell>
          <cell r="CO408">
            <v>85</v>
          </cell>
          <cell r="CP408">
            <v>31.875</v>
          </cell>
          <cell r="CQ408">
            <v>0</v>
          </cell>
          <cell r="CR408">
            <v>0</v>
          </cell>
          <cell r="CS408">
            <v>82.333333333333329</v>
          </cell>
          <cell r="CT408">
            <v>83</v>
          </cell>
          <cell r="CU408">
            <v>43.304347826086953</v>
          </cell>
          <cell r="CV408">
            <v>0</v>
          </cell>
          <cell r="CW408">
            <v>0</v>
          </cell>
          <cell r="CX408">
            <v>81.083333333333329</v>
          </cell>
          <cell r="CY408">
            <v>80</v>
          </cell>
          <cell r="CZ408">
            <v>41.739130434782609</v>
          </cell>
          <cell r="DA408">
            <v>0</v>
          </cell>
          <cell r="DB408">
            <v>0</v>
          </cell>
          <cell r="DC408">
            <v>78.083333333333329</v>
          </cell>
          <cell r="DD408">
            <v>78</v>
          </cell>
          <cell r="DE408">
            <v>38.608695652173914</v>
          </cell>
          <cell r="DF408">
            <v>0</v>
          </cell>
          <cell r="DG408">
            <v>0</v>
          </cell>
          <cell r="DH408">
            <v>76.083333333333329</v>
          </cell>
          <cell r="DI408">
            <v>74</v>
          </cell>
          <cell r="DJ408">
            <v>24.105263157894736</v>
          </cell>
          <cell r="DK408">
            <v>0</v>
          </cell>
          <cell r="DL408">
            <v>0</v>
          </cell>
          <cell r="DM408">
            <v>72.916666666666657</v>
          </cell>
          <cell r="DN408">
            <v>73</v>
          </cell>
          <cell r="DO408">
            <v>30</v>
          </cell>
          <cell r="DP408">
            <v>0</v>
          </cell>
          <cell r="DQ408">
            <v>0</v>
          </cell>
          <cell r="DR408">
            <v>70.5</v>
          </cell>
          <cell r="DS408">
            <v>70.5</v>
          </cell>
          <cell r="DT408">
            <v>29</v>
          </cell>
          <cell r="DU408">
            <v>0</v>
          </cell>
          <cell r="DV408">
            <v>0</v>
          </cell>
          <cell r="DW408">
            <v>68</v>
          </cell>
          <cell r="DX408">
            <v>68</v>
          </cell>
          <cell r="DY408">
            <v>28</v>
          </cell>
          <cell r="DZ408">
            <v>0</v>
          </cell>
          <cell r="EA408">
            <v>0</v>
          </cell>
          <cell r="EB408">
            <v>65.5</v>
          </cell>
          <cell r="EC408">
            <v>65.5</v>
          </cell>
          <cell r="ED408">
            <v>27</v>
          </cell>
          <cell r="EE408">
            <v>0</v>
          </cell>
          <cell r="EF408">
            <v>0</v>
          </cell>
          <cell r="EG408">
            <v>63</v>
          </cell>
          <cell r="EH408">
            <v>63</v>
          </cell>
          <cell r="EI408">
            <v>26</v>
          </cell>
          <cell r="EJ408">
            <v>0</v>
          </cell>
          <cell r="EK408">
            <v>0</v>
          </cell>
          <cell r="EL408">
            <v>60.5</v>
          </cell>
          <cell r="EM408">
            <v>60.5</v>
          </cell>
          <cell r="EN408">
            <v>25</v>
          </cell>
          <cell r="EO408">
            <v>0</v>
          </cell>
          <cell r="EP408">
            <v>0</v>
          </cell>
          <cell r="EQ408">
            <v>58</v>
          </cell>
          <cell r="ER408">
            <v>58</v>
          </cell>
          <cell r="ES408">
            <v>24</v>
          </cell>
          <cell r="ET408">
            <v>0</v>
          </cell>
          <cell r="EU408">
            <v>0</v>
          </cell>
          <cell r="EV408">
            <v>55.5</v>
          </cell>
          <cell r="EW408">
            <v>55.5</v>
          </cell>
          <cell r="EX408">
            <v>23</v>
          </cell>
          <cell r="EY408">
            <v>0</v>
          </cell>
          <cell r="EZ408">
            <v>0</v>
          </cell>
          <cell r="FA408">
            <v>53</v>
          </cell>
          <cell r="FB408">
            <v>53</v>
          </cell>
          <cell r="FC408">
            <v>22</v>
          </cell>
          <cell r="FD408">
            <v>0</v>
          </cell>
          <cell r="FE408">
            <v>0</v>
          </cell>
          <cell r="FF408">
            <v>50.5</v>
          </cell>
          <cell r="FG408">
            <v>50.5</v>
          </cell>
          <cell r="FH408">
            <v>21</v>
          </cell>
          <cell r="FI408">
            <v>0</v>
          </cell>
          <cell r="FJ408">
            <v>0</v>
          </cell>
          <cell r="FK408">
            <v>48</v>
          </cell>
          <cell r="FL408">
            <v>48</v>
          </cell>
          <cell r="FM408">
            <v>20</v>
          </cell>
          <cell r="FN408">
            <v>0</v>
          </cell>
          <cell r="FO408">
            <v>0</v>
          </cell>
          <cell r="FP408">
            <v>45.5</v>
          </cell>
          <cell r="FQ408">
            <v>45.5</v>
          </cell>
          <cell r="FR408">
            <v>19</v>
          </cell>
          <cell r="FS408">
            <v>0</v>
          </cell>
          <cell r="FT408">
            <v>3</v>
          </cell>
          <cell r="FU408">
            <v>1.0333333333333334</v>
          </cell>
          <cell r="FW408" t="str">
            <v>SOBRESTOCK</v>
          </cell>
          <cell r="FX408" t="str">
            <v>B</v>
          </cell>
          <cell r="FY408" t="str">
            <v>Si</v>
          </cell>
        </row>
        <row r="409">
          <cell r="B409" t="str">
            <v>REP-0426</v>
          </cell>
          <cell r="C409" t="str">
            <v>NAC</v>
          </cell>
          <cell r="D409">
            <v>0</v>
          </cell>
          <cell r="E409">
            <v>73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73</v>
          </cell>
          <cell r="AA409">
            <v>73</v>
          </cell>
          <cell r="AB409">
            <v>0</v>
          </cell>
          <cell r="AC409">
            <v>0.16666666666666666</v>
          </cell>
          <cell r="AD409">
            <v>5.5555555555555549E-3</v>
          </cell>
          <cell r="AE409">
            <v>8.3333333333333329E-2</v>
          </cell>
          <cell r="AF409">
            <v>0.16666666666666666</v>
          </cell>
          <cell r="AG409">
            <v>0</v>
          </cell>
          <cell r="AH409">
            <v>0.91666666666666663</v>
          </cell>
          <cell r="AI409">
            <v>0</v>
          </cell>
          <cell r="AJ409">
            <v>0</v>
          </cell>
          <cell r="AK409">
            <v>0.91666666666666663</v>
          </cell>
          <cell r="AL409">
            <v>0.45833333333333331</v>
          </cell>
          <cell r="AM409">
            <v>0.22916666666666666</v>
          </cell>
          <cell r="AN409">
            <v>2</v>
          </cell>
          <cell r="AO409">
            <v>0</v>
          </cell>
          <cell r="AP409">
            <v>85.5</v>
          </cell>
          <cell r="AQ409">
            <v>515</v>
          </cell>
          <cell r="AR409">
            <v>0</v>
          </cell>
          <cell r="AS409">
            <v>85.666666666666657</v>
          </cell>
          <cell r="AT409">
            <v>86</v>
          </cell>
          <cell r="AU409" t="str">
            <v/>
          </cell>
          <cell r="AV409">
            <v>0</v>
          </cell>
          <cell r="AW409">
            <v>86</v>
          </cell>
          <cell r="AX409">
            <v>86</v>
          </cell>
          <cell r="AY409">
            <v>93.818181818181827</v>
          </cell>
          <cell r="AZ409">
            <v>0</v>
          </cell>
          <cell r="BA409">
            <v>86</v>
          </cell>
          <cell r="BB409">
            <v>86</v>
          </cell>
          <cell r="BC409">
            <v>172</v>
          </cell>
          <cell r="BD409">
            <v>0</v>
          </cell>
          <cell r="BE409">
            <v>85.5</v>
          </cell>
          <cell r="BF409">
            <v>171</v>
          </cell>
          <cell r="BG409">
            <v>0</v>
          </cell>
          <cell r="BH409">
            <v>85</v>
          </cell>
          <cell r="BI409">
            <v>73</v>
          </cell>
          <cell r="BJ409">
            <v>79.63636363636364</v>
          </cell>
          <cell r="BK409">
            <v>0</v>
          </cell>
          <cell r="BL409">
            <v>83.666666666666671</v>
          </cell>
          <cell r="BM409">
            <v>84</v>
          </cell>
          <cell r="BN409">
            <v>252</v>
          </cell>
          <cell r="BO409">
            <v>0</v>
          </cell>
          <cell r="BP409">
            <v>83.666666666666671</v>
          </cell>
          <cell r="BQ409">
            <v>83</v>
          </cell>
          <cell r="BR409">
            <v>90.545454545454547</v>
          </cell>
          <cell r="BS409">
            <v>0</v>
          </cell>
          <cell r="BT409">
            <v>82.5</v>
          </cell>
          <cell r="BU409">
            <v>83</v>
          </cell>
          <cell r="BV409">
            <v>166</v>
          </cell>
          <cell r="BW409">
            <v>0</v>
          </cell>
          <cell r="BX409">
            <v>0</v>
          </cell>
          <cell r="BY409">
            <v>82.5</v>
          </cell>
          <cell r="BZ409">
            <v>83</v>
          </cell>
          <cell r="CA409">
            <v>166</v>
          </cell>
          <cell r="CB409">
            <v>0</v>
          </cell>
          <cell r="CC409">
            <v>0</v>
          </cell>
          <cell r="CD409">
            <v>82.5</v>
          </cell>
          <cell r="CE409">
            <v>81</v>
          </cell>
          <cell r="CF409">
            <v>162</v>
          </cell>
          <cell r="CG409">
            <v>0</v>
          </cell>
          <cell r="CH409">
            <v>0</v>
          </cell>
          <cell r="CI409">
            <v>82</v>
          </cell>
          <cell r="CJ409">
            <v>75</v>
          </cell>
          <cell r="CK409">
            <v>50</v>
          </cell>
          <cell r="CL409">
            <v>0</v>
          </cell>
          <cell r="CM409">
            <v>0</v>
          </cell>
          <cell r="CN409">
            <v>73.5</v>
          </cell>
          <cell r="CO409">
            <v>75</v>
          </cell>
          <cell r="CP409">
            <v>50</v>
          </cell>
          <cell r="CQ409">
            <v>0</v>
          </cell>
          <cell r="CR409">
            <v>0</v>
          </cell>
          <cell r="CS409">
            <v>73.5</v>
          </cell>
          <cell r="CT409">
            <v>75</v>
          </cell>
          <cell r="CU409">
            <v>56.25</v>
          </cell>
          <cell r="CV409">
            <v>0</v>
          </cell>
          <cell r="CW409">
            <v>0</v>
          </cell>
          <cell r="CX409">
            <v>73.666666666666671</v>
          </cell>
          <cell r="CY409">
            <v>73</v>
          </cell>
          <cell r="CZ409">
            <v>79.63636363636364</v>
          </cell>
          <cell r="DA409">
            <v>0</v>
          </cell>
          <cell r="DB409">
            <v>0</v>
          </cell>
          <cell r="DC409">
            <v>72.083333333333329</v>
          </cell>
          <cell r="DD409">
            <v>73</v>
          </cell>
          <cell r="DE409">
            <v>78.545454545454547</v>
          </cell>
          <cell r="DF409">
            <v>0</v>
          </cell>
          <cell r="DG409">
            <v>0</v>
          </cell>
          <cell r="DH409">
            <v>72.083333333333329</v>
          </cell>
          <cell r="DI409">
            <v>73</v>
          </cell>
          <cell r="DJ409">
            <v>80.545454545454547</v>
          </cell>
          <cell r="DK409">
            <v>0</v>
          </cell>
          <cell r="DL409">
            <v>0</v>
          </cell>
          <cell r="DM409">
            <v>71.166666666666657</v>
          </cell>
          <cell r="DN409">
            <v>73</v>
          </cell>
          <cell r="DO409">
            <v>80.545454545454547</v>
          </cell>
          <cell r="DP409">
            <v>0</v>
          </cell>
          <cell r="DQ409">
            <v>0</v>
          </cell>
          <cell r="DR409">
            <v>72.083333333333329</v>
          </cell>
          <cell r="DS409">
            <v>72.083333333333329</v>
          </cell>
          <cell r="DT409">
            <v>79.545454545454547</v>
          </cell>
          <cell r="DU409">
            <v>0</v>
          </cell>
          <cell r="DV409">
            <v>0</v>
          </cell>
          <cell r="DW409">
            <v>71.166666666666657</v>
          </cell>
          <cell r="DX409">
            <v>71.166666666666657</v>
          </cell>
          <cell r="DY409">
            <v>78.545454545454533</v>
          </cell>
          <cell r="DZ409">
            <v>0</v>
          </cell>
          <cell r="EA409">
            <v>0</v>
          </cell>
          <cell r="EB409">
            <v>70.249999999999986</v>
          </cell>
          <cell r="EC409">
            <v>70.249999999999986</v>
          </cell>
          <cell r="ED409">
            <v>77.545454545454533</v>
          </cell>
          <cell r="EE409">
            <v>0</v>
          </cell>
          <cell r="EF409">
            <v>0</v>
          </cell>
          <cell r="EG409">
            <v>69.333333333333314</v>
          </cell>
          <cell r="EH409">
            <v>69.333333333333314</v>
          </cell>
          <cell r="EI409">
            <v>76.545454545454533</v>
          </cell>
          <cell r="EJ409">
            <v>0</v>
          </cell>
          <cell r="EK409">
            <v>0</v>
          </cell>
          <cell r="EL409">
            <v>68.416666666666643</v>
          </cell>
          <cell r="EM409">
            <v>68.416666666666643</v>
          </cell>
          <cell r="EN409">
            <v>75.545454545454518</v>
          </cell>
          <cell r="EO409">
            <v>0</v>
          </cell>
          <cell r="EP409">
            <v>0</v>
          </cell>
          <cell r="EQ409">
            <v>67.499999999999972</v>
          </cell>
          <cell r="ER409">
            <v>67.499999999999972</v>
          </cell>
          <cell r="ES409">
            <v>74.545454545454518</v>
          </cell>
          <cell r="ET409">
            <v>0</v>
          </cell>
          <cell r="EU409">
            <v>0</v>
          </cell>
          <cell r="EV409">
            <v>66.5833333333333</v>
          </cell>
          <cell r="EW409">
            <v>66.5833333333333</v>
          </cell>
          <cell r="EX409">
            <v>73.545454545454518</v>
          </cell>
          <cell r="EY409">
            <v>0</v>
          </cell>
          <cell r="EZ409">
            <v>0</v>
          </cell>
          <cell r="FA409">
            <v>65.666666666666629</v>
          </cell>
          <cell r="FB409">
            <v>65.666666666666629</v>
          </cell>
          <cell r="FC409">
            <v>72.545454545454504</v>
          </cell>
          <cell r="FD409">
            <v>0</v>
          </cell>
          <cell r="FE409">
            <v>0</v>
          </cell>
          <cell r="FF409">
            <v>64.749999999999957</v>
          </cell>
          <cell r="FG409">
            <v>64.749999999999957</v>
          </cell>
          <cell r="FH409">
            <v>71.545454545454504</v>
          </cell>
          <cell r="FI409">
            <v>0</v>
          </cell>
          <cell r="FJ409">
            <v>0</v>
          </cell>
          <cell r="FK409">
            <v>63.833333333333293</v>
          </cell>
          <cell r="FL409">
            <v>63.833333333333293</v>
          </cell>
          <cell r="FM409">
            <v>70.545454545454504</v>
          </cell>
          <cell r="FN409">
            <v>0</v>
          </cell>
          <cell r="FO409">
            <v>0</v>
          </cell>
          <cell r="FP409">
            <v>62.916666666666629</v>
          </cell>
          <cell r="FQ409">
            <v>62.916666666666629</v>
          </cell>
          <cell r="FR409">
            <v>69.545454545454504</v>
          </cell>
          <cell r="FS409">
            <v>0</v>
          </cell>
          <cell r="FT409">
            <v>1</v>
          </cell>
          <cell r="FU409">
            <v>1.0333333333333334</v>
          </cell>
          <cell r="FW409" t="str">
            <v>SIN ROTACIÓN</v>
          </cell>
          <cell r="FX409" t="str">
            <v>C</v>
          </cell>
          <cell r="FY409" t="str">
            <v>Si</v>
          </cell>
        </row>
        <row r="410">
          <cell r="B410" t="str">
            <v>REP-0427</v>
          </cell>
          <cell r="C410" t="str">
            <v>NAC</v>
          </cell>
          <cell r="D410">
            <v>0</v>
          </cell>
          <cell r="E410">
            <v>53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3</v>
          </cell>
          <cell r="M410">
            <v>0</v>
          </cell>
          <cell r="N410">
            <v>1</v>
          </cell>
          <cell r="O410">
            <v>0</v>
          </cell>
          <cell r="P410">
            <v>0</v>
          </cell>
          <cell r="Q410">
            <v>0</v>
          </cell>
          <cell r="R410">
            <v>1</v>
          </cell>
          <cell r="S410">
            <v>0</v>
          </cell>
          <cell r="T410">
            <v>1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59</v>
          </cell>
          <cell r="AA410">
            <v>59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3.0833333333333335</v>
          </cell>
          <cell r="AG410">
            <v>2.8333333333333335</v>
          </cell>
          <cell r="AH410">
            <v>3.75</v>
          </cell>
          <cell r="AI410">
            <v>1</v>
          </cell>
          <cell r="AJ410">
            <v>1</v>
          </cell>
          <cell r="AK410">
            <v>3.75</v>
          </cell>
          <cell r="AL410">
            <v>1.375</v>
          </cell>
          <cell r="AM410">
            <v>2.1458333333333335</v>
          </cell>
          <cell r="AN410">
            <v>0.64077669902912615</v>
          </cell>
          <cell r="AO410">
            <v>0</v>
          </cell>
          <cell r="AP410">
            <v>16</v>
          </cell>
          <cell r="AQ410">
            <v>5.4864864864864868</v>
          </cell>
          <cell r="AR410">
            <v>0</v>
          </cell>
          <cell r="AS410">
            <v>13.833333333333334</v>
          </cell>
          <cell r="AT410">
            <v>19</v>
          </cell>
          <cell r="AU410">
            <v>6.7058823529411757</v>
          </cell>
          <cell r="AV410">
            <v>0</v>
          </cell>
          <cell r="AW410">
            <v>16.166666666666668</v>
          </cell>
          <cell r="AX410">
            <v>16</v>
          </cell>
          <cell r="AY410">
            <v>4.2666666666666666</v>
          </cell>
          <cell r="AZ410">
            <v>0</v>
          </cell>
          <cell r="BA410">
            <v>13.166666666666666</v>
          </cell>
          <cell r="BB410">
            <v>109</v>
          </cell>
          <cell r="BC410">
            <v>38.470588235294116</v>
          </cell>
          <cell r="BD410">
            <v>0</v>
          </cell>
          <cell r="BE410">
            <v>106.16666666666667</v>
          </cell>
          <cell r="BF410">
            <v>37.470588235294116</v>
          </cell>
          <cell r="BG410">
            <v>0</v>
          </cell>
          <cell r="BH410">
            <v>103.33333333333334</v>
          </cell>
          <cell r="BI410">
            <v>59</v>
          </cell>
          <cell r="BJ410">
            <v>15.733333333333333</v>
          </cell>
          <cell r="BK410">
            <v>0</v>
          </cell>
          <cell r="BL410">
            <v>99.166666666666671</v>
          </cell>
          <cell r="BM410">
            <v>97</v>
          </cell>
          <cell r="BN410">
            <v>27.714285714285715</v>
          </cell>
          <cell r="BO410">
            <v>0</v>
          </cell>
          <cell r="BP410">
            <v>93.5</v>
          </cell>
          <cell r="BQ410">
            <v>93</v>
          </cell>
          <cell r="BR410">
            <v>24.8</v>
          </cell>
          <cell r="BS410">
            <v>0</v>
          </cell>
          <cell r="BT410">
            <v>89</v>
          </cell>
          <cell r="BU410">
            <v>90</v>
          </cell>
          <cell r="BV410">
            <v>22.5</v>
          </cell>
          <cell r="BW410">
            <v>0</v>
          </cell>
          <cell r="BX410">
            <v>0</v>
          </cell>
          <cell r="BY410">
            <v>86</v>
          </cell>
          <cell r="BZ410">
            <v>82</v>
          </cell>
          <cell r="CA410">
            <v>20.5</v>
          </cell>
          <cell r="CB410">
            <v>0</v>
          </cell>
          <cell r="CC410">
            <v>0</v>
          </cell>
          <cell r="CD410">
            <v>78</v>
          </cell>
          <cell r="CE410">
            <v>76</v>
          </cell>
          <cell r="CF410">
            <v>15.724137931034484</v>
          </cell>
          <cell r="CG410">
            <v>0</v>
          </cell>
          <cell r="CH410">
            <v>0</v>
          </cell>
          <cell r="CI410">
            <v>73.166666666666671</v>
          </cell>
          <cell r="CJ410">
            <v>79</v>
          </cell>
          <cell r="CK410">
            <v>17.555555555555557</v>
          </cell>
          <cell r="CL410">
            <v>0</v>
          </cell>
          <cell r="CM410">
            <v>0</v>
          </cell>
          <cell r="CN410">
            <v>74.5</v>
          </cell>
          <cell r="CO410">
            <v>80</v>
          </cell>
          <cell r="CP410">
            <v>17.777777777777779</v>
          </cell>
          <cell r="CQ410">
            <v>0</v>
          </cell>
          <cell r="CR410">
            <v>0</v>
          </cell>
          <cell r="CS410">
            <v>75.5</v>
          </cell>
          <cell r="CT410">
            <v>80</v>
          </cell>
          <cell r="CU410">
            <v>21.333333333333332</v>
          </cell>
          <cell r="CV410">
            <v>0</v>
          </cell>
          <cell r="CW410">
            <v>0</v>
          </cell>
          <cell r="CX410">
            <v>76.25</v>
          </cell>
          <cell r="CY410">
            <v>77</v>
          </cell>
          <cell r="CZ410">
            <v>20.533333333333335</v>
          </cell>
          <cell r="DA410">
            <v>0</v>
          </cell>
          <cell r="DB410">
            <v>0</v>
          </cell>
          <cell r="DC410">
            <v>73.25</v>
          </cell>
          <cell r="DD410">
            <v>67</v>
          </cell>
          <cell r="DE410">
            <v>16.8</v>
          </cell>
          <cell r="DF410">
            <v>0</v>
          </cell>
          <cell r="DG410">
            <v>0</v>
          </cell>
          <cell r="DH410">
            <v>63.25</v>
          </cell>
          <cell r="DI410">
            <v>65</v>
          </cell>
          <cell r="DJ410">
            <v>18.266666666666666</v>
          </cell>
          <cell r="DK410">
            <v>0</v>
          </cell>
          <cell r="DL410">
            <v>0</v>
          </cell>
          <cell r="DM410">
            <v>59.5</v>
          </cell>
          <cell r="DN410">
            <v>59</v>
          </cell>
          <cell r="DO410">
            <v>16.666666666666664</v>
          </cell>
          <cell r="DP410">
            <v>0</v>
          </cell>
          <cell r="DQ410">
            <v>0</v>
          </cell>
          <cell r="DR410">
            <v>55.25</v>
          </cell>
          <cell r="DS410">
            <v>55.25</v>
          </cell>
          <cell r="DT410">
            <v>15.666666666666666</v>
          </cell>
          <cell r="DU410">
            <v>0</v>
          </cell>
          <cell r="DV410">
            <v>0</v>
          </cell>
          <cell r="DW410">
            <v>51.5</v>
          </cell>
          <cell r="DX410">
            <v>51.5</v>
          </cell>
          <cell r="DY410">
            <v>14.666666666666666</v>
          </cell>
          <cell r="DZ410">
            <v>0</v>
          </cell>
          <cell r="EA410">
            <v>0</v>
          </cell>
          <cell r="EB410">
            <v>47.75</v>
          </cell>
          <cell r="EC410">
            <v>47.75</v>
          </cell>
          <cell r="ED410">
            <v>13.666666666666666</v>
          </cell>
          <cell r="EE410">
            <v>0</v>
          </cell>
          <cell r="EF410">
            <v>0</v>
          </cell>
          <cell r="EG410">
            <v>44</v>
          </cell>
          <cell r="EH410">
            <v>44</v>
          </cell>
          <cell r="EI410">
            <v>12.666666666666666</v>
          </cell>
          <cell r="EJ410">
            <v>0</v>
          </cell>
          <cell r="EK410">
            <v>0</v>
          </cell>
          <cell r="EL410">
            <v>40.25</v>
          </cell>
          <cell r="EM410">
            <v>40.25</v>
          </cell>
          <cell r="EN410">
            <v>11.666666666666666</v>
          </cell>
          <cell r="EO410">
            <v>0</v>
          </cell>
          <cell r="EP410">
            <v>0</v>
          </cell>
          <cell r="EQ410">
            <v>36.5</v>
          </cell>
          <cell r="ER410">
            <v>36.5</v>
          </cell>
          <cell r="ES410">
            <v>10.666666666666666</v>
          </cell>
          <cell r="ET410">
            <v>0</v>
          </cell>
          <cell r="EU410">
            <v>0</v>
          </cell>
          <cell r="EV410">
            <v>32.75</v>
          </cell>
          <cell r="EW410">
            <v>32.75</v>
          </cell>
          <cell r="EX410">
            <v>9.6666666666666679</v>
          </cell>
          <cell r="EY410">
            <v>0</v>
          </cell>
          <cell r="EZ410">
            <v>0</v>
          </cell>
          <cell r="FA410">
            <v>29</v>
          </cell>
          <cell r="FB410">
            <v>29</v>
          </cell>
          <cell r="FC410">
            <v>8.6666666666666679</v>
          </cell>
          <cell r="FD410">
            <v>0</v>
          </cell>
          <cell r="FE410">
            <v>0</v>
          </cell>
          <cell r="FF410">
            <v>25.25</v>
          </cell>
          <cell r="FG410">
            <v>25.25</v>
          </cell>
          <cell r="FH410">
            <v>7.666666666666667</v>
          </cell>
          <cell r="FI410">
            <v>0</v>
          </cell>
          <cell r="FJ410">
            <v>0</v>
          </cell>
          <cell r="FK410">
            <v>21.5</v>
          </cell>
          <cell r="FL410">
            <v>21.5</v>
          </cell>
          <cell r="FM410">
            <v>6.666666666666667</v>
          </cell>
          <cell r="FN410">
            <v>0</v>
          </cell>
          <cell r="FO410">
            <v>0</v>
          </cell>
          <cell r="FP410">
            <v>17.75</v>
          </cell>
          <cell r="FQ410">
            <v>17.75</v>
          </cell>
          <cell r="FR410">
            <v>5.6666666666666661</v>
          </cell>
          <cell r="FS410">
            <v>0</v>
          </cell>
          <cell r="FT410">
            <v>4</v>
          </cell>
          <cell r="FU410">
            <v>1.0333333333333334</v>
          </cell>
          <cell r="FW410" t="str">
            <v>SOBRESTOCK</v>
          </cell>
          <cell r="FX410" t="str">
            <v>B</v>
          </cell>
          <cell r="FY410" t="str">
            <v>Si</v>
          </cell>
        </row>
        <row r="411">
          <cell r="B411" t="str">
            <v>REP-0428</v>
          </cell>
          <cell r="C411" t="str">
            <v>NAC</v>
          </cell>
          <cell r="D411">
            <v>0</v>
          </cell>
          <cell r="E411">
            <v>57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1</v>
          </cell>
          <cell r="O411">
            <v>0</v>
          </cell>
          <cell r="P411">
            <v>0</v>
          </cell>
          <cell r="Q411">
            <v>0</v>
          </cell>
          <cell r="R411">
            <v>2</v>
          </cell>
          <cell r="S411">
            <v>0</v>
          </cell>
          <cell r="T411">
            <v>1</v>
          </cell>
          <cell r="U411">
            <v>1</v>
          </cell>
          <cell r="V411">
            <v>0</v>
          </cell>
          <cell r="W411">
            <v>0</v>
          </cell>
          <cell r="X411">
            <v>0</v>
          </cell>
          <cell r="Y411">
            <v>62</v>
          </cell>
          <cell r="AA411">
            <v>62</v>
          </cell>
          <cell r="AB411">
            <v>0</v>
          </cell>
          <cell r="AC411">
            <v>0.16666666666666666</v>
          </cell>
          <cell r="AD411">
            <v>5.5555555555555549E-3</v>
          </cell>
          <cell r="AE411">
            <v>8.3333333333333329E-2</v>
          </cell>
          <cell r="AF411">
            <v>3.3333333333333335</v>
          </cell>
          <cell r="AG411">
            <v>2.8333333333333335</v>
          </cell>
          <cell r="AH411">
            <v>4.166666666666667</v>
          </cell>
          <cell r="AI411">
            <v>1</v>
          </cell>
          <cell r="AJ411">
            <v>1</v>
          </cell>
          <cell r="AK411">
            <v>4.166666666666667</v>
          </cell>
          <cell r="AL411">
            <v>1.5426048196572029</v>
          </cell>
          <cell r="AM411">
            <v>2.25</v>
          </cell>
          <cell r="AN411">
            <v>0.68560214206986791</v>
          </cell>
          <cell r="AO411">
            <v>0</v>
          </cell>
          <cell r="AP411">
            <v>23.833333333333332</v>
          </cell>
          <cell r="AQ411">
            <v>7.4</v>
          </cell>
          <cell r="AR411">
            <v>0</v>
          </cell>
          <cell r="AS411">
            <v>21.333333333333336</v>
          </cell>
          <cell r="AT411">
            <v>27</v>
          </cell>
          <cell r="AU411">
            <v>9.5294117647058822</v>
          </cell>
          <cell r="AV411">
            <v>0</v>
          </cell>
          <cell r="AW411">
            <v>24.166666666666668</v>
          </cell>
          <cell r="AX411">
            <v>23</v>
          </cell>
          <cell r="AY411">
            <v>5.52</v>
          </cell>
          <cell r="AZ411">
            <v>0</v>
          </cell>
          <cell r="BA411">
            <v>20.166666666666668</v>
          </cell>
          <cell r="BB411">
            <v>115</v>
          </cell>
          <cell r="BC411">
            <v>34.5</v>
          </cell>
          <cell r="BD411">
            <v>0</v>
          </cell>
          <cell r="BE411">
            <v>111.66666666666667</v>
          </cell>
          <cell r="BF411">
            <v>33.5</v>
          </cell>
          <cell r="BG411">
            <v>0</v>
          </cell>
          <cell r="BH411">
            <v>108.33333333333334</v>
          </cell>
          <cell r="BI411">
            <v>62</v>
          </cell>
          <cell r="BJ411">
            <v>14.879999999999999</v>
          </cell>
          <cell r="BK411">
            <v>0</v>
          </cell>
          <cell r="BL411">
            <v>108.16666666666667</v>
          </cell>
          <cell r="BM411">
            <v>105</v>
          </cell>
          <cell r="BN411">
            <v>31.5</v>
          </cell>
          <cell r="BO411">
            <v>0</v>
          </cell>
          <cell r="BP411">
            <v>101.66666666666667</v>
          </cell>
          <cell r="BQ411">
            <v>98</v>
          </cell>
          <cell r="BR411">
            <v>23.52</v>
          </cell>
          <cell r="BS411">
            <v>0</v>
          </cell>
          <cell r="BT411">
            <v>93.666666666666671</v>
          </cell>
          <cell r="BU411">
            <v>95</v>
          </cell>
          <cell r="BV411">
            <v>22.799999999999997</v>
          </cell>
          <cell r="BW411">
            <v>0</v>
          </cell>
          <cell r="BX411">
            <v>0</v>
          </cell>
          <cell r="BY411">
            <v>90.833333333333329</v>
          </cell>
          <cell r="BZ411">
            <v>87</v>
          </cell>
          <cell r="CA411">
            <v>21.75</v>
          </cell>
          <cell r="CB411">
            <v>0</v>
          </cell>
          <cell r="CC411">
            <v>0</v>
          </cell>
          <cell r="CD411">
            <v>83</v>
          </cell>
          <cell r="CE411">
            <v>80</v>
          </cell>
          <cell r="CF411">
            <v>15.483870967741934</v>
          </cell>
          <cell r="CG411">
            <v>0</v>
          </cell>
          <cell r="CH411">
            <v>0</v>
          </cell>
          <cell r="CI411">
            <v>77.833333333333329</v>
          </cell>
          <cell r="CJ411">
            <v>74</v>
          </cell>
          <cell r="CK411">
            <v>13.454545454545455</v>
          </cell>
          <cell r="CL411">
            <v>0</v>
          </cell>
          <cell r="CM411">
            <v>0</v>
          </cell>
          <cell r="CN411">
            <v>68.5</v>
          </cell>
          <cell r="CO411">
            <v>73</v>
          </cell>
          <cell r="CP411">
            <v>13.272727272727273</v>
          </cell>
          <cell r="CQ411">
            <v>0</v>
          </cell>
          <cell r="CR411">
            <v>0</v>
          </cell>
          <cell r="CS411">
            <v>67.5</v>
          </cell>
          <cell r="CT411">
            <v>73</v>
          </cell>
          <cell r="CU411">
            <v>17.52</v>
          </cell>
          <cell r="CV411">
            <v>0</v>
          </cell>
          <cell r="CW411">
            <v>0</v>
          </cell>
          <cell r="CX411">
            <v>68.833333333333329</v>
          </cell>
          <cell r="CY411">
            <v>72</v>
          </cell>
          <cell r="CZ411">
            <v>17.279999999999998</v>
          </cell>
          <cell r="DA411">
            <v>0</v>
          </cell>
          <cell r="DB411">
            <v>0</v>
          </cell>
          <cell r="DC411">
            <v>67.833333333333329</v>
          </cell>
          <cell r="DD411">
            <v>70</v>
          </cell>
          <cell r="DE411">
            <v>15.6</v>
          </cell>
          <cell r="DF411">
            <v>0</v>
          </cell>
          <cell r="DG411">
            <v>0</v>
          </cell>
          <cell r="DH411">
            <v>65.833333333333329</v>
          </cell>
          <cell r="DI411">
            <v>68</v>
          </cell>
          <cell r="DJ411">
            <v>17.119999999999997</v>
          </cell>
          <cell r="DK411">
            <v>0</v>
          </cell>
          <cell r="DL411">
            <v>0</v>
          </cell>
          <cell r="DM411">
            <v>61.666666666666664</v>
          </cell>
          <cell r="DN411">
            <v>62</v>
          </cell>
          <cell r="DO411">
            <v>15.68</v>
          </cell>
          <cell r="DP411">
            <v>0</v>
          </cell>
          <cell r="DQ411">
            <v>0</v>
          </cell>
          <cell r="DR411">
            <v>57.833333333333336</v>
          </cell>
          <cell r="DS411">
            <v>57.833333333333336</v>
          </cell>
          <cell r="DT411">
            <v>14.68</v>
          </cell>
          <cell r="DU411">
            <v>0</v>
          </cell>
          <cell r="DV411">
            <v>0</v>
          </cell>
          <cell r="DW411">
            <v>53.666666666666671</v>
          </cell>
          <cell r="DX411">
            <v>53.666666666666671</v>
          </cell>
          <cell r="DY411">
            <v>13.68</v>
          </cell>
          <cell r="DZ411">
            <v>0</v>
          </cell>
          <cell r="EA411">
            <v>0</v>
          </cell>
          <cell r="EB411">
            <v>49.500000000000007</v>
          </cell>
          <cell r="EC411">
            <v>49.500000000000007</v>
          </cell>
          <cell r="ED411">
            <v>12.680000000000001</v>
          </cell>
          <cell r="EE411">
            <v>0</v>
          </cell>
          <cell r="EF411">
            <v>0</v>
          </cell>
          <cell r="EG411">
            <v>45.333333333333343</v>
          </cell>
          <cell r="EH411">
            <v>45.333333333333343</v>
          </cell>
          <cell r="EI411">
            <v>11.680000000000001</v>
          </cell>
          <cell r="EJ411">
            <v>0</v>
          </cell>
          <cell r="EK411">
            <v>0</v>
          </cell>
          <cell r="EL411">
            <v>41.166666666666679</v>
          </cell>
          <cell r="EM411">
            <v>41.166666666666679</v>
          </cell>
          <cell r="EN411">
            <v>10.680000000000001</v>
          </cell>
          <cell r="EO411">
            <v>0</v>
          </cell>
          <cell r="EP411">
            <v>0</v>
          </cell>
          <cell r="EQ411">
            <v>37.000000000000014</v>
          </cell>
          <cell r="ER411">
            <v>37.000000000000014</v>
          </cell>
          <cell r="ES411">
            <v>9.6800000000000033</v>
          </cell>
          <cell r="ET411">
            <v>0</v>
          </cell>
          <cell r="EU411">
            <v>0</v>
          </cell>
          <cell r="EV411">
            <v>32.83333333333335</v>
          </cell>
          <cell r="EW411">
            <v>32.83333333333335</v>
          </cell>
          <cell r="EX411">
            <v>8.6800000000000033</v>
          </cell>
          <cell r="EY411">
            <v>0</v>
          </cell>
          <cell r="EZ411">
            <v>0</v>
          </cell>
          <cell r="FA411">
            <v>28.666666666666682</v>
          </cell>
          <cell r="FB411">
            <v>28.666666666666682</v>
          </cell>
          <cell r="FC411">
            <v>7.6800000000000033</v>
          </cell>
          <cell r="FD411">
            <v>0</v>
          </cell>
          <cell r="FE411">
            <v>0</v>
          </cell>
          <cell r="FF411">
            <v>24.500000000000014</v>
          </cell>
          <cell r="FG411">
            <v>24.500000000000014</v>
          </cell>
          <cell r="FH411">
            <v>6.6800000000000033</v>
          </cell>
          <cell r="FI411">
            <v>0</v>
          </cell>
          <cell r="FJ411">
            <v>0</v>
          </cell>
          <cell r="FK411">
            <v>20.333333333333346</v>
          </cell>
          <cell r="FL411">
            <v>20.333333333333346</v>
          </cell>
          <cell r="FM411">
            <v>5.6800000000000033</v>
          </cell>
          <cell r="FN411">
            <v>0</v>
          </cell>
          <cell r="FO411">
            <v>0</v>
          </cell>
          <cell r="FP411">
            <v>16.166666666666679</v>
          </cell>
          <cell r="FQ411">
            <v>16.166666666666679</v>
          </cell>
          <cell r="FR411">
            <v>4.6800000000000033</v>
          </cell>
          <cell r="FS411">
            <v>0</v>
          </cell>
          <cell r="FT411">
            <v>5</v>
          </cell>
          <cell r="FU411">
            <v>1.0333333333333334</v>
          </cell>
          <cell r="FW411" t="str">
            <v>SOBRESTOCK</v>
          </cell>
          <cell r="FX411" t="str">
            <v>B</v>
          </cell>
          <cell r="FY411" t="str">
            <v>Si</v>
          </cell>
        </row>
        <row r="412">
          <cell r="B412" t="str">
            <v>REP-0429</v>
          </cell>
          <cell r="C412" t="str">
            <v>NAC</v>
          </cell>
          <cell r="D412">
            <v>0</v>
          </cell>
          <cell r="E412">
            <v>13</v>
          </cell>
          <cell r="F412">
            <v>0</v>
          </cell>
          <cell r="G412">
            <v>0</v>
          </cell>
          <cell r="H412">
            <v>1</v>
          </cell>
          <cell r="I412">
            <v>1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1</v>
          </cell>
          <cell r="S412">
            <v>0</v>
          </cell>
          <cell r="T412">
            <v>1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17</v>
          </cell>
          <cell r="AA412">
            <v>17</v>
          </cell>
          <cell r="AB412">
            <v>0</v>
          </cell>
          <cell r="AC412">
            <v>0.33333333333333331</v>
          </cell>
          <cell r="AD412">
            <v>1.111111111111111E-2</v>
          </cell>
          <cell r="AE412">
            <v>0.16666666666666666</v>
          </cell>
          <cell r="AF412">
            <v>4</v>
          </cell>
          <cell r="AG412">
            <v>3.5</v>
          </cell>
          <cell r="AH412">
            <v>4.416666666666667</v>
          </cell>
          <cell r="AI412">
            <v>1.1666666666666667</v>
          </cell>
          <cell r="AJ412">
            <v>1.1666666666666667</v>
          </cell>
          <cell r="AK412">
            <v>4.416666666666667</v>
          </cell>
          <cell r="AL412">
            <v>1.6546441376387322</v>
          </cell>
          <cell r="AM412">
            <v>2.5625</v>
          </cell>
          <cell r="AN412">
            <v>0.64571478541999305</v>
          </cell>
          <cell r="AO412">
            <v>0</v>
          </cell>
          <cell r="AP412">
            <v>83.833333333333329</v>
          </cell>
          <cell r="AQ412">
            <v>21</v>
          </cell>
          <cell r="AR412">
            <v>0</v>
          </cell>
          <cell r="AS412">
            <v>80</v>
          </cell>
          <cell r="AT412">
            <v>86</v>
          </cell>
          <cell r="AU412">
            <v>24.571428571428573</v>
          </cell>
          <cell r="AV412">
            <v>0</v>
          </cell>
          <cell r="AW412">
            <v>82.5</v>
          </cell>
          <cell r="AX412">
            <v>82</v>
          </cell>
          <cell r="AY412">
            <v>18.566037735849054</v>
          </cell>
          <cell r="AZ412">
            <v>0</v>
          </cell>
          <cell r="BA412">
            <v>78.5</v>
          </cell>
          <cell r="BB412">
            <v>76</v>
          </cell>
          <cell r="BC412">
            <v>21.714285714285715</v>
          </cell>
          <cell r="BD412">
            <v>0</v>
          </cell>
          <cell r="BE412">
            <v>72.5</v>
          </cell>
          <cell r="BF412">
            <v>20.714285714285715</v>
          </cell>
          <cell r="BG412">
            <v>0</v>
          </cell>
          <cell r="BH412">
            <v>69</v>
          </cell>
          <cell r="BI412">
            <v>17</v>
          </cell>
          <cell r="BJ412">
            <v>3.8490566037735845</v>
          </cell>
          <cell r="BK412">
            <v>0</v>
          </cell>
          <cell r="BL412">
            <v>68.5</v>
          </cell>
          <cell r="BM412">
            <v>64</v>
          </cell>
          <cell r="BN412">
            <v>18.285714285714285</v>
          </cell>
          <cell r="BO412">
            <v>0</v>
          </cell>
          <cell r="BP412">
            <v>60.5</v>
          </cell>
          <cell r="BQ412">
            <v>56</v>
          </cell>
          <cell r="BR412">
            <v>12.679245283018867</v>
          </cell>
          <cell r="BS412">
            <v>0</v>
          </cell>
          <cell r="BT412">
            <v>51.666666666666664</v>
          </cell>
          <cell r="BU412">
            <v>53</v>
          </cell>
          <cell r="BV412">
            <v>12.719999999999999</v>
          </cell>
          <cell r="BW412">
            <v>0</v>
          </cell>
          <cell r="BX412">
            <v>0</v>
          </cell>
          <cell r="BY412">
            <v>48.833333333333336</v>
          </cell>
          <cell r="BZ412">
            <v>44</v>
          </cell>
          <cell r="CA412">
            <v>10.153846153846155</v>
          </cell>
          <cell r="CB412">
            <v>0</v>
          </cell>
          <cell r="CC412">
            <v>0</v>
          </cell>
          <cell r="CD412">
            <v>39.666666666666664</v>
          </cell>
          <cell r="CE412">
            <v>37</v>
          </cell>
          <cell r="CF412">
            <v>6.5294117647058822</v>
          </cell>
          <cell r="CG412">
            <v>0</v>
          </cell>
          <cell r="CH412">
            <v>0</v>
          </cell>
          <cell r="CI412">
            <v>34</v>
          </cell>
          <cell r="CJ412">
            <v>30</v>
          </cell>
          <cell r="CK412">
            <v>4.8648648648648649</v>
          </cell>
          <cell r="CL412">
            <v>0</v>
          </cell>
          <cell r="CM412">
            <v>0</v>
          </cell>
          <cell r="CN412">
            <v>23.833333333333332</v>
          </cell>
          <cell r="CO412">
            <v>28</v>
          </cell>
          <cell r="CP412">
            <v>4.5405405405405403</v>
          </cell>
          <cell r="CQ412">
            <v>0.16666666666666785</v>
          </cell>
          <cell r="CR412">
            <v>0</v>
          </cell>
          <cell r="CS412">
            <v>21.833333333333332</v>
          </cell>
          <cell r="CT412">
            <v>25</v>
          </cell>
          <cell r="CU412">
            <v>5.6603773584905657</v>
          </cell>
          <cell r="CV412">
            <v>0</v>
          </cell>
          <cell r="CW412">
            <v>0</v>
          </cell>
          <cell r="CX412">
            <v>20.583333333333332</v>
          </cell>
          <cell r="CY412">
            <v>24</v>
          </cell>
          <cell r="CZ412">
            <v>5.4339622641509431</v>
          </cell>
          <cell r="DA412">
            <v>0</v>
          </cell>
          <cell r="DB412">
            <v>0</v>
          </cell>
          <cell r="DC412">
            <v>19.583333333333332</v>
          </cell>
          <cell r="DD412">
            <v>26</v>
          </cell>
          <cell r="DE412">
            <v>4.7547169811320753</v>
          </cell>
          <cell r="DF412">
            <v>0</v>
          </cell>
          <cell r="DG412">
            <v>0</v>
          </cell>
          <cell r="DH412">
            <v>21.583333333333332</v>
          </cell>
          <cell r="DI412">
            <v>24</v>
          </cell>
          <cell r="DJ412">
            <v>6.3018867924528301</v>
          </cell>
          <cell r="DK412">
            <v>0</v>
          </cell>
          <cell r="DL412">
            <v>0</v>
          </cell>
          <cell r="DM412">
            <v>17.166666666666664</v>
          </cell>
          <cell r="DN412">
            <v>17</v>
          </cell>
          <cell r="DO412">
            <v>4.7169811320754711</v>
          </cell>
          <cell r="DP412">
            <v>0</v>
          </cell>
          <cell r="DQ412">
            <v>0</v>
          </cell>
          <cell r="DR412">
            <v>12.583333333333332</v>
          </cell>
          <cell r="DS412">
            <v>12.583333333333332</v>
          </cell>
          <cell r="DT412">
            <v>3.7169811320754711</v>
          </cell>
          <cell r="DU412">
            <v>0</v>
          </cell>
          <cell r="DV412">
            <v>0</v>
          </cell>
          <cell r="DW412">
            <v>8.1666666666666643</v>
          </cell>
          <cell r="DX412">
            <v>8.1666666666666643</v>
          </cell>
          <cell r="DY412">
            <v>2.7169811320754711</v>
          </cell>
          <cell r="DZ412">
            <v>0</v>
          </cell>
          <cell r="EA412">
            <v>0</v>
          </cell>
          <cell r="EB412">
            <v>3.7499999999999973</v>
          </cell>
          <cell r="EC412">
            <v>3.7499999999999973</v>
          </cell>
          <cell r="ED412">
            <v>1.7169811320754711</v>
          </cell>
          <cell r="EE412">
            <v>1.2500000000000027</v>
          </cell>
          <cell r="EF412">
            <v>0</v>
          </cell>
          <cell r="EG412">
            <v>-0.66666666666666963</v>
          </cell>
          <cell r="EH412">
            <v>-0.66666666666666963</v>
          </cell>
          <cell r="EI412">
            <v>0.71698113207547109</v>
          </cell>
          <cell r="EJ412">
            <v>5.6666666666666696</v>
          </cell>
          <cell r="EK412">
            <v>0</v>
          </cell>
          <cell r="EL412">
            <v>-5.0833333333333366</v>
          </cell>
          <cell r="EM412">
            <v>-5.0833333333333366</v>
          </cell>
          <cell r="EN412">
            <v>-0.28301886792452891</v>
          </cell>
          <cell r="EO412">
            <v>10.083333333333336</v>
          </cell>
          <cell r="EP412">
            <v>0</v>
          </cell>
          <cell r="EQ412">
            <v>-9.5000000000000036</v>
          </cell>
          <cell r="ER412">
            <v>-9.5000000000000036</v>
          </cell>
          <cell r="ES412">
            <v>-1.2830188679245289</v>
          </cell>
          <cell r="ET412">
            <v>14.500000000000004</v>
          </cell>
          <cell r="EU412">
            <v>0</v>
          </cell>
          <cell r="EV412">
            <v>-13.916666666666671</v>
          </cell>
          <cell r="EW412">
            <v>-13.916666666666671</v>
          </cell>
          <cell r="EX412">
            <v>-2.2830188679245289</v>
          </cell>
          <cell r="EY412">
            <v>18.916666666666671</v>
          </cell>
          <cell r="EZ412">
            <v>0</v>
          </cell>
          <cell r="FA412">
            <v>-18.333333333333339</v>
          </cell>
          <cell r="FB412">
            <v>-18.333333333333339</v>
          </cell>
          <cell r="FC412">
            <v>-3.2830188679245289</v>
          </cell>
          <cell r="FD412">
            <v>23.333333333333339</v>
          </cell>
          <cell r="FE412">
            <v>0</v>
          </cell>
          <cell r="FF412">
            <v>-22.750000000000007</v>
          </cell>
          <cell r="FG412">
            <v>-22.750000000000007</v>
          </cell>
          <cell r="FH412">
            <v>-4.2830188679245298</v>
          </cell>
          <cell r="FI412">
            <v>27.750000000000007</v>
          </cell>
          <cell r="FJ412">
            <v>0</v>
          </cell>
          <cell r="FK412">
            <v>-27.166666666666675</v>
          </cell>
          <cell r="FL412">
            <v>-27.166666666666675</v>
          </cell>
          <cell r="FM412">
            <v>-5.2830188679245289</v>
          </cell>
          <cell r="FN412">
            <v>32.166666666666671</v>
          </cell>
          <cell r="FO412">
            <v>0</v>
          </cell>
          <cell r="FP412">
            <v>-31.583333333333343</v>
          </cell>
          <cell r="FQ412">
            <v>-31.583333333333343</v>
          </cell>
          <cell r="FR412">
            <v>-6.2830188679245307</v>
          </cell>
          <cell r="FS412">
            <v>36.583333333333343</v>
          </cell>
          <cell r="FT412">
            <v>5</v>
          </cell>
          <cell r="FU412">
            <v>1.0333333333333334</v>
          </cell>
          <cell r="FW412" t="str">
            <v>SOBRESTOCK</v>
          </cell>
          <cell r="FX412" t="str">
            <v>B</v>
          </cell>
          <cell r="FY412" t="str">
            <v>Si</v>
          </cell>
        </row>
        <row r="413">
          <cell r="B413" t="str">
            <v>REP-0430</v>
          </cell>
          <cell r="C413" t="str">
            <v>CSM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AA413">
            <v>0</v>
          </cell>
          <cell r="AB413">
            <v>0</v>
          </cell>
          <cell r="AC413">
            <v>0.33333333333333331</v>
          </cell>
          <cell r="AD413">
            <v>1.111111111111111E-2</v>
          </cell>
          <cell r="AE413">
            <v>0.16666666666666666</v>
          </cell>
          <cell r="AF413">
            <v>0.25</v>
          </cell>
          <cell r="AG413">
            <v>8.3333333333333329E-2</v>
          </cell>
          <cell r="AH413">
            <v>0</v>
          </cell>
          <cell r="AI413">
            <v>0</v>
          </cell>
          <cell r="AJ413">
            <v>0</v>
          </cell>
          <cell r="AK413">
            <v>8.3333333333333329E-2</v>
          </cell>
          <cell r="AL413">
            <v>4.1666666666666664E-2</v>
          </cell>
          <cell r="AM413">
            <v>2.0833333333333332E-2</v>
          </cell>
          <cell r="AN413">
            <v>2</v>
          </cell>
          <cell r="AO413">
            <v>0</v>
          </cell>
          <cell r="AP413">
            <v>-8.3333333333333329E-2</v>
          </cell>
          <cell r="AQ413">
            <v>-1</v>
          </cell>
          <cell r="AR413">
            <v>0</v>
          </cell>
          <cell r="AS413">
            <v>-0.5</v>
          </cell>
          <cell r="AT413">
            <v>0</v>
          </cell>
          <cell r="AU413">
            <v>0</v>
          </cell>
          <cell r="AV413">
            <v>0</v>
          </cell>
          <cell r="AW413">
            <v>-8.3333333333333329E-2</v>
          </cell>
          <cell r="AX413">
            <v>0</v>
          </cell>
          <cell r="AY413">
            <v>0</v>
          </cell>
          <cell r="AZ413">
            <v>0</v>
          </cell>
          <cell r="BA413">
            <v>-8.3333333333333329E-2</v>
          </cell>
          <cell r="BB413">
            <v>0</v>
          </cell>
          <cell r="BC413">
            <v>0</v>
          </cell>
          <cell r="BD413">
            <v>0</v>
          </cell>
          <cell r="BE413">
            <v>-8.3333333333333329E-2</v>
          </cell>
          <cell r="BF413">
            <v>-1</v>
          </cell>
          <cell r="BG413">
            <v>0</v>
          </cell>
          <cell r="BH413">
            <v>-0.16666666666666666</v>
          </cell>
          <cell r="BI413">
            <v>0</v>
          </cell>
          <cell r="BJ413">
            <v>0</v>
          </cell>
          <cell r="BK413">
            <v>0</v>
          </cell>
          <cell r="BL413">
            <v>-8.3333333333333329E-2</v>
          </cell>
          <cell r="BM413">
            <v>0</v>
          </cell>
          <cell r="BN413">
            <v>0</v>
          </cell>
          <cell r="BO413">
            <v>0</v>
          </cell>
          <cell r="BP413">
            <v>-8.3333333333333329E-2</v>
          </cell>
          <cell r="BQ413">
            <v>0</v>
          </cell>
          <cell r="BR413">
            <v>0</v>
          </cell>
          <cell r="BS413">
            <v>0</v>
          </cell>
          <cell r="BT413">
            <v>-8.3333333333333329E-2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-8.3333333333333329E-2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-8.3333333333333329E-2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-0.16666666666666666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-8.3333333333333329E-2</v>
          </cell>
          <cell r="CO413">
            <v>0</v>
          </cell>
          <cell r="CP413">
            <v>0</v>
          </cell>
          <cell r="CQ413">
            <v>8.3333333333333329E-2</v>
          </cell>
          <cell r="CR413">
            <v>0</v>
          </cell>
          <cell r="CS413">
            <v>-8.3333333333333329E-2</v>
          </cell>
          <cell r="CT413">
            <v>0</v>
          </cell>
          <cell r="CU413">
            <v>0</v>
          </cell>
          <cell r="CV413">
            <v>1</v>
          </cell>
          <cell r="CW413">
            <v>0</v>
          </cell>
          <cell r="CX413">
            <v>-8.3333333333333329E-2</v>
          </cell>
          <cell r="CY413">
            <v>0</v>
          </cell>
          <cell r="CZ413">
            <v>0</v>
          </cell>
          <cell r="DA413">
            <v>1.0833333333333333</v>
          </cell>
          <cell r="DB413">
            <v>0</v>
          </cell>
          <cell r="DC413">
            <v>-8.3333333333333329E-2</v>
          </cell>
          <cell r="DD413">
            <v>0</v>
          </cell>
          <cell r="DE413">
            <v>-12</v>
          </cell>
          <cell r="DF413">
            <v>1.0833333333333333</v>
          </cell>
          <cell r="DG413">
            <v>0</v>
          </cell>
          <cell r="DH413">
            <v>-8.3333333333333329E-2</v>
          </cell>
          <cell r="DI413">
            <v>0</v>
          </cell>
          <cell r="DJ413">
            <v>-10</v>
          </cell>
          <cell r="DK413">
            <v>1.0833333333333333</v>
          </cell>
          <cell r="DL413">
            <v>0</v>
          </cell>
          <cell r="DM413">
            <v>0.91666666666666652</v>
          </cell>
          <cell r="DN413">
            <v>0</v>
          </cell>
          <cell r="DO413">
            <v>-10</v>
          </cell>
          <cell r="DP413">
            <v>1</v>
          </cell>
          <cell r="DQ413">
            <v>0</v>
          </cell>
          <cell r="DR413">
            <v>-8.3333333333333329E-2</v>
          </cell>
          <cell r="DS413">
            <v>-8.3333333333333329E-2</v>
          </cell>
          <cell r="DT413">
            <v>-11</v>
          </cell>
          <cell r="DU413">
            <v>1.0833333333333333</v>
          </cell>
          <cell r="DV413">
            <v>0</v>
          </cell>
          <cell r="DW413">
            <v>-0.16666666666666666</v>
          </cell>
          <cell r="DX413">
            <v>-0.16666666666666666</v>
          </cell>
          <cell r="DY413">
            <v>-12.000000000000002</v>
          </cell>
          <cell r="DZ413">
            <v>1.1666666666666667</v>
          </cell>
          <cell r="EA413">
            <v>0</v>
          </cell>
          <cell r="EB413">
            <v>-0.25</v>
          </cell>
          <cell r="EC413">
            <v>-0.25</v>
          </cell>
          <cell r="ED413">
            <v>-13</v>
          </cell>
          <cell r="EE413">
            <v>1.25</v>
          </cell>
          <cell r="EF413">
            <v>0</v>
          </cell>
          <cell r="EG413">
            <v>-0.33333333333333331</v>
          </cell>
          <cell r="EH413">
            <v>-0.33333333333333331</v>
          </cell>
          <cell r="EI413">
            <v>-14</v>
          </cell>
          <cell r="EJ413">
            <v>1.3333333333333333</v>
          </cell>
          <cell r="EK413">
            <v>0</v>
          </cell>
          <cell r="EL413">
            <v>-0.41666666666666663</v>
          </cell>
          <cell r="EM413">
            <v>-0.41666666666666663</v>
          </cell>
          <cell r="EN413">
            <v>-15</v>
          </cell>
          <cell r="EO413">
            <v>1.4166666666666665</v>
          </cell>
          <cell r="EP413">
            <v>0</v>
          </cell>
          <cell r="EQ413">
            <v>-0.49999999999999994</v>
          </cell>
          <cell r="ER413">
            <v>-0.49999999999999994</v>
          </cell>
          <cell r="ES413">
            <v>-16</v>
          </cell>
          <cell r="ET413">
            <v>1.5</v>
          </cell>
          <cell r="EU413">
            <v>0</v>
          </cell>
          <cell r="EV413">
            <v>-0.58333333333333326</v>
          </cell>
          <cell r="EW413">
            <v>-0.58333333333333326</v>
          </cell>
          <cell r="EX413">
            <v>-17</v>
          </cell>
          <cell r="EY413">
            <v>1.5833333333333333</v>
          </cell>
          <cell r="EZ413">
            <v>0</v>
          </cell>
          <cell r="FA413">
            <v>-0.66666666666666663</v>
          </cell>
          <cell r="FB413">
            <v>-0.66666666666666663</v>
          </cell>
          <cell r="FC413">
            <v>-18</v>
          </cell>
          <cell r="FD413">
            <v>1.6666666666666665</v>
          </cell>
          <cell r="FE413">
            <v>0</v>
          </cell>
          <cell r="FF413">
            <v>-0.75</v>
          </cell>
          <cell r="FG413">
            <v>-0.75</v>
          </cell>
          <cell r="FH413">
            <v>-19</v>
          </cell>
          <cell r="FI413">
            <v>1.75</v>
          </cell>
          <cell r="FJ413">
            <v>0</v>
          </cell>
          <cell r="FK413">
            <v>-0.83333333333333337</v>
          </cell>
          <cell r="FL413">
            <v>-0.83333333333333337</v>
          </cell>
          <cell r="FM413">
            <v>-20.000000000000004</v>
          </cell>
          <cell r="FN413">
            <v>1.8333333333333335</v>
          </cell>
          <cell r="FO413">
            <v>0</v>
          </cell>
          <cell r="FP413">
            <v>-0.91666666666666674</v>
          </cell>
          <cell r="FQ413">
            <v>-0.91666666666666674</v>
          </cell>
          <cell r="FR413">
            <v>-21.000000000000004</v>
          </cell>
          <cell r="FS413">
            <v>1.9166666666666667</v>
          </cell>
          <cell r="FT413">
            <v>1</v>
          </cell>
          <cell r="FU413">
            <v>2.0333333333333332</v>
          </cell>
          <cell r="FW413" t="e">
            <v>#N/A</v>
          </cell>
          <cell r="FX413" t="str">
            <v>C</v>
          </cell>
          <cell r="FY413" t="str">
            <v>Si</v>
          </cell>
        </row>
        <row r="414">
          <cell r="B414" t="str">
            <v>REP-0431</v>
          </cell>
          <cell r="C414" t="str">
            <v>NAC</v>
          </cell>
          <cell r="D414">
            <v>0</v>
          </cell>
          <cell r="E414">
            <v>3</v>
          </cell>
          <cell r="F414">
            <v>0</v>
          </cell>
          <cell r="G414">
            <v>0</v>
          </cell>
          <cell r="H414">
            <v>1</v>
          </cell>
          <cell r="I414">
            <v>1</v>
          </cell>
          <cell r="J414">
            <v>0</v>
          </cell>
          <cell r="K414">
            <v>1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6</v>
          </cell>
          <cell r="AA414">
            <v>6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0.33333333333333331</v>
          </cell>
          <cell r="AG414">
            <v>8.3333333333333329E-2</v>
          </cell>
          <cell r="AH414">
            <v>0.25</v>
          </cell>
          <cell r="AI414">
            <v>0</v>
          </cell>
          <cell r="AJ414">
            <v>0</v>
          </cell>
          <cell r="AK414">
            <v>0.25</v>
          </cell>
          <cell r="AL414">
            <v>0.11785113019775792</v>
          </cell>
          <cell r="AM414">
            <v>8.3333333333333329E-2</v>
          </cell>
          <cell r="AN414">
            <v>1.4142135623730951</v>
          </cell>
          <cell r="AO414">
            <v>0</v>
          </cell>
          <cell r="AP414">
            <v>3.6666666666666665</v>
          </cell>
          <cell r="AQ414">
            <v>11</v>
          </cell>
          <cell r="AR414">
            <v>0</v>
          </cell>
          <cell r="AS414">
            <v>3</v>
          </cell>
          <cell r="AT414">
            <v>3</v>
          </cell>
          <cell r="AU414">
            <v>6</v>
          </cell>
          <cell r="AV414">
            <v>0</v>
          </cell>
          <cell r="AW414">
            <v>2.5</v>
          </cell>
          <cell r="AX414">
            <v>7</v>
          </cell>
          <cell r="AY414">
            <v>28</v>
          </cell>
          <cell r="AZ414">
            <v>0</v>
          </cell>
          <cell r="BA414">
            <v>6.666666666666667</v>
          </cell>
          <cell r="BB414">
            <v>6</v>
          </cell>
          <cell r="BC414">
            <v>18</v>
          </cell>
          <cell r="BD414">
            <v>0</v>
          </cell>
          <cell r="BE414">
            <v>5.666666666666667</v>
          </cell>
          <cell r="BF414">
            <v>17.000000000000004</v>
          </cell>
          <cell r="BG414">
            <v>0</v>
          </cell>
          <cell r="BH414">
            <v>5.3333333333333339</v>
          </cell>
          <cell r="BI414">
            <v>6</v>
          </cell>
          <cell r="BJ414">
            <v>24</v>
          </cell>
          <cell r="BK414">
            <v>0</v>
          </cell>
          <cell r="BL414">
            <v>5.666666666666667</v>
          </cell>
          <cell r="BM414">
            <v>6</v>
          </cell>
          <cell r="BN414">
            <v>18</v>
          </cell>
          <cell r="BO414">
            <v>0</v>
          </cell>
          <cell r="BP414">
            <v>5.666666666666667</v>
          </cell>
          <cell r="BQ414">
            <v>5</v>
          </cell>
          <cell r="BR414">
            <v>20</v>
          </cell>
          <cell r="BS414">
            <v>0</v>
          </cell>
          <cell r="BT414">
            <v>4.625</v>
          </cell>
          <cell r="BU414">
            <v>5</v>
          </cell>
          <cell r="BV414">
            <v>15</v>
          </cell>
          <cell r="BW414">
            <v>0</v>
          </cell>
          <cell r="BX414">
            <v>0</v>
          </cell>
          <cell r="BY414">
            <v>4.666666666666667</v>
          </cell>
          <cell r="BZ414">
            <v>5</v>
          </cell>
          <cell r="CA414">
            <v>16.666666666666668</v>
          </cell>
          <cell r="CB414">
            <v>0</v>
          </cell>
          <cell r="CC414">
            <v>0</v>
          </cell>
          <cell r="CD414">
            <v>4.7</v>
          </cell>
          <cell r="CE414">
            <v>5</v>
          </cell>
          <cell r="CF414">
            <v>18.333333333333336</v>
          </cell>
          <cell r="CG414">
            <v>0</v>
          </cell>
          <cell r="CH414">
            <v>0</v>
          </cell>
          <cell r="CI414">
            <v>4.4272727272727277</v>
          </cell>
          <cell r="CJ414">
            <v>5</v>
          </cell>
          <cell r="CK414">
            <v>20</v>
          </cell>
          <cell r="CL414">
            <v>0</v>
          </cell>
          <cell r="CM414">
            <v>0</v>
          </cell>
          <cell r="CN414">
            <v>4.75</v>
          </cell>
          <cell r="CO414">
            <v>5</v>
          </cell>
          <cell r="CP414">
            <v>20</v>
          </cell>
          <cell r="CQ414">
            <v>0</v>
          </cell>
          <cell r="CR414">
            <v>0</v>
          </cell>
          <cell r="CS414">
            <v>4.75</v>
          </cell>
          <cell r="CT414">
            <v>5</v>
          </cell>
          <cell r="CU414">
            <v>20</v>
          </cell>
          <cell r="CV414">
            <v>0</v>
          </cell>
          <cell r="CW414">
            <v>0</v>
          </cell>
          <cell r="CX414">
            <v>4.75</v>
          </cell>
          <cell r="CY414">
            <v>5</v>
          </cell>
          <cell r="CZ414">
            <v>20</v>
          </cell>
          <cell r="DA414">
            <v>0</v>
          </cell>
          <cell r="DB414">
            <v>0</v>
          </cell>
          <cell r="DC414">
            <v>4.75</v>
          </cell>
          <cell r="DD414">
            <v>5</v>
          </cell>
          <cell r="DE414">
            <v>16</v>
          </cell>
          <cell r="DF414">
            <v>0</v>
          </cell>
          <cell r="DG414">
            <v>0</v>
          </cell>
          <cell r="DH414">
            <v>4.75</v>
          </cell>
          <cell r="DI414">
            <v>5</v>
          </cell>
          <cell r="DJ414">
            <v>18</v>
          </cell>
          <cell r="DK414">
            <v>0</v>
          </cell>
          <cell r="DL414">
            <v>0</v>
          </cell>
          <cell r="DM414">
            <v>4.5</v>
          </cell>
          <cell r="DN414">
            <v>6</v>
          </cell>
          <cell r="DO414">
            <v>22</v>
          </cell>
          <cell r="DP414">
            <v>0</v>
          </cell>
          <cell r="DQ414">
            <v>0</v>
          </cell>
          <cell r="DR414">
            <v>5.75</v>
          </cell>
          <cell r="DS414">
            <v>5.75</v>
          </cell>
          <cell r="DT414">
            <v>21</v>
          </cell>
          <cell r="DU414">
            <v>0</v>
          </cell>
          <cell r="DV414">
            <v>0</v>
          </cell>
          <cell r="DW414">
            <v>5.5</v>
          </cell>
          <cell r="DX414">
            <v>5.5</v>
          </cell>
          <cell r="DY414">
            <v>20</v>
          </cell>
          <cell r="DZ414">
            <v>0</v>
          </cell>
          <cell r="EA414">
            <v>0</v>
          </cell>
          <cell r="EB414">
            <v>5.25</v>
          </cell>
          <cell r="EC414">
            <v>5.25</v>
          </cell>
          <cell r="ED414">
            <v>19</v>
          </cell>
          <cell r="EE414">
            <v>0</v>
          </cell>
          <cell r="EF414">
            <v>0</v>
          </cell>
          <cell r="EG414">
            <v>5</v>
          </cell>
          <cell r="EH414">
            <v>5</v>
          </cell>
          <cell r="EI414">
            <v>18</v>
          </cell>
          <cell r="EJ414">
            <v>0</v>
          </cell>
          <cell r="EK414">
            <v>0</v>
          </cell>
          <cell r="EL414">
            <v>4.75</v>
          </cell>
          <cell r="EM414">
            <v>4.75</v>
          </cell>
          <cell r="EN414">
            <v>17</v>
          </cell>
          <cell r="EO414">
            <v>0</v>
          </cell>
          <cell r="EP414">
            <v>0</v>
          </cell>
          <cell r="EQ414">
            <v>4.5</v>
          </cell>
          <cell r="ER414">
            <v>4.5</v>
          </cell>
          <cell r="ES414">
            <v>16</v>
          </cell>
          <cell r="ET414">
            <v>0</v>
          </cell>
          <cell r="EU414">
            <v>0</v>
          </cell>
          <cell r="EV414">
            <v>4.25</v>
          </cell>
          <cell r="EW414">
            <v>4.25</v>
          </cell>
          <cell r="EX414">
            <v>15</v>
          </cell>
          <cell r="EY414">
            <v>0</v>
          </cell>
          <cell r="EZ414">
            <v>0</v>
          </cell>
          <cell r="FA414">
            <v>4</v>
          </cell>
          <cell r="FB414">
            <v>4</v>
          </cell>
          <cell r="FC414">
            <v>14</v>
          </cell>
          <cell r="FD414">
            <v>0</v>
          </cell>
          <cell r="FE414">
            <v>0</v>
          </cell>
          <cell r="FF414">
            <v>3.75</v>
          </cell>
          <cell r="FG414">
            <v>3.75</v>
          </cell>
          <cell r="FH414">
            <v>13</v>
          </cell>
          <cell r="FI414">
            <v>0</v>
          </cell>
          <cell r="FJ414">
            <v>0</v>
          </cell>
          <cell r="FK414">
            <v>3.5</v>
          </cell>
          <cell r="FL414">
            <v>3.5</v>
          </cell>
          <cell r="FM414">
            <v>12</v>
          </cell>
          <cell r="FN414">
            <v>0</v>
          </cell>
          <cell r="FO414">
            <v>0</v>
          </cell>
          <cell r="FP414">
            <v>3.25</v>
          </cell>
          <cell r="FQ414">
            <v>3.25</v>
          </cell>
          <cell r="FR414">
            <v>11</v>
          </cell>
          <cell r="FS414">
            <v>0</v>
          </cell>
          <cell r="FT414">
            <v>1</v>
          </cell>
          <cell r="FU414">
            <v>1.0333333333333334</v>
          </cell>
          <cell r="FW414" t="str">
            <v>SIN ROTACIÓN</v>
          </cell>
          <cell r="FX414" t="str">
            <v>C</v>
          </cell>
          <cell r="FY414" t="str">
            <v>Si</v>
          </cell>
        </row>
        <row r="415">
          <cell r="B415" t="str">
            <v>REP-0432</v>
          </cell>
          <cell r="C415" t="str">
            <v>NAC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AA415">
            <v>0</v>
          </cell>
          <cell r="AB415">
            <v>0</v>
          </cell>
          <cell r="AC415">
            <v>0.16666666666666666</v>
          </cell>
          <cell r="AD415">
            <v>5.5555555555555549E-3</v>
          </cell>
          <cell r="AE415">
            <v>8.3333333333333329E-2</v>
          </cell>
          <cell r="AF415">
            <v>0</v>
          </cell>
          <cell r="AG415">
            <v>0</v>
          </cell>
          <cell r="AH415">
            <v>0.16666666666666666</v>
          </cell>
          <cell r="AI415">
            <v>0</v>
          </cell>
          <cell r="AJ415">
            <v>0</v>
          </cell>
          <cell r="AK415">
            <v>0.16666666666666666</v>
          </cell>
          <cell r="AL415">
            <v>8.3333333333333329E-2</v>
          </cell>
          <cell r="AM415">
            <v>4.1666666666666664E-2</v>
          </cell>
          <cell r="AN415">
            <v>2</v>
          </cell>
          <cell r="AO415">
            <v>0</v>
          </cell>
          <cell r="AP415">
            <v>1.7777777777777777</v>
          </cell>
          <cell r="AQ415" t="str">
            <v/>
          </cell>
          <cell r="AR415">
            <v>0</v>
          </cell>
          <cell r="AS415">
            <v>2</v>
          </cell>
          <cell r="AT415">
            <v>2</v>
          </cell>
          <cell r="AU415" t="str">
            <v/>
          </cell>
          <cell r="AV415">
            <v>0</v>
          </cell>
          <cell r="AW415">
            <v>2</v>
          </cell>
          <cell r="AX415">
            <v>1</v>
          </cell>
          <cell r="AY415">
            <v>6</v>
          </cell>
          <cell r="AZ415">
            <v>0</v>
          </cell>
          <cell r="BA415">
            <v>0.66666666666666674</v>
          </cell>
          <cell r="BB415">
            <v>1</v>
          </cell>
          <cell r="BC415">
            <v>3</v>
          </cell>
          <cell r="BD415">
            <v>0</v>
          </cell>
          <cell r="BE415">
            <v>0.66666666666666674</v>
          </cell>
          <cell r="BF415">
            <v>2.0000000000000004</v>
          </cell>
          <cell r="BG415">
            <v>0</v>
          </cell>
          <cell r="BH415">
            <v>0.33333333333333343</v>
          </cell>
          <cell r="BI415">
            <v>0</v>
          </cell>
          <cell r="BJ415">
            <v>0</v>
          </cell>
          <cell r="BK415">
            <v>0</v>
          </cell>
          <cell r="BL415">
            <v>-0.33333333333333331</v>
          </cell>
          <cell r="BM415">
            <v>0</v>
          </cell>
          <cell r="BN415">
            <v>0</v>
          </cell>
          <cell r="BO415">
            <v>0</v>
          </cell>
          <cell r="BP415">
            <v>-0.33333333333333331</v>
          </cell>
          <cell r="BQ415">
            <v>0</v>
          </cell>
          <cell r="BR415">
            <v>0</v>
          </cell>
          <cell r="BS415">
            <v>0</v>
          </cell>
          <cell r="BT415">
            <v>-0.33333333333333331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-0.22222222222222221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-0.2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-0.38181818181818183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-0.16666666666666666</v>
          </cell>
          <cell r="CO415">
            <v>0</v>
          </cell>
          <cell r="CP415">
            <v>0</v>
          </cell>
          <cell r="CQ415">
            <v>0.16666666666666666</v>
          </cell>
          <cell r="CR415">
            <v>0</v>
          </cell>
          <cell r="CS415">
            <v>-0.16666666666666666</v>
          </cell>
          <cell r="CT415">
            <v>0</v>
          </cell>
          <cell r="CU415">
            <v>0</v>
          </cell>
          <cell r="CV415">
            <v>1</v>
          </cell>
          <cell r="CW415">
            <v>0</v>
          </cell>
          <cell r="CX415">
            <v>-0.16666666666666666</v>
          </cell>
          <cell r="CY415">
            <v>0</v>
          </cell>
          <cell r="CZ415">
            <v>0</v>
          </cell>
          <cell r="DA415">
            <v>1.1666666666666667</v>
          </cell>
          <cell r="DB415">
            <v>0</v>
          </cell>
          <cell r="DC415">
            <v>-0.16666666666666666</v>
          </cell>
          <cell r="DD415">
            <v>0</v>
          </cell>
          <cell r="DE415">
            <v>-6</v>
          </cell>
          <cell r="DF415">
            <v>1.1666666666666667</v>
          </cell>
          <cell r="DG415">
            <v>0</v>
          </cell>
          <cell r="DH415">
            <v>-0.16666666666666666</v>
          </cell>
          <cell r="DI415">
            <v>0</v>
          </cell>
          <cell r="DJ415">
            <v>-4</v>
          </cell>
          <cell r="DK415">
            <v>1.1666666666666667</v>
          </cell>
          <cell r="DL415">
            <v>0</v>
          </cell>
          <cell r="DM415">
            <v>0.83333333333333337</v>
          </cell>
          <cell r="DN415">
            <v>0</v>
          </cell>
          <cell r="DO415">
            <v>-4</v>
          </cell>
          <cell r="DP415">
            <v>1</v>
          </cell>
          <cell r="DQ415">
            <v>0</v>
          </cell>
          <cell r="DR415">
            <v>-0.16666666666666666</v>
          </cell>
          <cell r="DS415">
            <v>-0.16666666666666666</v>
          </cell>
          <cell r="DT415">
            <v>-5.0000000000000009</v>
          </cell>
          <cell r="DU415">
            <v>1.1666666666666667</v>
          </cell>
          <cell r="DV415">
            <v>0</v>
          </cell>
          <cell r="DW415">
            <v>-0.33333333333333331</v>
          </cell>
          <cell r="DX415">
            <v>-0.33333333333333331</v>
          </cell>
          <cell r="DY415">
            <v>-6</v>
          </cell>
          <cell r="DZ415">
            <v>1.3333333333333333</v>
          </cell>
          <cell r="EA415">
            <v>0</v>
          </cell>
          <cell r="EB415">
            <v>-0.5</v>
          </cell>
          <cell r="EC415">
            <v>-0.5</v>
          </cell>
          <cell r="ED415">
            <v>-7</v>
          </cell>
          <cell r="EE415">
            <v>1.5</v>
          </cell>
          <cell r="EF415">
            <v>0</v>
          </cell>
          <cell r="EG415">
            <v>-0.66666666666666663</v>
          </cell>
          <cell r="EH415">
            <v>-0.66666666666666663</v>
          </cell>
          <cell r="EI415">
            <v>-8</v>
          </cell>
          <cell r="EJ415">
            <v>1.6666666666666665</v>
          </cell>
          <cell r="EK415">
            <v>0</v>
          </cell>
          <cell r="EL415">
            <v>-0.83333333333333326</v>
          </cell>
          <cell r="EM415">
            <v>-0.83333333333333326</v>
          </cell>
          <cell r="EN415">
            <v>-9</v>
          </cell>
          <cell r="EO415">
            <v>1.8333333333333333</v>
          </cell>
          <cell r="EP415">
            <v>0</v>
          </cell>
          <cell r="EQ415">
            <v>-0.99999999999999989</v>
          </cell>
          <cell r="ER415">
            <v>-0.99999999999999989</v>
          </cell>
          <cell r="ES415">
            <v>-10</v>
          </cell>
          <cell r="ET415">
            <v>2</v>
          </cell>
          <cell r="EU415">
            <v>0</v>
          </cell>
          <cell r="EV415">
            <v>-1.1666666666666665</v>
          </cell>
          <cell r="EW415">
            <v>-1.1666666666666665</v>
          </cell>
          <cell r="EX415">
            <v>-11</v>
          </cell>
          <cell r="EY415">
            <v>2.1666666666666665</v>
          </cell>
          <cell r="EZ415">
            <v>0</v>
          </cell>
          <cell r="FA415">
            <v>-1.3333333333333333</v>
          </cell>
          <cell r="FB415">
            <v>-1.3333333333333333</v>
          </cell>
          <cell r="FC415">
            <v>-11.999999999999998</v>
          </cell>
          <cell r="FD415">
            <v>2.333333333333333</v>
          </cell>
          <cell r="FE415">
            <v>0</v>
          </cell>
          <cell r="FF415">
            <v>-1.5</v>
          </cell>
          <cell r="FG415">
            <v>-1.5</v>
          </cell>
          <cell r="FH415">
            <v>-13</v>
          </cell>
          <cell r="FI415">
            <v>2.5</v>
          </cell>
          <cell r="FJ415">
            <v>0</v>
          </cell>
          <cell r="FK415">
            <v>-1.6666666666666667</v>
          </cell>
          <cell r="FL415">
            <v>-1.6666666666666667</v>
          </cell>
          <cell r="FM415">
            <v>-14.000000000000004</v>
          </cell>
          <cell r="FN415">
            <v>2.666666666666667</v>
          </cell>
          <cell r="FO415">
            <v>0</v>
          </cell>
          <cell r="FP415">
            <v>-1.8333333333333335</v>
          </cell>
          <cell r="FQ415">
            <v>-1.8333333333333335</v>
          </cell>
          <cell r="FR415">
            <v>-15.000000000000004</v>
          </cell>
          <cell r="FS415">
            <v>2.8333333333333335</v>
          </cell>
          <cell r="FT415">
            <v>1</v>
          </cell>
          <cell r="FU415">
            <v>1.0333333333333334</v>
          </cell>
          <cell r="FW415" t="e">
            <v>#N/A</v>
          </cell>
          <cell r="FX415" t="str">
            <v>STOCK MUERTO</v>
          </cell>
          <cell r="FY415" t="str">
            <v>Si</v>
          </cell>
        </row>
        <row r="416">
          <cell r="B416" t="str">
            <v>REP-0433</v>
          </cell>
          <cell r="C416" t="str">
            <v>NAC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1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1</v>
          </cell>
          <cell r="AA416">
            <v>1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8.3333333333333329E-2</v>
          </cell>
          <cell r="AH416">
            <v>0.16666666666666666</v>
          </cell>
          <cell r="AI416">
            <v>0</v>
          </cell>
          <cell r="AJ416">
            <v>0</v>
          </cell>
          <cell r="AK416">
            <v>0.16666666666666666</v>
          </cell>
          <cell r="AL416">
            <v>7.9785592313028175E-2</v>
          </cell>
          <cell r="AM416">
            <v>6.25E-2</v>
          </cell>
          <cell r="AN416">
            <v>1.2765694770084508</v>
          </cell>
          <cell r="AO416">
            <v>0</v>
          </cell>
          <cell r="AP416">
            <v>0.66666666666666674</v>
          </cell>
          <cell r="AQ416">
            <v>11</v>
          </cell>
          <cell r="AR416">
            <v>0</v>
          </cell>
          <cell r="AS416">
            <v>1</v>
          </cell>
          <cell r="AT416">
            <v>1</v>
          </cell>
          <cell r="AU416">
            <v>12</v>
          </cell>
          <cell r="AV416">
            <v>0</v>
          </cell>
          <cell r="AW416">
            <v>0.91666666666666663</v>
          </cell>
          <cell r="AX416">
            <v>1</v>
          </cell>
          <cell r="AY416">
            <v>6</v>
          </cell>
          <cell r="AZ416">
            <v>0</v>
          </cell>
          <cell r="BA416">
            <v>0.91666666666666663</v>
          </cell>
          <cell r="BB416">
            <v>0</v>
          </cell>
          <cell r="BC416">
            <v>0</v>
          </cell>
          <cell r="BD416">
            <v>0</v>
          </cell>
          <cell r="BE416">
            <v>-0.66666666666666663</v>
          </cell>
          <cell r="BF416">
            <v>-1</v>
          </cell>
          <cell r="BG416">
            <v>0</v>
          </cell>
          <cell r="BH416">
            <v>-1.3333333333333333</v>
          </cell>
          <cell r="BI416">
            <v>1</v>
          </cell>
          <cell r="BJ416">
            <v>6</v>
          </cell>
          <cell r="BK416">
            <v>0</v>
          </cell>
          <cell r="BL416">
            <v>0.66666666666666674</v>
          </cell>
          <cell r="BM416">
            <v>1</v>
          </cell>
          <cell r="BN416">
            <v>3</v>
          </cell>
          <cell r="BO416">
            <v>0</v>
          </cell>
          <cell r="BP416">
            <v>0.66666666666666674</v>
          </cell>
          <cell r="BQ416">
            <v>1</v>
          </cell>
          <cell r="BR416">
            <v>6</v>
          </cell>
          <cell r="BS416">
            <v>0</v>
          </cell>
          <cell r="BT416">
            <v>0.66666666666666674</v>
          </cell>
          <cell r="BU416">
            <v>1</v>
          </cell>
          <cell r="BV416">
            <v>3</v>
          </cell>
          <cell r="BW416">
            <v>1</v>
          </cell>
          <cell r="BX416">
            <v>0</v>
          </cell>
          <cell r="BY416">
            <v>0.66666666666666674</v>
          </cell>
          <cell r="BZ416">
            <v>1</v>
          </cell>
          <cell r="CA416">
            <v>5</v>
          </cell>
          <cell r="CB416">
            <v>0</v>
          </cell>
          <cell r="CC416">
            <v>0</v>
          </cell>
          <cell r="CD416">
            <v>0.8</v>
          </cell>
          <cell r="CE416">
            <v>1</v>
          </cell>
          <cell r="CF416">
            <v>5.5</v>
          </cell>
          <cell r="CG416">
            <v>0</v>
          </cell>
          <cell r="CH416">
            <v>0</v>
          </cell>
          <cell r="CI416">
            <v>0.61818181818181817</v>
          </cell>
          <cell r="CJ416">
            <v>1</v>
          </cell>
          <cell r="CK416">
            <v>6</v>
          </cell>
          <cell r="CL416">
            <v>0</v>
          </cell>
          <cell r="CM416">
            <v>0</v>
          </cell>
          <cell r="CN416">
            <v>0.83333333333333337</v>
          </cell>
          <cell r="CO416">
            <v>1</v>
          </cell>
          <cell r="CP416">
            <v>6</v>
          </cell>
          <cell r="CQ416">
            <v>0</v>
          </cell>
          <cell r="CR416">
            <v>0</v>
          </cell>
          <cell r="CS416">
            <v>0.83333333333333337</v>
          </cell>
          <cell r="CT416">
            <v>1</v>
          </cell>
          <cell r="CU416">
            <v>6</v>
          </cell>
          <cell r="CV416">
            <v>0</v>
          </cell>
          <cell r="CW416">
            <v>0</v>
          </cell>
          <cell r="CX416">
            <v>0.83333333333333337</v>
          </cell>
          <cell r="CY416">
            <v>1</v>
          </cell>
          <cell r="CZ416">
            <v>6</v>
          </cell>
          <cell r="DA416">
            <v>0.16666666666666663</v>
          </cell>
          <cell r="DB416">
            <v>0</v>
          </cell>
          <cell r="DC416">
            <v>0.83333333333333337</v>
          </cell>
          <cell r="DD416">
            <v>1</v>
          </cell>
          <cell r="DE416">
            <v>0</v>
          </cell>
          <cell r="DF416">
            <v>0</v>
          </cell>
          <cell r="DG416">
            <v>0</v>
          </cell>
          <cell r="DH416">
            <v>0.83333333333333337</v>
          </cell>
          <cell r="DI416">
            <v>1</v>
          </cell>
          <cell r="DJ416">
            <v>2</v>
          </cell>
          <cell r="DK416">
            <v>0</v>
          </cell>
          <cell r="DL416">
            <v>0</v>
          </cell>
          <cell r="DM416">
            <v>0.66666666666666674</v>
          </cell>
          <cell r="DN416">
            <v>1</v>
          </cell>
          <cell r="DO416">
            <v>2</v>
          </cell>
          <cell r="DP416">
            <v>0</v>
          </cell>
          <cell r="DQ416">
            <v>0</v>
          </cell>
          <cell r="DR416">
            <v>0.83333333333333337</v>
          </cell>
          <cell r="DS416">
            <v>0.83333333333333337</v>
          </cell>
          <cell r="DT416">
            <v>1.0000000000000002</v>
          </cell>
          <cell r="DU416">
            <v>0.16666666666666663</v>
          </cell>
          <cell r="DV416">
            <v>0</v>
          </cell>
          <cell r="DW416">
            <v>0.66666666666666674</v>
          </cell>
          <cell r="DX416">
            <v>0.66666666666666674</v>
          </cell>
          <cell r="DY416">
            <v>4.4408920985006262E-16</v>
          </cell>
          <cell r="DZ416">
            <v>0.33333333333333326</v>
          </cell>
          <cell r="EA416">
            <v>0</v>
          </cell>
          <cell r="EB416">
            <v>0.50000000000000011</v>
          </cell>
          <cell r="EC416">
            <v>0.50000000000000011</v>
          </cell>
          <cell r="ED416">
            <v>-0.99999999999999956</v>
          </cell>
          <cell r="EE416">
            <v>0.49999999999999989</v>
          </cell>
          <cell r="EF416">
            <v>0</v>
          </cell>
          <cell r="EG416">
            <v>0.33333333333333348</v>
          </cell>
          <cell r="EH416">
            <v>0.33333333333333348</v>
          </cell>
          <cell r="EI416">
            <v>-1.9999999999999991</v>
          </cell>
          <cell r="EJ416">
            <v>0.66666666666666652</v>
          </cell>
          <cell r="EK416">
            <v>0</v>
          </cell>
          <cell r="EL416">
            <v>0.16666666666666682</v>
          </cell>
          <cell r="EM416">
            <v>0.16666666666666682</v>
          </cell>
          <cell r="EN416">
            <v>-2.9999999999999991</v>
          </cell>
          <cell r="EO416">
            <v>0.83333333333333315</v>
          </cell>
          <cell r="EP416">
            <v>0</v>
          </cell>
          <cell r="EQ416">
            <v>0</v>
          </cell>
          <cell r="ER416">
            <v>0</v>
          </cell>
          <cell r="ES416">
            <v>-4</v>
          </cell>
          <cell r="ET416">
            <v>1</v>
          </cell>
          <cell r="EU416">
            <v>0</v>
          </cell>
          <cell r="EV416">
            <v>-0.16666666666666666</v>
          </cell>
          <cell r="EW416">
            <v>-0.16666666666666666</v>
          </cell>
          <cell r="EX416">
            <v>-5.0000000000000009</v>
          </cell>
          <cell r="EY416">
            <v>1.1666666666666667</v>
          </cell>
          <cell r="EZ416">
            <v>0</v>
          </cell>
          <cell r="FA416">
            <v>-0.33333333333333331</v>
          </cell>
          <cell r="FB416">
            <v>-0.33333333333333331</v>
          </cell>
          <cell r="FC416">
            <v>-6</v>
          </cell>
          <cell r="FD416">
            <v>1.3333333333333333</v>
          </cell>
          <cell r="FE416">
            <v>0</v>
          </cell>
          <cell r="FF416">
            <v>-0.5</v>
          </cell>
          <cell r="FG416">
            <v>-0.5</v>
          </cell>
          <cell r="FH416">
            <v>-7</v>
          </cell>
          <cell r="FI416">
            <v>1.5</v>
          </cell>
          <cell r="FJ416">
            <v>0</v>
          </cell>
          <cell r="FK416">
            <v>-0.66666666666666663</v>
          </cell>
          <cell r="FL416">
            <v>-0.66666666666666663</v>
          </cell>
          <cell r="FM416">
            <v>-8</v>
          </cell>
          <cell r="FN416">
            <v>1.6666666666666665</v>
          </cell>
          <cell r="FO416">
            <v>0</v>
          </cell>
          <cell r="FP416">
            <v>-0.83333333333333326</v>
          </cell>
          <cell r="FQ416">
            <v>-0.83333333333333326</v>
          </cell>
          <cell r="FR416">
            <v>-9</v>
          </cell>
          <cell r="FS416">
            <v>1.8333333333333333</v>
          </cell>
          <cell r="FT416">
            <v>1</v>
          </cell>
          <cell r="FU416">
            <v>1.0333333333333334</v>
          </cell>
          <cell r="FW416" t="str">
            <v>SIN ROTACIÓN</v>
          </cell>
          <cell r="FX416" t="str">
            <v>C</v>
          </cell>
          <cell r="FY416" t="str">
            <v>Si</v>
          </cell>
        </row>
        <row r="417">
          <cell r="B417" t="str">
            <v>REP-0434</v>
          </cell>
          <cell r="C417" t="str">
            <v>NAC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0.16666666666666666</v>
          </cell>
          <cell r="AH417">
            <v>0</v>
          </cell>
          <cell r="AI417">
            <v>0</v>
          </cell>
          <cell r="AJ417">
            <v>0</v>
          </cell>
          <cell r="AK417">
            <v>0.16666666666666666</v>
          </cell>
          <cell r="AL417">
            <v>8.3333333333333329E-2</v>
          </cell>
          <cell r="AM417">
            <v>4.1666666666666664E-2</v>
          </cell>
          <cell r="AN417">
            <v>2</v>
          </cell>
          <cell r="AO417">
            <v>0</v>
          </cell>
          <cell r="AP417">
            <v>-0.16666666666666666</v>
          </cell>
          <cell r="AQ417">
            <v>-1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-0.16666666666666666</v>
          </cell>
          <cell r="AX417">
            <v>0</v>
          </cell>
          <cell r="AY417">
            <v>0</v>
          </cell>
          <cell r="AZ417">
            <v>0</v>
          </cell>
          <cell r="BA417">
            <v>-0.16666666666666666</v>
          </cell>
          <cell r="BB417">
            <v>0</v>
          </cell>
          <cell r="BC417">
            <v>0</v>
          </cell>
          <cell r="BD417">
            <v>0</v>
          </cell>
          <cell r="BE417">
            <v>-0.16666666666666666</v>
          </cell>
          <cell r="BF417">
            <v>-1</v>
          </cell>
          <cell r="BG417">
            <v>0</v>
          </cell>
          <cell r="BH417">
            <v>-0.33333333333333331</v>
          </cell>
          <cell r="BI417">
            <v>0</v>
          </cell>
          <cell r="BJ417">
            <v>0</v>
          </cell>
          <cell r="BK417">
            <v>0</v>
          </cell>
          <cell r="BL417">
            <v>-0.16666666666666666</v>
          </cell>
          <cell r="BM417">
            <v>0</v>
          </cell>
          <cell r="BN417">
            <v>0</v>
          </cell>
          <cell r="BO417">
            <v>0</v>
          </cell>
          <cell r="BP417">
            <v>-0.16666666666666666</v>
          </cell>
          <cell r="BQ417">
            <v>0</v>
          </cell>
          <cell r="BR417">
            <v>0</v>
          </cell>
          <cell r="BS417">
            <v>0</v>
          </cell>
          <cell r="BT417">
            <v>-0.16666666666666666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-0.16666666666666666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-0.16666666666666666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-0.33333333333333331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-0.16666666666666666</v>
          </cell>
          <cell r="CO417">
            <v>0</v>
          </cell>
          <cell r="CP417">
            <v>0</v>
          </cell>
          <cell r="CQ417">
            <v>0.16666666666666666</v>
          </cell>
          <cell r="CR417">
            <v>0</v>
          </cell>
          <cell r="CS417">
            <v>-0.16666666666666666</v>
          </cell>
          <cell r="CT417">
            <v>0</v>
          </cell>
          <cell r="CU417">
            <v>0</v>
          </cell>
          <cell r="CV417">
            <v>1</v>
          </cell>
          <cell r="CW417">
            <v>0</v>
          </cell>
          <cell r="CX417">
            <v>-0.16666666666666666</v>
          </cell>
          <cell r="CY417">
            <v>0</v>
          </cell>
          <cell r="CZ417">
            <v>0</v>
          </cell>
          <cell r="DA417">
            <v>1.1666666666666667</v>
          </cell>
          <cell r="DB417">
            <v>0</v>
          </cell>
          <cell r="DC417">
            <v>-0.16666666666666666</v>
          </cell>
          <cell r="DD417">
            <v>0</v>
          </cell>
          <cell r="DE417">
            <v>-6</v>
          </cell>
          <cell r="DF417">
            <v>1.1666666666666667</v>
          </cell>
          <cell r="DG417">
            <v>0</v>
          </cell>
          <cell r="DH417">
            <v>-0.16666666666666666</v>
          </cell>
          <cell r="DI417">
            <v>0</v>
          </cell>
          <cell r="DJ417">
            <v>-4</v>
          </cell>
          <cell r="DK417">
            <v>1.1666666666666667</v>
          </cell>
          <cell r="DL417">
            <v>0</v>
          </cell>
          <cell r="DM417">
            <v>0.83333333333333337</v>
          </cell>
          <cell r="DN417">
            <v>0</v>
          </cell>
          <cell r="DO417">
            <v>-4</v>
          </cell>
          <cell r="DP417">
            <v>1</v>
          </cell>
          <cell r="DQ417">
            <v>0</v>
          </cell>
          <cell r="DR417">
            <v>-0.16666666666666666</v>
          </cell>
          <cell r="DS417">
            <v>-0.16666666666666666</v>
          </cell>
          <cell r="DT417">
            <v>-5.0000000000000009</v>
          </cell>
          <cell r="DU417">
            <v>1.1666666666666667</v>
          </cell>
          <cell r="DV417">
            <v>0</v>
          </cell>
          <cell r="DW417">
            <v>-0.33333333333333331</v>
          </cell>
          <cell r="DX417">
            <v>-0.33333333333333331</v>
          </cell>
          <cell r="DY417">
            <v>-6</v>
          </cell>
          <cell r="DZ417">
            <v>1.3333333333333333</v>
          </cell>
          <cell r="EA417">
            <v>0</v>
          </cell>
          <cell r="EB417">
            <v>-0.5</v>
          </cell>
          <cell r="EC417">
            <v>-0.5</v>
          </cell>
          <cell r="ED417">
            <v>-7</v>
          </cell>
          <cell r="EE417">
            <v>1.5</v>
          </cell>
          <cell r="EF417">
            <v>0</v>
          </cell>
          <cell r="EG417">
            <v>-0.66666666666666663</v>
          </cell>
          <cell r="EH417">
            <v>-0.66666666666666663</v>
          </cell>
          <cell r="EI417">
            <v>-8</v>
          </cell>
          <cell r="EJ417">
            <v>1.6666666666666665</v>
          </cell>
          <cell r="EK417">
            <v>0</v>
          </cell>
          <cell r="EL417">
            <v>-0.83333333333333326</v>
          </cell>
          <cell r="EM417">
            <v>-0.83333333333333326</v>
          </cell>
          <cell r="EN417">
            <v>-9</v>
          </cell>
          <cell r="EO417">
            <v>1.8333333333333333</v>
          </cell>
          <cell r="EP417">
            <v>0</v>
          </cell>
          <cell r="EQ417">
            <v>-0.99999999999999989</v>
          </cell>
          <cell r="ER417">
            <v>-0.99999999999999989</v>
          </cell>
          <cell r="ES417">
            <v>-10</v>
          </cell>
          <cell r="ET417">
            <v>2</v>
          </cell>
          <cell r="EU417">
            <v>0</v>
          </cell>
          <cell r="EV417">
            <v>-1.1666666666666665</v>
          </cell>
          <cell r="EW417">
            <v>-1.1666666666666665</v>
          </cell>
          <cell r="EX417">
            <v>-11</v>
          </cell>
          <cell r="EY417">
            <v>2.1666666666666665</v>
          </cell>
          <cell r="EZ417">
            <v>0</v>
          </cell>
          <cell r="FA417">
            <v>-1.3333333333333333</v>
          </cell>
          <cell r="FB417">
            <v>-1.3333333333333333</v>
          </cell>
          <cell r="FC417">
            <v>-11.999999999999998</v>
          </cell>
          <cell r="FD417">
            <v>2.333333333333333</v>
          </cell>
          <cell r="FE417">
            <v>0</v>
          </cell>
          <cell r="FF417">
            <v>-1.5</v>
          </cell>
          <cell r="FG417">
            <v>-1.5</v>
          </cell>
          <cell r="FH417">
            <v>-13</v>
          </cell>
          <cell r="FI417">
            <v>2.5</v>
          </cell>
          <cell r="FJ417">
            <v>0</v>
          </cell>
          <cell r="FK417">
            <v>-1.6666666666666667</v>
          </cell>
          <cell r="FL417">
            <v>-1.6666666666666667</v>
          </cell>
          <cell r="FM417">
            <v>-14.000000000000004</v>
          </cell>
          <cell r="FN417">
            <v>2.666666666666667</v>
          </cell>
          <cell r="FO417">
            <v>0</v>
          </cell>
          <cell r="FP417">
            <v>-1.8333333333333335</v>
          </cell>
          <cell r="FQ417">
            <v>-1.8333333333333335</v>
          </cell>
          <cell r="FR417">
            <v>-15.000000000000004</v>
          </cell>
          <cell r="FS417">
            <v>2.8333333333333335</v>
          </cell>
          <cell r="FT417">
            <v>1</v>
          </cell>
          <cell r="FU417">
            <v>1.0333333333333334</v>
          </cell>
          <cell r="FW417" t="e">
            <v>#N/A</v>
          </cell>
          <cell r="FX417" t="str">
            <v>C</v>
          </cell>
          <cell r="FY417" t="str">
            <v>Si</v>
          </cell>
        </row>
        <row r="418">
          <cell r="B418" t="str">
            <v>REP-0435</v>
          </cell>
          <cell r="C418" t="str">
            <v>MIX</v>
          </cell>
          <cell r="D418">
            <v>0</v>
          </cell>
          <cell r="E418">
            <v>11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1</v>
          </cell>
          <cell r="L418">
            <v>1</v>
          </cell>
          <cell r="M418">
            <v>1</v>
          </cell>
          <cell r="N418">
            <v>0</v>
          </cell>
          <cell r="O418">
            <v>0</v>
          </cell>
          <cell r="P418">
            <v>0</v>
          </cell>
          <cell r="Q418">
            <v>1</v>
          </cell>
          <cell r="R418">
            <v>1</v>
          </cell>
          <cell r="S418">
            <v>0</v>
          </cell>
          <cell r="T418">
            <v>0</v>
          </cell>
          <cell r="U418">
            <v>1</v>
          </cell>
          <cell r="V418">
            <v>0</v>
          </cell>
          <cell r="W418">
            <v>0</v>
          </cell>
          <cell r="X418">
            <v>0</v>
          </cell>
          <cell r="Y418">
            <v>17</v>
          </cell>
          <cell r="AA418">
            <v>17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0.83333333333333337</v>
          </cell>
          <cell r="AH418">
            <v>0.25</v>
          </cell>
          <cell r="AI418">
            <v>0.5</v>
          </cell>
          <cell r="AJ418">
            <v>0.5</v>
          </cell>
          <cell r="AK418">
            <v>0.83333333333333337</v>
          </cell>
          <cell r="AL418">
            <v>0.23935677693908453</v>
          </cell>
          <cell r="AM418">
            <v>0.52083333333333337</v>
          </cell>
          <cell r="AN418">
            <v>0.45956501172304226</v>
          </cell>
          <cell r="AO418">
            <v>0</v>
          </cell>
          <cell r="AP418">
            <v>21.166666666666668</v>
          </cell>
          <cell r="AQ418">
            <v>25.4</v>
          </cell>
          <cell r="AR418">
            <v>0</v>
          </cell>
          <cell r="AS418">
            <v>21</v>
          </cell>
          <cell r="AT418">
            <v>21</v>
          </cell>
          <cell r="AU418">
            <v>25.2</v>
          </cell>
          <cell r="AV418">
            <v>0</v>
          </cell>
          <cell r="AW418">
            <v>20.166666666666668</v>
          </cell>
          <cell r="AX418">
            <v>21</v>
          </cell>
          <cell r="AY418">
            <v>25.2</v>
          </cell>
          <cell r="AZ418">
            <v>0</v>
          </cell>
          <cell r="BA418">
            <v>20.166666666666668</v>
          </cell>
          <cell r="BB418">
            <v>21</v>
          </cell>
          <cell r="BC418">
            <v>25.2</v>
          </cell>
          <cell r="BD418">
            <v>0</v>
          </cell>
          <cell r="BE418">
            <v>20.166666666666668</v>
          </cell>
          <cell r="BF418">
            <v>24.2</v>
          </cell>
          <cell r="BG418">
            <v>0</v>
          </cell>
          <cell r="BH418">
            <v>19.333333333333336</v>
          </cell>
          <cell r="BI418">
            <v>17</v>
          </cell>
          <cell r="BJ418">
            <v>20.399999999999999</v>
          </cell>
          <cell r="BK418">
            <v>0</v>
          </cell>
          <cell r="BL418">
            <v>20.166666666666668</v>
          </cell>
          <cell r="BM418">
            <v>19</v>
          </cell>
          <cell r="BN418">
            <v>22.8</v>
          </cell>
          <cell r="BO418">
            <v>0</v>
          </cell>
          <cell r="BP418">
            <v>18.166666666666668</v>
          </cell>
          <cell r="BQ418">
            <v>19</v>
          </cell>
          <cell r="BR418">
            <v>22.8</v>
          </cell>
          <cell r="BS418">
            <v>0</v>
          </cell>
          <cell r="BT418">
            <v>18.166666666666668</v>
          </cell>
          <cell r="BU418">
            <v>19</v>
          </cell>
          <cell r="BV418">
            <v>22.8</v>
          </cell>
          <cell r="BW418">
            <v>0</v>
          </cell>
          <cell r="BX418">
            <v>0</v>
          </cell>
          <cell r="BY418">
            <v>18.166666666666668</v>
          </cell>
          <cell r="BZ418">
            <v>19</v>
          </cell>
          <cell r="CA418">
            <v>22.8</v>
          </cell>
          <cell r="CB418">
            <v>0</v>
          </cell>
          <cell r="CC418">
            <v>0</v>
          </cell>
          <cell r="CD418">
            <v>18.166666666666668</v>
          </cell>
          <cell r="CE418">
            <v>19</v>
          </cell>
          <cell r="CF418">
            <v>22.8</v>
          </cell>
          <cell r="CG418">
            <v>0</v>
          </cell>
          <cell r="CH418">
            <v>0</v>
          </cell>
          <cell r="CI418">
            <v>17.333333333333336</v>
          </cell>
          <cell r="CJ418">
            <v>21</v>
          </cell>
          <cell r="CK418">
            <v>25.2</v>
          </cell>
          <cell r="CL418">
            <v>0</v>
          </cell>
          <cell r="CM418">
            <v>0</v>
          </cell>
          <cell r="CN418">
            <v>20.166666666666668</v>
          </cell>
          <cell r="CO418">
            <v>21</v>
          </cell>
          <cell r="CP418">
            <v>25.2</v>
          </cell>
          <cell r="CQ418">
            <v>0</v>
          </cell>
          <cell r="CR418">
            <v>0</v>
          </cell>
          <cell r="CS418">
            <v>20.166666666666668</v>
          </cell>
          <cell r="CT418">
            <v>21</v>
          </cell>
          <cell r="CU418">
            <v>25.2</v>
          </cell>
          <cell r="CV418">
            <v>0</v>
          </cell>
          <cell r="CW418">
            <v>0</v>
          </cell>
          <cell r="CX418">
            <v>20.166666666666668</v>
          </cell>
          <cell r="CY418">
            <v>21</v>
          </cell>
          <cell r="CZ418">
            <v>25.2</v>
          </cell>
          <cell r="DA418">
            <v>0</v>
          </cell>
          <cell r="DB418">
            <v>0</v>
          </cell>
          <cell r="DC418">
            <v>20.166666666666668</v>
          </cell>
          <cell r="DD418">
            <v>20</v>
          </cell>
          <cell r="DE418">
            <v>21.599999999999998</v>
          </cell>
          <cell r="DF418">
            <v>0</v>
          </cell>
          <cell r="DG418">
            <v>0</v>
          </cell>
          <cell r="DH418">
            <v>19.166666666666668</v>
          </cell>
          <cell r="DI418">
            <v>18</v>
          </cell>
          <cell r="DJ418">
            <v>21.2</v>
          </cell>
          <cell r="DK418">
            <v>0</v>
          </cell>
          <cell r="DL418">
            <v>0</v>
          </cell>
          <cell r="DM418">
            <v>18.333333333333336</v>
          </cell>
          <cell r="DN418">
            <v>17</v>
          </cell>
          <cell r="DO418">
            <v>20</v>
          </cell>
          <cell r="DP418">
            <v>0</v>
          </cell>
          <cell r="DQ418">
            <v>0</v>
          </cell>
          <cell r="DR418">
            <v>16.166666666666668</v>
          </cell>
          <cell r="DS418">
            <v>16.166666666666668</v>
          </cell>
          <cell r="DT418">
            <v>19</v>
          </cell>
          <cell r="DU418">
            <v>0</v>
          </cell>
          <cell r="DV418">
            <v>0</v>
          </cell>
          <cell r="DW418">
            <v>15.333333333333334</v>
          </cell>
          <cell r="DX418">
            <v>15.333333333333334</v>
          </cell>
          <cell r="DY418">
            <v>18</v>
          </cell>
          <cell r="DZ418">
            <v>0</v>
          </cell>
          <cell r="EA418">
            <v>0</v>
          </cell>
          <cell r="EB418">
            <v>14.5</v>
          </cell>
          <cell r="EC418">
            <v>14.5</v>
          </cell>
          <cell r="ED418">
            <v>17</v>
          </cell>
          <cell r="EE418">
            <v>0</v>
          </cell>
          <cell r="EF418">
            <v>0</v>
          </cell>
          <cell r="EG418">
            <v>13.666666666666666</v>
          </cell>
          <cell r="EH418">
            <v>13.666666666666666</v>
          </cell>
          <cell r="EI418">
            <v>15.999999999999998</v>
          </cell>
          <cell r="EJ418">
            <v>0</v>
          </cell>
          <cell r="EK418">
            <v>0</v>
          </cell>
          <cell r="EL418">
            <v>12.833333333333332</v>
          </cell>
          <cell r="EM418">
            <v>12.833333333333332</v>
          </cell>
          <cell r="EN418">
            <v>14.999999999999998</v>
          </cell>
          <cell r="EO418">
            <v>0</v>
          </cell>
          <cell r="EP418">
            <v>0</v>
          </cell>
          <cell r="EQ418">
            <v>11.999999999999998</v>
          </cell>
          <cell r="ER418">
            <v>11.999999999999998</v>
          </cell>
          <cell r="ES418">
            <v>13.999999999999996</v>
          </cell>
          <cell r="ET418">
            <v>0</v>
          </cell>
          <cell r="EU418">
            <v>0</v>
          </cell>
          <cell r="EV418">
            <v>11.166666666666664</v>
          </cell>
          <cell r="EW418">
            <v>11.166666666666664</v>
          </cell>
          <cell r="EX418">
            <v>12.999999999999996</v>
          </cell>
          <cell r="EY418">
            <v>0</v>
          </cell>
          <cell r="EZ418">
            <v>0</v>
          </cell>
          <cell r="FA418">
            <v>10.33333333333333</v>
          </cell>
          <cell r="FB418">
            <v>10.33333333333333</v>
          </cell>
          <cell r="FC418">
            <v>11.999999999999996</v>
          </cell>
          <cell r="FD418">
            <v>0</v>
          </cell>
          <cell r="FE418">
            <v>0</v>
          </cell>
          <cell r="FF418">
            <v>9.4999999999999964</v>
          </cell>
          <cell r="FG418">
            <v>9.4999999999999964</v>
          </cell>
          <cell r="FH418">
            <v>10.999999999999995</v>
          </cell>
          <cell r="FI418">
            <v>0</v>
          </cell>
          <cell r="FJ418">
            <v>0</v>
          </cell>
          <cell r="FK418">
            <v>8.6666666666666625</v>
          </cell>
          <cell r="FL418">
            <v>8.6666666666666625</v>
          </cell>
          <cell r="FM418">
            <v>9.9999999999999947</v>
          </cell>
          <cell r="FN418">
            <v>0</v>
          </cell>
          <cell r="FO418">
            <v>0</v>
          </cell>
          <cell r="FP418">
            <v>7.8333333333333295</v>
          </cell>
          <cell r="FQ418">
            <v>7.8333333333333295</v>
          </cell>
          <cell r="FR418">
            <v>8.9999999999999947</v>
          </cell>
          <cell r="FS418">
            <v>0</v>
          </cell>
          <cell r="FT418">
            <v>2</v>
          </cell>
          <cell r="FU418">
            <v>2.0333333333333332</v>
          </cell>
          <cell r="FW418" t="str">
            <v>SOBRESTOCK</v>
          </cell>
          <cell r="FX418" t="str">
            <v>C</v>
          </cell>
          <cell r="FY418" t="str">
            <v>Si</v>
          </cell>
        </row>
        <row r="419">
          <cell r="B419" t="str">
            <v>REP-0436</v>
          </cell>
          <cell r="C419" t="str">
            <v>NAC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1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1</v>
          </cell>
          <cell r="V419">
            <v>0</v>
          </cell>
          <cell r="W419">
            <v>0</v>
          </cell>
          <cell r="X419">
            <v>0</v>
          </cell>
          <cell r="Y419">
            <v>4</v>
          </cell>
          <cell r="AA419">
            <v>4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8.3333333333333329E-2</v>
          </cell>
          <cell r="AH419">
            <v>0.16666666666666666</v>
          </cell>
          <cell r="AI419">
            <v>0.33333333333333331</v>
          </cell>
          <cell r="AJ419">
            <v>0.33333333333333331</v>
          </cell>
          <cell r="AK419">
            <v>0.33333333333333331</v>
          </cell>
          <cell r="AL419">
            <v>0.12500000000000006</v>
          </cell>
          <cell r="AM419">
            <v>0.22916666666666663</v>
          </cell>
          <cell r="AN419">
            <v>0.54545454545454575</v>
          </cell>
          <cell r="AO419">
            <v>0</v>
          </cell>
          <cell r="AP419">
            <v>7.666666666666667</v>
          </cell>
          <cell r="AQ419">
            <v>47</v>
          </cell>
          <cell r="AR419">
            <v>0</v>
          </cell>
          <cell r="AS419">
            <v>7.6666666666666661</v>
          </cell>
          <cell r="AT419">
            <v>8</v>
          </cell>
          <cell r="AU419">
            <v>48</v>
          </cell>
          <cell r="AV419">
            <v>0</v>
          </cell>
          <cell r="AW419">
            <v>7.833333333333333</v>
          </cell>
          <cell r="AX419">
            <v>8</v>
          </cell>
          <cell r="AY419">
            <v>24</v>
          </cell>
          <cell r="AZ419">
            <v>0</v>
          </cell>
          <cell r="BA419">
            <v>7.833333333333333</v>
          </cell>
          <cell r="BB419">
            <v>8</v>
          </cell>
          <cell r="BC419">
            <v>24</v>
          </cell>
          <cell r="BD419">
            <v>0</v>
          </cell>
          <cell r="BE419">
            <v>7.666666666666667</v>
          </cell>
          <cell r="BF419">
            <v>23.000000000000004</v>
          </cell>
          <cell r="BG419">
            <v>0</v>
          </cell>
          <cell r="BH419">
            <v>7.3333333333333339</v>
          </cell>
          <cell r="BI419">
            <v>4</v>
          </cell>
          <cell r="BJ419">
            <v>12</v>
          </cell>
          <cell r="BK419">
            <v>0</v>
          </cell>
          <cell r="BL419">
            <v>7.916666666666667</v>
          </cell>
          <cell r="BM419">
            <v>6</v>
          </cell>
          <cell r="BN419">
            <v>18</v>
          </cell>
          <cell r="BO419">
            <v>0</v>
          </cell>
          <cell r="BP419">
            <v>5.666666666666667</v>
          </cell>
          <cell r="BQ419">
            <v>6</v>
          </cell>
          <cell r="BR419">
            <v>18</v>
          </cell>
          <cell r="BS419">
            <v>0</v>
          </cell>
          <cell r="BT419">
            <v>5.666666666666667</v>
          </cell>
          <cell r="BU419">
            <v>6</v>
          </cell>
          <cell r="BV419">
            <v>18</v>
          </cell>
          <cell r="BW419">
            <v>0</v>
          </cell>
          <cell r="BX419">
            <v>0</v>
          </cell>
          <cell r="BY419">
            <v>5.666666666666667</v>
          </cell>
          <cell r="BZ419">
            <v>6</v>
          </cell>
          <cell r="CA419">
            <v>18</v>
          </cell>
          <cell r="CB419">
            <v>0</v>
          </cell>
          <cell r="CC419">
            <v>0</v>
          </cell>
          <cell r="CD419">
            <v>5.666666666666667</v>
          </cell>
          <cell r="CE419">
            <v>6</v>
          </cell>
          <cell r="CF419">
            <v>18</v>
          </cell>
          <cell r="CG419">
            <v>0</v>
          </cell>
          <cell r="CH419">
            <v>0</v>
          </cell>
          <cell r="CI419">
            <v>5.3333333333333339</v>
          </cell>
          <cell r="CJ419">
            <v>9</v>
          </cell>
          <cell r="CK419">
            <v>27</v>
          </cell>
          <cell r="CL419">
            <v>0</v>
          </cell>
          <cell r="CM419">
            <v>0</v>
          </cell>
          <cell r="CN419">
            <v>8.6666666666666661</v>
          </cell>
          <cell r="CO419">
            <v>9</v>
          </cell>
          <cell r="CP419">
            <v>27</v>
          </cell>
          <cell r="CQ419">
            <v>0</v>
          </cell>
          <cell r="CR419">
            <v>0</v>
          </cell>
          <cell r="CS419">
            <v>8.6666666666666661</v>
          </cell>
          <cell r="CT419">
            <v>9</v>
          </cell>
          <cell r="CU419">
            <v>54</v>
          </cell>
          <cell r="CV419">
            <v>0</v>
          </cell>
          <cell r="CW419">
            <v>0</v>
          </cell>
          <cell r="CX419">
            <v>8.8333333333333339</v>
          </cell>
          <cell r="CY419">
            <v>10</v>
          </cell>
          <cell r="CZ419">
            <v>60</v>
          </cell>
          <cell r="DA419">
            <v>0</v>
          </cell>
          <cell r="DB419">
            <v>0</v>
          </cell>
          <cell r="DC419">
            <v>9.8333333333333339</v>
          </cell>
          <cell r="DD419">
            <v>6</v>
          </cell>
          <cell r="DE419">
            <v>30</v>
          </cell>
          <cell r="DF419">
            <v>0</v>
          </cell>
          <cell r="DG419">
            <v>0</v>
          </cell>
          <cell r="DH419">
            <v>5.833333333333333</v>
          </cell>
          <cell r="DI419">
            <v>4</v>
          </cell>
          <cell r="DJ419">
            <v>9.5</v>
          </cell>
          <cell r="DK419">
            <v>0</v>
          </cell>
          <cell r="DL419">
            <v>0</v>
          </cell>
          <cell r="DM419">
            <v>5.4333333333333327</v>
          </cell>
          <cell r="DN419">
            <v>4</v>
          </cell>
          <cell r="DO419">
            <v>11</v>
          </cell>
          <cell r="DP419">
            <v>0</v>
          </cell>
          <cell r="DQ419">
            <v>0</v>
          </cell>
          <cell r="DR419">
            <v>3.6666666666666665</v>
          </cell>
          <cell r="DS419">
            <v>3.6666666666666665</v>
          </cell>
          <cell r="DT419">
            <v>10</v>
          </cell>
          <cell r="DU419">
            <v>0</v>
          </cell>
          <cell r="DV419">
            <v>0</v>
          </cell>
          <cell r="DW419">
            <v>3.333333333333333</v>
          </cell>
          <cell r="DX419">
            <v>3.333333333333333</v>
          </cell>
          <cell r="DY419">
            <v>9</v>
          </cell>
          <cell r="DZ419">
            <v>0</v>
          </cell>
          <cell r="EA419">
            <v>0</v>
          </cell>
          <cell r="EB419">
            <v>2.9999999999999996</v>
          </cell>
          <cell r="EC419">
            <v>2.9999999999999996</v>
          </cell>
          <cell r="ED419">
            <v>7.9999999999999991</v>
          </cell>
          <cell r="EE419">
            <v>0</v>
          </cell>
          <cell r="EF419">
            <v>0</v>
          </cell>
          <cell r="EG419">
            <v>2.6666666666666661</v>
          </cell>
          <cell r="EH419">
            <v>2.6666666666666661</v>
          </cell>
          <cell r="EI419">
            <v>6.9999999999999982</v>
          </cell>
          <cell r="EJ419">
            <v>0</v>
          </cell>
          <cell r="EK419">
            <v>0</v>
          </cell>
          <cell r="EL419">
            <v>2.3333333333333326</v>
          </cell>
          <cell r="EM419">
            <v>2.3333333333333326</v>
          </cell>
          <cell r="EN419">
            <v>5.9999999999999982</v>
          </cell>
          <cell r="EO419">
            <v>0</v>
          </cell>
          <cell r="EP419">
            <v>0</v>
          </cell>
          <cell r="EQ419">
            <v>1.9999999999999993</v>
          </cell>
          <cell r="ER419">
            <v>1.9999999999999993</v>
          </cell>
          <cell r="ES419">
            <v>4.9999999999999982</v>
          </cell>
          <cell r="ET419">
            <v>0</v>
          </cell>
          <cell r="EU419">
            <v>0</v>
          </cell>
          <cell r="EV419">
            <v>1.6666666666666661</v>
          </cell>
          <cell r="EW419">
            <v>1.6666666666666661</v>
          </cell>
          <cell r="EX419">
            <v>3.9999999999999982</v>
          </cell>
          <cell r="EY419">
            <v>0</v>
          </cell>
          <cell r="EZ419">
            <v>0</v>
          </cell>
          <cell r="FA419">
            <v>1.3333333333333328</v>
          </cell>
          <cell r="FB419">
            <v>1.3333333333333328</v>
          </cell>
          <cell r="FC419">
            <v>2.9999999999999982</v>
          </cell>
          <cell r="FD419">
            <v>0</v>
          </cell>
          <cell r="FE419">
            <v>0</v>
          </cell>
          <cell r="FF419">
            <v>0.99999999999999956</v>
          </cell>
          <cell r="FG419">
            <v>0.99999999999999956</v>
          </cell>
          <cell r="FH419">
            <v>1.9999999999999987</v>
          </cell>
          <cell r="FI419">
            <v>4.4408920985006262E-16</v>
          </cell>
          <cell r="FJ419">
            <v>0</v>
          </cell>
          <cell r="FK419">
            <v>0.6666666666666663</v>
          </cell>
          <cell r="FL419">
            <v>0.6666666666666663</v>
          </cell>
          <cell r="FM419">
            <v>0.99999999999999889</v>
          </cell>
          <cell r="FN419">
            <v>0.3333333333333337</v>
          </cell>
          <cell r="FO419">
            <v>0</v>
          </cell>
          <cell r="FP419">
            <v>0.33333333333333298</v>
          </cell>
          <cell r="FQ419">
            <v>0.33333333333333298</v>
          </cell>
          <cell r="FR419">
            <v>-8.8817841970012523E-16</v>
          </cell>
          <cell r="FS419">
            <v>0.66666666666666696</v>
          </cell>
          <cell r="FT419">
            <v>1</v>
          </cell>
          <cell r="FU419">
            <v>1.0333333333333334</v>
          </cell>
          <cell r="FW419" t="str">
            <v>SOBRESTOCK</v>
          </cell>
          <cell r="FX419" t="str">
            <v>C</v>
          </cell>
          <cell r="FY419" t="str">
            <v>Si</v>
          </cell>
        </row>
        <row r="420">
          <cell r="B420" t="str">
            <v>REP-0437</v>
          </cell>
          <cell r="C420" t="str">
            <v>INTER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2</v>
          </cell>
          <cell r="AA420">
            <v>2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2</v>
          </cell>
          <cell r="AQ420" t="str">
            <v/>
          </cell>
          <cell r="AR420">
            <v>0</v>
          </cell>
          <cell r="AS420">
            <v>2</v>
          </cell>
          <cell r="AT420">
            <v>2</v>
          </cell>
          <cell r="AU420" t="str">
            <v/>
          </cell>
          <cell r="AV420">
            <v>0</v>
          </cell>
          <cell r="AW420">
            <v>2</v>
          </cell>
          <cell r="AX420">
            <v>2</v>
          </cell>
          <cell r="AY420" t="str">
            <v/>
          </cell>
          <cell r="AZ420">
            <v>0</v>
          </cell>
          <cell r="BA420">
            <v>2</v>
          </cell>
          <cell r="BB420">
            <v>2</v>
          </cell>
          <cell r="BC420" t="str">
            <v/>
          </cell>
          <cell r="BD420">
            <v>0</v>
          </cell>
          <cell r="BE420">
            <v>2</v>
          </cell>
          <cell r="BF420" t="str">
            <v/>
          </cell>
          <cell r="BG420">
            <v>0</v>
          </cell>
          <cell r="BH420">
            <v>2</v>
          </cell>
          <cell r="BI420">
            <v>2</v>
          </cell>
          <cell r="BJ420" t="str">
            <v/>
          </cell>
          <cell r="BK420">
            <v>0</v>
          </cell>
          <cell r="BL420">
            <v>2</v>
          </cell>
          <cell r="BM420">
            <v>2</v>
          </cell>
          <cell r="BN420" t="str">
            <v/>
          </cell>
          <cell r="BO420">
            <v>0</v>
          </cell>
          <cell r="BP420">
            <v>2</v>
          </cell>
          <cell r="BQ420">
            <v>2</v>
          </cell>
          <cell r="BR420" t="str">
            <v/>
          </cell>
          <cell r="BS420">
            <v>0</v>
          </cell>
          <cell r="BT420">
            <v>2</v>
          </cell>
          <cell r="BU420">
            <v>2</v>
          </cell>
          <cell r="BV420" t="str">
            <v/>
          </cell>
          <cell r="BW420">
            <v>0</v>
          </cell>
          <cell r="BX420">
            <v>0</v>
          </cell>
          <cell r="BY420">
            <v>2</v>
          </cell>
          <cell r="BZ420">
            <v>2</v>
          </cell>
          <cell r="CA420" t="str">
            <v/>
          </cell>
          <cell r="CB420">
            <v>0</v>
          </cell>
          <cell r="CC420">
            <v>0</v>
          </cell>
          <cell r="CD420">
            <v>2</v>
          </cell>
          <cell r="CE420">
            <v>2</v>
          </cell>
          <cell r="CF420" t="str">
            <v/>
          </cell>
          <cell r="CG420">
            <v>0</v>
          </cell>
          <cell r="CH420">
            <v>0</v>
          </cell>
          <cell r="CI420">
            <v>2</v>
          </cell>
          <cell r="CJ420">
            <v>2</v>
          </cell>
          <cell r="CK420" t="str">
            <v/>
          </cell>
          <cell r="CL420">
            <v>0</v>
          </cell>
          <cell r="CM420">
            <v>0</v>
          </cell>
          <cell r="CN420">
            <v>2</v>
          </cell>
          <cell r="CO420">
            <v>2</v>
          </cell>
          <cell r="CP420" t="str">
            <v/>
          </cell>
          <cell r="CQ420">
            <v>0</v>
          </cell>
          <cell r="CR420">
            <v>0</v>
          </cell>
          <cell r="CS420">
            <v>2</v>
          </cell>
          <cell r="CT420">
            <v>2</v>
          </cell>
          <cell r="CU420" t="str">
            <v/>
          </cell>
          <cell r="CV420">
            <v>0</v>
          </cell>
          <cell r="CW420">
            <v>0</v>
          </cell>
          <cell r="CX420">
            <v>2</v>
          </cell>
          <cell r="CY420">
            <v>2</v>
          </cell>
          <cell r="CZ420" t="str">
            <v/>
          </cell>
          <cell r="DA420">
            <v>0</v>
          </cell>
          <cell r="DB420">
            <v>0</v>
          </cell>
          <cell r="DC420">
            <v>2</v>
          </cell>
          <cell r="DD420">
            <v>2</v>
          </cell>
          <cell r="DE420" t="str">
            <v/>
          </cell>
          <cell r="DF420">
            <v>0</v>
          </cell>
          <cell r="DG420">
            <v>0</v>
          </cell>
          <cell r="DH420">
            <v>2</v>
          </cell>
          <cell r="DI420">
            <v>2</v>
          </cell>
          <cell r="DJ420" t="str">
            <v/>
          </cell>
          <cell r="DK420">
            <v>0</v>
          </cell>
          <cell r="DL420">
            <v>0</v>
          </cell>
          <cell r="DM420">
            <v>2</v>
          </cell>
          <cell r="DN420">
            <v>2</v>
          </cell>
          <cell r="DO420" t="str">
            <v/>
          </cell>
          <cell r="DP420">
            <v>0</v>
          </cell>
          <cell r="DQ420">
            <v>0</v>
          </cell>
          <cell r="DR420">
            <v>2</v>
          </cell>
          <cell r="DS420">
            <v>2</v>
          </cell>
          <cell r="DT420" t="str">
            <v/>
          </cell>
          <cell r="DU420">
            <v>0</v>
          </cell>
          <cell r="DV420">
            <v>0</v>
          </cell>
          <cell r="DW420">
            <v>2</v>
          </cell>
          <cell r="DX420">
            <v>2</v>
          </cell>
          <cell r="DY420" t="str">
            <v/>
          </cell>
          <cell r="DZ420">
            <v>0</v>
          </cell>
          <cell r="EA420">
            <v>0</v>
          </cell>
          <cell r="EB420">
            <v>2</v>
          </cell>
          <cell r="EC420">
            <v>2</v>
          </cell>
          <cell r="ED420" t="str">
            <v/>
          </cell>
          <cell r="EE420">
            <v>0</v>
          </cell>
          <cell r="EF420">
            <v>0</v>
          </cell>
          <cell r="EG420">
            <v>2</v>
          </cell>
          <cell r="EH420">
            <v>2</v>
          </cell>
          <cell r="EI420" t="str">
            <v/>
          </cell>
          <cell r="EJ420">
            <v>0</v>
          </cell>
          <cell r="EK420">
            <v>0</v>
          </cell>
          <cell r="EL420">
            <v>2</v>
          </cell>
          <cell r="EM420">
            <v>2</v>
          </cell>
          <cell r="EN420" t="str">
            <v/>
          </cell>
          <cell r="EO420">
            <v>0</v>
          </cell>
          <cell r="EP420">
            <v>0</v>
          </cell>
          <cell r="EQ420">
            <v>2</v>
          </cell>
          <cell r="ER420">
            <v>2</v>
          </cell>
          <cell r="ES420" t="str">
            <v/>
          </cell>
          <cell r="ET420">
            <v>0</v>
          </cell>
          <cell r="EU420">
            <v>0</v>
          </cell>
          <cell r="EV420">
            <v>2</v>
          </cell>
          <cell r="EW420">
            <v>2</v>
          </cell>
          <cell r="EX420" t="str">
            <v/>
          </cell>
          <cell r="EY420">
            <v>0</v>
          </cell>
          <cell r="EZ420">
            <v>0</v>
          </cell>
          <cell r="FA420">
            <v>2</v>
          </cell>
          <cell r="FB420">
            <v>2</v>
          </cell>
          <cell r="FC420" t="str">
            <v/>
          </cell>
          <cell r="FD420">
            <v>0</v>
          </cell>
          <cell r="FE420">
            <v>0</v>
          </cell>
          <cell r="FF420">
            <v>2</v>
          </cell>
          <cell r="FG420">
            <v>2</v>
          </cell>
          <cell r="FH420" t="str">
            <v/>
          </cell>
          <cell r="FI420">
            <v>0</v>
          </cell>
          <cell r="FJ420">
            <v>0</v>
          </cell>
          <cell r="FK420">
            <v>2</v>
          </cell>
          <cell r="FL420">
            <v>2</v>
          </cell>
          <cell r="FM420" t="str">
            <v/>
          </cell>
          <cell r="FN420">
            <v>0</v>
          </cell>
          <cell r="FO420">
            <v>0</v>
          </cell>
          <cell r="FP420">
            <v>2</v>
          </cell>
          <cell r="FQ420">
            <v>2</v>
          </cell>
          <cell r="FR420" t="str">
            <v/>
          </cell>
          <cell r="FS420">
            <v>0</v>
          </cell>
          <cell r="FT420">
            <v>0</v>
          </cell>
          <cell r="FU420">
            <v>1.0333333333333334</v>
          </cell>
          <cell r="FW420" t="str">
            <v>SIN ROTACIÓN</v>
          </cell>
          <cell r="FX420" t="str">
            <v>STOCK MUERTO</v>
          </cell>
          <cell r="FY420" t="str">
            <v>Si</v>
          </cell>
        </row>
        <row r="421">
          <cell r="B421" t="str">
            <v>REP-0438</v>
          </cell>
          <cell r="C421" t="str">
            <v>INTER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8.3333333333333329E-2</v>
          </cell>
          <cell r="AH421">
            <v>0</v>
          </cell>
          <cell r="AI421">
            <v>0</v>
          </cell>
          <cell r="AJ421">
            <v>0</v>
          </cell>
          <cell r="AK421">
            <v>8.3333333333333329E-2</v>
          </cell>
          <cell r="AM421">
            <v>2.0833333333333332E-2</v>
          </cell>
          <cell r="AO421">
            <v>0</v>
          </cell>
          <cell r="AP421">
            <v>-8.3333333333333329E-2</v>
          </cell>
          <cell r="AQ421">
            <v>-1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-8.3333333333333329E-2</v>
          </cell>
          <cell r="AX421">
            <v>0</v>
          </cell>
          <cell r="AY421">
            <v>0</v>
          </cell>
          <cell r="AZ421">
            <v>0</v>
          </cell>
          <cell r="BA421">
            <v>-8.3333333333333329E-2</v>
          </cell>
          <cell r="BB421">
            <v>0</v>
          </cell>
          <cell r="BC421">
            <v>0</v>
          </cell>
          <cell r="BD421">
            <v>0</v>
          </cell>
          <cell r="BE421">
            <v>-8.3333333333333329E-2</v>
          </cell>
          <cell r="BF421">
            <v>-1</v>
          </cell>
          <cell r="BG421">
            <v>0</v>
          </cell>
          <cell r="BH421">
            <v>-0.16666666666666666</v>
          </cell>
          <cell r="BI421">
            <v>0</v>
          </cell>
          <cell r="BJ421">
            <v>0</v>
          </cell>
          <cell r="BK421">
            <v>0</v>
          </cell>
          <cell r="BL421">
            <v>-8.3333333333333329E-2</v>
          </cell>
          <cell r="BM421">
            <v>0</v>
          </cell>
          <cell r="BN421">
            <v>0</v>
          </cell>
          <cell r="BO421">
            <v>0</v>
          </cell>
          <cell r="BP421">
            <v>-8.3333333333333329E-2</v>
          </cell>
          <cell r="BQ421">
            <v>0</v>
          </cell>
          <cell r="BR421">
            <v>0</v>
          </cell>
          <cell r="BS421">
            <v>0</v>
          </cell>
          <cell r="BT421">
            <v>-8.3333333333333329E-2</v>
          </cell>
          <cell r="BU421">
            <v>0</v>
          </cell>
          <cell r="BV421">
            <v>0</v>
          </cell>
          <cell r="BW421">
            <v>12</v>
          </cell>
          <cell r="BX421">
            <v>0</v>
          </cell>
          <cell r="BY421">
            <v>-8.3333333333333329E-2</v>
          </cell>
          <cell r="BZ421">
            <v>0</v>
          </cell>
          <cell r="CA421">
            <v>0</v>
          </cell>
          <cell r="CB421">
            <v>12</v>
          </cell>
          <cell r="CC421">
            <v>0</v>
          </cell>
          <cell r="CD421">
            <v>-8.3333333333333329E-2</v>
          </cell>
          <cell r="CE421">
            <v>0</v>
          </cell>
          <cell r="CF421">
            <v>0</v>
          </cell>
          <cell r="CG421">
            <v>12</v>
          </cell>
          <cell r="CH421">
            <v>0</v>
          </cell>
          <cell r="CI421">
            <v>11.833333333333332</v>
          </cell>
          <cell r="CJ421">
            <v>0</v>
          </cell>
          <cell r="CK421">
            <v>0</v>
          </cell>
          <cell r="CL421">
            <v>12</v>
          </cell>
          <cell r="CM421">
            <v>0</v>
          </cell>
          <cell r="CN421">
            <v>-8.3333333333333329E-2</v>
          </cell>
          <cell r="CO421">
            <v>0</v>
          </cell>
          <cell r="CP421">
            <v>0</v>
          </cell>
          <cell r="CQ421">
            <v>12.083333333333334</v>
          </cell>
          <cell r="CS421">
            <v>-8.3333333333333329E-2</v>
          </cell>
          <cell r="CT421">
            <v>0</v>
          </cell>
          <cell r="CU421">
            <v>0</v>
          </cell>
          <cell r="CV421">
            <v>6</v>
          </cell>
          <cell r="CX421">
            <v>-8.3333333333333329E-2</v>
          </cell>
          <cell r="CY421">
            <v>0</v>
          </cell>
          <cell r="CZ421">
            <v>0</v>
          </cell>
          <cell r="DA421">
            <v>6.083333333333333</v>
          </cell>
          <cell r="DB421">
            <v>0</v>
          </cell>
          <cell r="DC421">
            <v>-8.3333333333333329E-2</v>
          </cell>
          <cell r="DD421">
            <v>0</v>
          </cell>
          <cell r="DE421">
            <v>-72</v>
          </cell>
          <cell r="DF421">
            <v>6.083333333333333</v>
          </cell>
          <cell r="DG421">
            <v>0</v>
          </cell>
          <cell r="DH421">
            <v>-8.3333333333333329E-2</v>
          </cell>
          <cell r="DI421">
            <v>0</v>
          </cell>
          <cell r="DJ421">
            <v>-70</v>
          </cell>
          <cell r="DK421">
            <v>6.083333333333333</v>
          </cell>
          <cell r="DL421">
            <v>0</v>
          </cell>
          <cell r="DM421">
            <v>5.916666666666667</v>
          </cell>
          <cell r="DN421">
            <v>0</v>
          </cell>
          <cell r="DO421">
            <v>-70</v>
          </cell>
          <cell r="DP421">
            <v>6</v>
          </cell>
          <cell r="DQ421">
            <v>0</v>
          </cell>
          <cell r="DR421">
            <v>-8.3333333333333329E-2</v>
          </cell>
          <cell r="DS421">
            <v>-8.3333333333333329E-2</v>
          </cell>
          <cell r="DT421">
            <v>-71</v>
          </cell>
          <cell r="DU421">
            <v>6.083333333333333</v>
          </cell>
          <cell r="DV421">
            <v>0</v>
          </cell>
          <cell r="DW421">
            <v>-0.16666666666666666</v>
          </cell>
          <cell r="DX421">
            <v>-0.16666666666666666</v>
          </cell>
          <cell r="DY421">
            <v>-72.000000000000014</v>
          </cell>
          <cell r="DZ421">
            <v>6.166666666666667</v>
          </cell>
          <cell r="EA421">
            <v>0</v>
          </cell>
          <cell r="EB421">
            <v>-0.25</v>
          </cell>
          <cell r="EC421">
            <v>-0.25</v>
          </cell>
          <cell r="ED421">
            <v>-73</v>
          </cell>
          <cell r="EE421">
            <v>6.25</v>
          </cell>
          <cell r="EF421">
            <v>0</v>
          </cell>
          <cell r="EG421">
            <v>-0.33333333333333331</v>
          </cell>
          <cell r="EH421">
            <v>-0.33333333333333331</v>
          </cell>
          <cell r="EI421">
            <v>-74</v>
          </cell>
          <cell r="EJ421">
            <v>6.333333333333333</v>
          </cell>
          <cell r="EK421">
            <v>0</v>
          </cell>
          <cell r="EL421">
            <v>-0.41666666666666663</v>
          </cell>
          <cell r="EM421">
            <v>-0.41666666666666663</v>
          </cell>
          <cell r="EN421">
            <v>-75.000000000000014</v>
          </cell>
          <cell r="EO421">
            <v>6.416666666666667</v>
          </cell>
          <cell r="EP421">
            <v>0</v>
          </cell>
          <cell r="EQ421">
            <v>-0.49999999999999994</v>
          </cell>
          <cell r="ER421">
            <v>-0.49999999999999994</v>
          </cell>
          <cell r="ES421">
            <v>-76</v>
          </cell>
          <cell r="ET421">
            <v>6.5</v>
          </cell>
          <cell r="EU421">
            <v>0</v>
          </cell>
          <cell r="EV421">
            <v>-0.58333333333333326</v>
          </cell>
          <cell r="EW421">
            <v>-0.58333333333333326</v>
          </cell>
          <cell r="EX421">
            <v>-77</v>
          </cell>
          <cell r="EY421">
            <v>6.583333333333333</v>
          </cell>
          <cell r="EZ421">
            <v>0</v>
          </cell>
          <cell r="FA421">
            <v>-0.66666666666666663</v>
          </cell>
          <cell r="FB421">
            <v>-0.66666666666666663</v>
          </cell>
          <cell r="FC421">
            <v>-78.000000000000014</v>
          </cell>
          <cell r="FD421">
            <v>6.666666666666667</v>
          </cell>
          <cell r="FE421">
            <v>0</v>
          </cell>
          <cell r="FF421">
            <v>-0.75</v>
          </cell>
          <cell r="FG421">
            <v>-0.75</v>
          </cell>
          <cell r="FH421">
            <v>-79</v>
          </cell>
          <cell r="FI421">
            <v>6.75</v>
          </cell>
          <cell r="FJ421">
            <v>0</v>
          </cell>
          <cell r="FK421">
            <v>-0.83333333333333337</v>
          </cell>
          <cell r="FL421">
            <v>-0.83333333333333337</v>
          </cell>
          <cell r="FM421">
            <v>-80</v>
          </cell>
          <cell r="FN421">
            <v>6.833333333333333</v>
          </cell>
          <cell r="FO421">
            <v>0</v>
          </cell>
          <cell r="FP421">
            <v>-0.91666666666666674</v>
          </cell>
          <cell r="FQ421">
            <v>-0.91666666666666674</v>
          </cell>
          <cell r="FR421">
            <v>-81.000000000000014</v>
          </cell>
          <cell r="FS421">
            <v>6.916666666666667</v>
          </cell>
          <cell r="FT421">
            <v>6</v>
          </cell>
          <cell r="FU421">
            <v>66.666666666666671</v>
          </cell>
          <cell r="FW421" t="str">
            <v>SIN ROTACIÓN</v>
          </cell>
          <cell r="FX421" t="str">
            <v/>
          </cell>
          <cell r="FY421" t="str">
            <v>No</v>
          </cell>
        </row>
        <row r="422">
          <cell r="B422" t="str">
            <v>REP-0439</v>
          </cell>
          <cell r="C422" t="str">
            <v>NAC</v>
          </cell>
          <cell r="D422">
            <v>0</v>
          </cell>
          <cell r="E422">
            <v>2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2</v>
          </cell>
          <cell r="AA422">
            <v>2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0.16666666666666666</v>
          </cell>
          <cell r="AJ422">
            <v>0.16666666666666666</v>
          </cell>
          <cell r="AK422">
            <v>0.16666666666666666</v>
          </cell>
          <cell r="AL422">
            <v>9.1287092917527679E-2</v>
          </cell>
          <cell r="AM422">
            <v>8.3333333333333329E-2</v>
          </cell>
          <cell r="AN422">
            <v>1.0954451150103321</v>
          </cell>
          <cell r="AO422">
            <v>0</v>
          </cell>
          <cell r="AP422">
            <v>1</v>
          </cell>
          <cell r="AQ422" t="str">
            <v/>
          </cell>
          <cell r="AR422">
            <v>0</v>
          </cell>
          <cell r="AS422">
            <v>1</v>
          </cell>
          <cell r="AT422">
            <v>1</v>
          </cell>
          <cell r="AU422" t="str">
            <v/>
          </cell>
          <cell r="AV422">
            <v>0</v>
          </cell>
          <cell r="AW422">
            <v>1</v>
          </cell>
          <cell r="AX422">
            <v>1</v>
          </cell>
          <cell r="AY422">
            <v>6</v>
          </cell>
          <cell r="AZ422">
            <v>0</v>
          </cell>
          <cell r="BA422">
            <v>1</v>
          </cell>
          <cell r="BB422">
            <v>1</v>
          </cell>
          <cell r="BC422" t="str">
            <v/>
          </cell>
          <cell r="BD422">
            <v>0</v>
          </cell>
          <cell r="BE422">
            <v>1</v>
          </cell>
          <cell r="BF422" t="str">
            <v/>
          </cell>
          <cell r="BG422">
            <v>0</v>
          </cell>
          <cell r="BH422">
            <v>1</v>
          </cell>
          <cell r="BI422">
            <v>2</v>
          </cell>
          <cell r="BJ422">
            <v>12</v>
          </cell>
          <cell r="BK422">
            <v>0</v>
          </cell>
          <cell r="BL422">
            <v>1</v>
          </cell>
          <cell r="BM422">
            <v>1</v>
          </cell>
          <cell r="BN422" t="str">
            <v/>
          </cell>
          <cell r="BO422">
            <v>0</v>
          </cell>
          <cell r="BP422">
            <v>1</v>
          </cell>
          <cell r="BQ422">
            <v>1</v>
          </cell>
          <cell r="BR422">
            <v>6</v>
          </cell>
          <cell r="BS422">
            <v>0</v>
          </cell>
          <cell r="BT422">
            <v>1</v>
          </cell>
          <cell r="BU422">
            <v>1</v>
          </cell>
          <cell r="BV422" t="str">
            <v/>
          </cell>
          <cell r="BW422">
            <v>0</v>
          </cell>
          <cell r="BX422">
            <v>0</v>
          </cell>
          <cell r="BY422">
            <v>1</v>
          </cell>
          <cell r="BZ422">
            <v>1</v>
          </cell>
          <cell r="CA422" t="str">
            <v/>
          </cell>
          <cell r="CB422">
            <v>0</v>
          </cell>
          <cell r="CC422">
            <v>0</v>
          </cell>
          <cell r="CD422">
            <v>1</v>
          </cell>
          <cell r="CE422">
            <v>1</v>
          </cell>
          <cell r="CF422" t="str">
            <v/>
          </cell>
          <cell r="CG422">
            <v>0</v>
          </cell>
          <cell r="CH422">
            <v>0</v>
          </cell>
          <cell r="CI422">
            <v>1</v>
          </cell>
          <cell r="CJ422">
            <v>2</v>
          </cell>
          <cell r="CK422" t="str">
            <v/>
          </cell>
          <cell r="CL422">
            <v>0</v>
          </cell>
          <cell r="CM422">
            <v>0</v>
          </cell>
          <cell r="CN422">
            <v>2</v>
          </cell>
          <cell r="CO422">
            <v>2</v>
          </cell>
          <cell r="CP422" t="str">
            <v/>
          </cell>
          <cell r="CQ422">
            <v>0</v>
          </cell>
          <cell r="CR422">
            <v>0</v>
          </cell>
          <cell r="CS422">
            <v>2</v>
          </cell>
          <cell r="CT422">
            <v>2</v>
          </cell>
          <cell r="CU422" t="str">
            <v/>
          </cell>
          <cell r="CV422">
            <v>0</v>
          </cell>
          <cell r="CW422">
            <v>0</v>
          </cell>
          <cell r="CX422">
            <v>2</v>
          </cell>
          <cell r="CY422">
            <v>2</v>
          </cell>
          <cell r="CZ422" t="str">
            <v/>
          </cell>
          <cell r="DA422">
            <v>0</v>
          </cell>
          <cell r="DB422">
            <v>0</v>
          </cell>
          <cell r="DC422">
            <v>2</v>
          </cell>
          <cell r="DD422">
            <v>1</v>
          </cell>
          <cell r="DE422">
            <v>0</v>
          </cell>
          <cell r="DF422">
            <v>0</v>
          </cell>
          <cell r="DG422">
            <v>0</v>
          </cell>
          <cell r="DH422">
            <v>0.75</v>
          </cell>
          <cell r="DI422">
            <v>1</v>
          </cell>
          <cell r="DJ422">
            <v>2</v>
          </cell>
          <cell r="DK422">
            <v>0</v>
          </cell>
          <cell r="DL422">
            <v>0</v>
          </cell>
          <cell r="DM422">
            <v>0.55000000000000004</v>
          </cell>
          <cell r="DN422">
            <v>2</v>
          </cell>
          <cell r="DO422">
            <v>8</v>
          </cell>
          <cell r="DP422">
            <v>0</v>
          </cell>
          <cell r="DQ422">
            <v>0</v>
          </cell>
          <cell r="DR422">
            <v>1.8333333333333333</v>
          </cell>
          <cell r="DS422">
            <v>1.8333333333333333</v>
          </cell>
          <cell r="DT422">
            <v>7</v>
          </cell>
          <cell r="DU422">
            <v>0</v>
          </cell>
          <cell r="DV422">
            <v>0</v>
          </cell>
          <cell r="DW422">
            <v>1.6666666666666665</v>
          </cell>
          <cell r="DX422">
            <v>1.6666666666666665</v>
          </cell>
          <cell r="DY422">
            <v>5.9999999999999991</v>
          </cell>
          <cell r="DZ422">
            <v>0</v>
          </cell>
          <cell r="EA422">
            <v>0</v>
          </cell>
          <cell r="EB422">
            <v>1.4999999999999998</v>
          </cell>
          <cell r="EC422">
            <v>1.4999999999999998</v>
          </cell>
          <cell r="ED422">
            <v>4.9999999999999982</v>
          </cell>
          <cell r="EE422">
            <v>0</v>
          </cell>
          <cell r="EF422">
            <v>0</v>
          </cell>
          <cell r="EG422">
            <v>1.333333333333333</v>
          </cell>
          <cell r="EH422">
            <v>1.333333333333333</v>
          </cell>
          <cell r="EI422">
            <v>3.9999999999999982</v>
          </cell>
          <cell r="EJ422">
            <v>0</v>
          </cell>
          <cell r="EK422">
            <v>0</v>
          </cell>
          <cell r="EL422">
            <v>1.1666666666666663</v>
          </cell>
          <cell r="EM422">
            <v>1.1666666666666663</v>
          </cell>
          <cell r="EN422">
            <v>2.9999999999999978</v>
          </cell>
          <cell r="EO422">
            <v>0</v>
          </cell>
          <cell r="EP422">
            <v>0</v>
          </cell>
          <cell r="EQ422">
            <v>0.99999999999999967</v>
          </cell>
          <cell r="ER422">
            <v>0.99999999999999967</v>
          </cell>
          <cell r="ES422">
            <v>1.999999999999998</v>
          </cell>
          <cell r="ET422">
            <v>3.3306690738754696E-16</v>
          </cell>
          <cell r="EU422">
            <v>0</v>
          </cell>
          <cell r="EV422">
            <v>0.83333333333333304</v>
          </cell>
          <cell r="EW422">
            <v>0.83333333333333304</v>
          </cell>
          <cell r="EX422">
            <v>0.99999999999999822</v>
          </cell>
          <cell r="EY422">
            <v>0.16666666666666696</v>
          </cell>
          <cell r="EZ422">
            <v>0</v>
          </cell>
          <cell r="FA422">
            <v>0.66666666666666641</v>
          </cell>
          <cell r="FB422">
            <v>0.66666666666666641</v>
          </cell>
          <cell r="FC422">
            <v>-1.7763568394002505E-15</v>
          </cell>
          <cell r="FD422">
            <v>0.33333333333333359</v>
          </cell>
          <cell r="FE422">
            <v>0</v>
          </cell>
          <cell r="FF422">
            <v>0.49999999999999978</v>
          </cell>
          <cell r="FG422">
            <v>0.49999999999999978</v>
          </cell>
          <cell r="FH422">
            <v>-1.0000000000000013</v>
          </cell>
          <cell r="FI422">
            <v>0.50000000000000022</v>
          </cell>
          <cell r="FJ422">
            <v>0</v>
          </cell>
          <cell r="FK422">
            <v>0.33333333333333315</v>
          </cell>
          <cell r="FL422">
            <v>0.33333333333333315</v>
          </cell>
          <cell r="FM422">
            <v>-2.0000000000000018</v>
          </cell>
          <cell r="FN422">
            <v>0.66666666666666685</v>
          </cell>
          <cell r="FO422">
            <v>0</v>
          </cell>
          <cell r="FP422">
            <v>0.16666666666666649</v>
          </cell>
          <cell r="FQ422">
            <v>0.16666666666666649</v>
          </cell>
          <cell r="FR422">
            <v>-3.0000000000000009</v>
          </cell>
          <cell r="FS422">
            <v>0.83333333333333348</v>
          </cell>
          <cell r="FT422">
            <v>1</v>
          </cell>
          <cell r="FU422">
            <v>1.0333333333333334</v>
          </cell>
          <cell r="FW422" t="str">
            <v>SOBRESTOCK</v>
          </cell>
          <cell r="FX422" t="str">
            <v>C</v>
          </cell>
          <cell r="FY422" t="str">
            <v>Si</v>
          </cell>
        </row>
        <row r="423">
          <cell r="B423" t="str">
            <v>REP-0440</v>
          </cell>
          <cell r="C423" t="str">
            <v>CAT</v>
          </cell>
          <cell r="D423">
            <v>0</v>
          </cell>
          <cell r="E423">
            <v>5</v>
          </cell>
          <cell r="F423">
            <v>0</v>
          </cell>
          <cell r="G423">
            <v>0</v>
          </cell>
          <cell r="H423">
            <v>1</v>
          </cell>
          <cell r="I423">
            <v>1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7</v>
          </cell>
          <cell r="AA423">
            <v>7</v>
          </cell>
          <cell r="AB423">
            <v>0</v>
          </cell>
          <cell r="AC423">
            <v>0.16666666666666666</v>
          </cell>
          <cell r="AD423">
            <v>5.5555555555555549E-3</v>
          </cell>
          <cell r="AE423">
            <v>8.3333333333333329E-2</v>
          </cell>
          <cell r="AF423">
            <v>8.3333333333333329E-2</v>
          </cell>
          <cell r="AG423">
            <v>0</v>
          </cell>
          <cell r="AH423">
            <v>0.33333333333333331</v>
          </cell>
          <cell r="AI423">
            <v>0.33333333333333331</v>
          </cell>
          <cell r="AJ423">
            <v>0.33333333333333331</v>
          </cell>
          <cell r="AK423">
            <v>0.33333333333333331</v>
          </cell>
          <cell r="AL423">
            <v>0.16666666666666666</v>
          </cell>
          <cell r="AM423">
            <v>0.25</v>
          </cell>
          <cell r="AN423">
            <v>0.66666666666666663</v>
          </cell>
          <cell r="AO423">
            <v>0</v>
          </cell>
          <cell r="AP423">
            <v>11.5</v>
          </cell>
          <cell r="AQ423">
            <v>143</v>
          </cell>
          <cell r="AR423">
            <v>0</v>
          </cell>
          <cell r="AS423">
            <v>11.833333333333332</v>
          </cell>
          <cell r="AT423">
            <v>12</v>
          </cell>
          <cell r="AU423" t="str">
            <v/>
          </cell>
          <cell r="AV423">
            <v>0</v>
          </cell>
          <cell r="AW423">
            <v>12</v>
          </cell>
          <cell r="AX423">
            <v>11</v>
          </cell>
          <cell r="AY423">
            <v>33</v>
          </cell>
          <cell r="AZ423">
            <v>0</v>
          </cell>
          <cell r="BA423">
            <v>11</v>
          </cell>
          <cell r="BB423">
            <v>10</v>
          </cell>
          <cell r="BC423">
            <v>15</v>
          </cell>
          <cell r="BD423">
            <v>0</v>
          </cell>
          <cell r="BE423">
            <v>9.3333333333333339</v>
          </cell>
          <cell r="BF423">
            <v>14.000000000000002</v>
          </cell>
          <cell r="BG423">
            <v>0</v>
          </cell>
          <cell r="BH423">
            <v>8.6666666666666679</v>
          </cell>
          <cell r="BI423">
            <v>7</v>
          </cell>
          <cell r="BJ423">
            <v>21</v>
          </cell>
          <cell r="BK423">
            <v>0</v>
          </cell>
          <cell r="BL423">
            <v>9.6666666666666661</v>
          </cell>
          <cell r="BM423">
            <v>10</v>
          </cell>
          <cell r="BN423">
            <v>30</v>
          </cell>
          <cell r="BO423">
            <v>0</v>
          </cell>
          <cell r="BP423">
            <v>9.6666666666666661</v>
          </cell>
          <cell r="BQ423">
            <v>9</v>
          </cell>
          <cell r="BR423">
            <v>27</v>
          </cell>
          <cell r="BS423">
            <v>0</v>
          </cell>
          <cell r="BT423">
            <v>8.5</v>
          </cell>
          <cell r="BU423">
            <v>9</v>
          </cell>
          <cell r="BV423">
            <v>18</v>
          </cell>
          <cell r="BW423">
            <v>0</v>
          </cell>
          <cell r="BX423">
            <v>0</v>
          </cell>
          <cell r="BY423">
            <v>8.5</v>
          </cell>
          <cell r="BZ423">
            <v>9</v>
          </cell>
          <cell r="CA423">
            <v>30</v>
          </cell>
          <cell r="CB423">
            <v>0</v>
          </cell>
          <cell r="CC423">
            <v>0</v>
          </cell>
          <cell r="CD423">
            <v>8.6999999999999993</v>
          </cell>
          <cell r="CE423">
            <v>9</v>
          </cell>
          <cell r="CF423">
            <v>33</v>
          </cell>
          <cell r="CG423">
            <v>0</v>
          </cell>
          <cell r="CH423">
            <v>0</v>
          </cell>
          <cell r="CI423">
            <v>8.4272727272727259</v>
          </cell>
          <cell r="CJ423">
            <v>8</v>
          </cell>
          <cell r="CK423">
            <v>24</v>
          </cell>
          <cell r="CL423">
            <v>0</v>
          </cell>
          <cell r="CM423">
            <v>0</v>
          </cell>
          <cell r="CN423">
            <v>7.666666666666667</v>
          </cell>
          <cell r="CO423">
            <v>8</v>
          </cell>
          <cell r="CP423">
            <v>24</v>
          </cell>
          <cell r="CQ423">
            <v>0</v>
          </cell>
          <cell r="CR423">
            <v>0</v>
          </cell>
          <cell r="CS423">
            <v>7.666666666666667</v>
          </cell>
          <cell r="CT423">
            <v>8</v>
          </cell>
          <cell r="CU423">
            <v>24</v>
          </cell>
          <cell r="CV423">
            <v>0</v>
          </cell>
          <cell r="CW423">
            <v>0</v>
          </cell>
          <cell r="CX423">
            <v>7.666666666666667</v>
          </cell>
          <cell r="CY423">
            <v>8</v>
          </cell>
          <cell r="CZ423">
            <v>24</v>
          </cell>
          <cell r="DA423">
            <v>0</v>
          </cell>
          <cell r="DB423">
            <v>0</v>
          </cell>
          <cell r="DC423">
            <v>7.666666666666667</v>
          </cell>
          <cell r="DD423">
            <v>8</v>
          </cell>
          <cell r="DE423">
            <v>21</v>
          </cell>
          <cell r="DF423">
            <v>0</v>
          </cell>
          <cell r="DG423">
            <v>0</v>
          </cell>
          <cell r="DH423">
            <v>7.666666666666667</v>
          </cell>
          <cell r="DI423">
            <v>7</v>
          </cell>
          <cell r="DJ423">
            <v>20</v>
          </cell>
          <cell r="DK423">
            <v>0</v>
          </cell>
          <cell r="DL423">
            <v>0</v>
          </cell>
          <cell r="DM423">
            <v>7.3333333333333339</v>
          </cell>
          <cell r="DN423">
            <v>7</v>
          </cell>
          <cell r="DO423">
            <v>20</v>
          </cell>
          <cell r="DP423">
            <v>0</v>
          </cell>
          <cell r="DQ423">
            <v>0</v>
          </cell>
          <cell r="DR423">
            <v>6.666666666666667</v>
          </cell>
          <cell r="DS423">
            <v>6.666666666666667</v>
          </cell>
          <cell r="DT423">
            <v>19.000000000000004</v>
          </cell>
          <cell r="DU423">
            <v>0</v>
          </cell>
          <cell r="DV423">
            <v>0</v>
          </cell>
          <cell r="DW423">
            <v>6.3333333333333339</v>
          </cell>
          <cell r="DX423">
            <v>6.3333333333333339</v>
          </cell>
          <cell r="DY423">
            <v>18.000000000000004</v>
          </cell>
          <cell r="DZ423">
            <v>0</v>
          </cell>
          <cell r="EA423">
            <v>0</v>
          </cell>
          <cell r="EB423">
            <v>6.0000000000000009</v>
          </cell>
          <cell r="EC423">
            <v>6.0000000000000009</v>
          </cell>
          <cell r="ED423">
            <v>17.000000000000004</v>
          </cell>
          <cell r="EE423">
            <v>0</v>
          </cell>
          <cell r="EF423">
            <v>0</v>
          </cell>
          <cell r="EG423">
            <v>5.6666666666666679</v>
          </cell>
          <cell r="EH423">
            <v>5.6666666666666679</v>
          </cell>
          <cell r="EI423">
            <v>16.000000000000004</v>
          </cell>
          <cell r="EJ423">
            <v>0</v>
          </cell>
          <cell r="EK423">
            <v>0</v>
          </cell>
          <cell r="EL423">
            <v>5.3333333333333348</v>
          </cell>
          <cell r="EM423">
            <v>5.3333333333333348</v>
          </cell>
          <cell r="EN423">
            <v>15.000000000000005</v>
          </cell>
          <cell r="EO423">
            <v>0</v>
          </cell>
          <cell r="EP423">
            <v>0</v>
          </cell>
          <cell r="EQ423">
            <v>5.0000000000000018</v>
          </cell>
          <cell r="ER423">
            <v>5.0000000000000018</v>
          </cell>
          <cell r="ES423">
            <v>14.000000000000005</v>
          </cell>
          <cell r="ET423">
            <v>0</v>
          </cell>
          <cell r="EU423">
            <v>0</v>
          </cell>
          <cell r="EV423">
            <v>4.6666666666666687</v>
          </cell>
          <cell r="EW423">
            <v>4.6666666666666687</v>
          </cell>
          <cell r="EX423">
            <v>13.000000000000007</v>
          </cell>
          <cell r="EY423">
            <v>0</v>
          </cell>
          <cell r="EZ423">
            <v>0</v>
          </cell>
          <cell r="FA423">
            <v>4.3333333333333357</v>
          </cell>
          <cell r="FB423">
            <v>4.3333333333333357</v>
          </cell>
          <cell r="FC423">
            <v>12.000000000000007</v>
          </cell>
          <cell r="FD423">
            <v>0</v>
          </cell>
          <cell r="FE423">
            <v>0</v>
          </cell>
          <cell r="FF423">
            <v>4.0000000000000027</v>
          </cell>
          <cell r="FG423">
            <v>4.0000000000000027</v>
          </cell>
          <cell r="FH423">
            <v>11.000000000000009</v>
          </cell>
          <cell r="FI423">
            <v>0</v>
          </cell>
          <cell r="FJ423">
            <v>0</v>
          </cell>
          <cell r="FK423">
            <v>3.6666666666666692</v>
          </cell>
          <cell r="FL423">
            <v>3.6666666666666692</v>
          </cell>
          <cell r="FM423">
            <v>10.000000000000007</v>
          </cell>
          <cell r="FN423">
            <v>0</v>
          </cell>
          <cell r="FO423">
            <v>0</v>
          </cell>
          <cell r="FP423">
            <v>3.3333333333333357</v>
          </cell>
          <cell r="FQ423">
            <v>3.3333333333333357</v>
          </cell>
          <cell r="FR423">
            <v>9.0000000000000071</v>
          </cell>
          <cell r="FS423">
            <v>0</v>
          </cell>
          <cell r="FT423">
            <v>1</v>
          </cell>
          <cell r="FU423">
            <v>1.0333333333333334</v>
          </cell>
          <cell r="FW423" t="str">
            <v>SOBRESTOCK</v>
          </cell>
          <cell r="FX423" t="str">
            <v>C</v>
          </cell>
          <cell r="FY423" t="str">
            <v>Si</v>
          </cell>
        </row>
        <row r="424">
          <cell r="B424" t="str">
            <v>REP-0441</v>
          </cell>
          <cell r="C424" t="str">
            <v>CAT</v>
          </cell>
          <cell r="D424">
            <v>0</v>
          </cell>
          <cell r="E424">
            <v>5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1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6</v>
          </cell>
          <cell r="AA424">
            <v>6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8.3333333333333329E-2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3.7267799624996489E-2</v>
          </cell>
          <cell r="AM424">
            <v>0</v>
          </cell>
          <cell r="AN424">
            <v>0</v>
          </cell>
          <cell r="AO424">
            <v>0</v>
          </cell>
          <cell r="AP424">
            <v>6</v>
          </cell>
          <cell r="AQ424">
            <v>71.000000000000014</v>
          </cell>
          <cell r="AR424">
            <v>0</v>
          </cell>
          <cell r="AS424">
            <v>5.8333333333333339</v>
          </cell>
          <cell r="AT424">
            <v>6</v>
          </cell>
          <cell r="AU424" t="str">
            <v/>
          </cell>
          <cell r="AV424">
            <v>0</v>
          </cell>
          <cell r="AW424">
            <v>6</v>
          </cell>
          <cell r="AX424">
            <v>6</v>
          </cell>
          <cell r="AY424" t="str">
            <v/>
          </cell>
          <cell r="AZ424">
            <v>0</v>
          </cell>
          <cell r="BA424">
            <v>6</v>
          </cell>
          <cell r="BB424">
            <v>6</v>
          </cell>
          <cell r="BC424" t="str">
            <v/>
          </cell>
          <cell r="BD424">
            <v>0</v>
          </cell>
          <cell r="BE424">
            <v>6</v>
          </cell>
          <cell r="BF424" t="str">
            <v/>
          </cell>
          <cell r="BG424">
            <v>0</v>
          </cell>
          <cell r="BH424">
            <v>6</v>
          </cell>
          <cell r="BI424">
            <v>6</v>
          </cell>
          <cell r="BJ424" t="str">
            <v/>
          </cell>
          <cell r="BK424">
            <v>0</v>
          </cell>
          <cell r="BL424">
            <v>6</v>
          </cell>
          <cell r="BM424">
            <v>6</v>
          </cell>
          <cell r="BN424" t="str">
            <v/>
          </cell>
          <cell r="BO424">
            <v>0</v>
          </cell>
          <cell r="BP424">
            <v>6</v>
          </cell>
          <cell r="BQ424">
            <v>6</v>
          </cell>
          <cell r="BR424" t="str">
            <v/>
          </cell>
          <cell r="BS424">
            <v>0</v>
          </cell>
          <cell r="BT424">
            <v>6</v>
          </cell>
          <cell r="BU424">
            <v>6</v>
          </cell>
          <cell r="BV424" t="str">
            <v/>
          </cell>
          <cell r="BW424">
            <v>0</v>
          </cell>
          <cell r="BX424">
            <v>0</v>
          </cell>
          <cell r="BY424">
            <v>6</v>
          </cell>
          <cell r="BZ424">
            <v>6</v>
          </cell>
          <cell r="CA424" t="str">
            <v/>
          </cell>
          <cell r="CB424">
            <v>0</v>
          </cell>
          <cell r="CC424">
            <v>0</v>
          </cell>
          <cell r="CD424">
            <v>6</v>
          </cell>
          <cell r="CE424">
            <v>6</v>
          </cell>
          <cell r="CF424" t="str">
            <v/>
          </cell>
          <cell r="CG424">
            <v>0</v>
          </cell>
          <cell r="CH424">
            <v>0</v>
          </cell>
          <cell r="CI424">
            <v>6</v>
          </cell>
          <cell r="CJ424">
            <v>7</v>
          </cell>
          <cell r="CK424" t="str">
            <v/>
          </cell>
          <cell r="CL424">
            <v>0</v>
          </cell>
          <cell r="CM424">
            <v>0</v>
          </cell>
          <cell r="CN424">
            <v>7</v>
          </cell>
          <cell r="CO424">
            <v>6</v>
          </cell>
          <cell r="CP424" t="str">
            <v/>
          </cell>
          <cell r="CQ424">
            <v>0</v>
          </cell>
          <cell r="CR424">
            <v>0</v>
          </cell>
          <cell r="CS424">
            <v>6</v>
          </cell>
          <cell r="CT424">
            <v>6</v>
          </cell>
          <cell r="CU424" t="str">
            <v/>
          </cell>
          <cell r="CV424">
            <v>0</v>
          </cell>
          <cell r="CW424">
            <v>0</v>
          </cell>
          <cell r="CX424">
            <v>6</v>
          </cell>
          <cell r="CY424">
            <v>6</v>
          </cell>
          <cell r="CZ424" t="str">
            <v/>
          </cell>
          <cell r="DA424">
            <v>0</v>
          </cell>
          <cell r="DB424">
            <v>0</v>
          </cell>
          <cell r="DC424">
            <v>6</v>
          </cell>
          <cell r="DD424">
            <v>6</v>
          </cell>
          <cell r="DE424" t="str">
            <v/>
          </cell>
          <cell r="DF424">
            <v>0</v>
          </cell>
          <cell r="DG424">
            <v>0</v>
          </cell>
          <cell r="DH424">
            <v>6</v>
          </cell>
          <cell r="DI424">
            <v>6</v>
          </cell>
          <cell r="DJ424" t="str">
            <v/>
          </cell>
          <cell r="DK424">
            <v>0</v>
          </cell>
          <cell r="DL424">
            <v>0</v>
          </cell>
          <cell r="DM424">
            <v>6</v>
          </cell>
          <cell r="DN424">
            <v>6</v>
          </cell>
          <cell r="DO424" t="str">
            <v/>
          </cell>
          <cell r="DP424">
            <v>0</v>
          </cell>
          <cell r="DQ424">
            <v>0</v>
          </cell>
          <cell r="DR424">
            <v>6</v>
          </cell>
          <cell r="DS424">
            <v>6</v>
          </cell>
          <cell r="DT424" t="str">
            <v/>
          </cell>
          <cell r="DU424">
            <v>0</v>
          </cell>
          <cell r="DV424">
            <v>0</v>
          </cell>
          <cell r="DW424">
            <v>6</v>
          </cell>
          <cell r="DX424">
            <v>6</v>
          </cell>
          <cell r="DY424" t="str">
            <v/>
          </cell>
          <cell r="DZ424">
            <v>0</v>
          </cell>
          <cell r="EA424">
            <v>0</v>
          </cell>
          <cell r="EB424">
            <v>6</v>
          </cell>
          <cell r="EC424">
            <v>6</v>
          </cell>
          <cell r="ED424" t="str">
            <v/>
          </cell>
          <cell r="EE424">
            <v>0</v>
          </cell>
          <cell r="EF424">
            <v>0</v>
          </cell>
          <cell r="EG424">
            <v>6</v>
          </cell>
          <cell r="EH424">
            <v>6</v>
          </cell>
          <cell r="EI424" t="str">
            <v/>
          </cell>
          <cell r="EJ424">
            <v>0</v>
          </cell>
          <cell r="EK424">
            <v>0</v>
          </cell>
          <cell r="EL424">
            <v>6</v>
          </cell>
          <cell r="EM424">
            <v>6</v>
          </cell>
          <cell r="EN424" t="str">
            <v/>
          </cell>
          <cell r="EO424">
            <v>0</v>
          </cell>
          <cell r="EP424">
            <v>0</v>
          </cell>
          <cell r="EQ424">
            <v>6</v>
          </cell>
          <cell r="ER424">
            <v>6</v>
          </cell>
          <cell r="ES424" t="str">
            <v/>
          </cell>
          <cell r="ET424">
            <v>0</v>
          </cell>
          <cell r="EU424">
            <v>0</v>
          </cell>
          <cell r="EV424">
            <v>6</v>
          </cell>
          <cell r="EW424">
            <v>6</v>
          </cell>
          <cell r="EX424" t="str">
            <v/>
          </cell>
          <cell r="EY424">
            <v>0</v>
          </cell>
          <cell r="EZ424">
            <v>0</v>
          </cell>
          <cell r="FA424">
            <v>6</v>
          </cell>
          <cell r="FB424">
            <v>6</v>
          </cell>
          <cell r="FC424" t="str">
            <v/>
          </cell>
          <cell r="FD424">
            <v>0</v>
          </cell>
          <cell r="FE424">
            <v>0</v>
          </cell>
          <cell r="FF424">
            <v>6</v>
          </cell>
          <cell r="FG424">
            <v>6</v>
          </cell>
          <cell r="FH424" t="str">
            <v/>
          </cell>
          <cell r="FI424">
            <v>0</v>
          </cell>
          <cell r="FJ424">
            <v>0</v>
          </cell>
          <cell r="FK424">
            <v>6</v>
          </cell>
          <cell r="FL424">
            <v>6</v>
          </cell>
          <cell r="FM424" t="str">
            <v/>
          </cell>
          <cell r="FN424">
            <v>0</v>
          </cell>
          <cell r="FO424">
            <v>0</v>
          </cell>
          <cell r="FP424">
            <v>6</v>
          </cell>
          <cell r="FQ424">
            <v>6</v>
          </cell>
          <cell r="FR424" t="str">
            <v/>
          </cell>
          <cell r="FS424">
            <v>0</v>
          </cell>
          <cell r="FT424">
            <v>0</v>
          </cell>
          <cell r="FU424">
            <v>1.0333333333333334</v>
          </cell>
          <cell r="FW424" t="str">
            <v>SIN ROTACIÓN</v>
          </cell>
          <cell r="FX424" t="str">
            <v>C</v>
          </cell>
          <cell r="FY424" t="str">
            <v>Si</v>
          </cell>
        </row>
        <row r="425">
          <cell r="B425" t="str">
            <v>REP-0442</v>
          </cell>
          <cell r="C425" t="str">
            <v>NAC</v>
          </cell>
          <cell r="D425">
            <v>0</v>
          </cell>
          <cell r="E425">
            <v>10</v>
          </cell>
          <cell r="F425">
            <v>0</v>
          </cell>
          <cell r="G425">
            <v>0</v>
          </cell>
          <cell r="H425">
            <v>6</v>
          </cell>
          <cell r="I425">
            <v>6</v>
          </cell>
          <cell r="J425">
            <v>0</v>
          </cell>
          <cell r="K425">
            <v>0</v>
          </cell>
          <cell r="L425">
            <v>1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3</v>
          </cell>
          <cell r="S425">
            <v>1</v>
          </cell>
          <cell r="T425">
            <v>0</v>
          </cell>
          <cell r="U425">
            <v>1</v>
          </cell>
          <cell r="V425">
            <v>2</v>
          </cell>
          <cell r="W425">
            <v>1</v>
          </cell>
          <cell r="X425">
            <v>2</v>
          </cell>
          <cell r="Y425">
            <v>33</v>
          </cell>
          <cell r="AA425">
            <v>33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2.9166666666666665</v>
          </cell>
          <cell r="AG425">
            <v>1.8333333333333333</v>
          </cell>
          <cell r="AH425">
            <v>1.3333333333333333</v>
          </cell>
          <cell r="AI425">
            <v>0.33333333333333331</v>
          </cell>
          <cell r="AJ425">
            <v>0.33333333333333331</v>
          </cell>
          <cell r="AK425">
            <v>0.95833333333333337</v>
          </cell>
          <cell r="AL425">
            <v>0.74999999999999967</v>
          </cell>
          <cell r="AM425">
            <v>0.95833333333333337</v>
          </cell>
          <cell r="AN425">
            <v>0.7826086956521735</v>
          </cell>
          <cell r="AO425">
            <v>0</v>
          </cell>
          <cell r="AP425">
            <v>45.166666666666664</v>
          </cell>
          <cell r="AQ425">
            <v>15.114285714285716</v>
          </cell>
          <cell r="AR425">
            <v>0</v>
          </cell>
          <cell r="AS425">
            <v>41.166666666666671</v>
          </cell>
          <cell r="AT425">
            <v>43</v>
          </cell>
          <cell r="AU425">
            <v>21.5</v>
          </cell>
          <cell r="AV425">
            <v>0</v>
          </cell>
          <cell r="AW425">
            <v>41</v>
          </cell>
          <cell r="AX425">
            <v>43</v>
          </cell>
          <cell r="AY425">
            <v>44.869565217391305</v>
          </cell>
          <cell r="AZ425">
            <v>0</v>
          </cell>
          <cell r="BA425">
            <v>41.166666666666664</v>
          </cell>
          <cell r="BB425">
            <v>42</v>
          </cell>
          <cell r="BC425">
            <v>22.90909090909091</v>
          </cell>
          <cell r="BD425">
            <v>0</v>
          </cell>
          <cell r="BE425">
            <v>40.166666666666664</v>
          </cell>
          <cell r="BF425">
            <v>21.90909090909091</v>
          </cell>
          <cell r="BG425">
            <v>0</v>
          </cell>
          <cell r="BH425">
            <v>38.333333333333329</v>
          </cell>
          <cell r="BI425">
            <v>33</v>
          </cell>
          <cell r="BJ425">
            <v>34.434782608695649</v>
          </cell>
          <cell r="BK425">
            <v>0</v>
          </cell>
          <cell r="BL425">
            <v>34.166666666666664</v>
          </cell>
          <cell r="BM425">
            <v>36</v>
          </cell>
          <cell r="BN425">
            <v>19.636363636363637</v>
          </cell>
          <cell r="BO425">
            <v>0</v>
          </cell>
          <cell r="BP425">
            <v>34.166666666666664</v>
          </cell>
          <cell r="BQ425">
            <v>36</v>
          </cell>
          <cell r="BR425">
            <v>37.565217391304344</v>
          </cell>
          <cell r="BS425">
            <v>0</v>
          </cell>
          <cell r="BT425">
            <v>34.166666666666664</v>
          </cell>
          <cell r="BU425">
            <v>34</v>
          </cell>
          <cell r="BV425">
            <v>18.545454545454547</v>
          </cell>
          <cell r="BW425">
            <v>0</v>
          </cell>
          <cell r="BX425">
            <v>0</v>
          </cell>
          <cell r="BY425">
            <v>32.166666666666664</v>
          </cell>
          <cell r="BZ425">
            <v>33</v>
          </cell>
          <cell r="CA425">
            <v>18</v>
          </cell>
          <cell r="CB425">
            <v>0</v>
          </cell>
          <cell r="CC425">
            <v>0</v>
          </cell>
          <cell r="CD425">
            <v>31.166666666666668</v>
          </cell>
          <cell r="CE425">
            <v>33</v>
          </cell>
          <cell r="CF425">
            <v>18</v>
          </cell>
          <cell r="CG425">
            <v>0</v>
          </cell>
          <cell r="CH425">
            <v>0</v>
          </cell>
          <cell r="CI425">
            <v>29.333333333333336</v>
          </cell>
          <cell r="CJ425">
            <v>36</v>
          </cell>
          <cell r="CK425">
            <v>19.636363636363637</v>
          </cell>
          <cell r="CL425">
            <v>0</v>
          </cell>
          <cell r="CM425">
            <v>0</v>
          </cell>
          <cell r="CN425">
            <v>34.166666666666664</v>
          </cell>
          <cell r="CO425">
            <v>37</v>
          </cell>
          <cell r="CP425">
            <v>20.181818181818183</v>
          </cell>
          <cell r="CQ425">
            <v>0</v>
          </cell>
          <cell r="CR425">
            <v>0</v>
          </cell>
          <cell r="CS425">
            <v>35.166666666666664</v>
          </cell>
          <cell r="CT425">
            <v>35</v>
          </cell>
          <cell r="CU425">
            <v>19.09090909090909</v>
          </cell>
          <cell r="CV425">
            <v>0</v>
          </cell>
          <cell r="CW425">
            <v>0</v>
          </cell>
          <cell r="CX425">
            <v>33.166666666666664</v>
          </cell>
          <cell r="CY425">
            <v>31</v>
          </cell>
          <cell r="CZ425">
            <v>16.90909090909091</v>
          </cell>
          <cell r="DA425">
            <v>0</v>
          </cell>
          <cell r="DB425">
            <v>0</v>
          </cell>
          <cell r="DC425">
            <v>29.166666666666668</v>
          </cell>
          <cell r="DD425">
            <v>31</v>
          </cell>
          <cell r="DE425">
            <v>15.818181818181818</v>
          </cell>
          <cell r="DF425">
            <v>0</v>
          </cell>
          <cell r="DG425">
            <v>0</v>
          </cell>
          <cell r="DH425">
            <v>29.166666666666668</v>
          </cell>
          <cell r="DI425">
            <v>30</v>
          </cell>
          <cell r="DJ425">
            <v>28.456692913385826</v>
          </cell>
          <cell r="DK425">
            <v>0</v>
          </cell>
          <cell r="DL425">
            <v>0</v>
          </cell>
          <cell r="DM425">
            <v>28.108333333333334</v>
          </cell>
          <cell r="DN425">
            <v>33</v>
          </cell>
          <cell r="DO425">
            <v>35.391304347826086</v>
          </cell>
          <cell r="DP425">
            <v>0</v>
          </cell>
          <cell r="DQ425">
            <v>0</v>
          </cell>
          <cell r="DR425">
            <v>32.041666666666664</v>
          </cell>
          <cell r="DS425">
            <v>32.041666666666664</v>
          </cell>
          <cell r="DT425">
            <v>34.391304347826086</v>
          </cell>
          <cell r="DU425">
            <v>0</v>
          </cell>
          <cell r="DV425">
            <v>0</v>
          </cell>
          <cell r="DW425">
            <v>31.083333333333332</v>
          </cell>
          <cell r="DX425">
            <v>31.083333333333332</v>
          </cell>
          <cell r="DY425">
            <v>33.391304347826086</v>
          </cell>
          <cell r="DZ425">
            <v>0</v>
          </cell>
          <cell r="EA425">
            <v>0</v>
          </cell>
          <cell r="EB425">
            <v>30.125</v>
          </cell>
          <cell r="EC425">
            <v>30.125</v>
          </cell>
          <cell r="ED425">
            <v>32.391304347826086</v>
          </cell>
          <cell r="EE425">
            <v>0</v>
          </cell>
          <cell r="EF425">
            <v>0</v>
          </cell>
          <cell r="EG425">
            <v>29.166666666666668</v>
          </cell>
          <cell r="EH425">
            <v>29.166666666666668</v>
          </cell>
          <cell r="EI425">
            <v>31.391304347826086</v>
          </cell>
          <cell r="EJ425">
            <v>0</v>
          </cell>
          <cell r="EK425">
            <v>0</v>
          </cell>
          <cell r="EL425">
            <v>28.208333333333336</v>
          </cell>
          <cell r="EM425">
            <v>28.208333333333336</v>
          </cell>
          <cell r="EN425">
            <v>30.39130434782609</v>
          </cell>
          <cell r="EO425">
            <v>0</v>
          </cell>
          <cell r="EP425">
            <v>0</v>
          </cell>
          <cell r="EQ425">
            <v>27.250000000000004</v>
          </cell>
          <cell r="ER425">
            <v>27.250000000000004</v>
          </cell>
          <cell r="ES425">
            <v>29.39130434782609</v>
          </cell>
          <cell r="ET425">
            <v>0</v>
          </cell>
          <cell r="EU425">
            <v>0</v>
          </cell>
          <cell r="EV425">
            <v>26.291666666666671</v>
          </cell>
          <cell r="EW425">
            <v>26.291666666666671</v>
          </cell>
          <cell r="EX425">
            <v>28.39130434782609</v>
          </cell>
          <cell r="EY425">
            <v>0</v>
          </cell>
          <cell r="EZ425">
            <v>0</v>
          </cell>
          <cell r="FA425">
            <v>25.333333333333339</v>
          </cell>
          <cell r="FB425">
            <v>25.333333333333339</v>
          </cell>
          <cell r="FC425">
            <v>27.391304347826093</v>
          </cell>
          <cell r="FD425">
            <v>0</v>
          </cell>
          <cell r="FE425">
            <v>0</v>
          </cell>
          <cell r="FF425">
            <v>24.375000000000007</v>
          </cell>
          <cell r="FG425">
            <v>24.375000000000007</v>
          </cell>
          <cell r="FH425">
            <v>26.391304347826093</v>
          </cell>
          <cell r="FI425">
            <v>0</v>
          </cell>
          <cell r="FJ425">
            <v>0</v>
          </cell>
          <cell r="FK425">
            <v>23.416666666666675</v>
          </cell>
          <cell r="FL425">
            <v>23.416666666666675</v>
          </cell>
          <cell r="FM425">
            <v>25.391304347826093</v>
          </cell>
          <cell r="FN425">
            <v>0</v>
          </cell>
          <cell r="FO425">
            <v>0</v>
          </cell>
          <cell r="FP425">
            <v>22.458333333333343</v>
          </cell>
          <cell r="FQ425">
            <v>22.458333333333343</v>
          </cell>
          <cell r="FR425">
            <v>24.391304347826097</v>
          </cell>
          <cell r="FS425">
            <v>0</v>
          </cell>
          <cell r="FT425">
            <v>1</v>
          </cell>
          <cell r="FU425">
            <v>1</v>
          </cell>
          <cell r="FW425" t="str">
            <v>SOBRESTOCK</v>
          </cell>
          <cell r="FX425" t="str">
            <v>B</v>
          </cell>
          <cell r="FY425" t="str">
            <v>Si</v>
          </cell>
        </row>
        <row r="426">
          <cell r="B426" t="str">
            <v>REP-0443</v>
          </cell>
          <cell r="C426" t="str">
            <v>STOCK</v>
          </cell>
          <cell r="D426">
            <v>0</v>
          </cell>
          <cell r="E426">
            <v>2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2</v>
          </cell>
          <cell r="AA426">
            <v>2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2</v>
          </cell>
          <cell r="AQ426" t="str">
            <v/>
          </cell>
          <cell r="AR426">
            <v>0</v>
          </cell>
          <cell r="AS426">
            <v>2</v>
          </cell>
          <cell r="AT426">
            <v>2</v>
          </cell>
          <cell r="AU426" t="str">
            <v/>
          </cell>
          <cell r="AV426">
            <v>0</v>
          </cell>
          <cell r="AW426">
            <v>2</v>
          </cell>
          <cell r="AX426">
            <v>2</v>
          </cell>
          <cell r="AY426" t="str">
            <v/>
          </cell>
          <cell r="AZ426">
            <v>0</v>
          </cell>
          <cell r="BA426">
            <v>2</v>
          </cell>
          <cell r="BB426">
            <v>2</v>
          </cell>
          <cell r="BC426" t="str">
            <v/>
          </cell>
          <cell r="BD426">
            <v>0</v>
          </cell>
          <cell r="BE426">
            <v>2</v>
          </cell>
          <cell r="BF426" t="str">
            <v/>
          </cell>
          <cell r="BG426">
            <v>0</v>
          </cell>
          <cell r="BH426">
            <v>2</v>
          </cell>
          <cell r="BI426">
            <v>2</v>
          </cell>
          <cell r="BJ426" t="str">
            <v/>
          </cell>
          <cell r="BK426">
            <v>0</v>
          </cell>
          <cell r="BL426">
            <v>2</v>
          </cell>
          <cell r="BM426">
            <v>2</v>
          </cell>
          <cell r="BN426" t="str">
            <v/>
          </cell>
          <cell r="BO426">
            <v>0</v>
          </cell>
          <cell r="BP426">
            <v>2</v>
          </cell>
          <cell r="BQ426">
            <v>2</v>
          </cell>
          <cell r="BR426" t="str">
            <v/>
          </cell>
          <cell r="BS426">
            <v>0</v>
          </cell>
          <cell r="BT426">
            <v>2</v>
          </cell>
          <cell r="BU426">
            <v>2</v>
          </cell>
          <cell r="BV426" t="str">
            <v/>
          </cell>
          <cell r="BW426">
            <v>0</v>
          </cell>
          <cell r="BX426">
            <v>0</v>
          </cell>
          <cell r="BY426">
            <v>2</v>
          </cell>
          <cell r="BZ426">
            <v>2</v>
          </cell>
          <cell r="CA426" t="str">
            <v/>
          </cell>
          <cell r="CB426">
            <v>0</v>
          </cell>
          <cell r="CC426">
            <v>0</v>
          </cell>
          <cell r="CD426">
            <v>2</v>
          </cell>
          <cell r="CE426">
            <v>2</v>
          </cell>
          <cell r="CF426" t="str">
            <v/>
          </cell>
          <cell r="CG426">
            <v>0</v>
          </cell>
          <cell r="CH426">
            <v>0</v>
          </cell>
          <cell r="CI426">
            <v>2</v>
          </cell>
          <cell r="CJ426">
            <v>2</v>
          </cell>
          <cell r="CK426" t="str">
            <v/>
          </cell>
          <cell r="CL426">
            <v>0</v>
          </cell>
          <cell r="CM426">
            <v>0</v>
          </cell>
          <cell r="CN426">
            <v>2</v>
          </cell>
          <cell r="CO426">
            <v>2</v>
          </cell>
          <cell r="CP426" t="str">
            <v/>
          </cell>
          <cell r="CQ426">
            <v>0</v>
          </cell>
          <cell r="CR426">
            <v>0</v>
          </cell>
          <cell r="CS426">
            <v>2</v>
          </cell>
          <cell r="CT426">
            <v>2</v>
          </cell>
          <cell r="CU426" t="str">
            <v/>
          </cell>
          <cell r="CV426">
            <v>0</v>
          </cell>
          <cell r="CW426">
            <v>0</v>
          </cell>
          <cell r="CX426">
            <v>2</v>
          </cell>
          <cell r="CY426">
            <v>2</v>
          </cell>
          <cell r="CZ426" t="str">
            <v/>
          </cell>
          <cell r="DA426">
            <v>0</v>
          </cell>
          <cell r="DB426">
            <v>0</v>
          </cell>
          <cell r="DC426">
            <v>2</v>
          </cell>
          <cell r="DD426">
            <v>2</v>
          </cell>
          <cell r="DE426" t="str">
            <v/>
          </cell>
          <cell r="DF426">
            <v>0</v>
          </cell>
          <cell r="DG426">
            <v>0</v>
          </cell>
          <cell r="DH426">
            <v>2</v>
          </cell>
          <cell r="DI426">
            <v>2</v>
          </cell>
          <cell r="DJ426" t="str">
            <v/>
          </cell>
          <cell r="DK426">
            <v>0</v>
          </cell>
          <cell r="DL426">
            <v>0</v>
          </cell>
          <cell r="DM426">
            <v>2</v>
          </cell>
          <cell r="DN426">
            <v>2</v>
          </cell>
          <cell r="DO426" t="str">
            <v/>
          </cell>
          <cell r="DP426">
            <v>0</v>
          </cell>
          <cell r="DQ426">
            <v>0</v>
          </cell>
          <cell r="DR426">
            <v>2</v>
          </cell>
          <cell r="DS426">
            <v>2</v>
          </cell>
          <cell r="DT426" t="str">
            <v/>
          </cell>
          <cell r="DU426">
            <v>0</v>
          </cell>
          <cell r="DV426">
            <v>0</v>
          </cell>
          <cell r="DW426">
            <v>2</v>
          </cell>
          <cell r="DX426">
            <v>2</v>
          </cell>
          <cell r="DY426" t="str">
            <v/>
          </cell>
          <cell r="DZ426">
            <v>0</v>
          </cell>
          <cell r="EA426">
            <v>0</v>
          </cell>
          <cell r="EB426">
            <v>2</v>
          </cell>
          <cell r="EC426">
            <v>2</v>
          </cell>
          <cell r="ED426" t="str">
            <v/>
          </cell>
          <cell r="EE426">
            <v>0</v>
          </cell>
          <cell r="EF426">
            <v>0</v>
          </cell>
          <cell r="EG426">
            <v>2</v>
          </cell>
          <cell r="EH426">
            <v>2</v>
          </cell>
          <cell r="EI426" t="str">
            <v/>
          </cell>
          <cell r="EJ426">
            <v>0</v>
          </cell>
          <cell r="EK426">
            <v>0</v>
          </cell>
          <cell r="EL426">
            <v>2</v>
          </cell>
          <cell r="EM426">
            <v>2</v>
          </cell>
          <cell r="EN426" t="str">
            <v/>
          </cell>
          <cell r="EO426">
            <v>0</v>
          </cell>
          <cell r="EP426">
            <v>0</v>
          </cell>
          <cell r="EQ426">
            <v>2</v>
          </cell>
          <cell r="ER426">
            <v>2</v>
          </cell>
          <cell r="ES426" t="str">
            <v/>
          </cell>
          <cell r="ET426">
            <v>0</v>
          </cell>
          <cell r="EU426">
            <v>0</v>
          </cell>
          <cell r="EV426">
            <v>2</v>
          </cell>
          <cell r="EW426">
            <v>2</v>
          </cell>
          <cell r="EX426" t="str">
            <v/>
          </cell>
          <cell r="EY426">
            <v>0</v>
          </cell>
          <cell r="EZ426">
            <v>0</v>
          </cell>
          <cell r="FA426">
            <v>2</v>
          </cell>
          <cell r="FB426">
            <v>2</v>
          </cell>
          <cell r="FC426" t="str">
            <v/>
          </cell>
          <cell r="FD426">
            <v>0</v>
          </cell>
          <cell r="FE426">
            <v>0</v>
          </cell>
          <cell r="FF426">
            <v>2</v>
          </cell>
          <cell r="FG426">
            <v>2</v>
          </cell>
          <cell r="FH426" t="str">
            <v/>
          </cell>
          <cell r="FI426">
            <v>0</v>
          </cell>
          <cell r="FJ426">
            <v>0</v>
          </cell>
          <cell r="FK426">
            <v>2</v>
          </cell>
          <cell r="FL426">
            <v>2</v>
          </cell>
          <cell r="FM426" t="str">
            <v/>
          </cell>
          <cell r="FN426">
            <v>0</v>
          </cell>
          <cell r="FO426">
            <v>0</v>
          </cell>
          <cell r="FP426">
            <v>2</v>
          </cell>
          <cell r="FQ426">
            <v>2</v>
          </cell>
          <cell r="FR426" t="str">
            <v/>
          </cell>
          <cell r="FS426">
            <v>0</v>
          </cell>
          <cell r="FT426">
            <v>0</v>
          </cell>
          <cell r="FU426">
            <v>1.0333333333333334</v>
          </cell>
          <cell r="FW426" t="str">
            <v>SIN ROTACIÓN</v>
          </cell>
          <cell r="FX426" t="str">
            <v>STOCK MUERTO</v>
          </cell>
          <cell r="FY426" t="str">
            <v>Si</v>
          </cell>
        </row>
        <row r="427">
          <cell r="B427" t="str">
            <v>REP-0444</v>
          </cell>
          <cell r="C427" t="str">
            <v>NAC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M427">
            <v>0</v>
          </cell>
          <cell r="AO427">
            <v>0</v>
          </cell>
          <cell r="AP427">
            <v>0</v>
          </cell>
          <cell r="AQ427" t="str">
            <v/>
          </cell>
          <cell r="AR427">
            <v>0</v>
          </cell>
          <cell r="AS427">
            <v>0</v>
          </cell>
          <cell r="AT427">
            <v>0</v>
          </cell>
          <cell r="AU427" t="str">
            <v/>
          </cell>
          <cell r="AV427">
            <v>0</v>
          </cell>
          <cell r="AW427">
            <v>0</v>
          </cell>
          <cell r="AX427">
            <v>0</v>
          </cell>
          <cell r="AY427" t="str">
            <v/>
          </cell>
          <cell r="AZ427">
            <v>0</v>
          </cell>
          <cell r="BA427">
            <v>0</v>
          </cell>
          <cell r="BB427">
            <v>0</v>
          </cell>
          <cell r="BC427" t="str">
            <v/>
          </cell>
          <cell r="BD427">
            <v>0</v>
          </cell>
          <cell r="BE427">
            <v>0</v>
          </cell>
          <cell r="BF427" t="str">
            <v/>
          </cell>
          <cell r="BG427">
            <v>0</v>
          </cell>
          <cell r="BH427">
            <v>0</v>
          </cell>
          <cell r="BI427">
            <v>0</v>
          </cell>
          <cell r="BJ427" t="str">
            <v/>
          </cell>
          <cell r="BK427">
            <v>0</v>
          </cell>
          <cell r="BL427">
            <v>0</v>
          </cell>
          <cell r="BM427">
            <v>0</v>
          </cell>
          <cell r="BN427" t="str">
            <v/>
          </cell>
          <cell r="BO427">
            <v>0</v>
          </cell>
          <cell r="BP427">
            <v>0</v>
          </cell>
          <cell r="BQ427">
            <v>0</v>
          </cell>
          <cell r="BR427" t="str">
            <v/>
          </cell>
          <cell r="BS427">
            <v>0</v>
          </cell>
          <cell r="BT427">
            <v>0</v>
          </cell>
          <cell r="BU427">
            <v>0</v>
          </cell>
          <cell r="BV427" t="str">
            <v/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 t="str">
            <v/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 t="str">
            <v/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 t="str">
            <v/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 t="str">
            <v/>
          </cell>
          <cell r="CQ427">
            <v>0</v>
          </cell>
          <cell r="CS427">
            <v>0</v>
          </cell>
          <cell r="CT427">
            <v>0</v>
          </cell>
          <cell r="CU427" t="str">
            <v/>
          </cell>
          <cell r="CV427">
            <v>0</v>
          </cell>
          <cell r="CX427">
            <v>0</v>
          </cell>
          <cell r="CY427">
            <v>0</v>
          </cell>
          <cell r="CZ427" t="str">
            <v/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 t="str">
            <v/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 t="str">
            <v/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 t="str">
            <v/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 t="str">
            <v/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 t="str">
            <v/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 t="str">
            <v/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 t="str">
            <v/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 t="str">
            <v/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 t="str">
            <v/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 t="str">
            <v/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 t="str">
            <v/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 t="str">
            <v/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 t="str">
            <v/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 t="str">
            <v/>
          </cell>
          <cell r="FS427">
            <v>0</v>
          </cell>
          <cell r="FT427">
            <v>0</v>
          </cell>
          <cell r="FU427">
            <v>66.666666666666671</v>
          </cell>
          <cell r="FW427" t="str">
            <v>SIN ROTACIÓN</v>
          </cell>
          <cell r="FX427" t="str">
            <v/>
          </cell>
          <cell r="FY427" t="str">
            <v>No</v>
          </cell>
        </row>
        <row r="428">
          <cell r="B428" t="str">
            <v>REP-0445</v>
          </cell>
          <cell r="C428" t="str">
            <v>MIX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 t="str">
            <v/>
          </cell>
          <cell r="AR428">
            <v>0</v>
          </cell>
          <cell r="AS428">
            <v>0</v>
          </cell>
          <cell r="AT428">
            <v>0</v>
          </cell>
          <cell r="AU428" t="str">
            <v/>
          </cell>
          <cell r="AV428">
            <v>0</v>
          </cell>
          <cell r="AW428">
            <v>0</v>
          </cell>
          <cell r="AX428">
            <v>0</v>
          </cell>
          <cell r="AY428" t="str">
            <v/>
          </cell>
          <cell r="AZ428">
            <v>0</v>
          </cell>
          <cell r="BA428">
            <v>0</v>
          </cell>
          <cell r="BB428">
            <v>0</v>
          </cell>
          <cell r="BC428" t="str">
            <v/>
          </cell>
          <cell r="BD428">
            <v>0</v>
          </cell>
          <cell r="BE428">
            <v>0</v>
          </cell>
          <cell r="BF428" t="str">
            <v/>
          </cell>
          <cell r="BG428">
            <v>0</v>
          </cell>
          <cell r="BH428">
            <v>0</v>
          </cell>
          <cell r="BI428">
            <v>0</v>
          </cell>
          <cell r="BJ428" t="str">
            <v/>
          </cell>
          <cell r="BK428">
            <v>0</v>
          </cell>
          <cell r="BL428">
            <v>0</v>
          </cell>
          <cell r="BM428">
            <v>0</v>
          </cell>
          <cell r="BN428" t="str">
            <v/>
          </cell>
          <cell r="BO428">
            <v>0</v>
          </cell>
          <cell r="BP428">
            <v>0</v>
          </cell>
          <cell r="BQ428">
            <v>0</v>
          </cell>
          <cell r="BR428" t="str">
            <v/>
          </cell>
          <cell r="BS428">
            <v>0</v>
          </cell>
          <cell r="BT428">
            <v>0</v>
          </cell>
          <cell r="BU428">
            <v>0</v>
          </cell>
          <cell r="BV428" t="str">
            <v/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 t="str">
            <v/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 t="str">
            <v/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 t="str">
            <v/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 t="str">
            <v/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 t="str">
            <v/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 t="str">
            <v/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 t="str">
            <v/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 t="str">
            <v/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 t="str">
            <v/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 t="str">
            <v/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 t="str">
            <v/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 t="str">
            <v/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 t="str">
            <v/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 t="str">
            <v/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 t="str">
            <v/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 t="str">
            <v/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 t="str">
            <v/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 t="str">
            <v/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 t="str">
            <v/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 t="str">
            <v/>
          </cell>
          <cell r="FS428">
            <v>0</v>
          </cell>
          <cell r="FT428">
            <v>0</v>
          </cell>
          <cell r="FU428">
            <v>2.0333333333333332</v>
          </cell>
          <cell r="FW428" t="str">
            <v>SIN ROTACIÓN</v>
          </cell>
          <cell r="FX428" t="str">
            <v>STOCK MUERTO</v>
          </cell>
          <cell r="FY428" t="str">
            <v>Si</v>
          </cell>
        </row>
        <row r="429">
          <cell r="B429" t="str">
            <v>REP-0446</v>
          </cell>
          <cell r="C429" t="str">
            <v>NAC</v>
          </cell>
          <cell r="D429">
            <v>0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1</v>
          </cell>
          <cell r="AA429">
            <v>1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2</v>
          </cell>
          <cell r="AQ429" t="str">
            <v/>
          </cell>
          <cell r="AR429">
            <v>0</v>
          </cell>
          <cell r="AS429">
            <v>2</v>
          </cell>
          <cell r="AT429">
            <v>2</v>
          </cell>
          <cell r="AU429" t="str">
            <v/>
          </cell>
          <cell r="AV429">
            <v>0</v>
          </cell>
          <cell r="AW429">
            <v>2</v>
          </cell>
          <cell r="AX429">
            <v>2</v>
          </cell>
          <cell r="AY429" t="str">
            <v/>
          </cell>
          <cell r="AZ429">
            <v>0</v>
          </cell>
          <cell r="BA429">
            <v>2</v>
          </cell>
          <cell r="BB429">
            <v>2</v>
          </cell>
          <cell r="BC429" t="str">
            <v/>
          </cell>
          <cell r="BD429">
            <v>0</v>
          </cell>
          <cell r="BE429">
            <v>2</v>
          </cell>
          <cell r="BF429" t="str">
            <v/>
          </cell>
          <cell r="BG429">
            <v>0</v>
          </cell>
          <cell r="BH429">
            <v>2</v>
          </cell>
          <cell r="BI429">
            <v>1</v>
          </cell>
          <cell r="BJ429" t="str">
            <v/>
          </cell>
          <cell r="BK429">
            <v>0</v>
          </cell>
          <cell r="BL429">
            <v>2</v>
          </cell>
          <cell r="BM429">
            <v>2</v>
          </cell>
          <cell r="BN429" t="str">
            <v/>
          </cell>
          <cell r="BO429">
            <v>0</v>
          </cell>
          <cell r="BP429">
            <v>2</v>
          </cell>
          <cell r="BQ429">
            <v>2</v>
          </cell>
          <cell r="BR429" t="str">
            <v/>
          </cell>
          <cell r="BS429">
            <v>0</v>
          </cell>
          <cell r="BT429">
            <v>2</v>
          </cell>
          <cell r="BU429">
            <v>2</v>
          </cell>
          <cell r="BV429" t="str">
            <v/>
          </cell>
          <cell r="BW429">
            <v>0</v>
          </cell>
          <cell r="BX429">
            <v>0</v>
          </cell>
          <cell r="BY429">
            <v>2</v>
          </cell>
          <cell r="BZ429">
            <v>2</v>
          </cell>
          <cell r="CA429" t="str">
            <v/>
          </cell>
          <cell r="CB429">
            <v>0</v>
          </cell>
          <cell r="CC429">
            <v>0</v>
          </cell>
          <cell r="CD429">
            <v>2</v>
          </cell>
          <cell r="CE429">
            <v>2</v>
          </cell>
          <cell r="CF429" t="str">
            <v/>
          </cell>
          <cell r="CG429">
            <v>0</v>
          </cell>
          <cell r="CH429">
            <v>0</v>
          </cell>
          <cell r="CI429">
            <v>2</v>
          </cell>
          <cell r="CJ429">
            <v>2</v>
          </cell>
          <cell r="CK429" t="str">
            <v/>
          </cell>
          <cell r="CL429">
            <v>0</v>
          </cell>
          <cell r="CM429">
            <v>0</v>
          </cell>
          <cell r="CN429">
            <v>2</v>
          </cell>
          <cell r="CO429">
            <v>2</v>
          </cell>
          <cell r="CP429" t="str">
            <v/>
          </cell>
          <cell r="CQ429">
            <v>0</v>
          </cell>
          <cell r="CR429">
            <v>0</v>
          </cell>
          <cell r="CS429">
            <v>2</v>
          </cell>
          <cell r="CT429">
            <v>2</v>
          </cell>
          <cell r="CU429" t="str">
            <v/>
          </cell>
          <cell r="CV429">
            <v>0</v>
          </cell>
          <cell r="CW429">
            <v>0</v>
          </cell>
          <cell r="CX429">
            <v>2</v>
          </cell>
          <cell r="CY429">
            <v>2</v>
          </cell>
          <cell r="CZ429" t="str">
            <v/>
          </cell>
          <cell r="DA429">
            <v>0</v>
          </cell>
          <cell r="DB429">
            <v>0</v>
          </cell>
          <cell r="DC429">
            <v>2</v>
          </cell>
          <cell r="DD429">
            <v>2</v>
          </cell>
          <cell r="DE429" t="str">
            <v/>
          </cell>
          <cell r="DF429">
            <v>0</v>
          </cell>
          <cell r="DG429">
            <v>0</v>
          </cell>
          <cell r="DH429">
            <v>2</v>
          </cell>
          <cell r="DI429">
            <v>2</v>
          </cell>
          <cell r="DJ429" t="str">
            <v/>
          </cell>
          <cell r="DK429">
            <v>0</v>
          </cell>
          <cell r="DL429">
            <v>0</v>
          </cell>
          <cell r="DM429">
            <v>2</v>
          </cell>
          <cell r="DN429">
            <v>1</v>
          </cell>
          <cell r="DO429" t="str">
            <v/>
          </cell>
          <cell r="DP429">
            <v>0</v>
          </cell>
          <cell r="DQ429">
            <v>0</v>
          </cell>
          <cell r="DR429">
            <v>1</v>
          </cell>
          <cell r="DS429">
            <v>1</v>
          </cell>
          <cell r="DT429" t="str">
            <v/>
          </cell>
          <cell r="DU429">
            <v>0</v>
          </cell>
          <cell r="DV429">
            <v>0</v>
          </cell>
          <cell r="DW429">
            <v>1</v>
          </cell>
          <cell r="DX429">
            <v>1</v>
          </cell>
          <cell r="DY429" t="str">
            <v/>
          </cell>
          <cell r="DZ429">
            <v>0</v>
          </cell>
          <cell r="EA429">
            <v>0</v>
          </cell>
          <cell r="EB429">
            <v>1</v>
          </cell>
          <cell r="EC429">
            <v>1</v>
          </cell>
          <cell r="ED429" t="str">
            <v/>
          </cell>
          <cell r="EE429">
            <v>0</v>
          </cell>
          <cell r="EF429">
            <v>0</v>
          </cell>
          <cell r="EG429">
            <v>1</v>
          </cell>
          <cell r="EH429">
            <v>1</v>
          </cell>
          <cell r="EI429" t="str">
            <v/>
          </cell>
          <cell r="EJ429">
            <v>0</v>
          </cell>
          <cell r="EK429">
            <v>0</v>
          </cell>
          <cell r="EL429">
            <v>1</v>
          </cell>
          <cell r="EM429">
            <v>1</v>
          </cell>
          <cell r="EN429" t="str">
            <v/>
          </cell>
          <cell r="EO429">
            <v>0</v>
          </cell>
          <cell r="EP429">
            <v>0</v>
          </cell>
          <cell r="EQ429">
            <v>1</v>
          </cell>
          <cell r="ER429">
            <v>1</v>
          </cell>
          <cell r="ES429" t="str">
            <v/>
          </cell>
          <cell r="ET429">
            <v>0</v>
          </cell>
          <cell r="EU429">
            <v>0</v>
          </cell>
          <cell r="EV429">
            <v>1</v>
          </cell>
          <cell r="EW429">
            <v>1</v>
          </cell>
          <cell r="EX429" t="str">
            <v/>
          </cell>
          <cell r="EY429">
            <v>0</v>
          </cell>
          <cell r="EZ429">
            <v>0</v>
          </cell>
          <cell r="FA429">
            <v>1</v>
          </cell>
          <cell r="FB429">
            <v>1</v>
          </cell>
          <cell r="FC429" t="str">
            <v/>
          </cell>
          <cell r="FD429">
            <v>0</v>
          </cell>
          <cell r="FE429">
            <v>0</v>
          </cell>
          <cell r="FF429">
            <v>1</v>
          </cell>
          <cell r="FG429">
            <v>1</v>
          </cell>
          <cell r="FH429" t="str">
            <v/>
          </cell>
          <cell r="FI429">
            <v>0</v>
          </cell>
          <cell r="FJ429">
            <v>0</v>
          </cell>
          <cell r="FK429">
            <v>1</v>
          </cell>
          <cell r="FL429">
            <v>1</v>
          </cell>
          <cell r="FM429" t="str">
            <v/>
          </cell>
          <cell r="FN429">
            <v>0</v>
          </cell>
          <cell r="FO429">
            <v>0</v>
          </cell>
          <cell r="FP429">
            <v>1</v>
          </cell>
          <cell r="FQ429">
            <v>1</v>
          </cell>
          <cell r="FR429" t="str">
            <v/>
          </cell>
          <cell r="FS429">
            <v>0</v>
          </cell>
          <cell r="FT429">
            <v>0</v>
          </cell>
          <cell r="FU429">
            <v>1.0333333333333334</v>
          </cell>
          <cell r="FW429" t="str">
            <v>SIN ROTACIÓN</v>
          </cell>
          <cell r="FX429" t="str">
            <v>STOCK MUERTO</v>
          </cell>
          <cell r="FY429" t="str">
            <v>Si</v>
          </cell>
        </row>
        <row r="430">
          <cell r="B430" t="str">
            <v>REP-0447</v>
          </cell>
          <cell r="C430" t="str">
            <v>NAC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 t="str">
            <v/>
          </cell>
          <cell r="AR430">
            <v>0</v>
          </cell>
          <cell r="AS430">
            <v>0</v>
          </cell>
          <cell r="AT430">
            <v>0</v>
          </cell>
          <cell r="AU430" t="str">
            <v/>
          </cell>
          <cell r="AV430">
            <v>0</v>
          </cell>
          <cell r="AW430">
            <v>0</v>
          </cell>
          <cell r="AX430">
            <v>0</v>
          </cell>
          <cell r="AY430" t="str">
            <v/>
          </cell>
          <cell r="AZ430">
            <v>0</v>
          </cell>
          <cell r="BA430">
            <v>0</v>
          </cell>
          <cell r="BB430">
            <v>0</v>
          </cell>
          <cell r="BC430" t="str">
            <v/>
          </cell>
          <cell r="BD430">
            <v>0</v>
          </cell>
          <cell r="BE430">
            <v>0</v>
          </cell>
          <cell r="BF430" t="str">
            <v/>
          </cell>
          <cell r="BG430">
            <v>0</v>
          </cell>
          <cell r="BH430">
            <v>0</v>
          </cell>
          <cell r="BI430">
            <v>0</v>
          </cell>
          <cell r="BJ430" t="str">
            <v/>
          </cell>
          <cell r="BK430">
            <v>0</v>
          </cell>
          <cell r="BL430">
            <v>0</v>
          </cell>
          <cell r="BM430">
            <v>0</v>
          </cell>
          <cell r="BN430" t="str">
            <v/>
          </cell>
          <cell r="BO430">
            <v>0</v>
          </cell>
          <cell r="BP430">
            <v>0</v>
          </cell>
          <cell r="BQ430">
            <v>0</v>
          </cell>
          <cell r="BR430" t="str">
            <v/>
          </cell>
          <cell r="BS430">
            <v>0</v>
          </cell>
          <cell r="BT430">
            <v>0</v>
          </cell>
          <cell r="BU430">
            <v>0</v>
          </cell>
          <cell r="BV430" t="str">
            <v/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 t="str">
            <v/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 t="str">
            <v/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 t="str">
            <v/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 t="str">
            <v/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 t="str">
            <v/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 t="str">
            <v/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 t="str">
            <v/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 t="str">
            <v/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 t="str">
            <v/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 t="str">
            <v/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 t="str">
            <v/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 t="str">
            <v/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 t="str">
            <v/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 t="str">
            <v/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 t="str">
            <v/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 t="str">
            <v/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 t="str">
            <v/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 t="str">
            <v/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 t="str">
            <v/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 t="str">
            <v/>
          </cell>
          <cell r="FS430">
            <v>0</v>
          </cell>
          <cell r="FT430">
            <v>0</v>
          </cell>
          <cell r="FU430">
            <v>1.0333333333333334</v>
          </cell>
          <cell r="FW430" t="e">
            <v>#N/A</v>
          </cell>
          <cell r="FX430" t="str">
            <v>STOCK MUERTO</v>
          </cell>
          <cell r="FY430" t="str">
            <v>Si</v>
          </cell>
        </row>
        <row r="431">
          <cell r="B431" t="str">
            <v>REP-0448</v>
          </cell>
          <cell r="C431" t="str">
            <v>MIX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 t="str">
            <v/>
          </cell>
          <cell r="AR431">
            <v>0</v>
          </cell>
          <cell r="AS431">
            <v>0</v>
          </cell>
          <cell r="AT431">
            <v>0</v>
          </cell>
          <cell r="AU431" t="str">
            <v/>
          </cell>
          <cell r="AV431">
            <v>0</v>
          </cell>
          <cell r="AW431">
            <v>0</v>
          </cell>
          <cell r="AX431">
            <v>0</v>
          </cell>
          <cell r="AY431" t="str">
            <v/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-0.5</v>
          </cell>
          <cell r="BF431">
            <v>-1</v>
          </cell>
          <cell r="BG431">
            <v>0</v>
          </cell>
          <cell r="BH431">
            <v>-1</v>
          </cell>
          <cell r="BI431">
            <v>0</v>
          </cell>
          <cell r="BJ431" t="str">
            <v/>
          </cell>
          <cell r="BK431">
            <v>0</v>
          </cell>
          <cell r="BL431">
            <v>0</v>
          </cell>
          <cell r="BM431">
            <v>0</v>
          </cell>
          <cell r="BN431" t="str">
            <v/>
          </cell>
          <cell r="BO431">
            <v>0</v>
          </cell>
          <cell r="BP431">
            <v>0</v>
          </cell>
          <cell r="BQ431">
            <v>0</v>
          </cell>
          <cell r="BR431" t="str">
            <v/>
          </cell>
          <cell r="BS431">
            <v>0</v>
          </cell>
          <cell r="BT431">
            <v>0</v>
          </cell>
          <cell r="BU431">
            <v>0</v>
          </cell>
          <cell r="BV431" t="str">
            <v/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 t="str">
            <v/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 t="str">
            <v/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 t="str">
            <v/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 t="str">
            <v/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 t="str">
            <v/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 t="str">
            <v/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 t="str">
            <v/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 t="str">
            <v/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 t="str">
            <v/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 t="str">
            <v/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 t="str">
            <v/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 t="str">
            <v/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 t="str">
            <v/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 t="str">
            <v/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 t="str">
            <v/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 t="str">
            <v/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 t="str">
            <v/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 t="str">
            <v/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 t="str">
            <v/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 t="str">
            <v/>
          </cell>
          <cell r="FS431">
            <v>0</v>
          </cell>
          <cell r="FT431">
            <v>0</v>
          </cell>
          <cell r="FU431">
            <v>2.0333333333333332</v>
          </cell>
          <cell r="FW431" t="e">
            <v>#N/A</v>
          </cell>
          <cell r="FX431" t="str">
            <v>STOCK MUERTO</v>
          </cell>
          <cell r="FY431" t="str">
            <v>Si</v>
          </cell>
        </row>
        <row r="432">
          <cell r="B432" t="str">
            <v>REP-0449</v>
          </cell>
          <cell r="C432" t="str">
            <v>MIX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M432">
            <v>0</v>
          </cell>
          <cell r="AO432">
            <v>0</v>
          </cell>
          <cell r="AP432">
            <v>0</v>
          </cell>
          <cell r="AQ432" t="str">
            <v/>
          </cell>
          <cell r="AR432">
            <v>0</v>
          </cell>
          <cell r="AS432">
            <v>0</v>
          </cell>
          <cell r="AT432">
            <v>0</v>
          </cell>
          <cell r="AU432" t="str">
            <v/>
          </cell>
          <cell r="AV432">
            <v>0</v>
          </cell>
          <cell r="AW432">
            <v>0</v>
          </cell>
          <cell r="AX432">
            <v>0</v>
          </cell>
          <cell r="AY432" t="str">
            <v/>
          </cell>
          <cell r="AZ432">
            <v>0</v>
          </cell>
          <cell r="BA432">
            <v>0</v>
          </cell>
          <cell r="BB432">
            <v>0</v>
          </cell>
          <cell r="BC432" t="str">
            <v/>
          </cell>
          <cell r="BD432">
            <v>0</v>
          </cell>
          <cell r="BE432">
            <v>0</v>
          </cell>
          <cell r="BF432" t="str">
            <v/>
          </cell>
          <cell r="BG432">
            <v>0</v>
          </cell>
          <cell r="BH432">
            <v>0</v>
          </cell>
          <cell r="BI432">
            <v>0</v>
          </cell>
          <cell r="BJ432" t="str">
            <v/>
          </cell>
          <cell r="BK432">
            <v>0</v>
          </cell>
          <cell r="BL432">
            <v>0</v>
          </cell>
          <cell r="BM432">
            <v>0</v>
          </cell>
          <cell r="BN432" t="str">
            <v/>
          </cell>
          <cell r="BO432">
            <v>0</v>
          </cell>
          <cell r="BP432">
            <v>0</v>
          </cell>
          <cell r="BQ432">
            <v>0</v>
          </cell>
          <cell r="BR432" t="str">
            <v/>
          </cell>
          <cell r="BS432">
            <v>0</v>
          </cell>
          <cell r="BT432">
            <v>0</v>
          </cell>
          <cell r="BU432">
            <v>0</v>
          </cell>
          <cell r="BV432" t="str">
            <v/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 t="str">
            <v/>
          </cell>
          <cell r="CB432">
            <v>0</v>
          </cell>
          <cell r="CD432">
            <v>0</v>
          </cell>
          <cell r="CE432">
            <v>0</v>
          </cell>
          <cell r="CF432" t="str">
            <v/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 t="str">
            <v/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 t="str">
            <v/>
          </cell>
          <cell r="CQ432">
            <v>0</v>
          </cell>
          <cell r="CS432">
            <v>0</v>
          </cell>
          <cell r="CT432">
            <v>0</v>
          </cell>
          <cell r="CU432" t="str">
            <v/>
          </cell>
          <cell r="CV432">
            <v>0</v>
          </cell>
          <cell r="CX432">
            <v>0</v>
          </cell>
          <cell r="CY432">
            <v>0</v>
          </cell>
          <cell r="CZ432" t="str">
            <v/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 t="str">
            <v/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 t="str">
            <v/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 t="str">
            <v/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 t="str">
            <v/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 t="str">
            <v/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 t="str">
            <v/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 t="str">
            <v/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 t="str">
            <v/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 t="str">
            <v/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 t="str">
            <v/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 t="str">
            <v/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 t="str">
            <v/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 t="str">
            <v/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 t="str">
            <v/>
          </cell>
          <cell r="FS432">
            <v>0</v>
          </cell>
          <cell r="FT432">
            <v>0</v>
          </cell>
          <cell r="FU432">
            <v>66.666666666666671</v>
          </cell>
          <cell r="FW432" t="str">
            <v>SIN ROTACIÓN</v>
          </cell>
          <cell r="FX432" t="str">
            <v/>
          </cell>
          <cell r="FY432" t="str">
            <v>No</v>
          </cell>
        </row>
        <row r="433">
          <cell r="B433" t="str">
            <v>REP-0450</v>
          </cell>
          <cell r="C433" t="str">
            <v>NAC</v>
          </cell>
          <cell r="D433">
            <v>0</v>
          </cell>
          <cell r="E433">
            <v>7</v>
          </cell>
          <cell r="F433">
            <v>0</v>
          </cell>
          <cell r="G433">
            <v>0</v>
          </cell>
          <cell r="H433">
            <v>2</v>
          </cell>
          <cell r="I433">
            <v>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1</v>
          </cell>
          <cell r="O433">
            <v>1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1</v>
          </cell>
          <cell r="U433">
            <v>0</v>
          </cell>
          <cell r="V433">
            <v>0</v>
          </cell>
          <cell r="W433">
            <v>1</v>
          </cell>
          <cell r="X433">
            <v>1</v>
          </cell>
          <cell r="Y433">
            <v>16</v>
          </cell>
          <cell r="AA433">
            <v>16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1.5</v>
          </cell>
          <cell r="AG433">
            <v>1</v>
          </cell>
          <cell r="AH433">
            <v>0.91666666666666663</v>
          </cell>
          <cell r="AI433">
            <v>0.83333333333333337</v>
          </cell>
          <cell r="AJ433">
            <v>0.83333333333333337</v>
          </cell>
          <cell r="AK433">
            <v>1</v>
          </cell>
          <cell r="AL433">
            <v>7.9785592313028147E-2</v>
          </cell>
          <cell r="AM433">
            <v>0.89583333333333337</v>
          </cell>
          <cell r="AN433">
            <v>8.9062986768031413E-2</v>
          </cell>
          <cell r="AO433">
            <v>0</v>
          </cell>
          <cell r="AP433">
            <v>31</v>
          </cell>
          <cell r="AQ433">
            <v>20.333333333333332</v>
          </cell>
          <cell r="AR433">
            <v>0</v>
          </cell>
          <cell r="AS433">
            <v>29</v>
          </cell>
          <cell r="AT433">
            <v>31</v>
          </cell>
          <cell r="AU433">
            <v>31</v>
          </cell>
          <cell r="AV433">
            <v>0</v>
          </cell>
          <cell r="AW433">
            <v>30</v>
          </cell>
          <cell r="AX433">
            <v>28</v>
          </cell>
          <cell r="AY433">
            <v>28</v>
          </cell>
          <cell r="AZ433">
            <v>0</v>
          </cell>
          <cell r="BA433">
            <v>26.833333333333332</v>
          </cell>
          <cell r="BB433">
            <v>25</v>
          </cell>
          <cell r="BC433">
            <v>12.5</v>
          </cell>
          <cell r="BD433">
            <v>0</v>
          </cell>
          <cell r="BE433">
            <v>23</v>
          </cell>
          <cell r="BF433">
            <v>11.5</v>
          </cell>
          <cell r="BG433">
            <v>0</v>
          </cell>
          <cell r="BH433">
            <v>21</v>
          </cell>
          <cell r="BI433">
            <v>16</v>
          </cell>
          <cell r="BJ433">
            <v>16</v>
          </cell>
          <cell r="BK433">
            <v>0</v>
          </cell>
          <cell r="BL433">
            <v>22.666666666666668</v>
          </cell>
          <cell r="BM433">
            <v>23</v>
          </cell>
          <cell r="BN433">
            <v>17.25</v>
          </cell>
          <cell r="BO433">
            <v>0</v>
          </cell>
          <cell r="BP433">
            <v>21.666666666666668</v>
          </cell>
          <cell r="BQ433">
            <v>23</v>
          </cell>
          <cell r="BR433">
            <v>23</v>
          </cell>
          <cell r="BS433">
            <v>0</v>
          </cell>
          <cell r="BT433">
            <v>21.666666666666668</v>
          </cell>
          <cell r="BU433">
            <v>23</v>
          </cell>
          <cell r="BV433">
            <v>23</v>
          </cell>
          <cell r="BW433">
            <v>0</v>
          </cell>
          <cell r="BX433">
            <v>0</v>
          </cell>
          <cell r="BY433">
            <v>22</v>
          </cell>
          <cell r="BZ433">
            <v>22</v>
          </cell>
          <cell r="CA433">
            <v>22</v>
          </cell>
          <cell r="CB433">
            <v>0</v>
          </cell>
          <cell r="CC433">
            <v>0</v>
          </cell>
          <cell r="CD433">
            <v>21</v>
          </cell>
          <cell r="CE433">
            <v>21</v>
          </cell>
          <cell r="CF433">
            <v>21</v>
          </cell>
          <cell r="CG433">
            <v>0</v>
          </cell>
          <cell r="CH433">
            <v>0</v>
          </cell>
          <cell r="CI433">
            <v>20</v>
          </cell>
          <cell r="CJ433">
            <v>21</v>
          </cell>
          <cell r="CK433">
            <v>21</v>
          </cell>
          <cell r="CL433">
            <v>0</v>
          </cell>
          <cell r="CM433">
            <v>0</v>
          </cell>
          <cell r="CN433">
            <v>20</v>
          </cell>
          <cell r="CO433">
            <v>21</v>
          </cell>
          <cell r="CP433">
            <v>21</v>
          </cell>
          <cell r="CQ433">
            <v>0</v>
          </cell>
          <cell r="CR433">
            <v>0</v>
          </cell>
          <cell r="CS433">
            <v>20</v>
          </cell>
          <cell r="CT433">
            <v>21</v>
          </cell>
          <cell r="CU433">
            <v>21</v>
          </cell>
          <cell r="CV433">
            <v>0</v>
          </cell>
          <cell r="CW433">
            <v>0</v>
          </cell>
          <cell r="CX433">
            <v>20</v>
          </cell>
          <cell r="CY433">
            <v>24</v>
          </cell>
          <cell r="CZ433">
            <v>24</v>
          </cell>
          <cell r="DA433">
            <v>0</v>
          </cell>
          <cell r="DB433">
            <v>0</v>
          </cell>
          <cell r="DC433">
            <v>23</v>
          </cell>
          <cell r="DD433">
            <v>19</v>
          </cell>
          <cell r="DE433">
            <v>18</v>
          </cell>
          <cell r="DF433">
            <v>0</v>
          </cell>
          <cell r="DG433">
            <v>0</v>
          </cell>
          <cell r="DH433">
            <v>18</v>
          </cell>
          <cell r="DI433">
            <v>14</v>
          </cell>
          <cell r="DJ433">
            <v>15</v>
          </cell>
          <cell r="DK433">
            <v>0</v>
          </cell>
          <cell r="DL433">
            <v>0</v>
          </cell>
          <cell r="DM433">
            <v>17</v>
          </cell>
          <cell r="DN433">
            <v>16</v>
          </cell>
          <cell r="DO433">
            <v>17</v>
          </cell>
          <cell r="DP433">
            <v>0</v>
          </cell>
          <cell r="DQ433">
            <v>0</v>
          </cell>
          <cell r="DR433">
            <v>15</v>
          </cell>
          <cell r="DS433">
            <v>15</v>
          </cell>
          <cell r="DT433">
            <v>16</v>
          </cell>
          <cell r="DU433">
            <v>0</v>
          </cell>
          <cell r="DV433">
            <v>0</v>
          </cell>
          <cell r="DW433">
            <v>14</v>
          </cell>
          <cell r="DX433">
            <v>14</v>
          </cell>
          <cell r="DY433">
            <v>15</v>
          </cell>
          <cell r="DZ433">
            <v>0</v>
          </cell>
          <cell r="EA433">
            <v>0</v>
          </cell>
          <cell r="EB433">
            <v>13</v>
          </cell>
          <cell r="EC433">
            <v>13</v>
          </cell>
          <cell r="ED433">
            <v>14</v>
          </cell>
          <cell r="EE433">
            <v>0</v>
          </cell>
          <cell r="EF433">
            <v>0</v>
          </cell>
          <cell r="EG433">
            <v>12</v>
          </cell>
          <cell r="EH433">
            <v>12</v>
          </cell>
          <cell r="EI433">
            <v>13</v>
          </cell>
          <cell r="EJ433">
            <v>0</v>
          </cell>
          <cell r="EK433">
            <v>0</v>
          </cell>
          <cell r="EL433">
            <v>11</v>
          </cell>
          <cell r="EM433">
            <v>11</v>
          </cell>
          <cell r="EN433">
            <v>12</v>
          </cell>
          <cell r="EO433">
            <v>0</v>
          </cell>
          <cell r="EP433">
            <v>0</v>
          </cell>
          <cell r="EQ433">
            <v>10</v>
          </cell>
          <cell r="ER433">
            <v>10</v>
          </cell>
          <cell r="ES433">
            <v>11</v>
          </cell>
          <cell r="ET433">
            <v>0</v>
          </cell>
          <cell r="EU433">
            <v>0</v>
          </cell>
          <cell r="EV433">
            <v>9</v>
          </cell>
          <cell r="EW433">
            <v>9</v>
          </cell>
          <cell r="EX433">
            <v>10</v>
          </cell>
          <cell r="EY433">
            <v>0</v>
          </cell>
          <cell r="EZ433">
            <v>0</v>
          </cell>
          <cell r="FA433">
            <v>8</v>
          </cell>
          <cell r="FB433">
            <v>8</v>
          </cell>
          <cell r="FC433">
            <v>9</v>
          </cell>
          <cell r="FD433">
            <v>0</v>
          </cell>
          <cell r="FE433">
            <v>0</v>
          </cell>
          <cell r="FF433">
            <v>7</v>
          </cell>
          <cell r="FG433">
            <v>7</v>
          </cell>
          <cell r="FH433">
            <v>8</v>
          </cell>
          <cell r="FI433">
            <v>0</v>
          </cell>
          <cell r="FJ433">
            <v>0</v>
          </cell>
          <cell r="FK433">
            <v>6</v>
          </cell>
          <cell r="FL433">
            <v>6</v>
          </cell>
          <cell r="FM433">
            <v>7</v>
          </cell>
          <cell r="FN433">
            <v>0</v>
          </cell>
          <cell r="FO433">
            <v>0</v>
          </cell>
          <cell r="FP433">
            <v>5</v>
          </cell>
          <cell r="FQ433">
            <v>5</v>
          </cell>
          <cell r="FR433">
            <v>6</v>
          </cell>
          <cell r="FS433">
            <v>0</v>
          </cell>
          <cell r="FT433">
            <v>1</v>
          </cell>
          <cell r="FU433">
            <v>1</v>
          </cell>
          <cell r="FW433" t="str">
            <v>SOBRESTOCK</v>
          </cell>
          <cell r="FX433" t="str">
            <v>B</v>
          </cell>
          <cell r="FY433" t="str">
            <v>Si</v>
          </cell>
        </row>
        <row r="434">
          <cell r="B434" t="str">
            <v>REP-0451</v>
          </cell>
          <cell r="C434" t="str">
            <v>STOCK</v>
          </cell>
          <cell r="D434">
            <v>0</v>
          </cell>
          <cell r="E434">
            <v>18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19</v>
          </cell>
          <cell r="AA434">
            <v>19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8.3333333333333329E-2</v>
          </cell>
          <cell r="AI434">
            <v>0</v>
          </cell>
          <cell r="AJ434">
            <v>0</v>
          </cell>
          <cell r="AK434">
            <v>8.3333333333333329E-2</v>
          </cell>
          <cell r="AL434">
            <v>4.1666666666666664E-2</v>
          </cell>
          <cell r="AM434">
            <v>2.0833333333333332E-2</v>
          </cell>
          <cell r="AN434">
            <v>2</v>
          </cell>
          <cell r="AO434">
            <v>0</v>
          </cell>
          <cell r="AP434">
            <v>12.833333333333334</v>
          </cell>
          <cell r="AQ434" t="str">
            <v/>
          </cell>
          <cell r="AR434">
            <v>0</v>
          </cell>
          <cell r="AS434">
            <v>13</v>
          </cell>
          <cell r="AT434">
            <v>13</v>
          </cell>
          <cell r="AU434" t="str">
            <v/>
          </cell>
          <cell r="AV434">
            <v>0</v>
          </cell>
          <cell r="AW434">
            <v>13</v>
          </cell>
          <cell r="AX434">
            <v>13</v>
          </cell>
          <cell r="AY434">
            <v>156</v>
          </cell>
          <cell r="AZ434">
            <v>0</v>
          </cell>
          <cell r="BA434">
            <v>13</v>
          </cell>
          <cell r="BB434">
            <v>13</v>
          </cell>
          <cell r="BC434" t="str">
            <v/>
          </cell>
          <cell r="BD434">
            <v>0</v>
          </cell>
          <cell r="BE434">
            <v>13</v>
          </cell>
          <cell r="BF434" t="str">
            <v/>
          </cell>
          <cell r="BG434">
            <v>0</v>
          </cell>
          <cell r="BH434">
            <v>13</v>
          </cell>
          <cell r="BI434">
            <v>19</v>
          </cell>
          <cell r="BJ434">
            <v>228</v>
          </cell>
          <cell r="BK434">
            <v>0</v>
          </cell>
          <cell r="BL434">
            <v>11.833333333333334</v>
          </cell>
          <cell r="BM434">
            <v>12</v>
          </cell>
          <cell r="BN434">
            <v>72</v>
          </cell>
          <cell r="BO434">
            <v>0</v>
          </cell>
          <cell r="BP434">
            <v>11.833333333333334</v>
          </cell>
          <cell r="BQ434">
            <v>12</v>
          </cell>
          <cell r="BR434">
            <v>144</v>
          </cell>
          <cell r="BS434">
            <v>0</v>
          </cell>
          <cell r="BT434">
            <v>11.833333333333334</v>
          </cell>
          <cell r="BU434">
            <v>12</v>
          </cell>
          <cell r="BV434">
            <v>72</v>
          </cell>
          <cell r="BW434">
            <v>0</v>
          </cell>
          <cell r="BX434">
            <v>0</v>
          </cell>
          <cell r="BY434">
            <v>11.833333333333334</v>
          </cell>
          <cell r="BZ434">
            <v>12</v>
          </cell>
          <cell r="CA434">
            <v>72</v>
          </cell>
          <cell r="CB434">
            <v>0</v>
          </cell>
          <cell r="CC434">
            <v>0</v>
          </cell>
          <cell r="CD434">
            <v>11.833333333333334</v>
          </cell>
          <cell r="CE434">
            <v>12</v>
          </cell>
          <cell r="CF434">
            <v>72</v>
          </cell>
          <cell r="CG434">
            <v>0</v>
          </cell>
          <cell r="CH434">
            <v>0</v>
          </cell>
          <cell r="CI434">
            <v>11.666666666666668</v>
          </cell>
          <cell r="CJ434">
            <v>19</v>
          </cell>
          <cell r="CK434">
            <v>228</v>
          </cell>
          <cell r="CL434">
            <v>0</v>
          </cell>
          <cell r="CM434">
            <v>0</v>
          </cell>
          <cell r="CN434">
            <v>18.916666666666668</v>
          </cell>
          <cell r="CO434">
            <v>19</v>
          </cell>
          <cell r="CP434">
            <v>228</v>
          </cell>
          <cell r="CQ434">
            <v>0</v>
          </cell>
          <cell r="CR434">
            <v>0</v>
          </cell>
          <cell r="CS434">
            <v>18.916666666666668</v>
          </cell>
          <cell r="CT434">
            <v>19</v>
          </cell>
          <cell r="CU434">
            <v>228</v>
          </cell>
          <cell r="CV434">
            <v>0</v>
          </cell>
          <cell r="CW434">
            <v>0</v>
          </cell>
          <cell r="CX434">
            <v>18.916666666666668</v>
          </cell>
          <cell r="CY434">
            <v>19</v>
          </cell>
          <cell r="CZ434">
            <v>228</v>
          </cell>
          <cell r="DA434">
            <v>0</v>
          </cell>
          <cell r="DB434">
            <v>0</v>
          </cell>
          <cell r="DC434">
            <v>18.916666666666668</v>
          </cell>
          <cell r="DD434">
            <v>19</v>
          </cell>
          <cell r="DE434">
            <v>216</v>
          </cell>
          <cell r="DF434">
            <v>0</v>
          </cell>
          <cell r="DG434">
            <v>0</v>
          </cell>
          <cell r="DH434">
            <v>18.916666666666668</v>
          </cell>
          <cell r="DI434">
            <v>19</v>
          </cell>
          <cell r="DJ434">
            <v>218</v>
          </cell>
          <cell r="DK434">
            <v>0</v>
          </cell>
          <cell r="DL434">
            <v>0</v>
          </cell>
          <cell r="DM434">
            <v>18.833333333333336</v>
          </cell>
          <cell r="DN434">
            <v>19</v>
          </cell>
          <cell r="DO434">
            <v>218</v>
          </cell>
          <cell r="DP434">
            <v>0</v>
          </cell>
          <cell r="DQ434">
            <v>0</v>
          </cell>
          <cell r="DR434">
            <v>18.916666666666668</v>
          </cell>
          <cell r="DS434">
            <v>18.916666666666668</v>
          </cell>
          <cell r="DT434">
            <v>217.00000000000003</v>
          </cell>
          <cell r="DU434">
            <v>0</v>
          </cell>
          <cell r="DV434">
            <v>0</v>
          </cell>
          <cell r="DW434">
            <v>18.833333333333336</v>
          </cell>
          <cell r="DX434">
            <v>18.833333333333336</v>
          </cell>
          <cell r="DY434">
            <v>216.00000000000003</v>
          </cell>
          <cell r="DZ434">
            <v>0</v>
          </cell>
          <cell r="EA434">
            <v>0</v>
          </cell>
          <cell r="EB434">
            <v>18.750000000000004</v>
          </cell>
          <cell r="EC434">
            <v>18.750000000000004</v>
          </cell>
          <cell r="ED434">
            <v>215.00000000000006</v>
          </cell>
          <cell r="EE434">
            <v>0</v>
          </cell>
          <cell r="EF434">
            <v>0</v>
          </cell>
          <cell r="EG434">
            <v>18.666666666666671</v>
          </cell>
          <cell r="EH434">
            <v>18.666666666666671</v>
          </cell>
          <cell r="EI434">
            <v>214.00000000000006</v>
          </cell>
          <cell r="EJ434">
            <v>0</v>
          </cell>
          <cell r="EK434">
            <v>0</v>
          </cell>
          <cell r="EL434">
            <v>18.583333333333339</v>
          </cell>
          <cell r="EM434">
            <v>18.583333333333339</v>
          </cell>
          <cell r="EN434">
            <v>213.00000000000009</v>
          </cell>
          <cell r="EO434">
            <v>0</v>
          </cell>
          <cell r="EP434">
            <v>0</v>
          </cell>
          <cell r="EQ434">
            <v>18.500000000000007</v>
          </cell>
          <cell r="ER434">
            <v>18.500000000000007</v>
          </cell>
          <cell r="ES434">
            <v>212.00000000000009</v>
          </cell>
          <cell r="ET434">
            <v>0</v>
          </cell>
          <cell r="EU434">
            <v>0</v>
          </cell>
          <cell r="EV434">
            <v>18.416666666666675</v>
          </cell>
          <cell r="EW434">
            <v>18.416666666666675</v>
          </cell>
          <cell r="EX434">
            <v>211.00000000000011</v>
          </cell>
          <cell r="EY434">
            <v>0</v>
          </cell>
          <cell r="EZ434">
            <v>0</v>
          </cell>
          <cell r="FA434">
            <v>18.333333333333343</v>
          </cell>
          <cell r="FB434">
            <v>18.333333333333343</v>
          </cell>
          <cell r="FC434">
            <v>210.00000000000011</v>
          </cell>
          <cell r="FD434">
            <v>0</v>
          </cell>
          <cell r="FE434">
            <v>0</v>
          </cell>
          <cell r="FF434">
            <v>18.250000000000011</v>
          </cell>
          <cell r="FG434">
            <v>18.250000000000011</v>
          </cell>
          <cell r="FH434">
            <v>209.00000000000014</v>
          </cell>
          <cell r="FI434">
            <v>0</v>
          </cell>
          <cell r="FJ434">
            <v>0</v>
          </cell>
          <cell r="FK434">
            <v>18.166666666666679</v>
          </cell>
          <cell r="FL434">
            <v>18.166666666666679</v>
          </cell>
          <cell r="FM434">
            <v>208.00000000000014</v>
          </cell>
          <cell r="FN434">
            <v>0</v>
          </cell>
          <cell r="FO434">
            <v>0</v>
          </cell>
          <cell r="FP434">
            <v>18.083333333333346</v>
          </cell>
          <cell r="FQ434">
            <v>18.083333333333346</v>
          </cell>
          <cell r="FR434">
            <v>207.00000000000017</v>
          </cell>
          <cell r="FS434">
            <v>0</v>
          </cell>
          <cell r="FT434">
            <v>1</v>
          </cell>
          <cell r="FU434">
            <v>1.0333333333333334</v>
          </cell>
          <cell r="FW434" t="str">
            <v>SIN ROTACIÓN</v>
          </cell>
          <cell r="FX434" t="str">
            <v>STOCK MUERTO</v>
          </cell>
          <cell r="FY434" t="str">
            <v>Si</v>
          </cell>
        </row>
        <row r="435">
          <cell r="B435" t="str">
            <v>REP-0452</v>
          </cell>
          <cell r="C435" t="str">
            <v>MIX</v>
          </cell>
          <cell r="D435">
            <v>0</v>
          </cell>
          <cell r="E435">
            <v>4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4</v>
          </cell>
          <cell r="AA435">
            <v>4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4</v>
          </cell>
          <cell r="AQ435" t="str">
            <v/>
          </cell>
          <cell r="AR435">
            <v>0</v>
          </cell>
          <cell r="AS435">
            <v>4</v>
          </cell>
          <cell r="AT435">
            <v>4</v>
          </cell>
          <cell r="AU435" t="str">
            <v/>
          </cell>
          <cell r="AV435">
            <v>0</v>
          </cell>
          <cell r="AW435">
            <v>4</v>
          </cell>
          <cell r="AX435">
            <v>4</v>
          </cell>
          <cell r="AY435" t="str">
            <v/>
          </cell>
          <cell r="AZ435">
            <v>0</v>
          </cell>
          <cell r="BA435">
            <v>4</v>
          </cell>
          <cell r="BB435">
            <v>4</v>
          </cell>
          <cell r="BC435" t="str">
            <v/>
          </cell>
          <cell r="BD435">
            <v>0</v>
          </cell>
          <cell r="BE435">
            <v>4</v>
          </cell>
          <cell r="BF435" t="str">
            <v/>
          </cell>
          <cell r="BG435">
            <v>0</v>
          </cell>
          <cell r="BH435">
            <v>4</v>
          </cell>
          <cell r="BI435">
            <v>4</v>
          </cell>
          <cell r="BJ435" t="str">
            <v/>
          </cell>
          <cell r="BK435">
            <v>0</v>
          </cell>
          <cell r="BL435">
            <v>4</v>
          </cell>
          <cell r="BM435">
            <v>4</v>
          </cell>
          <cell r="BN435" t="str">
            <v/>
          </cell>
          <cell r="BO435">
            <v>0</v>
          </cell>
          <cell r="BP435">
            <v>4</v>
          </cell>
          <cell r="BQ435">
            <v>4</v>
          </cell>
          <cell r="BR435" t="str">
            <v/>
          </cell>
          <cell r="BS435">
            <v>0</v>
          </cell>
          <cell r="BT435">
            <v>4</v>
          </cell>
          <cell r="BU435">
            <v>4</v>
          </cell>
          <cell r="BV435" t="str">
            <v/>
          </cell>
          <cell r="BW435">
            <v>0</v>
          </cell>
          <cell r="BX435">
            <v>0</v>
          </cell>
          <cell r="BY435">
            <v>4</v>
          </cell>
          <cell r="BZ435">
            <v>4</v>
          </cell>
          <cell r="CA435" t="str">
            <v/>
          </cell>
          <cell r="CB435">
            <v>0</v>
          </cell>
          <cell r="CC435">
            <v>0</v>
          </cell>
          <cell r="CD435">
            <v>4</v>
          </cell>
          <cell r="CE435">
            <v>4</v>
          </cell>
          <cell r="CF435" t="str">
            <v/>
          </cell>
          <cell r="CG435">
            <v>0</v>
          </cell>
          <cell r="CH435">
            <v>0</v>
          </cell>
          <cell r="CI435">
            <v>4</v>
          </cell>
          <cell r="CJ435">
            <v>4</v>
          </cell>
          <cell r="CK435" t="str">
            <v/>
          </cell>
          <cell r="CL435">
            <v>0</v>
          </cell>
          <cell r="CM435">
            <v>0</v>
          </cell>
          <cell r="CN435">
            <v>4</v>
          </cell>
          <cell r="CO435">
            <v>4</v>
          </cell>
          <cell r="CP435" t="str">
            <v/>
          </cell>
          <cell r="CQ435">
            <v>0</v>
          </cell>
          <cell r="CR435">
            <v>0</v>
          </cell>
          <cell r="CS435">
            <v>4</v>
          </cell>
          <cell r="CT435">
            <v>4</v>
          </cell>
          <cell r="CU435" t="str">
            <v/>
          </cell>
          <cell r="CV435">
            <v>0</v>
          </cell>
          <cell r="CW435">
            <v>0</v>
          </cell>
          <cell r="CX435">
            <v>4</v>
          </cell>
          <cell r="CY435">
            <v>4</v>
          </cell>
          <cell r="CZ435" t="str">
            <v/>
          </cell>
          <cell r="DA435">
            <v>0</v>
          </cell>
          <cell r="DB435">
            <v>0</v>
          </cell>
          <cell r="DC435">
            <v>4</v>
          </cell>
          <cell r="DD435">
            <v>4</v>
          </cell>
          <cell r="DE435" t="str">
            <v/>
          </cell>
          <cell r="DF435">
            <v>0</v>
          </cell>
          <cell r="DG435">
            <v>0</v>
          </cell>
          <cell r="DH435">
            <v>4</v>
          </cell>
          <cell r="DI435">
            <v>4</v>
          </cell>
          <cell r="DJ435" t="str">
            <v/>
          </cell>
          <cell r="DK435">
            <v>0</v>
          </cell>
          <cell r="DL435">
            <v>0</v>
          </cell>
          <cell r="DM435">
            <v>4</v>
          </cell>
          <cell r="DN435">
            <v>4</v>
          </cell>
          <cell r="DO435" t="str">
            <v/>
          </cell>
          <cell r="DP435">
            <v>0</v>
          </cell>
          <cell r="DQ435">
            <v>0</v>
          </cell>
          <cell r="DR435">
            <v>4</v>
          </cell>
          <cell r="DS435">
            <v>4</v>
          </cell>
          <cell r="DT435" t="str">
            <v/>
          </cell>
          <cell r="DU435">
            <v>0</v>
          </cell>
          <cell r="DV435">
            <v>0</v>
          </cell>
          <cell r="DW435">
            <v>4</v>
          </cell>
          <cell r="DX435">
            <v>4</v>
          </cell>
          <cell r="DY435" t="str">
            <v/>
          </cell>
          <cell r="DZ435">
            <v>0</v>
          </cell>
          <cell r="EA435">
            <v>0</v>
          </cell>
          <cell r="EB435">
            <v>4</v>
          </cell>
          <cell r="EC435">
            <v>4</v>
          </cell>
          <cell r="ED435" t="str">
            <v/>
          </cell>
          <cell r="EE435">
            <v>0</v>
          </cell>
          <cell r="EF435">
            <v>0</v>
          </cell>
          <cell r="EG435">
            <v>4</v>
          </cell>
          <cell r="EH435">
            <v>4</v>
          </cell>
          <cell r="EI435" t="str">
            <v/>
          </cell>
          <cell r="EJ435">
            <v>0</v>
          </cell>
          <cell r="EK435">
            <v>0</v>
          </cell>
          <cell r="EL435">
            <v>4</v>
          </cell>
          <cell r="EM435">
            <v>4</v>
          </cell>
          <cell r="EN435" t="str">
            <v/>
          </cell>
          <cell r="EO435">
            <v>0</v>
          </cell>
          <cell r="EP435">
            <v>0</v>
          </cell>
          <cell r="EQ435">
            <v>4</v>
          </cell>
          <cell r="ER435">
            <v>4</v>
          </cell>
          <cell r="ES435" t="str">
            <v/>
          </cell>
          <cell r="ET435">
            <v>0</v>
          </cell>
          <cell r="EU435">
            <v>0</v>
          </cell>
          <cell r="EV435">
            <v>4</v>
          </cell>
          <cell r="EW435">
            <v>4</v>
          </cell>
          <cell r="EX435" t="str">
            <v/>
          </cell>
          <cell r="EY435">
            <v>0</v>
          </cell>
          <cell r="EZ435">
            <v>0</v>
          </cell>
          <cell r="FA435">
            <v>4</v>
          </cell>
          <cell r="FB435">
            <v>4</v>
          </cell>
          <cell r="FC435" t="str">
            <v/>
          </cell>
          <cell r="FD435">
            <v>0</v>
          </cell>
          <cell r="FE435">
            <v>0</v>
          </cell>
          <cell r="FF435">
            <v>4</v>
          </cell>
          <cell r="FG435">
            <v>4</v>
          </cell>
          <cell r="FH435" t="str">
            <v/>
          </cell>
          <cell r="FI435">
            <v>0</v>
          </cell>
          <cell r="FJ435">
            <v>0</v>
          </cell>
          <cell r="FK435">
            <v>4</v>
          </cell>
          <cell r="FL435">
            <v>4</v>
          </cell>
          <cell r="FM435" t="str">
            <v/>
          </cell>
          <cell r="FN435">
            <v>0</v>
          </cell>
          <cell r="FO435">
            <v>0</v>
          </cell>
          <cell r="FP435">
            <v>4</v>
          </cell>
          <cell r="FQ435">
            <v>4</v>
          </cell>
          <cell r="FR435" t="str">
            <v/>
          </cell>
          <cell r="FS435">
            <v>0</v>
          </cell>
          <cell r="FT435">
            <v>0</v>
          </cell>
          <cell r="FU435">
            <v>2.0333333333333332</v>
          </cell>
          <cell r="FW435" t="str">
            <v>SIN ROTACIÓN</v>
          </cell>
          <cell r="FX435" t="str">
            <v>STOCK MUERTO</v>
          </cell>
          <cell r="FY435" t="str">
            <v>Si</v>
          </cell>
        </row>
        <row r="436">
          <cell r="B436" t="str">
            <v>REP-0453</v>
          </cell>
          <cell r="C436" t="str">
            <v>NAC</v>
          </cell>
          <cell r="D436">
            <v>0</v>
          </cell>
          <cell r="E436">
            <v>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3</v>
          </cell>
          <cell r="AA436">
            <v>3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1.5</v>
          </cell>
          <cell r="AG436">
            <v>1.0833333333333333</v>
          </cell>
          <cell r="AH436">
            <v>0.25</v>
          </cell>
          <cell r="AI436">
            <v>0.16666666666666666</v>
          </cell>
          <cell r="AJ436">
            <v>0.16666666666666666</v>
          </cell>
          <cell r="AK436">
            <v>0.41666666666666669</v>
          </cell>
          <cell r="AL436">
            <v>0.44617717789469458</v>
          </cell>
          <cell r="AM436">
            <v>0.41666666666666669</v>
          </cell>
          <cell r="AN436">
            <v>1.0708252269472669</v>
          </cell>
          <cell r="AO436">
            <v>0</v>
          </cell>
          <cell r="AP436">
            <v>2.916666666666667</v>
          </cell>
          <cell r="AQ436">
            <v>1.6666666666666667</v>
          </cell>
          <cell r="AR436">
            <v>0</v>
          </cell>
          <cell r="AS436">
            <v>1</v>
          </cell>
          <cell r="AT436">
            <v>3</v>
          </cell>
          <cell r="AU436">
            <v>2</v>
          </cell>
          <cell r="AV436">
            <v>0</v>
          </cell>
          <cell r="AW436">
            <v>1.5</v>
          </cell>
          <cell r="AX436">
            <v>3</v>
          </cell>
          <cell r="AY436">
            <v>7.1999999999999993</v>
          </cell>
          <cell r="AZ436">
            <v>0</v>
          </cell>
          <cell r="BA436">
            <v>1.8333333333333333</v>
          </cell>
          <cell r="BB436">
            <v>2</v>
          </cell>
          <cell r="BC436">
            <v>1.8461538461538463</v>
          </cell>
          <cell r="BD436">
            <v>0</v>
          </cell>
          <cell r="BE436">
            <v>0.91666666666666674</v>
          </cell>
          <cell r="BF436">
            <v>0.84615384615384626</v>
          </cell>
          <cell r="BG436">
            <v>0</v>
          </cell>
          <cell r="BH436">
            <v>-0.16666666666666652</v>
          </cell>
          <cell r="BI436">
            <v>3</v>
          </cell>
          <cell r="BJ436">
            <v>7.1999999999999993</v>
          </cell>
          <cell r="BK436">
            <v>0</v>
          </cell>
          <cell r="BL436">
            <v>4.916666666666667</v>
          </cell>
          <cell r="BM436">
            <v>6</v>
          </cell>
          <cell r="BN436">
            <v>5.5384615384615392</v>
          </cell>
          <cell r="BO436">
            <v>0</v>
          </cell>
          <cell r="BP436">
            <v>4.916666666666667</v>
          </cell>
          <cell r="BQ436">
            <v>6</v>
          </cell>
          <cell r="BR436">
            <v>14.399999999999999</v>
          </cell>
          <cell r="BS436">
            <v>0</v>
          </cell>
          <cell r="BT436">
            <v>4.916666666666667</v>
          </cell>
          <cell r="BU436">
            <v>5</v>
          </cell>
          <cell r="BV436">
            <v>4.6153846153846159</v>
          </cell>
          <cell r="BW436">
            <v>0</v>
          </cell>
          <cell r="BX436">
            <v>0</v>
          </cell>
          <cell r="BY436">
            <v>3.916666666666667</v>
          </cell>
          <cell r="BZ436">
            <v>5</v>
          </cell>
          <cell r="CA436">
            <v>4.6153846153846159</v>
          </cell>
          <cell r="CB436">
            <v>0</v>
          </cell>
          <cell r="CC436">
            <v>0</v>
          </cell>
          <cell r="CD436">
            <v>3.916666666666667</v>
          </cell>
          <cell r="CE436">
            <v>5</v>
          </cell>
          <cell r="CF436">
            <v>4.6153846153846159</v>
          </cell>
          <cell r="CG436">
            <v>0</v>
          </cell>
          <cell r="CH436">
            <v>0</v>
          </cell>
          <cell r="CI436">
            <v>2.8333333333333339</v>
          </cell>
          <cell r="CJ436">
            <v>6</v>
          </cell>
          <cell r="CK436">
            <v>5.5384615384615392</v>
          </cell>
          <cell r="CL436">
            <v>0</v>
          </cell>
          <cell r="CM436">
            <v>0</v>
          </cell>
          <cell r="CN436">
            <v>4.916666666666667</v>
          </cell>
          <cell r="CO436">
            <v>6</v>
          </cell>
          <cell r="CP436">
            <v>5.5384615384615392</v>
          </cell>
          <cell r="CQ436">
            <v>0</v>
          </cell>
          <cell r="CR436">
            <v>0</v>
          </cell>
          <cell r="CS436">
            <v>4.916666666666667</v>
          </cell>
          <cell r="CT436">
            <v>5</v>
          </cell>
          <cell r="CU436">
            <v>4.6153846153846159</v>
          </cell>
          <cell r="CV436">
            <v>0</v>
          </cell>
          <cell r="CW436">
            <v>0</v>
          </cell>
          <cell r="CX436">
            <v>3.916666666666667</v>
          </cell>
          <cell r="CY436">
            <v>4</v>
          </cell>
          <cell r="CZ436">
            <v>3.6923076923076925</v>
          </cell>
          <cell r="DA436">
            <v>0</v>
          </cell>
          <cell r="DB436">
            <v>0</v>
          </cell>
          <cell r="DC436">
            <v>2.916666666666667</v>
          </cell>
          <cell r="DD436">
            <v>4</v>
          </cell>
          <cell r="DE436">
            <v>1.8461538461538463</v>
          </cell>
          <cell r="DF436">
            <v>0</v>
          </cell>
          <cell r="DG436">
            <v>0</v>
          </cell>
          <cell r="DH436">
            <v>2.916666666666667</v>
          </cell>
          <cell r="DI436">
            <v>4</v>
          </cell>
          <cell r="DJ436">
            <v>9.0588235294117645</v>
          </cell>
          <cell r="DK436">
            <v>0</v>
          </cell>
          <cell r="DL436">
            <v>0</v>
          </cell>
          <cell r="DM436">
            <v>2.4916666666666671</v>
          </cell>
          <cell r="DN436">
            <v>3</v>
          </cell>
          <cell r="DO436">
            <v>6.8</v>
          </cell>
          <cell r="DP436">
            <v>0</v>
          </cell>
          <cell r="DQ436">
            <v>0</v>
          </cell>
          <cell r="DR436">
            <v>2.5833333333333335</v>
          </cell>
          <cell r="DS436">
            <v>2.5833333333333335</v>
          </cell>
          <cell r="DT436">
            <v>5.8000000000000007</v>
          </cell>
          <cell r="DU436">
            <v>0</v>
          </cell>
          <cell r="DV436">
            <v>0</v>
          </cell>
          <cell r="DW436">
            <v>2.166666666666667</v>
          </cell>
          <cell r="DX436">
            <v>2.166666666666667</v>
          </cell>
          <cell r="DY436">
            <v>4.8000000000000007</v>
          </cell>
          <cell r="DZ436">
            <v>0</v>
          </cell>
          <cell r="EA436">
            <v>0</v>
          </cell>
          <cell r="EB436">
            <v>1.7500000000000002</v>
          </cell>
          <cell r="EC436">
            <v>1.7500000000000002</v>
          </cell>
          <cell r="ED436">
            <v>3.8000000000000007</v>
          </cell>
          <cell r="EE436">
            <v>0</v>
          </cell>
          <cell r="EF436">
            <v>0</v>
          </cell>
          <cell r="EG436">
            <v>1.3333333333333335</v>
          </cell>
          <cell r="EH436">
            <v>1.3333333333333335</v>
          </cell>
          <cell r="EI436">
            <v>2.8000000000000003</v>
          </cell>
          <cell r="EJ436">
            <v>0</v>
          </cell>
          <cell r="EK436">
            <v>0</v>
          </cell>
          <cell r="EL436">
            <v>0.91666666666666674</v>
          </cell>
          <cell r="EM436">
            <v>0.91666666666666674</v>
          </cell>
          <cell r="EN436">
            <v>1.8000000000000003</v>
          </cell>
          <cell r="EO436">
            <v>8.3333333333333259E-2</v>
          </cell>
          <cell r="EP436">
            <v>0</v>
          </cell>
          <cell r="EQ436">
            <v>0.5</v>
          </cell>
          <cell r="ER436">
            <v>0.5</v>
          </cell>
          <cell r="ES436">
            <v>0.8</v>
          </cell>
          <cell r="ET436">
            <v>0.5</v>
          </cell>
          <cell r="EU436">
            <v>0</v>
          </cell>
          <cell r="EV436">
            <v>8.3333333333333315E-2</v>
          </cell>
          <cell r="EW436">
            <v>8.3333333333333315E-2</v>
          </cell>
          <cell r="EX436">
            <v>-0.20000000000000018</v>
          </cell>
          <cell r="EY436">
            <v>0.91666666666666674</v>
          </cell>
          <cell r="EZ436">
            <v>0</v>
          </cell>
          <cell r="FA436">
            <v>-0.33333333333333337</v>
          </cell>
          <cell r="FB436">
            <v>-0.33333333333333337</v>
          </cell>
          <cell r="FC436">
            <v>-1.2000000000000002</v>
          </cell>
          <cell r="FD436">
            <v>1.3333333333333335</v>
          </cell>
          <cell r="FE436">
            <v>0</v>
          </cell>
          <cell r="FF436">
            <v>-0.75</v>
          </cell>
          <cell r="FG436">
            <v>-0.75</v>
          </cell>
          <cell r="FH436">
            <v>-2.2000000000000002</v>
          </cell>
          <cell r="FI436">
            <v>1.75</v>
          </cell>
          <cell r="FJ436">
            <v>0</v>
          </cell>
          <cell r="FK436">
            <v>-1.1666666666666667</v>
          </cell>
          <cell r="FL436">
            <v>-1.1666666666666667</v>
          </cell>
          <cell r="FM436">
            <v>-3.2</v>
          </cell>
          <cell r="FN436">
            <v>2.166666666666667</v>
          </cell>
          <cell r="FO436">
            <v>0</v>
          </cell>
          <cell r="FP436">
            <v>-1.5833333333333335</v>
          </cell>
          <cell r="FQ436">
            <v>-1.5833333333333335</v>
          </cell>
          <cell r="FR436">
            <v>-4.2</v>
          </cell>
          <cell r="FS436">
            <v>2.5833333333333335</v>
          </cell>
          <cell r="FT436">
            <v>1</v>
          </cell>
          <cell r="FU436">
            <v>1.0333333333333334</v>
          </cell>
          <cell r="FW436" t="str">
            <v>SOBRESTOCK</v>
          </cell>
          <cell r="FX436" t="str">
            <v>B</v>
          </cell>
          <cell r="FY436" t="str">
            <v>Si</v>
          </cell>
        </row>
        <row r="437">
          <cell r="B437" t="str">
            <v>REP-0454</v>
          </cell>
          <cell r="C437" t="str">
            <v>MIX</v>
          </cell>
          <cell r="D437">
            <v>0</v>
          </cell>
          <cell r="E437">
            <v>5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5</v>
          </cell>
          <cell r="AA437">
            <v>5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5</v>
          </cell>
          <cell r="AQ437" t="str">
            <v/>
          </cell>
          <cell r="AR437">
            <v>0</v>
          </cell>
          <cell r="AS437">
            <v>5</v>
          </cell>
          <cell r="AT437">
            <v>5</v>
          </cell>
          <cell r="AU437" t="str">
            <v/>
          </cell>
          <cell r="AV437">
            <v>0</v>
          </cell>
          <cell r="AW437">
            <v>5</v>
          </cell>
          <cell r="AX437">
            <v>5</v>
          </cell>
          <cell r="AY437" t="str">
            <v/>
          </cell>
          <cell r="AZ437">
            <v>0</v>
          </cell>
          <cell r="BA437">
            <v>5</v>
          </cell>
          <cell r="BB437">
            <v>5</v>
          </cell>
          <cell r="BC437">
            <v>30</v>
          </cell>
          <cell r="BD437">
            <v>0</v>
          </cell>
          <cell r="BE437">
            <v>4.833333333333333</v>
          </cell>
          <cell r="BF437">
            <v>29</v>
          </cell>
          <cell r="BG437">
            <v>0</v>
          </cell>
          <cell r="BH437">
            <v>4.6666666666666661</v>
          </cell>
          <cell r="BI437">
            <v>5</v>
          </cell>
          <cell r="BJ437" t="str">
            <v/>
          </cell>
          <cell r="BK437">
            <v>0</v>
          </cell>
          <cell r="BL437">
            <v>5</v>
          </cell>
          <cell r="BM437">
            <v>5</v>
          </cell>
          <cell r="BN437" t="str">
            <v/>
          </cell>
          <cell r="BO437">
            <v>0</v>
          </cell>
          <cell r="BP437">
            <v>5</v>
          </cell>
          <cell r="BQ437">
            <v>5</v>
          </cell>
          <cell r="BR437" t="str">
            <v/>
          </cell>
          <cell r="BS437">
            <v>0</v>
          </cell>
          <cell r="BT437">
            <v>5</v>
          </cell>
          <cell r="BU437">
            <v>5</v>
          </cell>
          <cell r="BV437" t="str">
            <v/>
          </cell>
          <cell r="BW437">
            <v>0</v>
          </cell>
          <cell r="BX437">
            <v>0</v>
          </cell>
          <cell r="BY437">
            <v>5</v>
          </cell>
          <cell r="BZ437">
            <v>5</v>
          </cell>
          <cell r="CA437" t="str">
            <v/>
          </cell>
          <cell r="CB437">
            <v>0</v>
          </cell>
          <cell r="CC437">
            <v>0</v>
          </cell>
          <cell r="CD437">
            <v>5</v>
          </cell>
          <cell r="CE437">
            <v>5</v>
          </cell>
          <cell r="CF437" t="str">
            <v/>
          </cell>
          <cell r="CG437">
            <v>0</v>
          </cell>
          <cell r="CH437">
            <v>0</v>
          </cell>
          <cell r="CI437">
            <v>5</v>
          </cell>
          <cell r="CJ437">
            <v>5</v>
          </cell>
          <cell r="CK437" t="str">
            <v/>
          </cell>
          <cell r="CL437">
            <v>0</v>
          </cell>
          <cell r="CM437">
            <v>0</v>
          </cell>
          <cell r="CN437">
            <v>5</v>
          </cell>
          <cell r="CO437">
            <v>5</v>
          </cell>
          <cell r="CP437" t="str">
            <v/>
          </cell>
          <cell r="CQ437">
            <v>0</v>
          </cell>
          <cell r="CR437">
            <v>0</v>
          </cell>
          <cell r="CS437">
            <v>5</v>
          </cell>
          <cell r="CT437">
            <v>5</v>
          </cell>
          <cell r="CU437" t="str">
            <v/>
          </cell>
          <cell r="CV437">
            <v>0</v>
          </cell>
          <cell r="CW437">
            <v>0</v>
          </cell>
          <cell r="CX437">
            <v>5</v>
          </cell>
          <cell r="CY437">
            <v>5</v>
          </cell>
          <cell r="CZ437" t="str">
            <v/>
          </cell>
          <cell r="DA437">
            <v>0</v>
          </cell>
          <cell r="DB437">
            <v>0</v>
          </cell>
          <cell r="DC437">
            <v>5</v>
          </cell>
          <cell r="DD437">
            <v>5</v>
          </cell>
          <cell r="DE437" t="str">
            <v/>
          </cell>
          <cell r="DF437">
            <v>0</v>
          </cell>
          <cell r="DG437">
            <v>0</v>
          </cell>
          <cell r="DH437">
            <v>5</v>
          </cell>
          <cell r="DI437">
            <v>5</v>
          </cell>
          <cell r="DJ437" t="str">
            <v/>
          </cell>
          <cell r="DK437">
            <v>0</v>
          </cell>
          <cell r="DL437">
            <v>0</v>
          </cell>
          <cell r="DM437">
            <v>5</v>
          </cell>
          <cell r="DN437">
            <v>5</v>
          </cell>
          <cell r="DO437" t="str">
            <v/>
          </cell>
          <cell r="DP437">
            <v>0</v>
          </cell>
          <cell r="DQ437">
            <v>0</v>
          </cell>
          <cell r="DR437">
            <v>5</v>
          </cell>
          <cell r="DS437">
            <v>5</v>
          </cell>
          <cell r="DT437" t="str">
            <v/>
          </cell>
          <cell r="DU437">
            <v>0</v>
          </cell>
          <cell r="DV437">
            <v>0</v>
          </cell>
          <cell r="DW437">
            <v>5</v>
          </cell>
          <cell r="DX437">
            <v>5</v>
          </cell>
          <cell r="DY437" t="str">
            <v/>
          </cell>
          <cell r="DZ437">
            <v>0</v>
          </cell>
          <cell r="EA437">
            <v>0</v>
          </cell>
          <cell r="EB437">
            <v>5</v>
          </cell>
          <cell r="EC437">
            <v>5</v>
          </cell>
          <cell r="ED437" t="str">
            <v/>
          </cell>
          <cell r="EE437">
            <v>0</v>
          </cell>
          <cell r="EF437">
            <v>0</v>
          </cell>
          <cell r="EG437">
            <v>5</v>
          </cell>
          <cell r="EH437">
            <v>5</v>
          </cell>
          <cell r="EI437" t="str">
            <v/>
          </cell>
          <cell r="EJ437">
            <v>0</v>
          </cell>
          <cell r="EK437">
            <v>0</v>
          </cell>
          <cell r="EL437">
            <v>5</v>
          </cell>
          <cell r="EM437">
            <v>5</v>
          </cell>
          <cell r="EN437" t="str">
            <v/>
          </cell>
          <cell r="EO437">
            <v>0</v>
          </cell>
          <cell r="EP437">
            <v>0</v>
          </cell>
          <cell r="EQ437">
            <v>5</v>
          </cell>
          <cell r="ER437">
            <v>5</v>
          </cell>
          <cell r="ES437" t="str">
            <v/>
          </cell>
          <cell r="ET437">
            <v>0</v>
          </cell>
          <cell r="EU437">
            <v>0</v>
          </cell>
          <cell r="EV437">
            <v>5</v>
          </cell>
          <cell r="EW437">
            <v>5</v>
          </cell>
          <cell r="EX437" t="str">
            <v/>
          </cell>
          <cell r="EY437">
            <v>0</v>
          </cell>
          <cell r="EZ437">
            <v>0</v>
          </cell>
          <cell r="FA437">
            <v>5</v>
          </cell>
          <cell r="FB437">
            <v>5</v>
          </cell>
          <cell r="FC437" t="str">
            <v/>
          </cell>
          <cell r="FD437">
            <v>0</v>
          </cell>
          <cell r="FE437">
            <v>0</v>
          </cell>
          <cell r="FF437">
            <v>5</v>
          </cell>
          <cell r="FG437">
            <v>5</v>
          </cell>
          <cell r="FH437" t="str">
            <v/>
          </cell>
          <cell r="FI437">
            <v>0</v>
          </cell>
          <cell r="FJ437">
            <v>0</v>
          </cell>
          <cell r="FK437">
            <v>5</v>
          </cell>
          <cell r="FL437">
            <v>5</v>
          </cell>
          <cell r="FM437" t="str">
            <v/>
          </cell>
          <cell r="FN437">
            <v>0</v>
          </cell>
          <cell r="FO437">
            <v>0</v>
          </cell>
          <cell r="FP437">
            <v>5</v>
          </cell>
          <cell r="FQ437">
            <v>5</v>
          </cell>
          <cell r="FR437" t="str">
            <v/>
          </cell>
          <cell r="FS437">
            <v>0</v>
          </cell>
          <cell r="FT437">
            <v>0</v>
          </cell>
          <cell r="FU437">
            <v>2.0333333333333332</v>
          </cell>
          <cell r="FW437" t="str">
            <v>SIN ROTACIÓN</v>
          </cell>
          <cell r="FX437" t="str">
            <v>STOCK MUERTO</v>
          </cell>
          <cell r="FY437" t="str">
            <v>Si</v>
          </cell>
        </row>
        <row r="438">
          <cell r="B438" t="str">
            <v>REP-0455</v>
          </cell>
          <cell r="C438" t="str">
            <v>NAC</v>
          </cell>
          <cell r="D438">
            <v>0</v>
          </cell>
          <cell r="E438">
            <v>1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1</v>
          </cell>
          <cell r="AA438">
            <v>1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1</v>
          </cell>
          <cell r="AQ438" t="str">
            <v/>
          </cell>
          <cell r="AR438">
            <v>0</v>
          </cell>
          <cell r="AS438">
            <v>1</v>
          </cell>
          <cell r="AT438">
            <v>1</v>
          </cell>
          <cell r="AU438" t="str">
            <v/>
          </cell>
          <cell r="AV438">
            <v>0</v>
          </cell>
          <cell r="AW438">
            <v>1</v>
          </cell>
          <cell r="AX438">
            <v>1</v>
          </cell>
          <cell r="AY438" t="str">
            <v/>
          </cell>
          <cell r="AZ438">
            <v>0</v>
          </cell>
          <cell r="BA438">
            <v>1</v>
          </cell>
          <cell r="BB438">
            <v>1</v>
          </cell>
          <cell r="BC438" t="str">
            <v/>
          </cell>
          <cell r="BD438">
            <v>0</v>
          </cell>
          <cell r="BE438">
            <v>1</v>
          </cell>
          <cell r="BF438" t="str">
            <v/>
          </cell>
          <cell r="BG438">
            <v>0</v>
          </cell>
          <cell r="BH438">
            <v>1</v>
          </cell>
          <cell r="BI438">
            <v>1</v>
          </cell>
          <cell r="BJ438" t="str">
            <v/>
          </cell>
          <cell r="BK438">
            <v>0</v>
          </cell>
          <cell r="BL438">
            <v>1</v>
          </cell>
          <cell r="BM438">
            <v>1</v>
          </cell>
          <cell r="BN438" t="str">
            <v/>
          </cell>
          <cell r="BO438">
            <v>0</v>
          </cell>
          <cell r="BP438">
            <v>1</v>
          </cell>
          <cell r="BQ438">
            <v>1</v>
          </cell>
          <cell r="BR438" t="str">
            <v/>
          </cell>
          <cell r="BS438">
            <v>0</v>
          </cell>
          <cell r="BT438">
            <v>1</v>
          </cell>
          <cell r="BU438">
            <v>1</v>
          </cell>
          <cell r="BV438" t="str">
            <v/>
          </cell>
          <cell r="BW438">
            <v>0</v>
          </cell>
          <cell r="BX438">
            <v>0</v>
          </cell>
          <cell r="BY438">
            <v>1</v>
          </cell>
          <cell r="BZ438">
            <v>1</v>
          </cell>
          <cell r="CA438" t="str">
            <v/>
          </cell>
          <cell r="CB438">
            <v>0</v>
          </cell>
          <cell r="CC438">
            <v>0</v>
          </cell>
          <cell r="CD438">
            <v>1</v>
          </cell>
          <cell r="CE438">
            <v>1</v>
          </cell>
          <cell r="CF438" t="str">
            <v/>
          </cell>
          <cell r="CG438">
            <v>0</v>
          </cell>
          <cell r="CH438">
            <v>0</v>
          </cell>
          <cell r="CI438">
            <v>1</v>
          </cell>
          <cell r="CJ438">
            <v>1</v>
          </cell>
          <cell r="CK438" t="str">
            <v/>
          </cell>
          <cell r="CL438">
            <v>0</v>
          </cell>
          <cell r="CM438">
            <v>0</v>
          </cell>
          <cell r="CN438">
            <v>1</v>
          </cell>
          <cell r="CO438">
            <v>1</v>
          </cell>
          <cell r="CP438" t="str">
            <v/>
          </cell>
          <cell r="CQ438">
            <v>0</v>
          </cell>
          <cell r="CR438">
            <v>0</v>
          </cell>
          <cell r="CS438">
            <v>1</v>
          </cell>
          <cell r="CT438">
            <v>1</v>
          </cell>
          <cell r="CU438" t="str">
            <v/>
          </cell>
          <cell r="CV438">
            <v>0</v>
          </cell>
          <cell r="CW438">
            <v>0</v>
          </cell>
          <cell r="CX438">
            <v>1</v>
          </cell>
          <cell r="CY438">
            <v>1</v>
          </cell>
          <cell r="CZ438" t="str">
            <v/>
          </cell>
          <cell r="DA438">
            <v>0</v>
          </cell>
          <cell r="DB438">
            <v>0</v>
          </cell>
          <cell r="DC438">
            <v>1</v>
          </cell>
          <cell r="DD438">
            <v>1</v>
          </cell>
          <cell r="DE438" t="str">
            <v/>
          </cell>
          <cell r="DF438">
            <v>0</v>
          </cell>
          <cell r="DG438">
            <v>0</v>
          </cell>
          <cell r="DH438">
            <v>1</v>
          </cell>
          <cell r="DI438">
            <v>1</v>
          </cell>
          <cell r="DJ438" t="str">
            <v/>
          </cell>
          <cell r="DK438">
            <v>0</v>
          </cell>
          <cell r="DL438">
            <v>0</v>
          </cell>
          <cell r="DM438">
            <v>1</v>
          </cell>
          <cell r="DN438">
            <v>1</v>
          </cell>
          <cell r="DO438" t="str">
            <v/>
          </cell>
          <cell r="DP438">
            <v>0</v>
          </cell>
          <cell r="DQ438">
            <v>0</v>
          </cell>
          <cell r="DR438">
            <v>1</v>
          </cell>
          <cell r="DS438">
            <v>1</v>
          </cell>
          <cell r="DT438" t="str">
            <v/>
          </cell>
          <cell r="DU438">
            <v>0</v>
          </cell>
          <cell r="DV438">
            <v>0</v>
          </cell>
          <cell r="DW438">
            <v>1</v>
          </cell>
          <cell r="DX438">
            <v>1</v>
          </cell>
          <cell r="DY438" t="str">
            <v/>
          </cell>
          <cell r="DZ438">
            <v>0</v>
          </cell>
          <cell r="EA438">
            <v>0</v>
          </cell>
          <cell r="EB438">
            <v>1</v>
          </cell>
          <cell r="EC438">
            <v>1</v>
          </cell>
          <cell r="ED438" t="str">
            <v/>
          </cell>
          <cell r="EE438">
            <v>0</v>
          </cell>
          <cell r="EF438">
            <v>0</v>
          </cell>
          <cell r="EG438">
            <v>1</v>
          </cell>
          <cell r="EH438">
            <v>1</v>
          </cell>
          <cell r="EI438" t="str">
            <v/>
          </cell>
          <cell r="EJ438">
            <v>0</v>
          </cell>
          <cell r="EK438">
            <v>0</v>
          </cell>
          <cell r="EL438">
            <v>1</v>
          </cell>
          <cell r="EM438">
            <v>1</v>
          </cell>
          <cell r="EN438" t="str">
            <v/>
          </cell>
          <cell r="EO438">
            <v>0</v>
          </cell>
          <cell r="EP438">
            <v>0</v>
          </cell>
          <cell r="EQ438">
            <v>1</v>
          </cell>
          <cell r="ER438">
            <v>1</v>
          </cell>
          <cell r="ES438" t="str">
            <v/>
          </cell>
          <cell r="ET438">
            <v>0</v>
          </cell>
          <cell r="EU438">
            <v>0</v>
          </cell>
          <cell r="EV438">
            <v>1</v>
          </cell>
          <cell r="EW438">
            <v>1</v>
          </cell>
          <cell r="EX438" t="str">
            <v/>
          </cell>
          <cell r="EY438">
            <v>0</v>
          </cell>
          <cell r="EZ438">
            <v>0</v>
          </cell>
          <cell r="FA438">
            <v>1</v>
          </cell>
          <cell r="FB438">
            <v>1</v>
          </cell>
          <cell r="FC438" t="str">
            <v/>
          </cell>
          <cell r="FD438">
            <v>0</v>
          </cell>
          <cell r="FE438">
            <v>0</v>
          </cell>
          <cell r="FF438">
            <v>1</v>
          </cell>
          <cell r="FG438">
            <v>1</v>
          </cell>
          <cell r="FH438" t="str">
            <v/>
          </cell>
          <cell r="FI438">
            <v>0</v>
          </cell>
          <cell r="FJ438">
            <v>0</v>
          </cell>
          <cell r="FK438">
            <v>1</v>
          </cell>
          <cell r="FL438">
            <v>1</v>
          </cell>
          <cell r="FM438" t="str">
            <v/>
          </cell>
          <cell r="FN438">
            <v>0</v>
          </cell>
          <cell r="FO438">
            <v>0</v>
          </cell>
          <cell r="FP438">
            <v>1</v>
          </cell>
          <cell r="FQ438">
            <v>1</v>
          </cell>
          <cell r="FR438" t="str">
            <v/>
          </cell>
          <cell r="FS438">
            <v>0</v>
          </cell>
          <cell r="FT438">
            <v>0</v>
          </cell>
          <cell r="FU438">
            <v>1.0333333333333334</v>
          </cell>
          <cell r="FW438" t="str">
            <v>SIN ROTACIÓN</v>
          </cell>
          <cell r="FX438" t="str">
            <v>STOCK MUERTO</v>
          </cell>
          <cell r="FY438" t="str">
            <v>Si</v>
          </cell>
        </row>
        <row r="439">
          <cell r="B439" t="str">
            <v>REP-0456</v>
          </cell>
          <cell r="C439" t="str">
            <v>MIX</v>
          </cell>
          <cell r="D439">
            <v>0</v>
          </cell>
          <cell r="E439">
            <v>3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3</v>
          </cell>
          <cell r="AA439">
            <v>3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3</v>
          </cell>
          <cell r="AQ439" t="str">
            <v/>
          </cell>
          <cell r="AR439">
            <v>0</v>
          </cell>
          <cell r="AS439">
            <v>3</v>
          </cell>
          <cell r="AT439">
            <v>3</v>
          </cell>
          <cell r="AU439" t="str">
            <v/>
          </cell>
          <cell r="AV439">
            <v>0</v>
          </cell>
          <cell r="AW439">
            <v>3</v>
          </cell>
          <cell r="AX439">
            <v>3</v>
          </cell>
          <cell r="AY439" t="str">
            <v/>
          </cell>
          <cell r="AZ439">
            <v>0</v>
          </cell>
          <cell r="BA439">
            <v>3</v>
          </cell>
          <cell r="BB439">
            <v>3</v>
          </cell>
          <cell r="BC439" t="str">
            <v/>
          </cell>
          <cell r="BD439">
            <v>0</v>
          </cell>
          <cell r="BE439">
            <v>3</v>
          </cell>
          <cell r="BF439" t="str">
            <v/>
          </cell>
          <cell r="BG439">
            <v>0</v>
          </cell>
          <cell r="BH439">
            <v>3</v>
          </cell>
          <cell r="BI439">
            <v>3</v>
          </cell>
          <cell r="BJ439" t="str">
            <v/>
          </cell>
          <cell r="BK439">
            <v>0</v>
          </cell>
          <cell r="BL439">
            <v>3</v>
          </cell>
          <cell r="BM439">
            <v>3</v>
          </cell>
          <cell r="BN439" t="str">
            <v/>
          </cell>
          <cell r="BO439">
            <v>0</v>
          </cell>
          <cell r="BP439">
            <v>3</v>
          </cell>
          <cell r="BQ439">
            <v>3</v>
          </cell>
          <cell r="BR439" t="str">
            <v/>
          </cell>
          <cell r="BS439">
            <v>0</v>
          </cell>
          <cell r="BT439">
            <v>3</v>
          </cell>
          <cell r="BU439">
            <v>3</v>
          </cell>
          <cell r="BV439" t="str">
            <v/>
          </cell>
          <cell r="BW439">
            <v>0</v>
          </cell>
          <cell r="BX439">
            <v>0</v>
          </cell>
          <cell r="BY439">
            <v>3</v>
          </cell>
          <cell r="BZ439">
            <v>3</v>
          </cell>
          <cell r="CA439" t="str">
            <v/>
          </cell>
          <cell r="CB439">
            <v>0</v>
          </cell>
          <cell r="CC439">
            <v>0</v>
          </cell>
          <cell r="CD439">
            <v>3</v>
          </cell>
          <cell r="CE439">
            <v>3</v>
          </cell>
          <cell r="CF439" t="str">
            <v/>
          </cell>
          <cell r="CG439">
            <v>0</v>
          </cell>
          <cell r="CH439">
            <v>0</v>
          </cell>
          <cell r="CI439">
            <v>3</v>
          </cell>
          <cell r="CJ439">
            <v>3</v>
          </cell>
          <cell r="CK439" t="str">
            <v/>
          </cell>
          <cell r="CL439">
            <v>0</v>
          </cell>
          <cell r="CM439">
            <v>0</v>
          </cell>
          <cell r="CN439">
            <v>3</v>
          </cell>
          <cell r="CO439">
            <v>3</v>
          </cell>
          <cell r="CP439" t="str">
            <v/>
          </cell>
          <cell r="CQ439">
            <v>0</v>
          </cell>
          <cell r="CR439">
            <v>0</v>
          </cell>
          <cell r="CS439">
            <v>3</v>
          </cell>
          <cell r="CT439">
            <v>3</v>
          </cell>
          <cell r="CU439" t="str">
            <v/>
          </cell>
          <cell r="CV439">
            <v>0</v>
          </cell>
          <cell r="CW439">
            <v>0</v>
          </cell>
          <cell r="CX439">
            <v>3</v>
          </cell>
          <cell r="CY439">
            <v>3</v>
          </cell>
          <cell r="CZ439" t="str">
            <v/>
          </cell>
          <cell r="DA439">
            <v>0</v>
          </cell>
          <cell r="DB439">
            <v>0</v>
          </cell>
          <cell r="DC439">
            <v>3</v>
          </cell>
          <cell r="DD439">
            <v>3</v>
          </cell>
          <cell r="DE439" t="str">
            <v/>
          </cell>
          <cell r="DF439">
            <v>0</v>
          </cell>
          <cell r="DG439">
            <v>0</v>
          </cell>
          <cell r="DH439">
            <v>3</v>
          </cell>
          <cell r="DI439">
            <v>3</v>
          </cell>
          <cell r="DJ439" t="str">
            <v/>
          </cell>
          <cell r="DK439">
            <v>0</v>
          </cell>
          <cell r="DL439">
            <v>0</v>
          </cell>
          <cell r="DM439">
            <v>3</v>
          </cell>
          <cell r="DN439">
            <v>3</v>
          </cell>
          <cell r="DO439" t="str">
            <v/>
          </cell>
          <cell r="DP439">
            <v>0</v>
          </cell>
          <cell r="DQ439">
            <v>0</v>
          </cell>
          <cell r="DR439">
            <v>3</v>
          </cell>
          <cell r="DS439">
            <v>3</v>
          </cell>
          <cell r="DT439" t="str">
            <v/>
          </cell>
          <cell r="DU439">
            <v>0</v>
          </cell>
          <cell r="DV439">
            <v>0</v>
          </cell>
          <cell r="DW439">
            <v>3</v>
          </cell>
          <cell r="DX439">
            <v>3</v>
          </cell>
          <cell r="DY439" t="str">
            <v/>
          </cell>
          <cell r="DZ439">
            <v>0</v>
          </cell>
          <cell r="EA439">
            <v>0</v>
          </cell>
          <cell r="EB439">
            <v>3</v>
          </cell>
          <cell r="EC439">
            <v>3</v>
          </cell>
          <cell r="ED439" t="str">
            <v/>
          </cell>
          <cell r="EE439">
            <v>0</v>
          </cell>
          <cell r="EF439">
            <v>0</v>
          </cell>
          <cell r="EG439">
            <v>3</v>
          </cell>
          <cell r="EH439">
            <v>3</v>
          </cell>
          <cell r="EI439" t="str">
            <v/>
          </cell>
          <cell r="EJ439">
            <v>0</v>
          </cell>
          <cell r="EK439">
            <v>0</v>
          </cell>
          <cell r="EL439">
            <v>3</v>
          </cell>
          <cell r="EM439">
            <v>3</v>
          </cell>
          <cell r="EN439" t="str">
            <v/>
          </cell>
          <cell r="EO439">
            <v>0</v>
          </cell>
          <cell r="EP439">
            <v>0</v>
          </cell>
          <cell r="EQ439">
            <v>3</v>
          </cell>
          <cell r="ER439">
            <v>3</v>
          </cell>
          <cell r="ES439" t="str">
            <v/>
          </cell>
          <cell r="ET439">
            <v>0</v>
          </cell>
          <cell r="EU439">
            <v>0</v>
          </cell>
          <cell r="EV439">
            <v>3</v>
          </cell>
          <cell r="EW439">
            <v>3</v>
          </cell>
          <cell r="EX439" t="str">
            <v/>
          </cell>
          <cell r="EY439">
            <v>0</v>
          </cell>
          <cell r="EZ439">
            <v>0</v>
          </cell>
          <cell r="FA439">
            <v>3</v>
          </cell>
          <cell r="FB439">
            <v>3</v>
          </cell>
          <cell r="FC439" t="str">
            <v/>
          </cell>
          <cell r="FD439">
            <v>0</v>
          </cell>
          <cell r="FE439">
            <v>0</v>
          </cell>
          <cell r="FF439">
            <v>3</v>
          </cell>
          <cell r="FG439">
            <v>3</v>
          </cell>
          <cell r="FH439" t="str">
            <v/>
          </cell>
          <cell r="FI439">
            <v>0</v>
          </cell>
          <cell r="FJ439">
            <v>0</v>
          </cell>
          <cell r="FK439">
            <v>3</v>
          </cell>
          <cell r="FL439">
            <v>3</v>
          </cell>
          <cell r="FM439" t="str">
            <v/>
          </cell>
          <cell r="FN439">
            <v>0</v>
          </cell>
          <cell r="FO439">
            <v>0</v>
          </cell>
          <cell r="FP439">
            <v>3</v>
          </cell>
          <cell r="FQ439">
            <v>3</v>
          </cell>
          <cell r="FR439" t="str">
            <v/>
          </cell>
          <cell r="FS439">
            <v>0</v>
          </cell>
          <cell r="FT439">
            <v>0</v>
          </cell>
          <cell r="FU439">
            <v>2.0333333333333332</v>
          </cell>
          <cell r="FW439" t="str">
            <v>SIN ROTACIÓN</v>
          </cell>
          <cell r="FX439" t="str">
            <v>STOCK MUERTO</v>
          </cell>
          <cell r="FY439" t="str">
            <v>Si</v>
          </cell>
        </row>
        <row r="440">
          <cell r="B440" t="str">
            <v>REP-0457</v>
          </cell>
          <cell r="C440" t="str">
            <v>MIX</v>
          </cell>
          <cell r="D440">
            <v>0</v>
          </cell>
          <cell r="E440">
            <v>3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3</v>
          </cell>
          <cell r="AA440">
            <v>3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3</v>
          </cell>
          <cell r="AQ440" t="str">
            <v/>
          </cell>
          <cell r="AR440">
            <v>0</v>
          </cell>
          <cell r="AS440">
            <v>3</v>
          </cell>
          <cell r="AT440">
            <v>3</v>
          </cell>
          <cell r="AU440" t="str">
            <v/>
          </cell>
          <cell r="AV440">
            <v>0</v>
          </cell>
          <cell r="AW440">
            <v>3</v>
          </cell>
          <cell r="AX440">
            <v>3</v>
          </cell>
          <cell r="AY440" t="str">
            <v/>
          </cell>
          <cell r="AZ440">
            <v>0</v>
          </cell>
          <cell r="BA440">
            <v>3</v>
          </cell>
          <cell r="BB440">
            <v>3</v>
          </cell>
          <cell r="BC440">
            <v>18</v>
          </cell>
          <cell r="BD440">
            <v>0</v>
          </cell>
          <cell r="BE440">
            <v>2.8333333333333335</v>
          </cell>
          <cell r="BF440">
            <v>17.000000000000004</v>
          </cell>
          <cell r="BG440">
            <v>0</v>
          </cell>
          <cell r="BH440">
            <v>2.666666666666667</v>
          </cell>
          <cell r="BI440">
            <v>3</v>
          </cell>
          <cell r="BJ440" t="str">
            <v/>
          </cell>
          <cell r="BK440">
            <v>0</v>
          </cell>
          <cell r="BL440">
            <v>3</v>
          </cell>
          <cell r="BM440">
            <v>3</v>
          </cell>
          <cell r="BN440" t="str">
            <v/>
          </cell>
          <cell r="BO440">
            <v>0</v>
          </cell>
          <cell r="BP440">
            <v>3</v>
          </cell>
          <cell r="BQ440">
            <v>3</v>
          </cell>
          <cell r="BR440" t="str">
            <v/>
          </cell>
          <cell r="BS440">
            <v>0</v>
          </cell>
          <cell r="BT440">
            <v>3</v>
          </cell>
          <cell r="BU440">
            <v>3</v>
          </cell>
          <cell r="BV440" t="str">
            <v/>
          </cell>
          <cell r="BW440">
            <v>0</v>
          </cell>
          <cell r="BX440">
            <v>0</v>
          </cell>
          <cell r="BY440">
            <v>3</v>
          </cell>
          <cell r="BZ440">
            <v>3</v>
          </cell>
          <cell r="CA440" t="str">
            <v/>
          </cell>
          <cell r="CB440">
            <v>0</v>
          </cell>
          <cell r="CC440">
            <v>0</v>
          </cell>
          <cell r="CD440">
            <v>3</v>
          </cell>
          <cell r="CE440">
            <v>3</v>
          </cell>
          <cell r="CF440" t="str">
            <v/>
          </cell>
          <cell r="CG440">
            <v>0</v>
          </cell>
          <cell r="CH440">
            <v>0</v>
          </cell>
          <cell r="CI440">
            <v>3</v>
          </cell>
          <cell r="CJ440">
            <v>3</v>
          </cell>
          <cell r="CK440" t="str">
            <v/>
          </cell>
          <cell r="CL440">
            <v>0</v>
          </cell>
          <cell r="CM440">
            <v>0</v>
          </cell>
          <cell r="CN440">
            <v>3</v>
          </cell>
          <cell r="CO440">
            <v>3</v>
          </cell>
          <cell r="CP440" t="str">
            <v/>
          </cell>
          <cell r="CQ440">
            <v>0</v>
          </cell>
          <cell r="CR440">
            <v>0</v>
          </cell>
          <cell r="CS440">
            <v>3</v>
          </cell>
          <cell r="CT440">
            <v>3</v>
          </cell>
          <cell r="CU440" t="str">
            <v/>
          </cell>
          <cell r="CV440">
            <v>0</v>
          </cell>
          <cell r="CW440">
            <v>0</v>
          </cell>
          <cell r="CX440">
            <v>3</v>
          </cell>
          <cell r="CY440">
            <v>3</v>
          </cell>
          <cell r="CZ440" t="str">
            <v/>
          </cell>
          <cell r="DA440">
            <v>0</v>
          </cell>
          <cell r="DB440">
            <v>0</v>
          </cell>
          <cell r="DC440">
            <v>3</v>
          </cell>
          <cell r="DD440">
            <v>3</v>
          </cell>
          <cell r="DE440" t="str">
            <v/>
          </cell>
          <cell r="DF440">
            <v>0</v>
          </cell>
          <cell r="DG440">
            <v>0</v>
          </cell>
          <cell r="DH440">
            <v>3</v>
          </cell>
          <cell r="DI440">
            <v>3</v>
          </cell>
          <cell r="DJ440" t="str">
            <v/>
          </cell>
          <cell r="DK440">
            <v>0</v>
          </cell>
          <cell r="DL440">
            <v>0</v>
          </cell>
          <cell r="DM440">
            <v>3</v>
          </cell>
          <cell r="DN440">
            <v>3</v>
          </cell>
          <cell r="DO440" t="str">
            <v/>
          </cell>
          <cell r="DP440">
            <v>0</v>
          </cell>
          <cell r="DQ440">
            <v>0</v>
          </cell>
          <cell r="DR440">
            <v>3</v>
          </cell>
          <cell r="DS440">
            <v>3</v>
          </cell>
          <cell r="DT440" t="str">
            <v/>
          </cell>
          <cell r="DU440">
            <v>0</v>
          </cell>
          <cell r="DV440">
            <v>0</v>
          </cell>
          <cell r="DW440">
            <v>3</v>
          </cell>
          <cell r="DX440">
            <v>3</v>
          </cell>
          <cell r="DY440" t="str">
            <v/>
          </cell>
          <cell r="DZ440">
            <v>0</v>
          </cell>
          <cell r="EA440">
            <v>0</v>
          </cell>
          <cell r="EB440">
            <v>3</v>
          </cell>
          <cell r="EC440">
            <v>3</v>
          </cell>
          <cell r="ED440" t="str">
            <v/>
          </cell>
          <cell r="EE440">
            <v>0</v>
          </cell>
          <cell r="EF440">
            <v>0</v>
          </cell>
          <cell r="EG440">
            <v>3</v>
          </cell>
          <cell r="EH440">
            <v>3</v>
          </cell>
          <cell r="EI440" t="str">
            <v/>
          </cell>
          <cell r="EJ440">
            <v>0</v>
          </cell>
          <cell r="EK440">
            <v>0</v>
          </cell>
          <cell r="EL440">
            <v>3</v>
          </cell>
          <cell r="EM440">
            <v>3</v>
          </cell>
          <cell r="EN440" t="str">
            <v/>
          </cell>
          <cell r="EO440">
            <v>0</v>
          </cell>
          <cell r="EP440">
            <v>0</v>
          </cell>
          <cell r="EQ440">
            <v>3</v>
          </cell>
          <cell r="ER440">
            <v>3</v>
          </cell>
          <cell r="ES440" t="str">
            <v/>
          </cell>
          <cell r="ET440">
            <v>0</v>
          </cell>
          <cell r="EU440">
            <v>0</v>
          </cell>
          <cell r="EV440">
            <v>3</v>
          </cell>
          <cell r="EW440">
            <v>3</v>
          </cell>
          <cell r="EX440" t="str">
            <v/>
          </cell>
          <cell r="EY440">
            <v>0</v>
          </cell>
          <cell r="EZ440">
            <v>0</v>
          </cell>
          <cell r="FA440">
            <v>3</v>
          </cell>
          <cell r="FB440">
            <v>3</v>
          </cell>
          <cell r="FC440" t="str">
            <v/>
          </cell>
          <cell r="FD440">
            <v>0</v>
          </cell>
          <cell r="FE440">
            <v>0</v>
          </cell>
          <cell r="FF440">
            <v>3</v>
          </cell>
          <cell r="FG440">
            <v>3</v>
          </cell>
          <cell r="FH440" t="str">
            <v/>
          </cell>
          <cell r="FI440">
            <v>0</v>
          </cell>
          <cell r="FJ440">
            <v>0</v>
          </cell>
          <cell r="FK440">
            <v>3</v>
          </cell>
          <cell r="FL440">
            <v>3</v>
          </cell>
          <cell r="FM440" t="str">
            <v/>
          </cell>
          <cell r="FN440">
            <v>0</v>
          </cell>
          <cell r="FO440">
            <v>0</v>
          </cell>
          <cell r="FP440">
            <v>3</v>
          </cell>
          <cell r="FQ440">
            <v>3</v>
          </cell>
          <cell r="FR440" t="str">
            <v/>
          </cell>
          <cell r="FS440">
            <v>0</v>
          </cell>
          <cell r="FT440">
            <v>0</v>
          </cell>
          <cell r="FU440">
            <v>2.0333333333333332</v>
          </cell>
          <cell r="FW440" t="str">
            <v>SIN ROTACIÓN</v>
          </cell>
          <cell r="FX440" t="str">
            <v>STOCK MUERTO</v>
          </cell>
          <cell r="FY440" t="str">
            <v>Si</v>
          </cell>
        </row>
        <row r="441">
          <cell r="B441" t="str">
            <v>REP-0458</v>
          </cell>
          <cell r="C441" t="str">
            <v>MIX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6</v>
          </cell>
          <cell r="AQ441" t="str">
            <v/>
          </cell>
          <cell r="AR441">
            <v>0</v>
          </cell>
          <cell r="AS441">
            <v>6</v>
          </cell>
          <cell r="AT441">
            <v>6</v>
          </cell>
          <cell r="AU441" t="str">
            <v/>
          </cell>
          <cell r="AV441">
            <v>0</v>
          </cell>
          <cell r="AW441">
            <v>6</v>
          </cell>
          <cell r="AX441">
            <v>6</v>
          </cell>
          <cell r="AY441" t="str">
            <v/>
          </cell>
          <cell r="AZ441">
            <v>0</v>
          </cell>
          <cell r="BA441">
            <v>6</v>
          </cell>
          <cell r="BB441">
            <v>6</v>
          </cell>
          <cell r="BC441" t="str">
            <v/>
          </cell>
          <cell r="BD441">
            <v>0</v>
          </cell>
          <cell r="BE441">
            <v>6</v>
          </cell>
          <cell r="BF441" t="str">
            <v/>
          </cell>
          <cell r="BG441">
            <v>0</v>
          </cell>
          <cell r="BH441">
            <v>6</v>
          </cell>
          <cell r="BI441">
            <v>0</v>
          </cell>
          <cell r="BJ441" t="str">
            <v/>
          </cell>
          <cell r="BK441">
            <v>0</v>
          </cell>
          <cell r="BL441">
            <v>6</v>
          </cell>
          <cell r="BM441">
            <v>6</v>
          </cell>
          <cell r="BN441" t="str">
            <v/>
          </cell>
          <cell r="BO441">
            <v>0</v>
          </cell>
          <cell r="BP441">
            <v>6</v>
          </cell>
          <cell r="BQ441">
            <v>6</v>
          </cell>
          <cell r="BR441" t="str">
            <v/>
          </cell>
          <cell r="BS441">
            <v>0</v>
          </cell>
          <cell r="BT441">
            <v>6</v>
          </cell>
          <cell r="BU441">
            <v>6</v>
          </cell>
          <cell r="BV441" t="str">
            <v/>
          </cell>
          <cell r="BW441">
            <v>0</v>
          </cell>
          <cell r="BX441">
            <v>0</v>
          </cell>
          <cell r="BY441">
            <v>6</v>
          </cell>
          <cell r="BZ441">
            <v>6</v>
          </cell>
          <cell r="CA441" t="str">
            <v/>
          </cell>
          <cell r="CB441">
            <v>0</v>
          </cell>
          <cell r="CC441">
            <v>0</v>
          </cell>
          <cell r="CD441">
            <v>6</v>
          </cell>
          <cell r="CE441">
            <v>6</v>
          </cell>
          <cell r="CF441" t="str">
            <v/>
          </cell>
          <cell r="CG441">
            <v>0</v>
          </cell>
          <cell r="CH441">
            <v>0</v>
          </cell>
          <cell r="CI441">
            <v>6</v>
          </cell>
          <cell r="CJ441">
            <v>6</v>
          </cell>
          <cell r="CK441" t="str">
            <v/>
          </cell>
          <cell r="CL441">
            <v>0</v>
          </cell>
          <cell r="CM441">
            <v>0</v>
          </cell>
          <cell r="CN441">
            <v>6</v>
          </cell>
          <cell r="CO441">
            <v>6</v>
          </cell>
          <cell r="CP441" t="str">
            <v/>
          </cell>
          <cell r="CQ441">
            <v>0</v>
          </cell>
          <cell r="CR441">
            <v>0</v>
          </cell>
          <cell r="CS441">
            <v>6</v>
          </cell>
          <cell r="CT441">
            <v>6</v>
          </cell>
          <cell r="CU441" t="str">
            <v/>
          </cell>
          <cell r="CV441">
            <v>0</v>
          </cell>
          <cell r="CW441">
            <v>0</v>
          </cell>
          <cell r="CX441">
            <v>6</v>
          </cell>
          <cell r="CY441">
            <v>6</v>
          </cell>
          <cell r="CZ441" t="str">
            <v/>
          </cell>
          <cell r="DA441">
            <v>0</v>
          </cell>
          <cell r="DB441">
            <v>0</v>
          </cell>
          <cell r="DC441">
            <v>6</v>
          </cell>
          <cell r="DD441">
            <v>6</v>
          </cell>
          <cell r="DE441" t="str">
            <v/>
          </cell>
          <cell r="DF441">
            <v>0</v>
          </cell>
          <cell r="DG441">
            <v>0</v>
          </cell>
          <cell r="DH441">
            <v>6</v>
          </cell>
          <cell r="DI441">
            <v>6</v>
          </cell>
          <cell r="DJ441" t="str">
            <v/>
          </cell>
          <cell r="DK441">
            <v>0</v>
          </cell>
          <cell r="DL441">
            <v>0</v>
          </cell>
          <cell r="DM441">
            <v>6</v>
          </cell>
          <cell r="DN441">
            <v>0</v>
          </cell>
          <cell r="DO441" t="str">
            <v/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 t="str">
            <v/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 t="str">
            <v/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 t="str">
            <v/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 t="str">
            <v/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 t="str">
            <v/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 t="str">
            <v/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 t="str">
            <v/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 t="str">
            <v/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 t="str">
            <v/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 t="str">
            <v/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 t="str">
            <v/>
          </cell>
          <cell r="FS441">
            <v>0</v>
          </cell>
          <cell r="FT441">
            <v>0</v>
          </cell>
          <cell r="FU441">
            <v>2.0333333333333332</v>
          </cell>
          <cell r="FW441" t="str">
            <v>SIN ROTACIÓN</v>
          </cell>
          <cell r="FX441" t="str">
            <v>STOCK MUERTO</v>
          </cell>
          <cell r="FY441" t="str">
            <v>Si</v>
          </cell>
        </row>
        <row r="442">
          <cell r="B442" t="str">
            <v>REP-0459</v>
          </cell>
          <cell r="C442" t="str">
            <v>STOCK</v>
          </cell>
          <cell r="D442">
            <v>0</v>
          </cell>
          <cell r="E442">
            <v>1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1</v>
          </cell>
          <cell r="AA442">
            <v>1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1</v>
          </cell>
          <cell r="AQ442" t="str">
            <v/>
          </cell>
          <cell r="AR442">
            <v>0</v>
          </cell>
          <cell r="AS442">
            <v>1</v>
          </cell>
          <cell r="AT442">
            <v>1</v>
          </cell>
          <cell r="AU442" t="str">
            <v/>
          </cell>
          <cell r="AV442">
            <v>0</v>
          </cell>
          <cell r="AW442">
            <v>1</v>
          </cell>
          <cell r="AX442">
            <v>1</v>
          </cell>
          <cell r="AY442" t="str">
            <v/>
          </cell>
          <cell r="AZ442">
            <v>0</v>
          </cell>
          <cell r="BA442">
            <v>1</v>
          </cell>
          <cell r="BB442">
            <v>1</v>
          </cell>
          <cell r="BC442" t="str">
            <v/>
          </cell>
          <cell r="BD442">
            <v>0</v>
          </cell>
          <cell r="BE442">
            <v>1</v>
          </cell>
          <cell r="BF442" t="str">
            <v/>
          </cell>
          <cell r="BG442">
            <v>0</v>
          </cell>
          <cell r="BH442">
            <v>1</v>
          </cell>
          <cell r="BI442">
            <v>1</v>
          </cell>
          <cell r="BJ442" t="str">
            <v/>
          </cell>
          <cell r="BK442">
            <v>0</v>
          </cell>
          <cell r="BL442">
            <v>1</v>
          </cell>
          <cell r="BM442">
            <v>1</v>
          </cell>
          <cell r="BN442" t="str">
            <v/>
          </cell>
          <cell r="BO442">
            <v>0</v>
          </cell>
          <cell r="BP442">
            <v>1</v>
          </cell>
          <cell r="BQ442">
            <v>1</v>
          </cell>
          <cell r="BR442" t="str">
            <v/>
          </cell>
          <cell r="BS442">
            <v>0</v>
          </cell>
          <cell r="BT442">
            <v>1</v>
          </cell>
          <cell r="BU442">
            <v>1</v>
          </cell>
          <cell r="BV442" t="str">
            <v/>
          </cell>
          <cell r="BW442">
            <v>0</v>
          </cell>
          <cell r="BX442">
            <v>0</v>
          </cell>
          <cell r="BY442">
            <v>1</v>
          </cell>
          <cell r="BZ442">
            <v>1</v>
          </cell>
          <cell r="CA442" t="str">
            <v/>
          </cell>
          <cell r="CB442">
            <v>0</v>
          </cell>
          <cell r="CC442">
            <v>0</v>
          </cell>
          <cell r="CD442">
            <v>1</v>
          </cell>
          <cell r="CE442">
            <v>1</v>
          </cell>
          <cell r="CF442" t="str">
            <v/>
          </cell>
          <cell r="CG442">
            <v>0</v>
          </cell>
          <cell r="CH442">
            <v>0</v>
          </cell>
          <cell r="CI442">
            <v>1</v>
          </cell>
          <cell r="CJ442">
            <v>1</v>
          </cell>
          <cell r="CK442" t="str">
            <v/>
          </cell>
          <cell r="CL442">
            <v>0</v>
          </cell>
          <cell r="CM442">
            <v>0</v>
          </cell>
          <cell r="CN442">
            <v>1</v>
          </cell>
          <cell r="CO442">
            <v>1</v>
          </cell>
          <cell r="CP442" t="str">
            <v/>
          </cell>
          <cell r="CQ442">
            <v>0</v>
          </cell>
          <cell r="CR442">
            <v>0</v>
          </cell>
          <cell r="CS442">
            <v>1</v>
          </cell>
          <cell r="CT442">
            <v>1</v>
          </cell>
          <cell r="CU442" t="str">
            <v/>
          </cell>
          <cell r="CV442">
            <v>0</v>
          </cell>
          <cell r="CW442">
            <v>0</v>
          </cell>
          <cell r="CX442">
            <v>1</v>
          </cell>
          <cell r="CY442">
            <v>1</v>
          </cell>
          <cell r="CZ442" t="str">
            <v/>
          </cell>
          <cell r="DA442">
            <v>0</v>
          </cell>
          <cell r="DB442">
            <v>0</v>
          </cell>
          <cell r="DC442">
            <v>1</v>
          </cell>
          <cell r="DD442">
            <v>1</v>
          </cell>
          <cell r="DE442" t="str">
            <v/>
          </cell>
          <cell r="DF442">
            <v>0</v>
          </cell>
          <cell r="DG442">
            <v>0</v>
          </cell>
          <cell r="DH442">
            <v>1</v>
          </cell>
          <cell r="DI442">
            <v>1</v>
          </cell>
          <cell r="DJ442" t="str">
            <v/>
          </cell>
          <cell r="DK442">
            <v>0</v>
          </cell>
          <cell r="DL442">
            <v>0</v>
          </cell>
          <cell r="DM442">
            <v>1</v>
          </cell>
          <cell r="DN442">
            <v>1</v>
          </cell>
          <cell r="DO442" t="str">
            <v/>
          </cell>
          <cell r="DP442">
            <v>0</v>
          </cell>
          <cell r="DQ442">
            <v>0</v>
          </cell>
          <cell r="DR442">
            <v>1</v>
          </cell>
          <cell r="DS442">
            <v>1</v>
          </cell>
          <cell r="DT442" t="str">
            <v/>
          </cell>
          <cell r="DU442">
            <v>0</v>
          </cell>
          <cell r="DV442">
            <v>0</v>
          </cell>
          <cell r="DW442">
            <v>1</v>
          </cell>
          <cell r="DX442">
            <v>1</v>
          </cell>
          <cell r="DY442" t="str">
            <v/>
          </cell>
          <cell r="DZ442">
            <v>0</v>
          </cell>
          <cell r="EA442">
            <v>0</v>
          </cell>
          <cell r="EB442">
            <v>1</v>
          </cell>
          <cell r="EC442">
            <v>1</v>
          </cell>
          <cell r="ED442" t="str">
            <v/>
          </cell>
          <cell r="EE442">
            <v>0</v>
          </cell>
          <cell r="EF442">
            <v>0</v>
          </cell>
          <cell r="EG442">
            <v>1</v>
          </cell>
          <cell r="EH442">
            <v>1</v>
          </cell>
          <cell r="EI442" t="str">
            <v/>
          </cell>
          <cell r="EJ442">
            <v>0</v>
          </cell>
          <cell r="EK442">
            <v>0</v>
          </cell>
          <cell r="EL442">
            <v>1</v>
          </cell>
          <cell r="EM442">
            <v>1</v>
          </cell>
          <cell r="EN442" t="str">
            <v/>
          </cell>
          <cell r="EO442">
            <v>0</v>
          </cell>
          <cell r="EP442">
            <v>0</v>
          </cell>
          <cell r="EQ442">
            <v>1</v>
          </cell>
          <cell r="ER442">
            <v>1</v>
          </cell>
          <cell r="ES442" t="str">
            <v/>
          </cell>
          <cell r="ET442">
            <v>0</v>
          </cell>
          <cell r="EU442">
            <v>0</v>
          </cell>
          <cell r="EV442">
            <v>1</v>
          </cell>
          <cell r="EW442">
            <v>1</v>
          </cell>
          <cell r="EX442" t="str">
            <v/>
          </cell>
          <cell r="EY442">
            <v>0</v>
          </cell>
          <cell r="EZ442">
            <v>0</v>
          </cell>
          <cell r="FA442">
            <v>1</v>
          </cell>
          <cell r="FB442">
            <v>1</v>
          </cell>
          <cell r="FC442" t="str">
            <v/>
          </cell>
          <cell r="FD442">
            <v>0</v>
          </cell>
          <cell r="FE442">
            <v>0</v>
          </cell>
          <cell r="FF442">
            <v>1</v>
          </cell>
          <cell r="FG442">
            <v>1</v>
          </cell>
          <cell r="FH442" t="str">
            <v/>
          </cell>
          <cell r="FI442">
            <v>0</v>
          </cell>
          <cell r="FJ442">
            <v>0</v>
          </cell>
          <cell r="FK442">
            <v>1</v>
          </cell>
          <cell r="FL442">
            <v>1</v>
          </cell>
          <cell r="FM442" t="str">
            <v/>
          </cell>
          <cell r="FN442">
            <v>0</v>
          </cell>
          <cell r="FO442">
            <v>0</v>
          </cell>
          <cell r="FP442">
            <v>1</v>
          </cell>
          <cell r="FQ442">
            <v>1</v>
          </cell>
          <cell r="FR442" t="str">
            <v/>
          </cell>
          <cell r="FS442">
            <v>0</v>
          </cell>
          <cell r="FT442">
            <v>0</v>
          </cell>
          <cell r="FU442">
            <v>1.0333333333333334</v>
          </cell>
          <cell r="FW442" t="str">
            <v>SIN ROTACIÓN</v>
          </cell>
          <cell r="FX442" t="str">
            <v>STOCK MUERTO</v>
          </cell>
          <cell r="FY442" t="str">
            <v>Si</v>
          </cell>
        </row>
        <row r="443">
          <cell r="B443" t="str">
            <v>REP-0460</v>
          </cell>
          <cell r="C443" t="str">
            <v>NAC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8</v>
          </cell>
          <cell r="I443">
            <v>8</v>
          </cell>
          <cell r="J443">
            <v>0</v>
          </cell>
          <cell r="K443">
            <v>8</v>
          </cell>
          <cell r="L443">
            <v>7</v>
          </cell>
          <cell r="M443">
            <v>2</v>
          </cell>
          <cell r="N443">
            <v>0</v>
          </cell>
          <cell r="O443">
            <v>2</v>
          </cell>
          <cell r="P443">
            <v>0</v>
          </cell>
          <cell r="Q443">
            <v>2</v>
          </cell>
          <cell r="R443">
            <v>2</v>
          </cell>
          <cell r="S443">
            <v>1</v>
          </cell>
          <cell r="T443">
            <v>3</v>
          </cell>
          <cell r="U443">
            <v>2</v>
          </cell>
          <cell r="V443">
            <v>2</v>
          </cell>
          <cell r="W443">
            <v>3</v>
          </cell>
          <cell r="X443">
            <v>3</v>
          </cell>
          <cell r="Y443">
            <v>53</v>
          </cell>
          <cell r="AA443">
            <v>53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0.83333333333333337</v>
          </cell>
          <cell r="AG443">
            <v>0.75</v>
          </cell>
          <cell r="AH443">
            <v>1.25</v>
          </cell>
          <cell r="AI443">
            <v>0.83333333333333337</v>
          </cell>
          <cell r="AJ443">
            <v>0.83333333333333337</v>
          </cell>
          <cell r="AK443">
            <v>1.25</v>
          </cell>
          <cell r="AL443">
            <v>0.22566773346210994</v>
          </cell>
          <cell r="AM443">
            <v>0.91666666666666674</v>
          </cell>
          <cell r="AN443">
            <v>0.24618298195866536</v>
          </cell>
          <cell r="AO443">
            <v>0</v>
          </cell>
          <cell r="AP443">
            <v>61.666666666666664</v>
          </cell>
          <cell r="AQ443">
            <v>62</v>
          </cell>
          <cell r="AR443">
            <v>0</v>
          </cell>
          <cell r="AS443">
            <v>61.333333333333329</v>
          </cell>
          <cell r="AT443">
            <v>63</v>
          </cell>
          <cell r="AU443">
            <v>75.599999999999994</v>
          </cell>
          <cell r="AV443">
            <v>0</v>
          </cell>
          <cell r="AW443">
            <v>62.166666666666664</v>
          </cell>
          <cell r="AX443">
            <v>62</v>
          </cell>
          <cell r="AY443">
            <v>49.6</v>
          </cell>
          <cell r="AZ443">
            <v>0</v>
          </cell>
          <cell r="BA443">
            <v>61.166666666666664</v>
          </cell>
          <cell r="BB443">
            <v>61</v>
          </cell>
          <cell r="BC443">
            <v>61</v>
          </cell>
          <cell r="BD443">
            <v>0</v>
          </cell>
          <cell r="BE443">
            <v>60</v>
          </cell>
          <cell r="BF443">
            <v>60</v>
          </cell>
          <cell r="BG443">
            <v>0</v>
          </cell>
          <cell r="BH443">
            <v>59</v>
          </cell>
          <cell r="BI443">
            <v>53</v>
          </cell>
          <cell r="BJ443">
            <v>42.4</v>
          </cell>
          <cell r="BK443">
            <v>0</v>
          </cell>
          <cell r="BL443">
            <v>47.666666666666664</v>
          </cell>
          <cell r="BM443">
            <v>56</v>
          </cell>
          <cell r="BN443">
            <v>42</v>
          </cell>
          <cell r="BO443">
            <v>0</v>
          </cell>
          <cell r="BP443">
            <v>54.666666666666664</v>
          </cell>
          <cell r="BQ443">
            <v>55</v>
          </cell>
          <cell r="BR443">
            <v>44</v>
          </cell>
          <cell r="BS443">
            <v>0</v>
          </cell>
          <cell r="BT443">
            <v>53.666666666666664</v>
          </cell>
          <cell r="BU443">
            <v>54</v>
          </cell>
          <cell r="BV443">
            <v>40.5</v>
          </cell>
          <cell r="BW443">
            <v>0</v>
          </cell>
          <cell r="BX443">
            <v>0</v>
          </cell>
          <cell r="BY443">
            <v>52.666666666666664</v>
          </cell>
          <cell r="BZ443">
            <v>54</v>
          </cell>
          <cell r="CA443">
            <v>46.285714285714285</v>
          </cell>
          <cell r="CB443">
            <v>0</v>
          </cell>
          <cell r="CC443">
            <v>0</v>
          </cell>
          <cell r="CD443">
            <v>52.833333333333336</v>
          </cell>
          <cell r="CE443">
            <v>51</v>
          </cell>
          <cell r="CF443">
            <v>30.599999999999998</v>
          </cell>
          <cell r="CG443">
            <v>0</v>
          </cell>
          <cell r="CH443">
            <v>0</v>
          </cell>
          <cell r="CI443">
            <v>51.166666666666671</v>
          </cell>
          <cell r="CJ443">
            <v>48</v>
          </cell>
          <cell r="CK443">
            <v>38.4</v>
          </cell>
          <cell r="CL443">
            <v>0</v>
          </cell>
          <cell r="CM443">
            <v>0</v>
          </cell>
          <cell r="CN443">
            <v>46.75</v>
          </cell>
          <cell r="CO443">
            <v>52</v>
          </cell>
          <cell r="CP443">
            <v>41.6</v>
          </cell>
          <cell r="CQ443">
            <v>0</v>
          </cell>
          <cell r="CR443">
            <v>0</v>
          </cell>
          <cell r="CS443">
            <v>50.75</v>
          </cell>
          <cell r="CT443">
            <v>50</v>
          </cell>
          <cell r="CU443">
            <v>37.5</v>
          </cell>
          <cell r="CV443">
            <v>0</v>
          </cell>
          <cell r="CW443">
            <v>0</v>
          </cell>
          <cell r="CX443">
            <v>48.666666666666664</v>
          </cell>
          <cell r="CY443">
            <v>50</v>
          </cell>
          <cell r="CZ443">
            <v>40</v>
          </cell>
          <cell r="DA443">
            <v>0</v>
          </cell>
          <cell r="DB443">
            <v>0</v>
          </cell>
          <cell r="DC443">
            <v>48.75</v>
          </cell>
          <cell r="DD443">
            <v>48</v>
          </cell>
          <cell r="DE443">
            <v>36.799999999999997</v>
          </cell>
          <cell r="DF443">
            <v>0</v>
          </cell>
          <cell r="DG443">
            <v>0</v>
          </cell>
          <cell r="DH443">
            <v>46.75</v>
          </cell>
          <cell r="DI443">
            <v>48</v>
          </cell>
          <cell r="DJ443">
            <v>38.799999999999997</v>
          </cell>
          <cell r="DK443">
            <v>0</v>
          </cell>
          <cell r="DL443">
            <v>0</v>
          </cell>
          <cell r="DM443">
            <v>45.5</v>
          </cell>
          <cell r="DN443">
            <v>53</v>
          </cell>
          <cell r="DO443">
            <v>42.8</v>
          </cell>
          <cell r="DP443">
            <v>0</v>
          </cell>
          <cell r="DQ443">
            <v>0</v>
          </cell>
          <cell r="DR443">
            <v>51.75</v>
          </cell>
          <cell r="DS443">
            <v>51.75</v>
          </cell>
          <cell r="DT443">
            <v>41.8</v>
          </cell>
          <cell r="DU443">
            <v>0</v>
          </cell>
          <cell r="DV443">
            <v>0</v>
          </cell>
          <cell r="DW443">
            <v>50.5</v>
          </cell>
          <cell r="DX443">
            <v>50.5</v>
          </cell>
          <cell r="DY443">
            <v>40.799999999999997</v>
          </cell>
          <cell r="DZ443">
            <v>0</v>
          </cell>
          <cell r="EA443">
            <v>0</v>
          </cell>
          <cell r="EB443">
            <v>49.25</v>
          </cell>
          <cell r="EC443">
            <v>49.25</v>
          </cell>
          <cell r="ED443">
            <v>39.799999999999997</v>
          </cell>
          <cell r="EE443">
            <v>0</v>
          </cell>
          <cell r="EF443">
            <v>0</v>
          </cell>
          <cell r="EG443">
            <v>48</v>
          </cell>
          <cell r="EH443">
            <v>48</v>
          </cell>
          <cell r="EI443">
            <v>38.799999999999997</v>
          </cell>
          <cell r="EJ443">
            <v>0</v>
          </cell>
          <cell r="EK443">
            <v>0</v>
          </cell>
          <cell r="EL443">
            <v>46.75</v>
          </cell>
          <cell r="EM443">
            <v>46.75</v>
          </cell>
          <cell r="EN443">
            <v>37.799999999999997</v>
          </cell>
          <cell r="EO443">
            <v>0</v>
          </cell>
          <cell r="EP443">
            <v>0</v>
          </cell>
          <cell r="EQ443">
            <v>45.5</v>
          </cell>
          <cell r="ER443">
            <v>45.5</v>
          </cell>
          <cell r="ES443">
            <v>36.799999999999997</v>
          </cell>
          <cell r="ET443">
            <v>0</v>
          </cell>
          <cell r="EU443">
            <v>0</v>
          </cell>
          <cell r="EV443">
            <v>44.25</v>
          </cell>
          <cell r="EW443">
            <v>44.25</v>
          </cell>
          <cell r="EX443">
            <v>35.799999999999997</v>
          </cell>
          <cell r="EY443">
            <v>0</v>
          </cell>
          <cell r="EZ443">
            <v>0</v>
          </cell>
          <cell r="FA443">
            <v>43</v>
          </cell>
          <cell r="FB443">
            <v>43</v>
          </cell>
          <cell r="FC443">
            <v>34.799999999999997</v>
          </cell>
          <cell r="FD443">
            <v>0</v>
          </cell>
          <cell r="FE443">
            <v>0</v>
          </cell>
          <cell r="FF443">
            <v>41.75</v>
          </cell>
          <cell r="FG443">
            <v>41.75</v>
          </cell>
          <cell r="FH443">
            <v>33.799999999999997</v>
          </cell>
          <cell r="FI443">
            <v>0</v>
          </cell>
          <cell r="FJ443">
            <v>0</v>
          </cell>
          <cell r="FK443">
            <v>40.5</v>
          </cell>
          <cell r="FL443">
            <v>40.5</v>
          </cell>
          <cell r="FM443">
            <v>32.799999999999997</v>
          </cell>
          <cell r="FN443">
            <v>0</v>
          </cell>
          <cell r="FO443">
            <v>0</v>
          </cell>
          <cell r="FP443">
            <v>39.25</v>
          </cell>
          <cell r="FQ443">
            <v>39.25</v>
          </cell>
          <cell r="FR443">
            <v>31.8</v>
          </cell>
          <cell r="FS443">
            <v>0</v>
          </cell>
          <cell r="FT443">
            <v>2</v>
          </cell>
          <cell r="FU443">
            <v>1.0333333333333334</v>
          </cell>
          <cell r="FW443" t="str">
            <v>SOBRESTOCK</v>
          </cell>
          <cell r="FX443" t="str">
            <v>B</v>
          </cell>
          <cell r="FY443" t="str">
            <v>Si</v>
          </cell>
        </row>
        <row r="444">
          <cell r="B444" t="str">
            <v>REP-0461</v>
          </cell>
          <cell r="C444" t="str">
            <v>MIX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0.16666666666666666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M444">
            <v>0</v>
          </cell>
          <cell r="AO444">
            <v>0</v>
          </cell>
          <cell r="AP444">
            <v>0</v>
          </cell>
          <cell r="AQ444">
            <v>-1</v>
          </cell>
          <cell r="AR444">
            <v>0</v>
          </cell>
          <cell r="AS444">
            <v>-0.33333333333333331</v>
          </cell>
          <cell r="AT444">
            <v>0</v>
          </cell>
          <cell r="AU444" t="str">
            <v/>
          </cell>
          <cell r="AV444">
            <v>0</v>
          </cell>
          <cell r="AW444">
            <v>0</v>
          </cell>
          <cell r="AX444">
            <v>0</v>
          </cell>
          <cell r="AY444" t="str">
            <v/>
          </cell>
          <cell r="AZ444">
            <v>0</v>
          </cell>
          <cell r="BA444">
            <v>0</v>
          </cell>
          <cell r="BB444">
            <v>0</v>
          </cell>
          <cell r="BC444" t="str">
            <v/>
          </cell>
          <cell r="BD444">
            <v>0</v>
          </cell>
          <cell r="BE444">
            <v>0</v>
          </cell>
          <cell r="BF444" t="str">
            <v/>
          </cell>
          <cell r="BG444">
            <v>0</v>
          </cell>
          <cell r="BH444">
            <v>0</v>
          </cell>
          <cell r="BI444">
            <v>0</v>
          </cell>
          <cell r="BJ444" t="str">
            <v/>
          </cell>
          <cell r="BK444">
            <v>0</v>
          </cell>
          <cell r="BL444">
            <v>0</v>
          </cell>
          <cell r="BM444">
            <v>0</v>
          </cell>
          <cell r="BN444" t="str">
            <v/>
          </cell>
          <cell r="BO444">
            <v>0</v>
          </cell>
          <cell r="BP444">
            <v>0</v>
          </cell>
          <cell r="BQ444">
            <v>0</v>
          </cell>
          <cell r="BR444" t="str">
            <v/>
          </cell>
          <cell r="BS444">
            <v>0</v>
          </cell>
          <cell r="BT444">
            <v>0</v>
          </cell>
          <cell r="BU444">
            <v>0</v>
          </cell>
          <cell r="BV444" t="str">
            <v/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 t="str">
            <v/>
          </cell>
          <cell r="CB444">
            <v>0</v>
          </cell>
          <cell r="CD444">
            <v>0</v>
          </cell>
          <cell r="CE444">
            <v>0</v>
          </cell>
          <cell r="CF444" t="str">
            <v/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 t="str">
            <v/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 t="str">
            <v/>
          </cell>
          <cell r="CQ444">
            <v>0</v>
          </cell>
          <cell r="CS444">
            <v>0</v>
          </cell>
          <cell r="CT444">
            <v>0</v>
          </cell>
          <cell r="CU444" t="str">
            <v/>
          </cell>
          <cell r="CV444">
            <v>0</v>
          </cell>
          <cell r="CX444">
            <v>0</v>
          </cell>
          <cell r="CY444">
            <v>0</v>
          </cell>
          <cell r="CZ444" t="str">
            <v/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 t="str">
            <v/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 t="str">
            <v/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 t="str">
            <v/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 t="str">
            <v/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 t="str">
            <v/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 t="str">
            <v/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 t="str">
            <v/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 t="str">
            <v/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 t="str">
            <v/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 t="str">
            <v/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 t="str">
            <v/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 t="str">
            <v/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 t="str">
            <v/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 t="str">
            <v/>
          </cell>
          <cell r="FS444">
            <v>0</v>
          </cell>
          <cell r="FT444">
            <v>0</v>
          </cell>
          <cell r="FU444">
            <v>66.666666666666671</v>
          </cell>
          <cell r="FW444" t="str">
            <v>SIN ROTACIÓN</v>
          </cell>
          <cell r="FX444" t="str">
            <v/>
          </cell>
          <cell r="FY444" t="str">
            <v>No</v>
          </cell>
        </row>
        <row r="445">
          <cell r="B445" t="str">
            <v>REP-0462</v>
          </cell>
          <cell r="C445" t="str">
            <v>MIX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 t="str">
            <v/>
          </cell>
          <cell r="AR445">
            <v>0</v>
          </cell>
          <cell r="AS445">
            <v>0</v>
          </cell>
          <cell r="AT445">
            <v>0</v>
          </cell>
          <cell r="AU445" t="str">
            <v/>
          </cell>
          <cell r="AV445">
            <v>0</v>
          </cell>
          <cell r="AW445">
            <v>0</v>
          </cell>
          <cell r="AX445">
            <v>0</v>
          </cell>
          <cell r="AY445" t="str">
            <v/>
          </cell>
          <cell r="AZ445">
            <v>0</v>
          </cell>
          <cell r="BA445">
            <v>0</v>
          </cell>
          <cell r="BB445">
            <v>0</v>
          </cell>
          <cell r="BC445" t="str">
            <v/>
          </cell>
          <cell r="BD445">
            <v>0</v>
          </cell>
          <cell r="BE445">
            <v>0</v>
          </cell>
          <cell r="BF445" t="str">
            <v/>
          </cell>
          <cell r="BG445">
            <v>0</v>
          </cell>
          <cell r="BH445">
            <v>0</v>
          </cell>
          <cell r="BI445">
            <v>0</v>
          </cell>
          <cell r="BJ445" t="str">
            <v/>
          </cell>
          <cell r="BK445">
            <v>0</v>
          </cell>
          <cell r="BL445">
            <v>0</v>
          </cell>
          <cell r="BM445">
            <v>0</v>
          </cell>
          <cell r="BN445" t="str">
            <v/>
          </cell>
          <cell r="BO445">
            <v>0</v>
          </cell>
          <cell r="BP445">
            <v>0</v>
          </cell>
          <cell r="BQ445">
            <v>0</v>
          </cell>
          <cell r="BR445" t="str">
            <v/>
          </cell>
          <cell r="BS445">
            <v>0</v>
          </cell>
          <cell r="BT445">
            <v>0</v>
          </cell>
          <cell r="BU445">
            <v>0</v>
          </cell>
          <cell r="BV445" t="str">
            <v/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 t="str">
            <v/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 t="str">
            <v/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 t="str">
            <v/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 t="str">
            <v/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 t="str">
            <v/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 t="str">
            <v/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 t="str">
            <v/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 t="str">
            <v/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 t="str">
            <v/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 t="str">
            <v/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 t="str">
            <v/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 t="str">
            <v/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 t="str">
            <v/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 t="str">
            <v/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 t="str">
            <v/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 t="str">
            <v/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 t="str">
            <v/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 t="str">
            <v/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 t="str">
            <v/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 t="str">
            <v/>
          </cell>
          <cell r="FS445">
            <v>0</v>
          </cell>
          <cell r="FT445">
            <v>0</v>
          </cell>
          <cell r="FU445">
            <v>2.0333333333333332</v>
          </cell>
          <cell r="FW445" t="e">
            <v>#N/A</v>
          </cell>
          <cell r="FX445" t="str">
            <v>STOCK MUERTO</v>
          </cell>
          <cell r="FY445" t="str">
            <v>Si</v>
          </cell>
        </row>
        <row r="446">
          <cell r="B446" t="str">
            <v>REP-0463</v>
          </cell>
          <cell r="C446" t="str">
            <v>MIX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1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1</v>
          </cell>
          <cell r="AA446">
            <v>1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1</v>
          </cell>
          <cell r="AQ446" t="str">
            <v/>
          </cell>
          <cell r="AR446">
            <v>0</v>
          </cell>
          <cell r="AS446">
            <v>1</v>
          </cell>
          <cell r="AT446">
            <v>1</v>
          </cell>
          <cell r="AU446" t="str">
            <v/>
          </cell>
          <cell r="AV446">
            <v>0</v>
          </cell>
          <cell r="AW446">
            <v>1</v>
          </cell>
          <cell r="AX446">
            <v>1</v>
          </cell>
          <cell r="AY446" t="str">
            <v/>
          </cell>
          <cell r="AZ446">
            <v>0</v>
          </cell>
          <cell r="BA446">
            <v>1</v>
          </cell>
          <cell r="BB446">
            <v>1</v>
          </cell>
          <cell r="BC446" t="str">
            <v/>
          </cell>
          <cell r="BD446">
            <v>0</v>
          </cell>
          <cell r="BE446">
            <v>1</v>
          </cell>
          <cell r="BF446" t="str">
            <v/>
          </cell>
          <cell r="BG446">
            <v>0</v>
          </cell>
          <cell r="BH446">
            <v>1</v>
          </cell>
          <cell r="BI446">
            <v>1</v>
          </cell>
          <cell r="BJ446" t="str">
            <v/>
          </cell>
          <cell r="BK446">
            <v>0</v>
          </cell>
          <cell r="BL446">
            <v>1</v>
          </cell>
          <cell r="BM446">
            <v>1</v>
          </cell>
          <cell r="BN446" t="str">
            <v/>
          </cell>
          <cell r="BO446">
            <v>0</v>
          </cell>
          <cell r="BP446">
            <v>1</v>
          </cell>
          <cell r="BQ446">
            <v>1</v>
          </cell>
          <cell r="BR446" t="str">
            <v/>
          </cell>
          <cell r="BS446">
            <v>0</v>
          </cell>
          <cell r="BT446">
            <v>1</v>
          </cell>
          <cell r="BU446">
            <v>1</v>
          </cell>
          <cell r="BV446" t="str">
            <v/>
          </cell>
          <cell r="BW446">
            <v>0</v>
          </cell>
          <cell r="BX446">
            <v>0</v>
          </cell>
          <cell r="BY446">
            <v>1</v>
          </cell>
          <cell r="BZ446">
            <v>1</v>
          </cell>
          <cell r="CA446" t="str">
            <v/>
          </cell>
          <cell r="CB446">
            <v>0</v>
          </cell>
          <cell r="CC446">
            <v>0</v>
          </cell>
          <cell r="CD446">
            <v>1</v>
          </cell>
          <cell r="CE446">
            <v>1</v>
          </cell>
          <cell r="CF446" t="str">
            <v/>
          </cell>
          <cell r="CG446">
            <v>0</v>
          </cell>
          <cell r="CH446">
            <v>0</v>
          </cell>
          <cell r="CI446">
            <v>1</v>
          </cell>
          <cell r="CJ446">
            <v>1</v>
          </cell>
          <cell r="CK446" t="str">
            <v/>
          </cell>
          <cell r="CL446">
            <v>0</v>
          </cell>
          <cell r="CM446">
            <v>0</v>
          </cell>
          <cell r="CN446">
            <v>1</v>
          </cell>
          <cell r="CO446">
            <v>1</v>
          </cell>
          <cell r="CP446" t="str">
            <v/>
          </cell>
          <cell r="CQ446">
            <v>0</v>
          </cell>
          <cell r="CR446">
            <v>0</v>
          </cell>
          <cell r="CS446">
            <v>1</v>
          </cell>
          <cell r="CT446">
            <v>1</v>
          </cell>
          <cell r="CU446" t="str">
            <v/>
          </cell>
          <cell r="CV446">
            <v>0</v>
          </cell>
          <cell r="CW446">
            <v>0</v>
          </cell>
          <cell r="CX446">
            <v>1</v>
          </cell>
          <cell r="CY446">
            <v>1</v>
          </cell>
          <cell r="CZ446" t="str">
            <v/>
          </cell>
          <cell r="DA446">
            <v>0</v>
          </cell>
          <cell r="DB446">
            <v>0</v>
          </cell>
          <cell r="DC446">
            <v>1</v>
          </cell>
          <cell r="DD446">
            <v>1</v>
          </cell>
          <cell r="DE446" t="str">
            <v/>
          </cell>
          <cell r="DF446">
            <v>0</v>
          </cell>
          <cell r="DG446">
            <v>0</v>
          </cell>
          <cell r="DH446">
            <v>1</v>
          </cell>
          <cell r="DI446">
            <v>1</v>
          </cell>
          <cell r="DJ446" t="str">
            <v/>
          </cell>
          <cell r="DK446">
            <v>0</v>
          </cell>
          <cell r="DL446">
            <v>0</v>
          </cell>
          <cell r="DM446">
            <v>1</v>
          </cell>
          <cell r="DN446">
            <v>1</v>
          </cell>
          <cell r="DO446" t="str">
            <v/>
          </cell>
          <cell r="DP446">
            <v>0</v>
          </cell>
          <cell r="DQ446">
            <v>0</v>
          </cell>
          <cell r="DR446">
            <v>1</v>
          </cell>
          <cell r="DS446">
            <v>1</v>
          </cell>
          <cell r="DT446" t="str">
            <v/>
          </cell>
          <cell r="DU446">
            <v>0</v>
          </cell>
          <cell r="DV446">
            <v>0</v>
          </cell>
          <cell r="DW446">
            <v>1</v>
          </cell>
          <cell r="DX446">
            <v>1</v>
          </cell>
          <cell r="DY446" t="str">
            <v/>
          </cell>
          <cell r="DZ446">
            <v>0</v>
          </cell>
          <cell r="EA446">
            <v>0</v>
          </cell>
          <cell r="EB446">
            <v>1</v>
          </cell>
          <cell r="EC446">
            <v>1</v>
          </cell>
          <cell r="ED446" t="str">
            <v/>
          </cell>
          <cell r="EE446">
            <v>0</v>
          </cell>
          <cell r="EF446">
            <v>0</v>
          </cell>
          <cell r="EG446">
            <v>1</v>
          </cell>
          <cell r="EH446">
            <v>1</v>
          </cell>
          <cell r="EI446" t="str">
            <v/>
          </cell>
          <cell r="EJ446">
            <v>0</v>
          </cell>
          <cell r="EK446">
            <v>0</v>
          </cell>
          <cell r="EL446">
            <v>1</v>
          </cell>
          <cell r="EM446">
            <v>1</v>
          </cell>
          <cell r="EN446" t="str">
            <v/>
          </cell>
          <cell r="EO446">
            <v>0</v>
          </cell>
          <cell r="EP446">
            <v>0</v>
          </cell>
          <cell r="EQ446">
            <v>1</v>
          </cell>
          <cell r="ER446">
            <v>1</v>
          </cell>
          <cell r="ES446" t="str">
            <v/>
          </cell>
          <cell r="ET446">
            <v>0</v>
          </cell>
          <cell r="EU446">
            <v>0</v>
          </cell>
          <cell r="EV446">
            <v>1</v>
          </cell>
          <cell r="EW446">
            <v>1</v>
          </cell>
          <cell r="EX446" t="str">
            <v/>
          </cell>
          <cell r="EY446">
            <v>0</v>
          </cell>
          <cell r="EZ446">
            <v>0</v>
          </cell>
          <cell r="FA446">
            <v>1</v>
          </cell>
          <cell r="FB446">
            <v>1</v>
          </cell>
          <cell r="FC446" t="str">
            <v/>
          </cell>
          <cell r="FD446">
            <v>0</v>
          </cell>
          <cell r="FE446">
            <v>0</v>
          </cell>
          <cell r="FF446">
            <v>1</v>
          </cell>
          <cell r="FG446">
            <v>1</v>
          </cell>
          <cell r="FH446" t="str">
            <v/>
          </cell>
          <cell r="FI446">
            <v>0</v>
          </cell>
          <cell r="FJ446">
            <v>0</v>
          </cell>
          <cell r="FK446">
            <v>1</v>
          </cell>
          <cell r="FL446">
            <v>1</v>
          </cell>
          <cell r="FM446" t="str">
            <v/>
          </cell>
          <cell r="FN446">
            <v>0</v>
          </cell>
          <cell r="FO446">
            <v>0</v>
          </cell>
          <cell r="FP446">
            <v>1</v>
          </cell>
          <cell r="FQ446">
            <v>1</v>
          </cell>
          <cell r="FR446" t="str">
            <v/>
          </cell>
          <cell r="FS446">
            <v>0</v>
          </cell>
          <cell r="FT446">
            <v>0</v>
          </cell>
          <cell r="FU446">
            <v>2.0333333333333332</v>
          </cell>
          <cell r="FW446" t="str">
            <v>SIN ROTACIÓN</v>
          </cell>
          <cell r="FX446" t="str">
            <v>STOCK MUERTO</v>
          </cell>
          <cell r="FY446" t="str">
            <v>Si</v>
          </cell>
        </row>
        <row r="447">
          <cell r="B447" t="str">
            <v>REP-0464</v>
          </cell>
          <cell r="C447" t="str">
            <v>MIX</v>
          </cell>
          <cell r="D447">
            <v>0</v>
          </cell>
          <cell r="E447">
            <v>2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2</v>
          </cell>
          <cell r="AA447">
            <v>2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2</v>
          </cell>
          <cell r="AQ447" t="str">
            <v/>
          </cell>
          <cell r="AR447">
            <v>0</v>
          </cell>
          <cell r="AS447">
            <v>2</v>
          </cell>
          <cell r="AT447">
            <v>2</v>
          </cell>
          <cell r="AU447" t="str">
            <v/>
          </cell>
          <cell r="AV447">
            <v>0</v>
          </cell>
          <cell r="AW447">
            <v>2</v>
          </cell>
          <cell r="AX447">
            <v>2</v>
          </cell>
          <cell r="AY447" t="str">
            <v/>
          </cell>
          <cell r="AZ447">
            <v>0</v>
          </cell>
          <cell r="BA447">
            <v>2</v>
          </cell>
          <cell r="BB447">
            <v>2</v>
          </cell>
          <cell r="BC447" t="str">
            <v/>
          </cell>
          <cell r="BD447">
            <v>0</v>
          </cell>
          <cell r="BE447">
            <v>2</v>
          </cell>
          <cell r="BF447" t="str">
            <v/>
          </cell>
          <cell r="BG447">
            <v>0</v>
          </cell>
          <cell r="BH447">
            <v>2</v>
          </cell>
          <cell r="BI447">
            <v>2</v>
          </cell>
          <cell r="BJ447" t="str">
            <v/>
          </cell>
          <cell r="BK447">
            <v>0</v>
          </cell>
          <cell r="BL447">
            <v>2</v>
          </cell>
          <cell r="BM447">
            <v>2</v>
          </cell>
          <cell r="BN447" t="str">
            <v/>
          </cell>
          <cell r="BO447">
            <v>0</v>
          </cell>
          <cell r="BP447">
            <v>2</v>
          </cell>
          <cell r="BQ447">
            <v>2</v>
          </cell>
          <cell r="BR447" t="str">
            <v/>
          </cell>
          <cell r="BS447">
            <v>0</v>
          </cell>
          <cell r="BT447">
            <v>2</v>
          </cell>
          <cell r="BU447">
            <v>2</v>
          </cell>
          <cell r="BV447" t="str">
            <v/>
          </cell>
          <cell r="BW447">
            <v>0</v>
          </cell>
          <cell r="BX447">
            <v>0</v>
          </cell>
          <cell r="BY447">
            <v>2</v>
          </cell>
          <cell r="BZ447">
            <v>2</v>
          </cell>
          <cell r="CA447" t="str">
            <v/>
          </cell>
          <cell r="CB447">
            <v>0</v>
          </cell>
          <cell r="CC447">
            <v>0</v>
          </cell>
          <cell r="CD447">
            <v>2</v>
          </cell>
          <cell r="CE447">
            <v>2</v>
          </cell>
          <cell r="CF447" t="str">
            <v/>
          </cell>
          <cell r="CG447">
            <v>0</v>
          </cell>
          <cell r="CH447">
            <v>0</v>
          </cell>
          <cell r="CI447">
            <v>2</v>
          </cell>
          <cell r="CJ447">
            <v>2</v>
          </cell>
          <cell r="CK447" t="str">
            <v/>
          </cell>
          <cell r="CL447">
            <v>0</v>
          </cell>
          <cell r="CM447">
            <v>0</v>
          </cell>
          <cell r="CN447">
            <v>2</v>
          </cell>
          <cell r="CO447">
            <v>2</v>
          </cell>
          <cell r="CP447" t="str">
            <v/>
          </cell>
          <cell r="CQ447">
            <v>0</v>
          </cell>
          <cell r="CR447">
            <v>0</v>
          </cell>
          <cell r="CS447">
            <v>2</v>
          </cell>
          <cell r="CT447">
            <v>2</v>
          </cell>
          <cell r="CU447" t="str">
            <v/>
          </cell>
          <cell r="CV447">
            <v>0</v>
          </cell>
          <cell r="CW447">
            <v>0</v>
          </cell>
          <cell r="CX447">
            <v>2</v>
          </cell>
          <cell r="CY447">
            <v>2</v>
          </cell>
          <cell r="CZ447" t="str">
            <v/>
          </cell>
          <cell r="DA447">
            <v>0</v>
          </cell>
          <cell r="DB447">
            <v>0</v>
          </cell>
          <cell r="DC447">
            <v>2</v>
          </cell>
          <cell r="DD447">
            <v>2</v>
          </cell>
          <cell r="DE447" t="str">
            <v/>
          </cell>
          <cell r="DF447">
            <v>0</v>
          </cell>
          <cell r="DG447">
            <v>0</v>
          </cell>
          <cell r="DH447">
            <v>2</v>
          </cell>
          <cell r="DI447">
            <v>2</v>
          </cell>
          <cell r="DJ447" t="str">
            <v/>
          </cell>
          <cell r="DK447">
            <v>0</v>
          </cell>
          <cell r="DL447">
            <v>0</v>
          </cell>
          <cell r="DM447">
            <v>2</v>
          </cell>
          <cell r="DN447">
            <v>2</v>
          </cell>
          <cell r="DO447" t="str">
            <v/>
          </cell>
          <cell r="DP447">
            <v>0</v>
          </cell>
          <cell r="DQ447">
            <v>0</v>
          </cell>
          <cell r="DR447">
            <v>2</v>
          </cell>
          <cell r="DS447">
            <v>2</v>
          </cell>
          <cell r="DT447" t="str">
            <v/>
          </cell>
          <cell r="DU447">
            <v>0</v>
          </cell>
          <cell r="DV447">
            <v>0</v>
          </cell>
          <cell r="DW447">
            <v>2</v>
          </cell>
          <cell r="DX447">
            <v>2</v>
          </cell>
          <cell r="DY447" t="str">
            <v/>
          </cell>
          <cell r="DZ447">
            <v>0</v>
          </cell>
          <cell r="EA447">
            <v>0</v>
          </cell>
          <cell r="EB447">
            <v>2</v>
          </cell>
          <cell r="EC447">
            <v>2</v>
          </cell>
          <cell r="ED447" t="str">
            <v/>
          </cell>
          <cell r="EE447">
            <v>0</v>
          </cell>
          <cell r="EF447">
            <v>0</v>
          </cell>
          <cell r="EG447">
            <v>2</v>
          </cell>
          <cell r="EH447">
            <v>2</v>
          </cell>
          <cell r="EI447" t="str">
            <v/>
          </cell>
          <cell r="EJ447">
            <v>0</v>
          </cell>
          <cell r="EK447">
            <v>0</v>
          </cell>
          <cell r="EL447">
            <v>2</v>
          </cell>
          <cell r="EM447">
            <v>2</v>
          </cell>
          <cell r="EN447" t="str">
            <v/>
          </cell>
          <cell r="EO447">
            <v>0</v>
          </cell>
          <cell r="EP447">
            <v>0</v>
          </cell>
          <cell r="EQ447">
            <v>2</v>
          </cell>
          <cell r="ER447">
            <v>2</v>
          </cell>
          <cell r="ES447" t="str">
            <v/>
          </cell>
          <cell r="ET447">
            <v>0</v>
          </cell>
          <cell r="EU447">
            <v>0</v>
          </cell>
          <cell r="EV447">
            <v>2</v>
          </cell>
          <cell r="EW447">
            <v>2</v>
          </cell>
          <cell r="EX447" t="str">
            <v/>
          </cell>
          <cell r="EY447">
            <v>0</v>
          </cell>
          <cell r="EZ447">
            <v>0</v>
          </cell>
          <cell r="FA447">
            <v>2</v>
          </cell>
          <cell r="FB447">
            <v>2</v>
          </cell>
          <cell r="FC447" t="str">
            <v/>
          </cell>
          <cell r="FD447">
            <v>0</v>
          </cell>
          <cell r="FE447">
            <v>0</v>
          </cell>
          <cell r="FF447">
            <v>2</v>
          </cell>
          <cell r="FG447">
            <v>2</v>
          </cell>
          <cell r="FH447" t="str">
            <v/>
          </cell>
          <cell r="FI447">
            <v>0</v>
          </cell>
          <cell r="FJ447">
            <v>0</v>
          </cell>
          <cell r="FK447">
            <v>2</v>
          </cell>
          <cell r="FL447">
            <v>2</v>
          </cell>
          <cell r="FM447" t="str">
            <v/>
          </cell>
          <cell r="FN447">
            <v>0</v>
          </cell>
          <cell r="FO447">
            <v>0</v>
          </cell>
          <cell r="FP447">
            <v>2</v>
          </cell>
          <cell r="FQ447">
            <v>2</v>
          </cell>
          <cell r="FR447" t="str">
            <v/>
          </cell>
          <cell r="FS447">
            <v>0</v>
          </cell>
          <cell r="FT447">
            <v>0</v>
          </cell>
          <cell r="FU447">
            <v>2.0333333333333332</v>
          </cell>
          <cell r="FW447" t="str">
            <v>SIN ROTACIÓN</v>
          </cell>
          <cell r="FX447" t="str">
            <v>STOCK MUERTO</v>
          </cell>
          <cell r="FY447" t="str">
            <v>Si</v>
          </cell>
        </row>
        <row r="448">
          <cell r="B448" t="str">
            <v>REP-0465</v>
          </cell>
          <cell r="C448" t="str">
            <v>MIX</v>
          </cell>
          <cell r="D448">
            <v>0</v>
          </cell>
          <cell r="E448">
            <v>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2</v>
          </cell>
          <cell r="AA448">
            <v>2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2</v>
          </cell>
          <cell r="AQ448" t="str">
            <v/>
          </cell>
          <cell r="AR448">
            <v>0</v>
          </cell>
          <cell r="AS448">
            <v>2</v>
          </cell>
          <cell r="AT448">
            <v>2</v>
          </cell>
          <cell r="AU448" t="str">
            <v/>
          </cell>
          <cell r="AV448">
            <v>0</v>
          </cell>
          <cell r="AW448">
            <v>2</v>
          </cell>
          <cell r="AX448">
            <v>2</v>
          </cell>
          <cell r="AY448" t="str">
            <v/>
          </cell>
          <cell r="AZ448">
            <v>0</v>
          </cell>
          <cell r="BA448">
            <v>2</v>
          </cell>
          <cell r="BB448">
            <v>2</v>
          </cell>
          <cell r="BC448" t="str">
            <v/>
          </cell>
          <cell r="BD448">
            <v>0</v>
          </cell>
          <cell r="BE448">
            <v>2</v>
          </cell>
          <cell r="BF448" t="str">
            <v/>
          </cell>
          <cell r="BG448">
            <v>0</v>
          </cell>
          <cell r="BH448">
            <v>2</v>
          </cell>
          <cell r="BI448">
            <v>2</v>
          </cell>
          <cell r="BJ448" t="str">
            <v/>
          </cell>
          <cell r="BK448">
            <v>0</v>
          </cell>
          <cell r="BL448">
            <v>2</v>
          </cell>
          <cell r="BM448">
            <v>2</v>
          </cell>
          <cell r="BN448" t="str">
            <v/>
          </cell>
          <cell r="BO448">
            <v>0</v>
          </cell>
          <cell r="BP448">
            <v>2</v>
          </cell>
          <cell r="BQ448">
            <v>2</v>
          </cell>
          <cell r="BR448" t="str">
            <v/>
          </cell>
          <cell r="BS448">
            <v>0</v>
          </cell>
          <cell r="BT448">
            <v>2</v>
          </cell>
          <cell r="BU448">
            <v>2</v>
          </cell>
          <cell r="BV448" t="str">
            <v/>
          </cell>
          <cell r="BW448">
            <v>0</v>
          </cell>
          <cell r="BX448">
            <v>0</v>
          </cell>
          <cell r="BY448">
            <v>2</v>
          </cell>
          <cell r="BZ448">
            <v>2</v>
          </cell>
          <cell r="CA448" t="str">
            <v/>
          </cell>
          <cell r="CB448">
            <v>0</v>
          </cell>
          <cell r="CC448">
            <v>0</v>
          </cell>
          <cell r="CD448">
            <v>2</v>
          </cell>
          <cell r="CE448">
            <v>2</v>
          </cell>
          <cell r="CF448" t="str">
            <v/>
          </cell>
          <cell r="CG448">
            <v>0</v>
          </cell>
          <cell r="CH448">
            <v>0</v>
          </cell>
          <cell r="CI448">
            <v>2</v>
          </cell>
          <cell r="CJ448">
            <v>2</v>
          </cell>
          <cell r="CK448" t="str">
            <v/>
          </cell>
          <cell r="CL448">
            <v>0</v>
          </cell>
          <cell r="CM448">
            <v>0</v>
          </cell>
          <cell r="CN448">
            <v>2</v>
          </cell>
          <cell r="CO448">
            <v>2</v>
          </cell>
          <cell r="CP448" t="str">
            <v/>
          </cell>
          <cell r="CQ448">
            <v>0</v>
          </cell>
          <cell r="CR448">
            <v>0</v>
          </cell>
          <cell r="CS448">
            <v>2</v>
          </cell>
          <cell r="CT448">
            <v>2</v>
          </cell>
          <cell r="CU448" t="str">
            <v/>
          </cell>
          <cell r="CV448">
            <v>0</v>
          </cell>
          <cell r="CW448">
            <v>0</v>
          </cell>
          <cell r="CX448">
            <v>2</v>
          </cell>
          <cell r="CY448">
            <v>2</v>
          </cell>
          <cell r="CZ448" t="str">
            <v/>
          </cell>
          <cell r="DA448">
            <v>0</v>
          </cell>
          <cell r="DB448">
            <v>0</v>
          </cell>
          <cell r="DC448">
            <v>2</v>
          </cell>
          <cell r="DD448">
            <v>2</v>
          </cell>
          <cell r="DE448" t="str">
            <v/>
          </cell>
          <cell r="DF448">
            <v>0</v>
          </cell>
          <cell r="DG448">
            <v>0</v>
          </cell>
          <cell r="DH448">
            <v>2</v>
          </cell>
          <cell r="DI448">
            <v>2</v>
          </cell>
          <cell r="DJ448" t="str">
            <v/>
          </cell>
          <cell r="DK448">
            <v>0</v>
          </cell>
          <cell r="DL448">
            <v>0</v>
          </cell>
          <cell r="DM448">
            <v>2</v>
          </cell>
          <cell r="DN448">
            <v>2</v>
          </cell>
          <cell r="DO448" t="str">
            <v/>
          </cell>
          <cell r="DP448">
            <v>0</v>
          </cell>
          <cell r="DQ448">
            <v>0</v>
          </cell>
          <cell r="DR448">
            <v>2</v>
          </cell>
          <cell r="DS448">
            <v>2</v>
          </cell>
          <cell r="DT448" t="str">
            <v/>
          </cell>
          <cell r="DU448">
            <v>0</v>
          </cell>
          <cell r="DV448">
            <v>0</v>
          </cell>
          <cell r="DW448">
            <v>2</v>
          </cell>
          <cell r="DX448">
            <v>2</v>
          </cell>
          <cell r="DY448" t="str">
            <v/>
          </cell>
          <cell r="DZ448">
            <v>0</v>
          </cell>
          <cell r="EA448">
            <v>0</v>
          </cell>
          <cell r="EB448">
            <v>2</v>
          </cell>
          <cell r="EC448">
            <v>2</v>
          </cell>
          <cell r="ED448" t="str">
            <v/>
          </cell>
          <cell r="EE448">
            <v>0</v>
          </cell>
          <cell r="EF448">
            <v>0</v>
          </cell>
          <cell r="EG448">
            <v>2</v>
          </cell>
          <cell r="EH448">
            <v>2</v>
          </cell>
          <cell r="EI448" t="str">
            <v/>
          </cell>
          <cell r="EJ448">
            <v>0</v>
          </cell>
          <cell r="EK448">
            <v>0</v>
          </cell>
          <cell r="EL448">
            <v>2</v>
          </cell>
          <cell r="EM448">
            <v>2</v>
          </cell>
          <cell r="EN448" t="str">
            <v/>
          </cell>
          <cell r="EO448">
            <v>0</v>
          </cell>
          <cell r="EP448">
            <v>0</v>
          </cell>
          <cell r="EQ448">
            <v>2</v>
          </cell>
          <cell r="ER448">
            <v>2</v>
          </cell>
          <cell r="ES448" t="str">
            <v/>
          </cell>
          <cell r="ET448">
            <v>0</v>
          </cell>
          <cell r="EU448">
            <v>0</v>
          </cell>
          <cell r="EV448">
            <v>2</v>
          </cell>
          <cell r="EW448">
            <v>2</v>
          </cell>
          <cell r="EX448" t="str">
            <v/>
          </cell>
          <cell r="EY448">
            <v>0</v>
          </cell>
          <cell r="EZ448">
            <v>0</v>
          </cell>
          <cell r="FA448">
            <v>2</v>
          </cell>
          <cell r="FB448">
            <v>2</v>
          </cell>
          <cell r="FC448" t="str">
            <v/>
          </cell>
          <cell r="FD448">
            <v>0</v>
          </cell>
          <cell r="FE448">
            <v>0</v>
          </cell>
          <cell r="FF448">
            <v>2</v>
          </cell>
          <cell r="FG448">
            <v>2</v>
          </cell>
          <cell r="FH448" t="str">
            <v/>
          </cell>
          <cell r="FI448">
            <v>0</v>
          </cell>
          <cell r="FJ448">
            <v>0</v>
          </cell>
          <cell r="FK448">
            <v>2</v>
          </cell>
          <cell r="FL448">
            <v>2</v>
          </cell>
          <cell r="FM448" t="str">
            <v/>
          </cell>
          <cell r="FN448">
            <v>0</v>
          </cell>
          <cell r="FO448">
            <v>0</v>
          </cell>
          <cell r="FP448">
            <v>2</v>
          </cell>
          <cell r="FQ448">
            <v>2</v>
          </cell>
          <cell r="FR448" t="str">
            <v/>
          </cell>
          <cell r="FS448">
            <v>0</v>
          </cell>
          <cell r="FT448">
            <v>0</v>
          </cell>
          <cell r="FU448">
            <v>2.0333333333333332</v>
          </cell>
          <cell r="FW448" t="str">
            <v>SIN ROTACIÓN</v>
          </cell>
          <cell r="FX448" t="str">
            <v>STOCK MUERTO</v>
          </cell>
          <cell r="FY448" t="str">
            <v>Si</v>
          </cell>
        </row>
        <row r="449">
          <cell r="B449" t="str">
            <v>REP-0466</v>
          </cell>
          <cell r="C449" t="str">
            <v>MIX</v>
          </cell>
          <cell r="D449">
            <v>0</v>
          </cell>
          <cell r="E449">
            <v>3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3</v>
          </cell>
          <cell r="AA449">
            <v>3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4</v>
          </cell>
          <cell r="AQ449" t="str">
            <v/>
          </cell>
          <cell r="AR449">
            <v>0</v>
          </cell>
          <cell r="AS449">
            <v>4</v>
          </cell>
          <cell r="AT449">
            <v>4</v>
          </cell>
          <cell r="AU449" t="str">
            <v/>
          </cell>
          <cell r="AV449">
            <v>0</v>
          </cell>
          <cell r="AW449">
            <v>4</v>
          </cell>
          <cell r="AX449">
            <v>4</v>
          </cell>
          <cell r="AY449" t="str">
            <v/>
          </cell>
          <cell r="AZ449">
            <v>0</v>
          </cell>
          <cell r="BA449">
            <v>4</v>
          </cell>
          <cell r="BB449">
            <v>4</v>
          </cell>
          <cell r="BC449" t="str">
            <v/>
          </cell>
          <cell r="BD449">
            <v>0</v>
          </cell>
          <cell r="BE449">
            <v>4</v>
          </cell>
          <cell r="BF449" t="str">
            <v/>
          </cell>
          <cell r="BG449">
            <v>0</v>
          </cell>
          <cell r="BH449">
            <v>4</v>
          </cell>
          <cell r="BI449">
            <v>3</v>
          </cell>
          <cell r="BJ449" t="str">
            <v/>
          </cell>
          <cell r="BK449">
            <v>0</v>
          </cell>
          <cell r="BL449">
            <v>4</v>
          </cell>
          <cell r="BM449">
            <v>4</v>
          </cell>
          <cell r="BN449" t="str">
            <v/>
          </cell>
          <cell r="BO449">
            <v>0</v>
          </cell>
          <cell r="BP449">
            <v>4</v>
          </cell>
          <cell r="BQ449">
            <v>4</v>
          </cell>
          <cell r="BR449" t="str">
            <v/>
          </cell>
          <cell r="BS449">
            <v>0</v>
          </cell>
          <cell r="BT449">
            <v>4</v>
          </cell>
          <cell r="BU449">
            <v>4</v>
          </cell>
          <cell r="BV449" t="str">
            <v/>
          </cell>
          <cell r="BW449">
            <v>0</v>
          </cell>
          <cell r="BX449">
            <v>0</v>
          </cell>
          <cell r="BY449">
            <v>4</v>
          </cell>
          <cell r="BZ449">
            <v>4</v>
          </cell>
          <cell r="CA449" t="str">
            <v/>
          </cell>
          <cell r="CB449">
            <v>0</v>
          </cell>
          <cell r="CC449">
            <v>0</v>
          </cell>
          <cell r="CD449">
            <v>4</v>
          </cell>
          <cell r="CE449">
            <v>4</v>
          </cell>
          <cell r="CF449" t="str">
            <v/>
          </cell>
          <cell r="CG449">
            <v>0</v>
          </cell>
          <cell r="CH449">
            <v>0</v>
          </cell>
          <cell r="CI449">
            <v>4</v>
          </cell>
          <cell r="CJ449">
            <v>4</v>
          </cell>
          <cell r="CK449" t="str">
            <v/>
          </cell>
          <cell r="CL449">
            <v>0</v>
          </cell>
          <cell r="CM449">
            <v>0</v>
          </cell>
          <cell r="CN449">
            <v>4</v>
          </cell>
          <cell r="CO449">
            <v>4</v>
          </cell>
          <cell r="CP449" t="str">
            <v/>
          </cell>
          <cell r="CQ449">
            <v>0</v>
          </cell>
          <cell r="CR449">
            <v>0</v>
          </cell>
          <cell r="CS449">
            <v>4</v>
          </cell>
          <cell r="CT449">
            <v>4</v>
          </cell>
          <cell r="CU449" t="str">
            <v/>
          </cell>
          <cell r="CV449">
            <v>0</v>
          </cell>
          <cell r="CW449">
            <v>0</v>
          </cell>
          <cell r="CX449">
            <v>4</v>
          </cell>
          <cell r="CY449">
            <v>4</v>
          </cell>
          <cell r="CZ449" t="str">
            <v/>
          </cell>
          <cell r="DA449">
            <v>0</v>
          </cell>
          <cell r="DB449">
            <v>0</v>
          </cell>
          <cell r="DC449">
            <v>4</v>
          </cell>
          <cell r="DD449">
            <v>4</v>
          </cell>
          <cell r="DE449" t="str">
            <v/>
          </cell>
          <cell r="DF449">
            <v>0</v>
          </cell>
          <cell r="DG449">
            <v>0</v>
          </cell>
          <cell r="DH449">
            <v>4</v>
          </cell>
          <cell r="DI449">
            <v>4</v>
          </cell>
          <cell r="DJ449" t="str">
            <v/>
          </cell>
          <cell r="DK449">
            <v>0</v>
          </cell>
          <cell r="DL449">
            <v>0</v>
          </cell>
          <cell r="DM449">
            <v>4</v>
          </cell>
          <cell r="DN449">
            <v>3</v>
          </cell>
          <cell r="DO449" t="str">
            <v/>
          </cell>
          <cell r="DP449">
            <v>0</v>
          </cell>
          <cell r="DQ449">
            <v>0</v>
          </cell>
          <cell r="DR449">
            <v>3</v>
          </cell>
          <cell r="DS449">
            <v>3</v>
          </cell>
          <cell r="DT449" t="str">
            <v/>
          </cell>
          <cell r="DU449">
            <v>0</v>
          </cell>
          <cell r="DV449">
            <v>0</v>
          </cell>
          <cell r="DW449">
            <v>3</v>
          </cell>
          <cell r="DX449">
            <v>3</v>
          </cell>
          <cell r="DY449" t="str">
            <v/>
          </cell>
          <cell r="DZ449">
            <v>0</v>
          </cell>
          <cell r="EA449">
            <v>0</v>
          </cell>
          <cell r="EB449">
            <v>3</v>
          </cell>
          <cell r="EC449">
            <v>3</v>
          </cell>
          <cell r="ED449" t="str">
            <v/>
          </cell>
          <cell r="EE449">
            <v>0</v>
          </cell>
          <cell r="EF449">
            <v>0</v>
          </cell>
          <cell r="EG449">
            <v>3</v>
          </cell>
          <cell r="EH449">
            <v>3</v>
          </cell>
          <cell r="EI449" t="str">
            <v/>
          </cell>
          <cell r="EJ449">
            <v>0</v>
          </cell>
          <cell r="EK449">
            <v>0</v>
          </cell>
          <cell r="EL449">
            <v>3</v>
          </cell>
          <cell r="EM449">
            <v>3</v>
          </cell>
          <cell r="EN449" t="str">
            <v/>
          </cell>
          <cell r="EO449">
            <v>0</v>
          </cell>
          <cell r="EP449">
            <v>0</v>
          </cell>
          <cell r="EQ449">
            <v>3</v>
          </cell>
          <cell r="ER449">
            <v>3</v>
          </cell>
          <cell r="ES449" t="str">
            <v/>
          </cell>
          <cell r="ET449">
            <v>0</v>
          </cell>
          <cell r="EU449">
            <v>0</v>
          </cell>
          <cell r="EV449">
            <v>3</v>
          </cell>
          <cell r="EW449">
            <v>3</v>
          </cell>
          <cell r="EX449" t="str">
            <v/>
          </cell>
          <cell r="EY449">
            <v>0</v>
          </cell>
          <cell r="EZ449">
            <v>0</v>
          </cell>
          <cell r="FA449">
            <v>3</v>
          </cell>
          <cell r="FB449">
            <v>3</v>
          </cell>
          <cell r="FC449" t="str">
            <v/>
          </cell>
          <cell r="FD449">
            <v>0</v>
          </cell>
          <cell r="FE449">
            <v>0</v>
          </cell>
          <cell r="FF449">
            <v>3</v>
          </cell>
          <cell r="FG449">
            <v>3</v>
          </cell>
          <cell r="FH449" t="str">
            <v/>
          </cell>
          <cell r="FI449">
            <v>0</v>
          </cell>
          <cell r="FJ449">
            <v>0</v>
          </cell>
          <cell r="FK449">
            <v>3</v>
          </cell>
          <cell r="FL449">
            <v>3</v>
          </cell>
          <cell r="FM449" t="str">
            <v/>
          </cell>
          <cell r="FN449">
            <v>0</v>
          </cell>
          <cell r="FO449">
            <v>0</v>
          </cell>
          <cell r="FP449">
            <v>3</v>
          </cell>
          <cell r="FQ449">
            <v>3</v>
          </cell>
          <cell r="FR449" t="str">
            <v/>
          </cell>
          <cell r="FS449">
            <v>0</v>
          </cell>
          <cell r="FT449">
            <v>0</v>
          </cell>
          <cell r="FU449">
            <v>2.0333333333333332</v>
          </cell>
          <cell r="FW449" t="str">
            <v>SIN ROTACIÓN</v>
          </cell>
          <cell r="FX449" t="str">
            <v>STOCK MUERTO</v>
          </cell>
          <cell r="FY449" t="str">
            <v>Si</v>
          </cell>
        </row>
        <row r="450">
          <cell r="B450" t="str">
            <v>REP-0467</v>
          </cell>
          <cell r="C450" t="str">
            <v>NAC</v>
          </cell>
          <cell r="D450">
            <v>0</v>
          </cell>
          <cell r="E450">
            <v>6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1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7</v>
          </cell>
          <cell r="AA450">
            <v>7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0.16666666666666666</v>
          </cell>
          <cell r="AG450">
            <v>0.41666666666666669</v>
          </cell>
          <cell r="AH450">
            <v>0.16666666666666666</v>
          </cell>
          <cell r="AI450">
            <v>0.16666666666666666</v>
          </cell>
          <cell r="AJ450">
            <v>0.16666666666666666</v>
          </cell>
          <cell r="AK450">
            <v>0.41666666666666669</v>
          </cell>
          <cell r="AL450">
            <v>0.12500000000000006</v>
          </cell>
          <cell r="AM450">
            <v>0.22916666666666666</v>
          </cell>
          <cell r="AN450">
            <v>0.54545454545454575</v>
          </cell>
          <cell r="AO450">
            <v>0</v>
          </cell>
          <cell r="AP450">
            <v>9.5833333333333339</v>
          </cell>
          <cell r="AQ450">
            <v>19</v>
          </cell>
          <cell r="AR450">
            <v>0</v>
          </cell>
          <cell r="AS450">
            <v>9.6666666666666679</v>
          </cell>
          <cell r="AT450">
            <v>10</v>
          </cell>
          <cell r="AU450">
            <v>24</v>
          </cell>
          <cell r="AV450">
            <v>0</v>
          </cell>
          <cell r="AW450">
            <v>9.5833333333333339</v>
          </cell>
          <cell r="AX450">
            <v>10</v>
          </cell>
          <cell r="AY450">
            <v>24</v>
          </cell>
          <cell r="AZ450">
            <v>0</v>
          </cell>
          <cell r="BA450">
            <v>9.5833333333333339</v>
          </cell>
          <cell r="BB450">
            <v>10</v>
          </cell>
          <cell r="BC450">
            <v>24</v>
          </cell>
          <cell r="BD450">
            <v>0</v>
          </cell>
          <cell r="BE450">
            <v>9.5833333333333339</v>
          </cell>
          <cell r="BF450">
            <v>23</v>
          </cell>
          <cell r="BG450">
            <v>0</v>
          </cell>
          <cell r="BH450">
            <v>9.1666666666666679</v>
          </cell>
          <cell r="BI450">
            <v>7</v>
          </cell>
          <cell r="BJ450">
            <v>16.8</v>
          </cell>
          <cell r="BK450">
            <v>0</v>
          </cell>
          <cell r="BL450">
            <v>9.5833333333333339</v>
          </cell>
          <cell r="BM450">
            <v>10</v>
          </cell>
          <cell r="BN450">
            <v>24</v>
          </cell>
          <cell r="BO450">
            <v>0</v>
          </cell>
          <cell r="BP450">
            <v>9.5833333333333339</v>
          </cell>
          <cell r="BQ450">
            <v>9</v>
          </cell>
          <cell r="BR450">
            <v>21.599999999999998</v>
          </cell>
          <cell r="BS450">
            <v>0</v>
          </cell>
          <cell r="BT450">
            <v>8.5833333333333339</v>
          </cell>
          <cell r="BU450">
            <v>8</v>
          </cell>
          <cell r="BV450">
            <v>19.2</v>
          </cell>
          <cell r="BW450">
            <v>0</v>
          </cell>
          <cell r="BX450">
            <v>0</v>
          </cell>
          <cell r="BY450">
            <v>7.583333333333333</v>
          </cell>
          <cell r="BZ450">
            <v>8</v>
          </cell>
          <cell r="CA450">
            <v>19.2</v>
          </cell>
          <cell r="CB450">
            <v>0</v>
          </cell>
          <cell r="CC450">
            <v>0</v>
          </cell>
          <cell r="CD450">
            <v>7.583333333333333</v>
          </cell>
          <cell r="CE450">
            <v>8</v>
          </cell>
          <cell r="CF450">
            <v>19.2</v>
          </cell>
          <cell r="CG450">
            <v>0</v>
          </cell>
          <cell r="CH450">
            <v>0</v>
          </cell>
          <cell r="CI450">
            <v>7.1666666666666661</v>
          </cell>
          <cell r="CJ450">
            <v>9</v>
          </cell>
          <cell r="CK450">
            <v>21.599999999999998</v>
          </cell>
          <cell r="CL450">
            <v>0</v>
          </cell>
          <cell r="CM450">
            <v>0</v>
          </cell>
          <cell r="CN450">
            <v>8.5833333333333339</v>
          </cell>
          <cell r="CO450">
            <v>9</v>
          </cell>
          <cell r="CP450">
            <v>21.599999999999998</v>
          </cell>
          <cell r="CQ450">
            <v>0</v>
          </cell>
          <cell r="CR450">
            <v>0</v>
          </cell>
          <cell r="CS450">
            <v>8.5833333333333339</v>
          </cell>
          <cell r="CT450">
            <v>9</v>
          </cell>
          <cell r="CU450">
            <v>21.599999999999998</v>
          </cell>
          <cell r="CV450">
            <v>0</v>
          </cell>
          <cell r="CW450">
            <v>0</v>
          </cell>
          <cell r="CX450">
            <v>8.5833333333333339</v>
          </cell>
          <cell r="CY450">
            <v>9</v>
          </cell>
          <cell r="CZ450">
            <v>21.599999999999998</v>
          </cell>
          <cell r="DA450">
            <v>0</v>
          </cell>
          <cell r="DB450">
            <v>0</v>
          </cell>
          <cell r="DC450">
            <v>8.5833333333333339</v>
          </cell>
          <cell r="DD450">
            <v>7</v>
          </cell>
          <cell r="DE450">
            <v>14.399999999999999</v>
          </cell>
          <cell r="DF450">
            <v>0</v>
          </cell>
          <cell r="DG450">
            <v>0</v>
          </cell>
          <cell r="DH450">
            <v>6.583333333333333</v>
          </cell>
          <cell r="DI450">
            <v>7</v>
          </cell>
          <cell r="DJ450">
            <v>16.399999999999999</v>
          </cell>
          <cell r="DK450">
            <v>0</v>
          </cell>
          <cell r="DL450">
            <v>0</v>
          </cell>
          <cell r="DM450">
            <v>6.1666666666666661</v>
          </cell>
          <cell r="DN450">
            <v>7</v>
          </cell>
          <cell r="DO450">
            <v>16.399999999999999</v>
          </cell>
          <cell r="DP450">
            <v>0</v>
          </cell>
          <cell r="DQ450">
            <v>0</v>
          </cell>
          <cell r="DR450">
            <v>6.583333333333333</v>
          </cell>
          <cell r="DS450">
            <v>6.583333333333333</v>
          </cell>
          <cell r="DT450">
            <v>15.399999999999999</v>
          </cell>
          <cell r="DU450">
            <v>0</v>
          </cell>
          <cell r="DV450">
            <v>0</v>
          </cell>
          <cell r="DW450">
            <v>6.1666666666666661</v>
          </cell>
          <cell r="DX450">
            <v>6.1666666666666661</v>
          </cell>
          <cell r="DY450">
            <v>14.399999999999999</v>
          </cell>
          <cell r="DZ450">
            <v>0</v>
          </cell>
          <cell r="EA450">
            <v>0</v>
          </cell>
          <cell r="EB450">
            <v>5.7499999999999991</v>
          </cell>
          <cell r="EC450">
            <v>5.7499999999999991</v>
          </cell>
          <cell r="ED450">
            <v>13.399999999999997</v>
          </cell>
          <cell r="EE450">
            <v>0</v>
          </cell>
          <cell r="EF450">
            <v>0</v>
          </cell>
          <cell r="EG450">
            <v>5.3333333333333321</v>
          </cell>
          <cell r="EH450">
            <v>5.3333333333333321</v>
          </cell>
          <cell r="EI450">
            <v>12.399999999999997</v>
          </cell>
          <cell r="EJ450">
            <v>0</v>
          </cell>
          <cell r="EK450">
            <v>0</v>
          </cell>
          <cell r="EL450">
            <v>4.9166666666666652</v>
          </cell>
          <cell r="EM450">
            <v>4.9166666666666652</v>
          </cell>
          <cell r="EN450">
            <v>11.399999999999997</v>
          </cell>
          <cell r="EO450">
            <v>0</v>
          </cell>
          <cell r="EP450">
            <v>0</v>
          </cell>
          <cell r="EQ450">
            <v>4.4999999999999982</v>
          </cell>
          <cell r="ER450">
            <v>4.4999999999999982</v>
          </cell>
          <cell r="ES450">
            <v>10.399999999999995</v>
          </cell>
          <cell r="ET450">
            <v>0</v>
          </cell>
          <cell r="EU450">
            <v>0</v>
          </cell>
          <cell r="EV450">
            <v>4.0833333333333313</v>
          </cell>
          <cell r="EW450">
            <v>4.0833333333333313</v>
          </cell>
          <cell r="EX450">
            <v>9.399999999999995</v>
          </cell>
          <cell r="EY450">
            <v>0</v>
          </cell>
          <cell r="EZ450">
            <v>0</v>
          </cell>
          <cell r="FA450">
            <v>3.6666666666666647</v>
          </cell>
          <cell r="FB450">
            <v>3.6666666666666647</v>
          </cell>
          <cell r="FC450">
            <v>8.399999999999995</v>
          </cell>
          <cell r="FD450">
            <v>0</v>
          </cell>
          <cell r="FE450">
            <v>0</v>
          </cell>
          <cell r="FF450">
            <v>3.2499999999999982</v>
          </cell>
          <cell r="FG450">
            <v>3.2499999999999982</v>
          </cell>
          <cell r="FH450">
            <v>7.3999999999999959</v>
          </cell>
          <cell r="FI450">
            <v>0</v>
          </cell>
          <cell r="FJ450">
            <v>0</v>
          </cell>
          <cell r="FK450">
            <v>2.8333333333333317</v>
          </cell>
          <cell r="FL450">
            <v>2.8333333333333317</v>
          </cell>
          <cell r="FM450">
            <v>6.3999999999999959</v>
          </cell>
          <cell r="FN450">
            <v>0</v>
          </cell>
          <cell r="FO450">
            <v>0</v>
          </cell>
          <cell r="FP450">
            <v>2.4166666666666652</v>
          </cell>
          <cell r="FQ450">
            <v>2.4166666666666652</v>
          </cell>
          <cell r="FR450">
            <v>5.3999999999999968</v>
          </cell>
          <cell r="FS450">
            <v>0</v>
          </cell>
          <cell r="FT450">
            <v>1</v>
          </cell>
          <cell r="FU450">
            <v>1.0333333333333334</v>
          </cell>
          <cell r="FW450" t="str">
            <v>SOBRESTOCK</v>
          </cell>
          <cell r="FX450" t="str">
            <v>C</v>
          </cell>
          <cell r="FY450" t="str">
            <v>Si</v>
          </cell>
        </row>
        <row r="451">
          <cell r="B451" t="str">
            <v>REP-0468</v>
          </cell>
          <cell r="C451" t="str">
            <v>NAC</v>
          </cell>
          <cell r="D451">
            <v>0</v>
          </cell>
          <cell r="E451">
            <v>7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2</v>
          </cell>
          <cell r="P451">
            <v>0</v>
          </cell>
          <cell r="Q451">
            <v>0</v>
          </cell>
          <cell r="R451">
            <v>3</v>
          </cell>
          <cell r="S451">
            <v>0</v>
          </cell>
          <cell r="T451">
            <v>1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13</v>
          </cell>
          <cell r="AA451">
            <v>13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0.25</v>
          </cell>
          <cell r="AH451">
            <v>0.33333333333333331</v>
          </cell>
          <cell r="AI451">
            <v>0</v>
          </cell>
          <cell r="AJ451">
            <v>0</v>
          </cell>
          <cell r="AK451">
            <v>0.33333333333333331</v>
          </cell>
          <cell r="AL451">
            <v>0.17179606773406922</v>
          </cell>
          <cell r="AM451">
            <v>0.14583333333333331</v>
          </cell>
          <cell r="AN451">
            <v>1.1780301787479033</v>
          </cell>
          <cell r="AO451">
            <v>0</v>
          </cell>
          <cell r="AP451">
            <v>16.75</v>
          </cell>
          <cell r="AQ451">
            <v>50.000000000000007</v>
          </cell>
          <cell r="AR451">
            <v>0</v>
          </cell>
          <cell r="AS451">
            <v>16.333333333333336</v>
          </cell>
          <cell r="AT451">
            <v>17</v>
          </cell>
          <cell r="AU451">
            <v>51</v>
          </cell>
          <cell r="AV451">
            <v>0</v>
          </cell>
          <cell r="AW451">
            <v>16.666666666666668</v>
          </cell>
          <cell r="AX451">
            <v>17</v>
          </cell>
          <cell r="AY451">
            <v>51</v>
          </cell>
          <cell r="AZ451">
            <v>0</v>
          </cell>
          <cell r="BA451">
            <v>16.75</v>
          </cell>
          <cell r="BB451">
            <v>17</v>
          </cell>
          <cell r="BC451">
            <v>68</v>
          </cell>
          <cell r="BD451">
            <v>0</v>
          </cell>
          <cell r="BE451">
            <v>16.75</v>
          </cell>
          <cell r="BF451">
            <v>67</v>
          </cell>
          <cell r="BG451">
            <v>0</v>
          </cell>
          <cell r="BH451">
            <v>16.5</v>
          </cell>
          <cell r="BI451">
            <v>13</v>
          </cell>
          <cell r="BJ451">
            <v>39</v>
          </cell>
          <cell r="BK451">
            <v>0</v>
          </cell>
          <cell r="BL451">
            <v>16.75</v>
          </cell>
          <cell r="BM451">
            <v>16</v>
          </cell>
          <cell r="BN451">
            <v>64</v>
          </cell>
          <cell r="BO451">
            <v>0</v>
          </cell>
          <cell r="BP451">
            <v>15.75</v>
          </cell>
          <cell r="BQ451">
            <v>16</v>
          </cell>
          <cell r="BR451">
            <v>48</v>
          </cell>
          <cell r="BS451">
            <v>0</v>
          </cell>
          <cell r="BT451">
            <v>15.75</v>
          </cell>
          <cell r="BU451">
            <v>16</v>
          </cell>
          <cell r="BV451">
            <v>64</v>
          </cell>
          <cell r="BW451">
            <v>0</v>
          </cell>
          <cell r="BX451">
            <v>0</v>
          </cell>
          <cell r="BY451">
            <v>15.75</v>
          </cell>
          <cell r="BZ451">
            <v>15</v>
          </cell>
          <cell r="CA451">
            <v>45</v>
          </cell>
          <cell r="CB451">
            <v>0</v>
          </cell>
          <cell r="CC451">
            <v>0</v>
          </cell>
          <cell r="CD451">
            <v>14.666666666666666</v>
          </cell>
          <cell r="CE451">
            <v>15</v>
          </cell>
          <cell r="CF451">
            <v>45</v>
          </cell>
          <cell r="CG451">
            <v>0</v>
          </cell>
          <cell r="CH451">
            <v>0</v>
          </cell>
          <cell r="CI451">
            <v>14.333333333333332</v>
          </cell>
          <cell r="CJ451">
            <v>13</v>
          </cell>
          <cell r="CK451">
            <v>19.5</v>
          </cell>
          <cell r="CL451">
            <v>0</v>
          </cell>
          <cell r="CM451">
            <v>0</v>
          </cell>
          <cell r="CN451">
            <v>12.333333333333334</v>
          </cell>
          <cell r="CO451">
            <v>14</v>
          </cell>
          <cell r="CP451">
            <v>21</v>
          </cell>
          <cell r="CQ451">
            <v>0</v>
          </cell>
          <cell r="CR451">
            <v>0</v>
          </cell>
          <cell r="CS451">
            <v>13.333333333333334</v>
          </cell>
          <cell r="CT451">
            <v>14</v>
          </cell>
          <cell r="CU451">
            <v>28</v>
          </cell>
          <cell r="CV451">
            <v>0</v>
          </cell>
          <cell r="CW451">
            <v>0</v>
          </cell>
          <cell r="CX451">
            <v>13.5</v>
          </cell>
          <cell r="CY451">
            <v>10</v>
          </cell>
          <cell r="CZ451">
            <v>30</v>
          </cell>
          <cell r="DA451">
            <v>0</v>
          </cell>
          <cell r="DB451">
            <v>0</v>
          </cell>
          <cell r="DC451">
            <v>9.6666666666666661</v>
          </cell>
          <cell r="DD451">
            <v>13</v>
          </cell>
          <cell r="DE451">
            <v>36</v>
          </cell>
          <cell r="DF451">
            <v>0</v>
          </cell>
          <cell r="DG451">
            <v>0</v>
          </cell>
          <cell r="DH451">
            <v>12.666666666666666</v>
          </cell>
          <cell r="DI451">
            <v>13</v>
          </cell>
          <cell r="DJ451">
            <v>38</v>
          </cell>
          <cell r="DK451">
            <v>0</v>
          </cell>
          <cell r="DL451">
            <v>0</v>
          </cell>
          <cell r="DM451">
            <v>12.333333333333332</v>
          </cell>
          <cell r="DN451">
            <v>13</v>
          </cell>
          <cell r="DO451">
            <v>38</v>
          </cell>
          <cell r="DP451">
            <v>0</v>
          </cell>
          <cell r="DQ451">
            <v>0</v>
          </cell>
          <cell r="DR451">
            <v>12.666666666666666</v>
          </cell>
          <cell r="DS451">
            <v>12.666666666666666</v>
          </cell>
          <cell r="DT451">
            <v>37</v>
          </cell>
          <cell r="DU451">
            <v>0</v>
          </cell>
          <cell r="DV451">
            <v>0</v>
          </cell>
          <cell r="DW451">
            <v>12.333333333333332</v>
          </cell>
          <cell r="DX451">
            <v>12.333333333333332</v>
          </cell>
          <cell r="DY451">
            <v>36</v>
          </cell>
          <cell r="DZ451">
            <v>0</v>
          </cell>
          <cell r="EA451">
            <v>0</v>
          </cell>
          <cell r="EB451">
            <v>11.999999999999998</v>
          </cell>
          <cell r="EC451">
            <v>11.999999999999998</v>
          </cell>
          <cell r="ED451">
            <v>35</v>
          </cell>
          <cell r="EE451">
            <v>0</v>
          </cell>
          <cell r="EF451">
            <v>0</v>
          </cell>
          <cell r="EG451">
            <v>11.666666666666664</v>
          </cell>
          <cell r="EH451">
            <v>11.666666666666664</v>
          </cell>
          <cell r="EI451">
            <v>33.999999999999993</v>
          </cell>
          <cell r="EJ451">
            <v>0</v>
          </cell>
          <cell r="EK451">
            <v>0</v>
          </cell>
          <cell r="EL451">
            <v>11.33333333333333</v>
          </cell>
          <cell r="EM451">
            <v>11.33333333333333</v>
          </cell>
          <cell r="EN451">
            <v>32.999999999999993</v>
          </cell>
          <cell r="EO451">
            <v>0</v>
          </cell>
          <cell r="EP451">
            <v>0</v>
          </cell>
          <cell r="EQ451">
            <v>10.999999999999996</v>
          </cell>
          <cell r="ER451">
            <v>10.999999999999996</v>
          </cell>
          <cell r="ES451">
            <v>31.999999999999989</v>
          </cell>
          <cell r="ET451">
            <v>0</v>
          </cell>
          <cell r="EU451">
            <v>0</v>
          </cell>
          <cell r="EV451">
            <v>10.666666666666663</v>
          </cell>
          <cell r="EW451">
            <v>10.666666666666663</v>
          </cell>
          <cell r="EX451">
            <v>30.999999999999989</v>
          </cell>
          <cell r="EY451">
            <v>0</v>
          </cell>
          <cell r="EZ451">
            <v>0</v>
          </cell>
          <cell r="FA451">
            <v>10.333333333333329</v>
          </cell>
          <cell r="FB451">
            <v>10.333333333333329</v>
          </cell>
          <cell r="FC451">
            <v>29.999999999999986</v>
          </cell>
          <cell r="FD451">
            <v>0</v>
          </cell>
          <cell r="FE451">
            <v>0</v>
          </cell>
          <cell r="FF451">
            <v>9.9999999999999947</v>
          </cell>
          <cell r="FG451">
            <v>9.9999999999999947</v>
          </cell>
          <cell r="FH451">
            <v>28.999999999999986</v>
          </cell>
          <cell r="FI451">
            <v>0</v>
          </cell>
          <cell r="FJ451">
            <v>0</v>
          </cell>
          <cell r="FK451">
            <v>9.6666666666666607</v>
          </cell>
          <cell r="FL451">
            <v>9.6666666666666607</v>
          </cell>
          <cell r="FM451">
            <v>27.999999999999982</v>
          </cell>
          <cell r="FN451">
            <v>0</v>
          </cell>
          <cell r="FO451">
            <v>0</v>
          </cell>
          <cell r="FP451">
            <v>9.3333333333333268</v>
          </cell>
          <cell r="FQ451">
            <v>9.3333333333333268</v>
          </cell>
          <cell r="FR451">
            <v>26.999999999999982</v>
          </cell>
          <cell r="FS451">
            <v>0</v>
          </cell>
          <cell r="FT451">
            <v>1</v>
          </cell>
          <cell r="FU451">
            <v>1</v>
          </cell>
          <cell r="FW451" t="str">
            <v>SIN ROTACIÓN</v>
          </cell>
          <cell r="FX451" t="str">
            <v>C</v>
          </cell>
          <cell r="FY451" t="str">
            <v>Si</v>
          </cell>
        </row>
        <row r="452">
          <cell r="B452" t="str">
            <v>REP-0469</v>
          </cell>
          <cell r="C452" t="str">
            <v>NAC</v>
          </cell>
          <cell r="D452">
            <v>0</v>
          </cell>
          <cell r="E452">
            <v>2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2</v>
          </cell>
          <cell r="Q452">
            <v>1</v>
          </cell>
          <cell r="R452">
            <v>0</v>
          </cell>
          <cell r="S452">
            <v>0</v>
          </cell>
          <cell r="T452">
            <v>0</v>
          </cell>
          <cell r="U452">
            <v>2</v>
          </cell>
          <cell r="V452">
            <v>0</v>
          </cell>
          <cell r="W452">
            <v>0</v>
          </cell>
          <cell r="X452">
            <v>0</v>
          </cell>
          <cell r="Y452">
            <v>7</v>
          </cell>
          <cell r="AA452">
            <v>7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0.33333333333333331</v>
          </cell>
          <cell r="AH452">
            <v>8.3333333333333329E-2</v>
          </cell>
          <cell r="AI452">
            <v>0</v>
          </cell>
          <cell r="AJ452">
            <v>0</v>
          </cell>
          <cell r="AK452">
            <v>0.33333333333333331</v>
          </cell>
          <cell r="AL452">
            <v>0.15774745405000762</v>
          </cell>
          <cell r="AM452">
            <v>0.10416666666666666</v>
          </cell>
          <cell r="AN452">
            <v>1.5143755588800734</v>
          </cell>
          <cell r="AO452">
            <v>0</v>
          </cell>
          <cell r="AP452">
            <v>6.666666666666667</v>
          </cell>
          <cell r="AQ452">
            <v>20.000000000000004</v>
          </cell>
          <cell r="AR452">
            <v>0</v>
          </cell>
          <cell r="AS452">
            <v>6.3333333333333339</v>
          </cell>
          <cell r="AT452">
            <v>7</v>
          </cell>
          <cell r="AU452">
            <v>21</v>
          </cell>
          <cell r="AV452">
            <v>0</v>
          </cell>
          <cell r="AW452">
            <v>6.666666666666667</v>
          </cell>
          <cell r="AX452">
            <v>7</v>
          </cell>
          <cell r="AY452">
            <v>21</v>
          </cell>
          <cell r="AZ452">
            <v>0</v>
          </cell>
          <cell r="BA452">
            <v>6.666666666666667</v>
          </cell>
          <cell r="BB452">
            <v>7</v>
          </cell>
          <cell r="BC452">
            <v>21</v>
          </cell>
          <cell r="BD452">
            <v>0</v>
          </cell>
          <cell r="BE452">
            <v>6.666666666666667</v>
          </cell>
          <cell r="BF452">
            <v>20.000000000000004</v>
          </cell>
          <cell r="BG452">
            <v>0</v>
          </cell>
          <cell r="BH452">
            <v>6.3333333333333339</v>
          </cell>
          <cell r="BI452">
            <v>7</v>
          </cell>
          <cell r="BJ452">
            <v>21</v>
          </cell>
          <cell r="BK452">
            <v>0</v>
          </cell>
          <cell r="BL452">
            <v>6.666666666666667</v>
          </cell>
          <cell r="BM452">
            <v>7</v>
          </cell>
          <cell r="BN452">
            <v>21</v>
          </cell>
          <cell r="BO452">
            <v>0</v>
          </cell>
          <cell r="BP452">
            <v>6.666666666666667</v>
          </cell>
          <cell r="BQ452">
            <v>7</v>
          </cell>
          <cell r="BR452">
            <v>21</v>
          </cell>
          <cell r="BS452">
            <v>0</v>
          </cell>
          <cell r="BT452">
            <v>6.666666666666667</v>
          </cell>
          <cell r="BU452">
            <v>7</v>
          </cell>
          <cell r="BV452">
            <v>21</v>
          </cell>
          <cell r="BW452">
            <v>0</v>
          </cell>
          <cell r="BX452">
            <v>0</v>
          </cell>
          <cell r="BY452">
            <v>6.666666666666667</v>
          </cell>
          <cell r="BZ452">
            <v>7</v>
          </cell>
          <cell r="CA452">
            <v>21</v>
          </cell>
          <cell r="CB452">
            <v>0</v>
          </cell>
          <cell r="CC452">
            <v>0</v>
          </cell>
          <cell r="CD452">
            <v>6.666666666666667</v>
          </cell>
          <cell r="CE452">
            <v>7</v>
          </cell>
          <cell r="CF452">
            <v>21</v>
          </cell>
          <cell r="CG452">
            <v>0</v>
          </cell>
          <cell r="CH452">
            <v>0</v>
          </cell>
          <cell r="CI452">
            <v>6.3333333333333339</v>
          </cell>
          <cell r="CJ452">
            <v>7</v>
          </cell>
          <cell r="CK452">
            <v>21</v>
          </cell>
          <cell r="CL452">
            <v>0</v>
          </cell>
          <cell r="CM452">
            <v>0</v>
          </cell>
          <cell r="CN452">
            <v>6.666666666666667</v>
          </cell>
          <cell r="CO452">
            <v>7</v>
          </cell>
          <cell r="CP452">
            <v>21</v>
          </cell>
          <cell r="CQ452">
            <v>0</v>
          </cell>
          <cell r="CR452">
            <v>0</v>
          </cell>
          <cell r="CS452">
            <v>6.666666666666667</v>
          </cell>
          <cell r="CT452">
            <v>7</v>
          </cell>
          <cell r="CU452">
            <v>21</v>
          </cell>
          <cell r="CV452">
            <v>0</v>
          </cell>
          <cell r="CW452">
            <v>0</v>
          </cell>
          <cell r="CX452">
            <v>6.666666666666667</v>
          </cell>
          <cell r="CY452">
            <v>9</v>
          </cell>
          <cell r="CZ452">
            <v>27</v>
          </cell>
          <cell r="DA452">
            <v>0</v>
          </cell>
          <cell r="DB452">
            <v>0</v>
          </cell>
          <cell r="DC452">
            <v>8.6666666666666661</v>
          </cell>
          <cell r="DD452">
            <v>7</v>
          </cell>
          <cell r="DE452">
            <v>18</v>
          </cell>
          <cell r="DF452">
            <v>0</v>
          </cell>
          <cell r="DG452">
            <v>0</v>
          </cell>
          <cell r="DH452">
            <v>6.666666666666667</v>
          </cell>
          <cell r="DI452">
            <v>7</v>
          </cell>
          <cell r="DJ452">
            <v>20</v>
          </cell>
          <cell r="DK452">
            <v>0</v>
          </cell>
          <cell r="DL452">
            <v>0</v>
          </cell>
          <cell r="DM452">
            <v>6.3333333333333339</v>
          </cell>
          <cell r="DN452">
            <v>7</v>
          </cell>
          <cell r="DO452">
            <v>20</v>
          </cell>
          <cell r="DP452">
            <v>0</v>
          </cell>
          <cell r="DQ452">
            <v>0</v>
          </cell>
          <cell r="DR452">
            <v>6.666666666666667</v>
          </cell>
          <cell r="DS452">
            <v>6.666666666666667</v>
          </cell>
          <cell r="DT452">
            <v>19.000000000000004</v>
          </cell>
          <cell r="DU452">
            <v>0</v>
          </cell>
          <cell r="DV452">
            <v>0</v>
          </cell>
          <cell r="DW452">
            <v>6.3333333333333339</v>
          </cell>
          <cell r="DX452">
            <v>6.3333333333333339</v>
          </cell>
          <cell r="DY452">
            <v>18.000000000000004</v>
          </cell>
          <cell r="DZ452">
            <v>0</v>
          </cell>
          <cell r="EA452">
            <v>0</v>
          </cell>
          <cell r="EB452">
            <v>6.0000000000000009</v>
          </cell>
          <cell r="EC452">
            <v>6.0000000000000009</v>
          </cell>
          <cell r="ED452">
            <v>17.000000000000004</v>
          </cell>
          <cell r="EE452">
            <v>0</v>
          </cell>
          <cell r="EF452">
            <v>0</v>
          </cell>
          <cell r="EG452">
            <v>5.6666666666666679</v>
          </cell>
          <cell r="EH452">
            <v>5.6666666666666679</v>
          </cell>
          <cell r="EI452">
            <v>16.000000000000004</v>
          </cell>
          <cell r="EJ452">
            <v>0</v>
          </cell>
          <cell r="EK452">
            <v>0</v>
          </cell>
          <cell r="EL452">
            <v>5.3333333333333348</v>
          </cell>
          <cell r="EM452">
            <v>5.3333333333333348</v>
          </cell>
          <cell r="EN452">
            <v>15.000000000000005</v>
          </cell>
          <cell r="EO452">
            <v>0</v>
          </cell>
          <cell r="EP452">
            <v>0</v>
          </cell>
          <cell r="EQ452">
            <v>5.0000000000000018</v>
          </cell>
          <cell r="ER452">
            <v>5.0000000000000018</v>
          </cell>
          <cell r="ES452">
            <v>14.000000000000005</v>
          </cell>
          <cell r="ET452">
            <v>0</v>
          </cell>
          <cell r="EU452">
            <v>0</v>
          </cell>
          <cell r="EV452">
            <v>4.6666666666666687</v>
          </cell>
          <cell r="EW452">
            <v>4.6666666666666687</v>
          </cell>
          <cell r="EX452">
            <v>13.000000000000007</v>
          </cell>
          <cell r="EY452">
            <v>0</v>
          </cell>
          <cell r="EZ452">
            <v>0</v>
          </cell>
          <cell r="FA452">
            <v>4.3333333333333357</v>
          </cell>
          <cell r="FB452">
            <v>4.3333333333333357</v>
          </cell>
          <cell r="FC452">
            <v>12.000000000000007</v>
          </cell>
          <cell r="FD452">
            <v>0</v>
          </cell>
          <cell r="FE452">
            <v>0</v>
          </cell>
          <cell r="FF452">
            <v>4.0000000000000027</v>
          </cell>
          <cell r="FG452">
            <v>4.0000000000000027</v>
          </cell>
          <cell r="FH452">
            <v>11.000000000000009</v>
          </cell>
          <cell r="FI452">
            <v>0</v>
          </cell>
          <cell r="FJ452">
            <v>0</v>
          </cell>
          <cell r="FK452">
            <v>3.6666666666666692</v>
          </cell>
          <cell r="FL452">
            <v>3.6666666666666692</v>
          </cell>
          <cell r="FM452">
            <v>10.000000000000007</v>
          </cell>
          <cell r="FN452">
            <v>0</v>
          </cell>
          <cell r="FO452">
            <v>0</v>
          </cell>
          <cell r="FP452">
            <v>3.3333333333333357</v>
          </cell>
          <cell r="FQ452">
            <v>3.3333333333333357</v>
          </cell>
          <cell r="FR452">
            <v>9.0000000000000071</v>
          </cell>
          <cell r="FS452">
            <v>0</v>
          </cell>
          <cell r="FT452">
            <v>1</v>
          </cell>
          <cell r="FU452">
            <v>1</v>
          </cell>
          <cell r="FW452" t="str">
            <v>SIN ROTACIÓN</v>
          </cell>
          <cell r="FX452" t="str">
            <v>C</v>
          </cell>
          <cell r="FY452" t="str">
            <v>Si</v>
          </cell>
        </row>
        <row r="453">
          <cell r="B453" t="str">
            <v>REP-0470</v>
          </cell>
          <cell r="C453" t="str">
            <v>NAC</v>
          </cell>
          <cell r="D453">
            <v>0</v>
          </cell>
          <cell r="E453">
            <v>11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11</v>
          </cell>
          <cell r="AA453">
            <v>11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11</v>
          </cell>
          <cell r="AQ453" t="str">
            <v/>
          </cell>
          <cell r="AR453">
            <v>0</v>
          </cell>
          <cell r="AS453">
            <v>11</v>
          </cell>
          <cell r="AT453">
            <v>11</v>
          </cell>
          <cell r="AU453" t="str">
            <v/>
          </cell>
          <cell r="AV453">
            <v>0</v>
          </cell>
          <cell r="AW453">
            <v>11</v>
          </cell>
          <cell r="AX453">
            <v>11</v>
          </cell>
          <cell r="AY453" t="str">
            <v/>
          </cell>
          <cell r="AZ453">
            <v>0</v>
          </cell>
          <cell r="BA453">
            <v>11</v>
          </cell>
          <cell r="BB453">
            <v>11</v>
          </cell>
          <cell r="BC453" t="str">
            <v/>
          </cell>
          <cell r="BD453">
            <v>0</v>
          </cell>
          <cell r="BE453">
            <v>11</v>
          </cell>
          <cell r="BF453" t="str">
            <v/>
          </cell>
          <cell r="BG453">
            <v>0</v>
          </cell>
          <cell r="BH453">
            <v>11</v>
          </cell>
          <cell r="BI453">
            <v>11</v>
          </cell>
          <cell r="BJ453" t="str">
            <v/>
          </cell>
          <cell r="BK453">
            <v>0</v>
          </cell>
          <cell r="BL453">
            <v>11</v>
          </cell>
          <cell r="BM453">
            <v>11</v>
          </cell>
          <cell r="BN453" t="str">
            <v/>
          </cell>
          <cell r="BO453">
            <v>0</v>
          </cell>
          <cell r="BP453">
            <v>11</v>
          </cell>
          <cell r="BQ453">
            <v>11</v>
          </cell>
          <cell r="BR453" t="str">
            <v/>
          </cell>
          <cell r="BS453">
            <v>0</v>
          </cell>
          <cell r="BT453">
            <v>11</v>
          </cell>
          <cell r="BU453">
            <v>11</v>
          </cell>
          <cell r="BV453" t="str">
            <v/>
          </cell>
          <cell r="BW453">
            <v>0</v>
          </cell>
          <cell r="BX453">
            <v>0</v>
          </cell>
          <cell r="BY453">
            <v>11</v>
          </cell>
          <cell r="BZ453">
            <v>11</v>
          </cell>
          <cell r="CA453" t="str">
            <v/>
          </cell>
          <cell r="CB453">
            <v>0</v>
          </cell>
          <cell r="CC453">
            <v>0</v>
          </cell>
          <cell r="CD453">
            <v>11</v>
          </cell>
          <cell r="CE453">
            <v>11</v>
          </cell>
          <cell r="CF453" t="str">
            <v/>
          </cell>
          <cell r="CG453">
            <v>0</v>
          </cell>
          <cell r="CH453">
            <v>0</v>
          </cell>
          <cell r="CI453">
            <v>11</v>
          </cell>
          <cell r="CJ453">
            <v>11</v>
          </cell>
          <cell r="CK453" t="str">
            <v/>
          </cell>
          <cell r="CL453">
            <v>0</v>
          </cell>
          <cell r="CM453">
            <v>0</v>
          </cell>
          <cell r="CN453">
            <v>11</v>
          </cell>
          <cell r="CO453">
            <v>11</v>
          </cell>
          <cell r="CP453" t="str">
            <v/>
          </cell>
          <cell r="CQ453">
            <v>0</v>
          </cell>
          <cell r="CR453">
            <v>0</v>
          </cell>
          <cell r="CS453">
            <v>11</v>
          </cell>
          <cell r="CT453">
            <v>11</v>
          </cell>
          <cell r="CU453" t="str">
            <v/>
          </cell>
          <cell r="CV453">
            <v>0</v>
          </cell>
          <cell r="CW453">
            <v>0</v>
          </cell>
          <cell r="CX453">
            <v>11</v>
          </cell>
          <cell r="CY453">
            <v>11</v>
          </cell>
          <cell r="CZ453" t="str">
            <v/>
          </cell>
          <cell r="DA453">
            <v>0</v>
          </cell>
          <cell r="DB453">
            <v>0</v>
          </cell>
          <cell r="DC453">
            <v>11</v>
          </cell>
          <cell r="DD453">
            <v>11</v>
          </cell>
          <cell r="DE453" t="str">
            <v/>
          </cell>
          <cell r="DF453">
            <v>0</v>
          </cell>
          <cell r="DG453">
            <v>0</v>
          </cell>
          <cell r="DH453">
            <v>11</v>
          </cell>
          <cell r="DI453">
            <v>11</v>
          </cell>
          <cell r="DJ453" t="str">
            <v/>
          </cell>
          <cell r="DK453">
            <v>0</v>
          </cell>
          <cell r="DL453">
            <v>0</v>
          </cell>
          <cell r="DM453">
            <v>11</v>
          </cell>
          <cell r="DN453">
            <v>11</v>
          </cell>
          <cell r="DO453" t="str">
            <v/>
          </cell>
          <cell r="DP453">
            <v>0</v>
          </cell>
          <cell r="DQ453">
            <v>0</v>
          </cell>
          <cell r="DR453">
            <v>11</v>
          </cell>
          <cell r="DS453">
            <v>11</v>
          </cell>
          <cell r="DT453" t="str">
            <v/>
          </cell>
          <cell r="DU453">
            <v>0</v>
          </cell>
          <cell r="DV453">
            <v>0</v>
          </cell>
          <cell r="DW453">
            <v>11</v>
          </cell>
          <cell r="DX453">
            <v>11</v>
          </cell>
          <cell r="DY453" t="str">
            <v/>
          </cell>
          <cell r="DZ453">
            <v>0</v>
          </cell>
          <cell r="EA453">
            <v>0</v>
          </cell>
          <cell r="EB453">
            <v>11</v>
          </cell>
          <cell r="EC453">
            <v>11</v>
          </cell>
          <cell r="ED453" t="str">
            <v/>
          </cell>
          <cell r="EE453">
            <v>0</v>
          </cell>
          <cell r="EF453">
            <v>0</v>
          </cell>
          <cell r="EG453">
            <v>11</v>
          </cell>
          <cell r="EH453">
            <v>11</v>
          </cell>
          <cell r="EI453" t="str">
            <v/>
          </cell>
          <cell r="EJ453">
            <v>0</v>
          </cell>
          <cell r="EK453">
            <v>0</v>
          </cell>
          <cell r="EL453">
            <v>11</v>
          </cell>
          <cell r="EM453">
            <v>11</v>
          </cell>
          <cell r="EN453" t="str">
            <v/>
          </cell>
          <cell r="EO453">
            <v>0</v>
          </cell>
          <cell r="EP453">
            <v>0</v>
          </cell>
          <cell r="EQ453">
            <v>11</v>
          </cell>
          <cell r="ER453">
            <v>11</v>
          </cell>
          <cell r="ES453" t="str">
            <v/>
          </cell>
          <cell r="ET453">
            <v>0</v>
          </cell>
          <cell r="EU453">
            <v>0</v>
          </cell>
          <cell r="EV453">
            <v>11</v>
          </cell>
          <cell r="EW453">
            <v>11</v>
          </cell>
          <cell r="EX453" t="str">
            <v/>
          </cell>
          <cell r="EY453">
            <v>0</v>
          </cell>
          <cell r="EZ453">
            <v>0</v>
          </cell>
          <cell r="FA453">
            <v>11</v>
          </cell>
          <cell r="FB453">
            <v>11</v>
          </cell>
          <cell r="FC453" t="str">
            <v/>
          </cell>
          <cell r="FD453">
            <v>0</v>
          </cell>
          <cell r="FE453">
            <v>0</v>
          </cell>
          <cell r="FF453">
            <v>11</v>
          </cell>
          <cell r="FG453">
            <v>11</v>
          </cell>
          <cell r="FH453" t="str">
            <v/>
          </cell>
          <cell r="FI453">
            <v>0</v>
          </cell>
          <cell r="FJ453">
            <v>0</v>
          </cell>
          <cell r="FK453">
            <v>11</v>
          </cell>
          <cell r="FL453">
            <v>11</v>
          </cell>
          <cell r="FM453" t="str">
            <v/>
          </cell>
          <cell r="FN453">
            <v>0</v>
          </cell>
          <cell r="FO453">
            <v>0</v>
          </cell>
          <cell r="FP453">
            <v>11</v>
          </cell>
          <cell r="FQ453">
            <v>11</v>
          </cell>
          <cell r="FR453" t="str">
            <v/>
          </cell>
          <cell r="FS453">
            <v>0</v>
          </cell>
          <cell r="FT453">
            <v>0</v>
          </cell>
          <cell r="FU453">
            <v>1</v>
          </cell>
          <cell r="FW453" t="str">
            <v>SIN ROTACIÓN</v>
          </cell>
          <cell r="FX453" t="str">
            <v>STOCK MUERTO</v>
          </cell>
          <cell r="FY453" t="str">
            <v>Si</v>
          </cell>
        </row>
        <row r="454">
          <cell r="B454" t="str">
            <v>REP-0471</v>
          </cell>
          <cell r="C454" t="str">
            <v>NAC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1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M454">
            <v>0</v>
          </cell>
          <cell r="AO454">
            <v>0</v>
          </cell>
          <cell r="AP454">
            <v>0</v>
          </cell>
          <cell r="AQ454">
            <v>-1</v>
          </cell>
          <cell r="AR454">
            <v>0</v>
          </cell>
          <cell r="AS454">
            <v>-2</v>
          </cell>
          <cell r="AT454">
            <v>0</v>
          </cell>
          <cell r="AU454" t="str">
            <v/>
          </cell>
          <cell r="AV454">
            <v>0</v>
          </cell>
          <cell r="AW454">
            <v>0</v>
          </cell>
          <cell r="AX454">
            <v>0</v>
          </cell>
          <cell r="AY454" t="str">
            <v/>
          </cell>
          <cell r="AZ454">
            <v>0</v>
          </cell>
          <cell r="BA454">
            <v>0</v>
          </cell>
          <cell r="BB454">
            <v>0</v>
          </cell>
          <cell r="BC454" t="str">
            <v/>
          </cell>
          <cell r="BD454">
            <v>0</v>
          </cell>
          <cell r="BE454">
            <v>0</v>
          </cell>
          <cell r="BF454" t="str">
            <v/>
          </cell>
          <cell r="BG454">
            <v>0</v>
          </cell>
          <cell r="BH454">
            <v>0</v>
          </cell>
          <cell r="BI454">
            <v>0</v>
          </cell>
          <cell r="BJ454" t="str">
            <v/>
          </cell>
          <cell r="BK454">
            <v>0</v>
          </cell>
          <cell r="BL454">
            <v>0</v>
          </cell>
          <cell r="BM454">
            <v>0</v>
          </cell>
          <cell r="BN454" t="str">
            <v/>
          </cell>
          <cell r="BO454">
            <v>0</v>
          </cell>
          <cell r="BP454">
            <v>0</v>
          </cell>
          <cell r="BQ454">
            <v>0</v>
          </cell>
          <cell r="BR454" t="str">
            <v/>
          </cell>
          <cell r="BS454">
            <v>0</v>
          </cell>
          <cell r="BT454">
            <v>0</v>
          </cell>
          <cell r="BU454">
            <v>0</v>
          </cell>
          <cell r="BV454" t="str">
            <v/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 t="str">
            <v/>
          </cell>
          <cell r="CB454">
            <v>0</v>
          </cell>
          <cell r="CD454">
            <v>0</v>
          </cell>
          <cell r="CE454">
            <v>0</v>
          </cell>
          <cell r="CF454" t="str">
            <v/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 t="str">
            <v/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 t="str">
            <v/>
          </cell>
          <cell r="CQ454">
            <v>0</v>
          </cell>
          <cell r="CS454">
            <v>0</v>
          </cell>
          <cell r="CT454">
            <v>0</v>
          </cell>
          <cell r="CU454" t="str">
            <v/>
          </cell>
          <cell r="CV454">
            <v>0</v>
          </cell>
          <cell r="CX454">
            <v>0</v>
          </cell>
          <cell r="CY454">
            <v>0</v>
          </cell>
          <cell r="CZ454" t="str">
            <v/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 t="str">
            <v/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 t="str">
            <v/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 t="str">
            <v/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 t="str">
            <v/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 t="str">
            <v/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 t="str">
            <v/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 t="str">
            <v/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 t="str">
            <v/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 t="str">
            <v/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 t="str">
            <v/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 t="str">
            <v/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 t="str">
            <v/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 t="str">
            <v/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 t="str">
            <v/>
          </cell>
          <cell r="FS454">
            <v>0</v>
          </cell>
          <cell r="FT454">
            <v>0</v>
          </cell>
          <cell r="FU454">
            <v>66.666666666666671</v>
          </cell>
          <cell r="FW454" t="str">
            <v>SIN ROTACIÓN</v>
          </cell>
          <cell r="FX454" t="str">
            <v/>
          </cell>
          <cell r="FY454" t="str">
            <v>No</v>
          </cell>
        </row>
        <row r="455">
          <cell r="B455" t="str">
            <v>REP-0472</v>
          </cell>
          <cell r="C455" t="str">
            <v>NAC</v>
          </cell>
          <cell r="D455">
            <v>0</v>
          </cell>
          <cell r="E455">
            <v>2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4</v>
          </cell>
          <cell r="L455">
            <v>2</v>
          </cell>
          <cell r="M455">
            <v>2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10</v>
          </cell>
          <cell r="AA455">
            <v>10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0.66666666666666663</v>
          </cell>
          <cell r="AG455">
            <v>0.16666666666666666</v>
          </cell>
          <cell r="AH455">
            <v>0.25</v>
          </cell>
          <cell r="AI455">
            <v>0</v>
          </cell>
          <cell r="AJ455">
            <v>0</v>
          </cell>
          <cell r="AK455">
            <v>0.25</v>
          </cell>
          <cell r="AL455">
            <v>0.125</v>
          </cell>
          <cell r="AM455">
            <v>0.10416666666666666</v>
          </cell>
          <cell r="AN455">
            <v>1.2000000000000002</v>
          </cell>
          <cell r="AO455">
            <v>0</v>
          </cell>
          <cell r="AP455">
            <v>10.833333333333334</v>
          </cell>
          <cell r="AQ455">
            <v>15.500000000000002</v>
          </cell>
          <cell r="AR455">
            <v>0</v>
          </cell>
          <cell r="AS455">
            <v>9.6666666666666679</v>
          </cell>
          <cell r="AT455">
            <v>11</v>
          </cell>
          <cell r="AU455">
            <v>66</v>
          </cell>
          <cell r="AV455">
            <v>0</v>
          </cell>
          <cell r="AW455">
            <v>10.833333333333334</v>
          </cell>
          <cell r="AX455">
            <v>10</v>
          </cell>
          <cell r="AY455">
            <v>40</v>
          </cell>
          <cell r="AZ455">
            <v>0</v>
          </cell>
          <cell r="BA455">
            <v>9.6666666666666661</v>
          </cell>
          <cell r="BB455">
            <v>10</v>
          </cell>
          <cell r="BC455">
            <v>30</v>
          </cell>
          <cell r="BD455">
            <v>0</v>
          </cell>
          <cell r="BE455">
            <v>9.6666666666666661</v>
          </cell>
          <cell r="BF455">
            <v>29</v>
          </cell>
          <cell r="BG455">
            <v>0</v>
          </cell>
          <cell r="BH455">
            <v>9.3333333333333321</v>
          </cell>
          <cell r="BI455">
            <v>10</v>
          </cell>
          <cell r="BJ455">
            <v>40</v>
          </cell>
          <cell r="BK455">
            <v>0</v>
          </cell>
          <cell r="BL455">
            <v>9.8333333333333339</v>
          </cell>
          <cell r="BM455">
            <v>10</v>
          </cell>
          <cell r="BN455">
            <v>60</v>
          </cell>
          <cell r="BO455">
            <v>0</v>
          </cell>
          <cell r="BP455">
            <v>9.8333333333333339</v>
          </cell>
          <cell r="BQ455">
            <v>10</v>
          </cell>
          <cell r="BR455">
            <v>40</v>
          </cell>
          <cell r="BS455">
            <v>0</v>
          </cell>
          <cell r="BT455">
            <v>9.8333333333333339</v>
          </cell>
          <cell r="BU455">
            <v>10</v>
          </cell>
          <cell r="BV455">
            <v>60</v>
          </cell>
          <cell r="BW455">
            <v>0</v>
          </cell>
          <cell r="BX455">
            <v>0</v>
          </cell>
          <cell r="BY455">
            <v>9.8333333333333339</v>
          </cell>
          <cell r="BZ455">
            <v>10</v>
          </cell>
          <cell r="CA455">
            <v>60</v>
          </cell>
          <cell r="CB455">
            <v>0</v>
          </cell>
          <cell r="CC455">
            <v>0</v>
          </cell>
          <cell r="CD455">
            <v>9.8333333333333339</v>
          </cell>
          <cell r="CE455">
            <v>10</v>
          </cell>
          <cell r="CF455">
            <v>60</v>
          </cell>
          <cell r="CG455">
            <v>0</v>
          </cell>
          <cell r="CH455">
            <v>0</v>
          </cell>
          <cell r="CI455">
            <v>9.6666666666666679</v>
          </cell>
          <cell r="CJ455">
            <v>8</v>
          </cell>
          <cell r="CK455">
            <v>24</v>
          </cell>
          <cell r="CL455">
            <v>0</v>
          </cell>
          <cell r="CM455">
            <v>0</v>
          </cell>
          <cell r="CN455">
            <v>7.666666666666667</v>
          </cell>
          <cell r="CO455">
            <v>10</v>
          </cell>
          <cell r="CP455">
            <v>30</v>
          </cell>
          <cell r="CQ455">
            <v>0</v>
          </cell>
          <cell r="CR455">
            <v>0</v>
          </cell>
          <cell r="CS455">
            <v>9.6666666666666661</v>
          </cell>
          <cell r="CT455">
            <v>10</v>
          </cell>
          <cell r="CU455">
            <v>30</v>
          </cell>
          <cell r="CV455">
            <v>0</v>
          </cell>
          <cell r="CW455">
            <v>0</v>
          </cell>
          <cell r="CX455">
            <v>9.6666666666666661</v>
          </cell>
          <cell r="CY455">
            <v>10</v>
          </cell>
          <cell r="CZ455">
            <v>40</v>
          </cell>
          <cell r="DA455">
            <v>0</v>
          </cell>
          <cell r="DB455">
            <v>0</v>
          </cell>
          <cell r="DC455">
            <v>9.75</v>
          </cell>
          <cell r="DD455">
            <v>10</v>
          </cell>
          <cell r="DE455">
            <v>36</v>
          </cell>
          <cell r="DF455">
            <v>0</v>
          </cell>
          <cell r="DG455">
            <v>0</v>
          </cell>
          <cell r="DH455">
            <v>9.75</v>
          </cell>
          <cell r="DI455">
            <v>10</v>
          </cell>
          <cell r="DJ455">
            <v>38</v>
          </cell>
          <cell r="DK455">
            <v>0</v>
          </cell>
          <cell r="DL455">
            <v>0</v>
          </cell>
          <cell r="DM455">
            <v>9.5</v>
          </cell>
          <cell r="DN455">
            <v>10</v>
          </cell>
          <cell r="DO455">
            <v>38</v>
          </cell>
          <cell r="DP455">
            <v>0</v>
          </cell>
          <cell r="DQ455">
            <v>0</v>
          </cell>
          <cell r="DR455">
            <v>9.75</v>
          </cell>
          <cell r="DS455">
            <v>9.75</v>
          </cell>
          <cell r="DT455">
            <v>37</v>
          </cell>
          <cell r="DU455">
            <v>0</v>
          </cell>
          <cell r="DV455">
            <v>0</v>
          </cell>
          <cell r="DW455">
            <v>9.5</v>
          </cell>
          <cell r="DX455">
            <v>9.5</v>
          </cell>
          <cell r="DY455">
            <v>36</v>
          </cell>
          <cell r="DZ455">
            <v>0</v>
          </cell>
          <cell r="EA455">
            <v>0</v>
          </cell>
          <cell r="EB455">
            <v>9.25</v>
          </cell>
          <cell r="EC455">
            <v>9.25</v>
          </cell>
          <cell r="ED455">
            <v>35</v>
          </cell>
          <cell r="EE455">
            <v>0</v>
          </cell>
          <cell r="EF455">
            <v>0</v>
          </cell>
          <cell r="EG455">
            <v>9</v>
          </cell>
          <cell r="EH455">
            <v>9</v>
          </cell>
          <cell r="EI455">
            <v>34</v>
          </cell>
          <cell r="EJ455">
            <v>0</v>
          </cell>
          <cell r="EK455">
            <v>0</v>
          </cell>
          <cell r="EL455">
            <v>8.75</v>
          </cell>
          <cell r="EM455">
            <v>8.75</v>
          </cell>
          <cell r="EN455">
            <v>33</v>
          </cell>
          <cell r="EO455">
            <v>0</v>
          </cell>
          <cell r="EP455">
            <v>0</v>
          </cell>
          <cell r="EQ455">
            <v>8.5</v>
          </cell>
          <cell r="ER455">
            <v>8.5</v>
          </cell>
          <cell r="ES455">
            <v>32</v>
          </cell>
          <cell r="ET455">
            <v>0</v>
          </cell>
          <cell r="EU455">
            <v>0</v>
          </cell>
          <cell r="EV455">
            <v>8.25</v>
          </cell>
          <cell r="EW455">
            <v>8.25</v>
          </cell>
          <cell r="EX455">
            <v>31</v>
          </cell>
          <cell r="EY455">
            <v>0</v>
          </cell>
          <cell r="EZ455">
            <v>0</v>
          </cell>
          <cell r="FA455">
            <v>8</v>
          </cell>
          <cell r="FB455">
            <v>8</v>
          </cell>
          <cell r="FC455">
            <v>30</v>
          </cell>
          <cell r="FD455">
            <v>0</v>
          </cell>
          <cell r="FE455">
            <v>0</v>
          </cell>
          <cell r="FF455">
            <v>7.75</v>
          </cell>
          <cell r="FG455">
            <v>7.75</v>
          </cell>
          <cell r="FH455">
            <v>29</v>
          </cell>
          <cell r="FI455">
            <v>0</v>
          </cell>
          <cell r="FJ455">
            <v>0</v>
          </cell>
          <cell r="FK455">
            <v>7.5</v>
          </cell>
          <cell r="FL455">
            <v>7.5</v>
          </cell>
          <cell r="FM455">
            <v>28</v>
          </cell>
          <cell r="FN455">
            <v>0</v>
          </cell>
          <cell r="FO455">
            <v>0</v>
          </cell>
          <cell r="FP455">
            <v>7.25</v>
          </cell>
          <cell r="FQ455">
            <v>7.25</v>
          </cell>
          <cell r="FR455">
            <v>27</v>
          </cell>
          <cell r="FS455">
            <v>0</v>
          </cell>
          <cell r="FT455">
            <v>1</v>
          </cell>
          <cell r="FU455">
            <v>1.0333333333333334</v>
          </cell>
          <cell r="FW455" t="str">
            <v>SIN ROTACIÓN</v>
          </cell>
          <cell r="FX455" t="str">
            <v>C</v>
          </cell>
          <cell r="FY455" t="str">
            <v>Si</v>
          </cell>
        </row>
        <row r="456">
          <cell r="B456" t="str">
            <v>REP-0473</v>
          </cell>
          <cell r="C456" t="str">
            <v>NAC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</v>
          </cell>
          <cell r="L456">
            <v>4</v>
          </cell>
          <cell r="M456">
            <v>2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8</v>
          </cell>
          <cell r="AA456">
            <v>8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0.33333333333333331</v>
          </cell>
          <cell r="AG456">
            <v>0.16666666666666666</v>
          </cell>
          <cell r="AH456">
            <v>0.25</v>
          </cell>
          <cell r="AI456">
            <v>0</v>
          </cell>
          <cell r="AJ456">
            <v>0</v>
          </cell>
          <cell r="AK456">
            <v>0.25</v>
          </cell>
          <cell r="AL456">
            <v>0.125</v>
          </cell>
          <cell r="AM456">
            <v>0.10416666666666666</v>
          </cell>
          <cell r="AN456">
            <v>1.2000000000000002</v>
          </cell>
          <cell r="AO456">
            <v>0</v>
          </cell>
          <cell r="AP456">
            <v>6.666666666666667</v>
          </cell>
          <cell r="AQ456">
            <v>20.000000000000004</v>
          </cell>
          <cell r="AR456">
            <v>0</v>
          </cell>
          <cell r="AS456">
            <v>6.3333333333333339</v>
          </cell>
          <cell r="AT456">
            <v>7</v>
          </cell>
          <cell r="AU456">
            <v>42</v>
          </cell>
          <cell r="AV456">
            <v>0</v>
          </cell>
          <cell r="AW456">
            <v>6.833333333333333</v>
          </cell>
          <cell r="AX456">
            <v>6</v>
          </cell>
          <cell r="AY456">
            <v>24</v>
          </cell>
          <cell r="AZ456">
            <v>0</v>
          </cell>
          <cell r="BA456">
            <v>5.666666666666667</v>
          </cell>
          <cell r="BB456">
            <v>6</v>
          </cell>
          <cell r="BC456">
            <v>7.1999999999999993</v>
          </cell>
          <cell r="BD456">
            <v>0</v>
          </cell>
          <cell r="BE456">
            <v>5.166666666666667</v>
          </cell>
          <cell r="BF456">
            <v>6.2</v>
          </cell>
          <cell r="BG456">
            <v>0</v>
          </cell>
          <cell r="BH456">
            <v>4.3333333333333339</v>
          </cell>
          <cell r="BI456">
            <v>8</v>
          </cell>
          <cell r="BJ456">
            <v>32</v>
          </cell>
          <cell r="BK456">
            <v>0</v>
          </cell>
          <cell r="BL456">
            <v>3.5</v>
          </cell>
          <cell r="BM456">
            <v>4</v>
          </cell>
          <cell r="BN456">
            <v>8</v>
          </cell>
          <cell r="BO456">
            <v>0</v>
          </cell>
          <cell r="BP456">
            <v>3.5</v>
          </cell>
          <cell r="BQ456">
            <v>4</v>
          </cell>
          <cell r="BR456">
            <v>16</v>
          </cell>
          <cell r="BS456">
            <v>0</v>
          </cell>
          <cell r="BT456">
            <v>3.5</v>
          </cell>
          <cell r="BU456">
            <v>4</v>
          </cell>
          <cell r="BV456">
            <v>12</v>
          </cell>
          <cell r="BW456">
            <v>0</v>
          </cell>
          <cell r="BX456">
            <v>0</v>
          </cell>
          <cell r="BY456">
            <v>3.6666666666666665</v>
          </cell>
          <cell r="BZ456">
            <v>4</v>
          </cell>
          <cell r="CA456">
            <v>12</v>
          </cell>
          <cell r="CB456">
            <v>0</v>
          </cell>
          <cell r="CC456">
            <v>0</v>
          </cell>
          <cell r="CD456">
            <v>3.6666666666666665</v>
          </cell>
          <cell r="CE456">
            <v>4</v>
          </cell>
          <cell r="CF456">
            <v>14.666666666666668</v>
          </cell>
          <cell r="CG456">
            <v>0</v>
          </cell>
          <cell r="CH456">
            <v>0</v>
          </cell>
          <cell r="CI456">
            <v>3.3939393939393936</v>
          </cell>
          <cell r="CJ456">
            <v>4</v>
          </cell>
          <cell r="CK456">
            <v>16</v>
          </cell>
          <cell r="CL456">
            <v>0</v>
          </cell>
          <cell r="CM456">
            <v>0</v>
          </cell>
          <cell r="CN456">
            <v>3.75</v>
          </cell>
          <cell r="CO456">
            <v>8</v>
          </cell>
          <cell r="CP456">
            <v>32</v>
          </cell>
          <cell r="CQ456">
            <v>0</v>
          </cell>
          <cell r="CR456">
            <v>0</v>
          </cell>
          <cell r="CS456">
            <v>7.75</v>
          </cell>
          <cell r="CT456">
            <v>8</v>
          </cell>
          <cell r="CU456">
            <v>32</v>
          </cell>
          <cell r="CV456">
            <v>0</v>
          </cell>
          <cell r="CW456">
            <v>0</v>
          </cell>
          <cell r="CX456">
            <v>7.75</v>
          </cell>
          <cell r="CY456">
            <v>8</v>
          </cell>
          <cell r="CZ456">
            <v>32</v>
          </cell>
          <cell r="DA456">
            <v>0</v>
          </cell>
          <cell r="DB456">
            <v>0</v>
          </cell>
          <cell r="DC456">
            <v>7.75</v>
          </cell>
          <cell r="DD456">
            <v>8</v>
          </cell>
          <cell r="DE456">
            <v>28</v>
          </cell>
          <cell r="DF456">
            <v>0</v>
          </cell>
          <cell r="DG456">
            <v>0</v>
          </cell>
          <cell r="DH456">
            <v>7.75</v>
          </cell>
          <cell r="DI456">
            <v>8</v>
          </cell>
          <cell r="DJ456">
            <v>30</v>
          </cell>
          <cell r="DK456">
            <v>0</v>
          </cell>
          <cell r="DL456">
            <v>0</v>
          </cell>
          <cell r="DM456">
            <v>7.5</v>
          </cell>
          <cell r="DN456">
            <v>8</v>
          </cell>
          <cell r="DO456">
            <v>30</v>
          </cell>
          <cell r="DP456">
            <v>0</v>
          </cell>
          <cell r="DQ456">
            <v>0</v>
          </cell>
          <cell r="DR456">
            <v>7.75</v>
          </cell>
          <cell r="DS456">
            <v>7.75</v>
          </cell>
          <cell r="DT456">
            <v>29</v>
          </cell>
          <cell r="DU456">
            <v>0</v>
          </cell>
          <cell r="DV456">
            <v>0</v>
          </cell>
          <cell r="DW456">
            <v>7.5</v>
          </cell>
          <cell r="DX456">
            <v>7.5</v>
          </cell>
          <cell r="DY456">
            <v>28</v>
          </cell>
          <cell r="DZ456">
            <v>0</v>
          </cell>
          <cell r="EA456">
            <v>0</v>
          </cell>
          <cell r="EB456">
            <v>7.25</v>
          </cell>
          <cell r="EC456">
            <v>7.25</v>
          </cell>
          <cell r="ED456">
            <v>27</v>
          </cell>
          <cell r="EE456">
            <v>0</v>
          </cell>
          <cell r="EF456">
            <v>0</v>
          </cell>
          <cell r="EG456">
            <v>7</v>
          </cell>
          <cell r="EH456">
            <v>7</v>
          </cell>
          <cell r="EI456">
            <v>26</v>
          </cell>
          <cell r="EJ456">
            <v>0</v>
          </cell>
          <cell r="EK456">
            <v>0</v>
          </cell>
          <cell r="EL456">
            <v>6.75</v>
          </cell>
          <cell r="EM456">
            <v>6.75</v>
          </cell>
          <cell r="EN456">
            <v>25</v>
          </cell>
          <cell r="EO456">
            <v>0</v>
          </cell>
          <cell r="EP456">
            <v>0</v>
          </cell>
          <cell r="EQ456">
            <v>6.5</v>
          </cell>
          <cell r="ER456">
            <v>6.5</v>
          </cell>
          <cell r="ES456">
            <v>24</v>
          </cell>
          <cell r="ET456">
            <v>0</v>
          </cell>
          <cell r="EU456">
            <v>0</v>
          </cell>
          <cell r="EV456">
            <v>6.25</v>
          </cell>
          <cell r="EW456">
            <v>6.25</v>
          </cell>
          <cell r="EX456">
            <v>23</v>
          </cell>
          <cell r="EY456">
            <v>0</v>
          </cell>
          <cell r="EZ456">
            <v>0</v>
          </cell>
          <cell r="FA456">
            <v>6</v>
          </cell>
          <cell r="FB456">
            <v>6</v>
          </cell>
          <cell r="FC456">
            <v>22</v>
          </cell>
          <cell r="FD456">
            <v>0</v>
          </cell>
          <cell r="FE456">
            <v>0</v>
          </cell>
          <cell r="FF456">
            <v>5.75</v>
          </cell>
          <cell r="FG456">
            <v>5.75</v>
          </cell>
          <cell r="FH456">
            <v>21</v>
          </cell>
          <cell r="FI456">
            <v>0</v>
          </cell>
          <cell r="FJ456">
            <v>0</v>
          </cell>
          <cell r="FK456">
            <v>5.5</v>
          </cell>
          <cell r="FL456">
            <v>5.5</v>
          </cell>
          <cell r="FM456">
            <v>20</v>
          </cell>
          <cell r="FN456">
            <v>0</v>
          </cell>
          <cell r="FO456">
            <v>0</v>
          </cell>
          <cell r="FP456">
            <v>5.25</v>
          </cell>
          <cell r="FQ456">
            <v>5.25</v>
          </cell>
          <cell r="FR456">
            <v>19</v>
          </cell>
          <cell r="FS456">
            <v>0</v>
          </cell>
          <cell r="FT456">
            <v>1</v>
          </cell>
          <cell r="FU456">
            <v>1.0333333333333334</v>
          </cell>
          <cell r="FW456" t="str">
            <v>SIN ROTACIÓN</v>
          </cell>
          <cell r="FX456" t="str">
            <v>C</v>
          </cell>
          <cell r="FY456" t="str">
            <v>Si</v>
          </cell>
        </row>
        <row r="457">
          <cell r="B457" t="str">
            <v>REP-0474</v>
          </cell>
          <cell r="C457" t="str">
            <v>MIX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M457">
            <v>0</v>
          </cell>
          <cell r="AO457">
            <v>0</v>
          </cell>
          <cell r="AP457">
            <v>0</v>
          </cell>
          <cell r="AQ457" t="str">
            <v/>
          </cell>
          <cell r="AR457">
            <v>0</v>
          </cell>
          <cell r="AS457">
            <v>0</v>
          </cell>
          <cell r="AT457">
            <v>0</v>
          </cell>
          <cell r="AU457" t="str">
            <v/>
          </cell>
          <cell r="AV457">
            <v>0</v>
          </cell>
          <cell r="AW457">
            <v>0</v>
          </cell>
          <cell r="AX457">
            <v>0</v>
          </cell>
          <cell r="AY457" t="str">
            <v/>
          </cell>
          <cell r="AZ457">
            <v>0</v>
          </cell>
          <cell r="BA457">
            <v>0</v>
          </cell>
          <cell r="BB457">
            <v>0</v>
          </cell>
          <cell r="BC457" t="str">
            <v/>
          </cell>
          <cell r="BD457">
            <v>0</v>
          </cell>
          <cell r="BE457">
            <v>0</v>
          </cell>
          <cell r="BF457" t="str">
            <v/>
          </cell>
          <cell r="BG457">
            <v>0</v>
          </cell>
          <cell r="BH457">
            <v>0</v>
          </cell>
          <cell r="BI457">
            <v>0</v>
          </cell>
          <cell r="BJ457" t="str">
            <v/>
          </cell>
          <cell r="BK457">
            <v>0</v>
          </cell>
          <cell r="BL457">
            <v>0</v>
          </cell>
          <cell r="BM457">
            <v>0</v>
          </cell>
          <cell r="BN457" t="str">
            <v/>
          </cell>
          <cell r="BO457">
            <v>0</v>
          </cell>
          <cell r="BP457">
            <v>0</v>
          </cell>
          <cell r="BQ457">
            <v>0</v>
          </cell>
          <cell r="BR457" t="str">
            <v/>
          </cell>
          <cell r="BS457">
            <v>0</v>
          </cell>
          <cell r="BT457">
            <v>0</v>
          </cell>
          <cell r="BU457">
            <v>0</v>
          </cell>
          <cell r="BV457" t="str">
            <v/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 t="str">
            <v/>
          </cell>
          <cell r="CB457">
            <v>0</v>
          </cell>
          <cell r="CD457">
            <v>0</v>
          </cell>
          <cell r="CE457">
            <v>0</v>
          </cell>
          <cell r="CF457" t="str">
            <v/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 t="str">
            <v/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 t="str">
            <v/>
          </cell>
          <cell r="CQ457">
            <v>0</v>
          </cell>
          <cell r="CS457">
            <v>0</v>
          </cell>
          <cell r="CT457">
            <v>0</v>
          </cell>
          <cell r="CU457" t="str">
            <v/>
          </cell>
          <cell r="CV457">
            <v>0</v>
          </cell>
          <cell r="CX457">
            <v>0</v>
          </cell>
          <cell r="CY457">
            <v>0</v>
          </cell>
          <cell r="CZ457" t="str">
            <v/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 t="str">
            <v/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 t="str">
            <v/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 t="str">
            <v/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 t="str">
            <v/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 t="str">
            <v/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 t="str">
            <v/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 t="str">
            <v/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 t="str">
            <v/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 t="str">
            <v/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 t="str">
            <v/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 t="str">
            <v/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 t="str">
            <v/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 t="str">
            <v/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 t="str">
            <v/>
          </cell>
          <cell r="FS457">
            <v>0</v>
          </cell>
          <cell r="FT457">
            <v>0</v>
          </cell>
          <cell r="FU457">
            <v>66.666666666666671</v>
          </cell>
          <cell r="FW457" t="str">
            <v>SIN ROTACIÓN</v>
          </cell>
          <cell r="FX457" t="str">
            <v/>
          </cell>
          <cell r="FY457" t="str">
            <v>No</v>
          </cell>
        </row>
        <row r="458">
          <cell r="B458" t="str">
            <v>REP-0475</v>
          </cell>
          <cell r="C458" t="str">
            <v>MIX</v>
          </cell>
          <cell r="D458">
            <v>0</v>
          </cell>
          <cell r="E458">
            <v>4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4</v>
          </cell>
          <cell r="AA458">
            <v>4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4</v>
          </cell>
          <cell r="AQ458" t="str">
            <v/>
          </cell>
          <cell r="AR458">
            <v>0</v>
          </cell>
          <cell r="AS458">
            <v>4</v>
          </cell>
          <cell r="AT458">
            <v>4</v>
          </cell>
          <cell r="AU458" t="str">
            <v/>
          </cell>
          <cell r="AV458">
            <v>0</v>
          </cell>
          <cell r="AW458">
            <v>4</v>
          </cell>
          <cell r="AX458">
            <v>4</v>
          </cell>
          <cell r="AY458" t="str">
            <v/>
          </cell>
          <cell r="AZ458">
            <v>0</v>
          </cell>
          <cell r="BA458">
            <v>4</v>
          </cell>
          <cell r="BB458">
            <v>4</v>
          </cell>
          <cell r="BC458" t="str">
            <v/>
          </cell>
          <cell r="BD458">
            <v>0</v>
          </cell>
          <cell r="BE458">
            <v>4</v>
          </cell>
          <cell r="BF458" t="str">
            <v/>
          </cell>
          <cell r="BG458">
            <v>0</v>
          </cell>
          <cell r="BH458">
            <v>4</v>
          </cell>
          <cell r="BI458">
            <v>4</v>
          </cell>
          <cell r="BJ458" t="str">
            <v/>
          </cell>
          <cell r="BK458">
            <v>0</v>
          </cell>
          <cell r="BL458">
            <v>4</v>
          </cell>
          <cell r="BM458">
            <v>4</v>
          </cell>
          <cell r="BN458" t="str">
            <v/>
          </cell>
          <cell r="BO458">
            <v>0</v>
          </cell>
          <cell r="BP458">
            <v>4</v>
          </cell>
          <cell r="BQ458">
            <v>4</v>
          </cell>
          <cell r="BR458" t="str">
            <v/>
          </cell>
          <cell r="BS458">
            <v>0</v>
          </cell>
          <cell r="BT458">
            <v>4</v>
          </cell>
          <cell r="BU458">
            <v>4</v>
          </cell>
          <cell r="BV458" t="str">
            <v/>
          </cell>
          <cell r="BW458">
            <v>0</v>
          </cell>
          <cell r="BX458">
            <v>0</v>
          </cell>
          <cell r="BY458">
            <v>4</v>
          </cell>
          <cell r="BZ458">
            <v>4</v>
          </cell>
          <cell r="CA458" t="str">
            <v/>
          </cell>
          <cell r="CB458">
            <v>0</v>
          </cell>
          <cell r="CC458">
            <v>0</v>
          </cell>
          <cell r="CD458">
            <v>4</v>
          </cell>
          <cell r="CE458">
            <v>4</v>
          </cell>
          <cell r="CF458" t="str">
            <v/>
          </cell>
          <cell r="CG458">
            <v>0</v>
          </cell>
          <cell r="CH458">
            <v>0</v>
          </cell>
          <cell r="CI458">
            <v>4</v>
          </cell>
          <cell r="CJ458">
            <v>4</v>
          </cell>
          <cell r="CK458" t="str">
            <v/>
          </cell>
          <cell r="CL458">
            <v>0</v>
          </cell>
          <cell r="CM458">
            <v>0</v>
          </cell>
          <cell r="CN458">
            <v>4</v>
          </cell>
          <cell r="CO458">
            <v>4</v>
          </cell>
          <cell r="CP458" t="str">
            <v/>
          </cell>
          <cell r="CQ458">
            <v>0</v>
          </cell>
          <cell r="CR458">
            <v>0</v>
          </cell>
          <cell r="CS458">
            <v>4</v>
          </cell>
          <cell r="CT458">
            <v>4</v>
          </cell>
          <cell r="CU458" t="str">
            <v/>
          </cell>
          <cell r="CV458">
            <v>0</v>
          </cell>
          <cell r="CW458">
            <v>0</v>
          </cell>
          <cell r="CX458">
            <v>4</v>
          </cell>
          <cell r="CY458">
            <v>4</v>
          </cell>
          <cell r="CZ458" t="str">
            <v/>
          </cell>
          <cell r="DA458">
            <v>0</v>
          </cell>
          <cell r="DB458">
            <v>0</v>
          </cell>
          <cell r="DC458">
            <v>4</v>
          </cell>
          <cell r="DD458">
            <v>4</v>
          </cell>
          <cell r="DE458" t="str">
            <v/>
          </cell>
          <cell r="DF458">
            <v>0</v>
          </cell>
          <cell r="DG458">
            <v>0</v>
          </cell>
          <cell r="DH458">
            <v>4</v>
          </cell>
          <cell r="DI458">
            <v>4</v>
          </cell>
          <cell r="DJ458" t="str">
            <v/>
          </cell>
          <cell r="DK458">
            <v>0</v>
          </cell>
          <cell r="DL458">
            <v>0</v>
          </cell>
          <cell r="DM458">
            <v>4</v>
          </cell>
          <cell r="DN458">
            <v>4</v>
          </cell>
          <cell r="DO458" t="str">
            <v/>
          </cell>
          <cell r="DP458">
            <v>0</v>
          </cell>
          <cell r="DQ458">
            <v>0</v>
          </cell>
          <cell r="DR458">
            <v>4</v>
          </cell>
          <cell r="DS458">
            <v>4</v>
          </cell>
          <cell r="DT458" t="str">
            <v/>
          </cell>
          <cell r="DU458">
            <v>0</v>
          </cell>
          <cell r="DV458">
            <v>0</v>
          </cell>
          <cell r="DW458">
            <v>4</v>
          </cell>
          <cell r="DX458">
            <v>4</v>
          </cell>
          <cell r="DY458" t="str">
            <v/>
          </cell>
          <cell r="DZ458">
            <v>0</v>
          </cell>
          <cell r="EA458">
            <v>0</v>
          </cell>
          <cell r="EB458">
            <v>4</v>
          </cell>
          <cell r="EC458">
            <v>4</v>
          </cell>
          <cell r="ED458" t="str">
            <v/>
          </cell>
          <cell r="EE458">
            <v>0</v>
          </cell>
          <cell r="EF458">
            <v>0</v>
          </cell>
          <cell r="EG458">
            <v>4</v>
          </cell>
          <cell r="EH458">
            <v>4</v>
          </cell>
          <cell r="EI458" t="str">
            <v/>
          </cell>
          <cell r="EJ458">
            <v>0</v>
          </cell>
          <cell r="EK458">
            <v>0</v>
          </cell>
          <cell r="EL458">
            <v>4</v>
          </cell>
          <cell r="EM458">
            <v>4</v>
          </cell>
          <cell r="EN458" t="str">
            <v/>
          </cell>
          <cell r="EO458">
            <v>0</v>
          </cell>
          <cell r="EP458">
            <v>0</v>
          </cell>
          <cell r="EQ458">
            <v>4</v>
          </cell>
          <cell r="ER458">
            <v>4</v>
          </cell>
          <cell r="ES458" t="str">
            <v/>
          </cell>
          <cell r="ET458">
            <v>0</v>
          </cell>
          <cell r="EU458">
            <v>0</v>
          </cell>
          <cell r="EV458">
            <v>4</v>
          </cell>
          <cell r="EW458">
            <v>4</v>
          </cell>
          <cell r="EX458" t="str">
            <v/>
          </cell>
          <cell r="EY458">
            <v>0</v>
          </cell>
          <cell r="EZ458">
            <v>0</v>
          </cell>
          <cell r="FA458">
            <v>4</v>
          </cell>
          <cell r="FB458">
            <v>4</v>
          </cell>
          <cell r="FC458" t="str">
            <v/>
          </cell>
          <cell r="FD458">
            <v>0</v>
          </cell>
          <cell r="FE458">
            <v>0</v>
          </cell>
          <cell r="FF458">
            <v>4</v>
          </cell>
          <cell r="FG458">
            <v>4</v>
          </cell>
          <cell r="FH458" t="str">
            <v/>
          </cell>
          <cell r="FI458">
            <v>0</v>
          </cell>
          <cell r="FJ458">
            <v>0</v>
          </cell>
          <cell r="FK458">
            <v>4</v>
          </cell>
          <cell r="FL458">
            <v>4</v>
          </cell>
          <cell r="FM458" t="str">
            <v/>
          </cell>
          <cell r="FN458">
            <v>0</v>
          </cell>
          <cell r="FO458">
            <v>0</v>
          </cell>
          <cell r="FP458">
            <v>4</v>
          </cell>
          <cell r="FQ458">
            <v>4</v>
          </cell>
          <cell r="FR458" t="str">
            <v/>
          </cell>
          <cell r="FS458">
            <v>0</v>
          </cell>
          <cell r="FT458">
            <v>0</v>
          </cell>
          <cell r="FU458">
            <v>2.0333333333333332</v>
          </cell>
          <cell r="FW458" t="str">
            <v>SIN ROTACIÓN</v>
          </cell>
          <cell r="FX458" t="str">
            <v>STOCK MUERTO</v>
          </cell>
          <cell r="FY458" t="str">
            <v>Si</v>
          </cell>
        </row>
        <row r="459">
          <cell r="B459" t="str">
            <v>REP-0476</v>
          </cell>
          <cell r="C459" t="str">
            <v>MIX</v>
          </cell>
          <cell r="D459">
            <v>0</v>
          </cell>
          <cell r="E459">
            <v>4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4</v>
          </cell>
          <cell r="AA459">
            <v>4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4</v>
          </cell>
          <cell r="AQ459" t="str">
            <v/>
          </cell>
          <cell r="AR459">
            <v>0</v>
          </cell>
          <cell r="AS459">
            <v>4</v>
          </cell>
          <cell r="AT459">
            <v>4</v>
          </cell>
          <cell r="AU459" t="str">
            <v/>
          </cell>
          <cell r="AV459">
            <v>0</v>
          </cell>
          <cell r="AW459">
            <v>4</v>
          </cell>
          <cell r="AX459">
            <v>4</v>
          </cell>
          <cell r="AY459" t="str">
            <v/>
          </cell>
          <cell r="AZ459">
            <v>0</v>
          </cell>
          <cell r="BA459">
            <v>4</v>
          </cell>
          <cell r="BB459">
            <v>4</v>
          </cell>
          <cell r="BC459" t="str">
            <v/>
          </cell>
          <cell r="BD459">
            <v>0</v>
          </cell>
          <cell r="BE459">
            <v>4</v>
          </cell>
          <cell r="BF459" t="str">
            <v/>
          </cell>
          <cell r="BG459">
            <v>0</v>
          </cell>
          <cell r="BH459">
            <v>4</v>
          </cell>
          <cell r="BI459">
            <v>4</v>
          </cell>
          <cell r="BJ459" t="str">
            <v/>
          </cell>
          <cell r="BK459">
            <v>0</v>
          </cell>
          <cell r="BL459">
            <v>4</v>
          </cell>
          <cell r="BM459">
            <v>4</v>
          </cell>
          <cell r="BN459" t="str">
            <v/>
          </cell>
          <cell r="BO459">
            <v>0</v>
          </cell>
          <cell r="BP459">
            <v>4</v>
          </cell>
          <cell r="BQ459">
            <v>4</v>
          </cell>
          <cell r="BR459" t="str">
            <v/>
          </cell>
          <cell r="BS459">
            <v>0</v>
          </cell>
          <cell r="BT459">
            <v>4</v>
          </cell>
          <cell r="BU459">
            <v>4</v>
          </cell>
          <cell r="BV459" t="str">
            <v/>
          </cell>
          <cell r="BW459">
            <v>0</v>
          </cell>
          <cell r="BX459">
            <v>0</v>
          </cell>
          <cell r="BY459">
            <v>4</v>
          </cell>
          <cell r="BZ459">
            <v>4</v>
          </cell>
          <cell r="CA459" t="str">
            <v/>
          </cell>
          <cell r="CB459">
            <v>0</v>
          </cell>
          <cell r="CC459">
            <v>0</v>
          </cell>
          <cell r="CD459">
            <v>4</v>
          </cell>
          <cell r="CE459">
            <v>4</v>
          </cell>
          <cell r="CF459" t="str">
            <v/>
          </cell>
          <cell r="CG459">
            <v>0</v>
          </cell>
          <cell r="CH459">
            <v>0</v>
          </cell>
          <cell r="CI459">
            <v>4</v>
          </cell>
          <cell r="CJ459">
            <v>4</v>
          </cell>
          <cell r="CK459" t="str">
            <v/>
          </cell>
          <cell r="CL459">
            <v>0</v>
          </cell>
          <cell r="CM459">
            <v>0</v>
          </cell>
          <cell r="CN459">
            <v>4</v>
          </cell>
          <cell r="CO459">
            <v>4</v>
          </cell>
          <cell r="CP459" t="str">
            <v/>
          </cell>
          <cell r="CQ459">
            <v>0</v>
          </cell>
          <cell r="CR459">
            <v>0</v>
          </cell>
          <cell r="CS459">
            <v>4</v>
          </cell>
          <cell r="CT459">
            <v>4</v>
          </cell>
          <cell r="CU459" t="str">
            <v/>
          </cell>
          <cell r="CV459">
            <v>0</v>
          </cell>
          <cell r="CW459">
            <v>0</v>
          </cell>
          <cell r="CX459">
            <v>4</v>
          </cell>
          <cell r="CY459">
            <v>4</v>
          </cell>
          <cell r="CZ459" t="str">
            <v/>
          </cell>
          <cell r="DA459">
            <v>0</v>
          </cell>
          <cell r="DB459">
            <v>0</v>
          </cell>
          <cell r="DC459">
            <v>4</v>
          </cell>
          <cell r="DD459">
            <v>4</v>
          </cell>
          <cell r="DE459" t="str">
            <v/>
          </cell>
          <cell r="DF459">
            <v>0</v>
          </cell>
          <cell r="DG459">
            <v>0</v>
          </cell>
          <cell r="DH459">
            <v>4</v>
          </cell>
          <cell r="DI459">
            <v>4</v>
          </cell>
          <cell r="DJ459" t="str">
            <v/>
          </cell>
          <cell r="DK459">
            <v>0</v>
          </cell>
          <cell r="DL459">
            <v>0</v>
          </cell>
          <cell r="DM459">
            <v>4</v>
          </cell>
          <cell r="DN459">
            <v>4</v>
          </cell>
          <cell r="DO459" t="str">
            <v/>
          </cell>
          <cell r="DP459">
            <v>0</v>
          </cell>
          <cell r="DQ459">
            <v>0</v>
          </cell>
          <cell r="DR459">
            <v>4</v>
          </cell>
          <cell r="DS459">
            <v>4</v>
          </cell>
          <cell r="DT459" t="str">
            <v/>
          </cell>
          <cell r="DU459">
            <v>0</v>
          </cell>
          <cell r="DV459">
            <v>0</v>
          </cell>
          <cell r="DW459">
            <v>4</v>
          </cell>
          <cell r="DX459">
            <v>4</v>
          </cell>
          <cell r="DY459" t="str">
            <v/>
          </cell>
          <cell r="DZ459">
            <v>0</v>
          </cell>
          <cell r="EA459">
            <v>0</v>
          </cell>
          <cell r="EB459">
            <v>4</v>
          </cell>
          <cell r="EC459">
            <v>4</v>
          </cell>
          <cell r="ED459" t="str">
            <v/>
          </cell>
          <cell r="EE459">
            <v>0</v>
          </cell>
          <cell r="EF459">
            <v>0</v>
          </cell>
          <cell r="EG459">
            <v>4</v>
          </cell>
          <cell r="EH459">
            <v>4</v>
          </cell>
          <cell r="EI459" t="str">
            <v/>
          </cell>
          <cell r="EJ459">
            <v>0</v>
          </cell>
          <cell r="EK459">
            <v>0</v>
          </cell>
          <cell r="EL459">
            <v>4</v>
          </cell>
          <cell r="EM459">
            <v>4</v>
          </cell>
          <cell r="EN459" t="str">
            <v/>
          </cell>
          <cell r="EO459">
            <v>0</v>
          </cell>
          <cell r="EP459">
            <v>0</v>
          </cell>
          <cell r="EQ459">
            <v>4</v>
          </cell>
          <cell r="ER459">
            <v>4</v>
          </cell>
          <cell r="ES459" t="str">
            <v/>
          </cell>
          <cell r="ET459">
            <v>0</v>
          </cell>
          <cell r="EU459">
            <v>0</v>
          </cell>
          <cell r="EV459">
            <v>4</v>
          </cell>
          <cell r="EW459">
            <v>4</v>
          </cell>
          <cell r="EX459" t="str">
            <v/>
          </cell>
          <cell r="EY459">
            <v>0</v>
          </cell>
          <cell r="EZ459">
            <v>0</v>
          </cell>
          <cell r="FA459">
            <v>4</v>
          </cell>
          <cell r="FB459">
            <v>4</v>
          </cell>
          <cell r="FC459" t="str">
            <v/>
          </cell>
          <cell r="FD459">
            <v>0</v>
          </cell>
          <cell r="FE459">
            <v>0</v>
          </cell>
          <cell r="FF459">
            <v>4</v>
          </cell>
          <cell r="FG459">
            <v>4</v>
          </cell>
          <cell r="FH459" t="str">
            <v/>
          </cell>
          <cell r="FI459">
            <v>0</v>
          </cell>
          <cell r="FJ459">
            <v>0</v>
          </cell>
          <cell r="FK459">
            <v>4</v>
          </cell>
          <cell r="FL459">
            <v>4</v>
          </cell>
          <cell r="FM459" t="str">
            <v/>
          </cell>
          <cell r="FN459">
            <v>0</v>
          </cell>
          <cell r="FO459">
            <v>0</v>
          </cell>
          <cell r="FP459">
            <v>4</v>
          </cell>
          <cell r="FQ459">
            <v>4</v>
          </cell>
          <cell r="FR459" t="str">
            <v/>
          </cell>
          <cell r="FS459">
            <v>0</v>
          </cell>
          <cell r="FT459">
            <v>0</v>
          </cell>
          <cell r="FU459">
            <v>2.0333333333333332</v>
          </cell>
          <cell r="FW459" t="str">
            <v>SIN ROTACIÓN</v>
          </cell>
          <cell r="FX459" t="str">
            <v>STOCK MUERTO</v>
          </cell>
          <cell r="FY459" t="str">
            <v>Si</v>
          </cell>
        </row>
        <row r="460">
          <cell r="B460" t="str">
            <v>REP-0477</v>
          </cell>
          <cell r="C460" t="str">
            <v>MIX</v>
          </cell>
          <cell r="D460">
            <v>0</v>
          </cell>
          <cell r="E460">
            <v>4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4</v>
          </cell>
          <cell r="AA460">
            <v>4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4</v>
          </cell>
          <cell r="AQ460" t="str">
            <v/>
          </cell>
          <cell r="AR460">
            <v>0</v>
          </cell>
          <cell r="AS460">
            <v>4</v>
          </cell>
          <cell r="AT460">
            <v>4</v>
          </cell>
          <cell r="AU460" t="str">
            <v/>
          </cell>
          <cell r="AV460">
            <v>0</v>
          </cell>
          <cell r="AW460">
            <v>4</v>
          </cell>
          <cell r="AX460">
            <v>4</v>
          </cell>
          <cell r="AY460" t="str">
            <v/>
          </cell>
          <cell r="AZ460">
            <v>0</v>
          </cell>
          <cell r="BA460">
            <v>4</v>
          </cell>
          <cell r="BB460">
            <v>4</v>
          </cell>
          <cell r="BC460" t="str">
            <v/>
          </cell>
          <cell r="BD460">
            <v>0</v>
          </cell>
          <cell r="BE460">
            <v>4</v>
          </cell>
          <cell r="BF460" t="str">
            <v/>
          </cell>
          <cell r="BG460">
            <v>0</v>
          </cell>
          <cell r="BH460">
            <v>4</v>
          </cell>
          <cell r="BI460">
            <v>4</v>
          </cell>
          <cell r="BJ460" t="str">
            <v/>
          </cell>
          <cell r="BK460">
            <v>0</v>
          </cell>
          <cell r="BL460">
            <v>4</v>
          </cell>
          <cell r="BM460">
            <v>4</v>
          </cell>
          <cell r="BN460" t="str">
            <v/>
          </cell>
          <cell r="BO460">
            <v>0</v>
          </cell>
          <cell r="BP460">
            <v>4</v>
          </cell>
          <cell r="BQ460">
            <v>4</v>
          </cell>
          <cell r="BR460" t="str">
            <v/>
          </cell>
          <cell r="BS460">
            <v>0</v>
          </cell>
          <cell r="BT460">
            <v>4</v>
          </cell>
          <cell r="BU460">
            <v>4</v>
          </cell>
          <cell r="BV460" t="str">
            <v/>
          </cell>
          <cell r="BW460">
            <v>0</v>
          </cell>
          <cell r="BX460">
            <v>0</v>
          </cell>
          <cell r="BY460">
            <v>4</v>
          </cell>
          <cell r="BZ460">
            <v>4</v>
          </cell>
          <cell r="CA460" t="str">
            <v/>
          </cell>
          <cell r="CB460">
            <v>0</v>
          </cell>
          <cell r="CC460">
            <v>0</v>
          </cell>
          <cell r="CD460">
            <v>4</v>
          </cell>
          <cell r="CE460">
            <v>4</v>
          </cell>
          <cell r="CF460" t="str">
            <v/>
          </cell>
          <cell r="CG460">
            <v>0</v>
          </cell>
          <cell r="CH460">
            <v>0</v>
          </cell>
          <cell r="CI460">
            <v>4</v>
          </cell>
          <cell r="CJ460">
            <v>4</v>
          </cell>
          <cell r="CK460" t="str">
            <v/>
          </cell>
          <cell r="CL460">
            <v>0</v>
          </cell>
          <cell r="CM460">
            <v>0</v>
          </cell>
          <cell r="CN460">
            <v>4</v>
          </cell>
          <cell r="CO460">
            <v>4</v>
          </cell>
          <cell r="CP460" t="str">
            <v/>
          </cell>
          <cell r="CQ460">
            <v>0</v>
          </cell>
          <cell r="CR460">
            <v>0</v>
          </cell>
          <cell r="CS460">
            <v>4</v>
          </cell>
          <cell r="CT460">
            <v>4</v>
          </cell>
          <cell r="CU460" t="str">
            <v/>
          </cell>
          <cell r="CV460">
            <v>0</v>
          </cell>
          <cell r="CW460">
            <v>0</v>
          </cell>
          <cell r="CX460">
            <v>4</v>
          </cell>
          <cell r="CY460">
            <v>4</v>
          </cell>
          <cell r="CZ460" t="str">
            <v/>
          </cell>
          <cell r="DA460">
            <v>0</v>
          </cell>
          <cell r="DB460">
            <v>0</v>
          </cell>
          <cell r="DC460">
            <v>4</v>
          </cell>
          <cell r="DD460">
            <v>4</v>
          </cell>
          <cell r="DE460" t="str">
            <v/>
          </cell>
          <cell r="DF460">
            <v>0</v>
          </cell>
          <cell r="DG460">
            <v>0</v>
          </cell>
          <cell r="DH460">
            <v>4</v>
          </cell>
          <cell r="DI460">
            <v>4</v>
          </cell>
          <cell r="DJ460" t="str">
            <v/>
          </cell>
          <cell r="DK460">
            <v>0</v>
          </cell>
          <cell r="DL460">
            <v>0</v>
          </cell>
          <cell r="DM460">
            <v>4</v>
          </cell>
          <cell r="DN460">
            <v>4</v>
          </cell>
          <cell r="DO460" t="str">
            <v/>
          </cell>
          <cell r="DP460">
            <v>0</v>
          </cell>
          <cell r="DQ460">
            <v>0</v>
          </cell>
          <cell r="DR460">
            <v>4</v>
          </cell>
          <cell r="DS460">
            <v>4</v>
          </cell>
          <cell r="DT460" t="str">
            <v/>
          </cell>
          <cell r="DU460">
            <v>0</v>
          </cell>
          <cell r="DV460">
            <v>0</v>
          </cell>
          <cell r="DW460">
            <v>4</v>
          </cell>
          <cell r="DX460">
            <v>4</v>
          </cell>
          <cell r="DY460" t="str">
            <v/>
          </cell>
          <cell r="DZ460">
            <v>0</v>
          </cell>
          <cell r="EA460">
            <v>0</v>
          </cell>
          <cell r="EB460">
            <v>4</v>
          </cell>
          <cell r="EC460">
            <v>4</v>
          </cell>
          <cell r="ED460" t="str">
            <v/>
          </cell>
          <cell r="EE460">
            <v>0</v>
          </cell>
          <cell r="EF460">
            <v>0</v>
          </cell>
          <cell r="EG460">
            <v>4</v>
          </cell>
          <cell r="EH460">
            <v>4</v>
          </cell>
          <cell r="EI460" t="str">
            <v/>
          </cell>
          <cell r="EJ460">
            <v>0</v>
          </cell>
          <cell r="EK460">
            <v>0</v>
          </cell>
          <cell r="EL460">
            <v>4</v>
          </cell>
          <cell r="EM460">
            <v>4</v>
          </cell>
          <cell r="EN460" t="str">
            <v/>
          </cell>
          <cell r="EO460">
            <v>0</v>
          </cell>
          <cell r="EP460">
            <v>0</v>
          </cell>
          <cell r="EQ460">
            <v>4</v>
          </cell>
          <cell r="ER460">
            <v>4</v>
          </cell>
          <cell r="ES460" t="str">
            <v/>
          </cell>
          <cell r="ET460">
            <v>0</v>
          </cell>
          <cell r="EU460">
            <v>0</v>
          </cell>
          <cell r="EV460">
            <v>4</v>
          </cell>
          <cell r="EW460">
            <v>4</v>
          </cell>
          <cell r="EX460" t="str">
            <v/>
          </cell>
          <cell r="EY460">
            <v>0</v>
          </cell>
          <cell r="EZ460">
            <v>0</v>
          </cell>
          <cell r="FA460">
            <v>4</v>
          </cell>
          <cell r="FB460">
            <v>4</v>
          </cell>
          <cell r="FC460" t="str">
            <v/>
          </cell>
          <cell r="FD460">
            <v>0</v>
          </cell>
          <cell r="FE460">
            <v>0</v>
          </cell>
          <cell r="FF460">
            <v>4</v>
          </cell>
          <cell r="FG460">
            <v>4</v>
          </cell>
          <cell r="FH460" t="str">
            <v/>
          </cell>
          <cell r="FI460">
            <v>0</v>
          </cell>
          <cell r="FJ460">
            <v>0</v>
          </cell>
          <cell r="FK460">
            <v>4</v>
          </cell>
          <cell r="FL460">
            <v>4</v>
          </cell>
          <cell r="FM460" t="str">
            <v/>
          </cell>
          <cell r="FN460">
            <v>0</v>
          </cell>
          <cell r="FO460">
            <v>0</v>
          </cell>
          <cell r="FP460">
            <v>4</v>
          </cell>
          <cell r="FQ460">
            <v>4</v>
          </cell>
          <cell r="FR460" t="str">
            <v/>
          </cell>
          <cell r="FS460">
            <v>0</v>
          </cell>
          <cell r="FT460">
            <v>0</v>
          </cell>
          <cell r="FU460">
            <v>2.0333333333333332</v>
          </cell>
          <cell r="FW460" t="str">
            <v>SIN ROTACIÓN</v>
          </cell>
          <cell r="FX460" t="str">
            <v>STOCK MUERTO</v>
          </cell>
          <cell r="FY460" t="str">
            <v>Si</v>
          </cell>
        </row>
        <row r="461">
          <cell r="B461" t="str">
            <v>REP-0478</v>
          </cell>
          <cell r="C461" t="str">
            <v>MIX</v>
          </cell>
          <cell r="D461">
            <v>0</v>
          </cell>
          <cell r="E461">
            <v>4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4</v>
          </cell>
          <cell r="AA461">
            <v>4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4</v>
          </cell>
          <cell r="AQ461" t="str">
            <v/>
          </cell>
          <cell r="AR461">
            <v>0</v>
          </cell>
          <cell r="AS461">
            <v>4</v>
          </cell>
          <cell r="AT461">
            <v>4</v>
          </cell>
          <cell r="AU461" t="str">
            <v/>
          </cell>
          <cell r="AV461">
            <v>0</v>
          </cell>
          <cell r="AW461">
            <v>4</v>
          </cell>
          <cell r="AX461">
            <v>4</v>
          </cell>
          <cell r="AY461" t="str">
            <v/>
          </cell>
          <cell r="AZ461">
            <v>0</v>
          </cell>
          <cell r="BA461">
            <v>4</v>
          </cell>
          <cell r="BB461">
            <v>4</v>
          </cell>
          <cell r="BC461" t="str">
            <v/>
          </cell>
          <cell r="BD461">
            <v>0</v>
          </cell>
          <cell r="BE461">
            <v>4</v>
          </cell>
          <cell r="BF461" t="str">
            <v/>
          </cell>
          <cell r="BG461">
            <v>0</v>
          </cell>
          <cell r="BH461">
            <v>4</v>
          </cell>
          <cell r="BI461">
            <v>4</v>
          </cell>
          <cell r="BJ461" t="str">
            <v/>
          </cell>
          <cell r="BK461">
            <v>0</v>
          </cell>
          <cell r="BL461">
            <v>4</v>
          </cell>
          <cell r="BM461">
            <v>4</v>
          </cell>
          <cell r="BN461" t="str">
            <v/>
          </cell>
          <cell r="BO461">
            <v>0</v>
          </cell>
          <cell r="BP461">
            <v>4</v>
          </cell>
          <cell r="BQ461">
            <v>4</v>
          </cell>
          <cell r="BR461" t="str">
            <v/>
          </cell>
          <cell r="BS461">
            <v>0</v>
          </cell>
          <cell r="BT461">
            <v>4</v>
          </cell>
          <cell r="BU461">
            <v>4</v>
          </cell>
          <cell r="BV461" t="str">
            <v/>
          </cell>
          <cell r="BW461">
            <v>0</v>
          </cell>
          <cell r="BX461">
            <v>0</v>
          </cell>
          <cell r="BY461">
            <v>4</v>
          </cell>
          <cell r="BZ461">
            <v>4</v>
          </cell>
          <cell r="CA461" t="str">
            <v/>
          </cell>
          <cell r="CB461">
            <v>0</v>
          </cell>
          <cell r="CC461">
            <v>0</v>
          </cell>
          <cell r="CD461">
            <v>4</v>
          </cell>
          <cell r="CE461">
            <v>4</v>
          </cell>
          <cell r="CF461" t="str">
            <v/>
          </cell>
          <cell r="CG461">
            <v>0</v>
          </cell>
          <cell r="CH461">
            <v>0</v>
          </cell>
          <cell r="CI461">
            <v>4</v>
          </cell>
          <cell r="CJ461">
            <v>4</v>
          </cell>
          <cell r="CK461" t="str">
            <v/>
          </cell>
          <cell r="CL461">
            <v>0</v>
          </cell>
          <cell r="CM461">
            <v>0</v>
          </cell>
          <cell r="CN461">
            <v>4</v>
          </cell>
          <cell r="CO461">
            <v>4</v>
          </cell>
          <cell r="CP461" t="str">
            <v/>
          </cell>
          <cell r="CQ461">
            <v>0</v>
          </cell>
          <cell r="CR461">
            <v>0</v>
          </cell>
          <cell r="CS461">
            <v>4</v>
          </cell>
          <cell r="CT461">
            <v>4</v>
          </cell>
          <cell r="CU461" t="str">
            <v/>
          </cell>
          <cell r="CV461">
            <v>0</v>
          </cell>
          <cell r="CW461">
            <v>0</v>
          </cell>
          <cell r="CX461">
            <v>4</v>
          </cell>
          <cell r="CY461">
            <v>4</v>
          </cell>
          <cell r="CZ461" t="str">
            <v/>
          </cell>
          <cell r="DA461">
            <v>0</v>
          </cell>
          <cell r="DB461">
            <v>0</v>
          </cell>
          <cell r="DC461">
            <v>4</v>
          </cell>
          <cell r="DD461">
            <v>4</v>
          </cell>
          <cell r="DE461" t="str">
            <v/>
          </cell>
          <cell r="DF461">
            <v>0</v>
          </cell>
          <cell r="DG461">
            <v>0</v>
          </cell>
          <cell r="DH461">
            <v>4</v>
          </cell>
          <cell r="DI461">
            <v>4</v>
          </cell>
          <cell r="DJ461" t="str">
            <v/>
          </cell>
          <cell r="DK461">
            <v>0</v>
          </cell>
          <cell r="DL461">
            <v>0</v>
          </cell>
          <cell r="DM461">
            <v>4</v>
          </cell>
          <cell r="DN461">
            <v>4</v>
          </cell>
          <cell r="DO461" t="str">
            <v/>
          </cell>
          <cell r="DP461">
            <v>0</v>
          </cell>
          <cell r="DQ461">
            <v>0</v>
          </cell>
          <cell r="DR461">
            <v>4</v>
          </cell>
          <cell r="DS461">
            <v>4</v>
          </cell>
          <cell r="DT461" t="str">
            <v/>
          </cell>
          <cell r="DU461">
            <v>0</v>
          </cell>
          <cell r="DV461">
            <v>0</v>
          </cell>
          <cell r="DW461">
            <v>4</v>
          </cell>
          <cell r="DX461">
            <v>4</v>
          </cell>
          <cell r="DY461" t="str">
            <v/>
          </cell>
          <cell r="DZ461">
            <v>0</v>
          </cell>
          <cell r="EA461">
            <v>0</v>
          </cell>
          <cell r="EB461">
            <v>4</v>
          </cell>
          <cell r="EC461">
            <v>4</v>
          </cell>
          <cell r="ED461" t="str">
            <v/>
          </cell>
          <cell r="EE461">
            <v>0</v>
          </cell>
          <cell r="EF461">
            <v>0</v>
          </cell>
          <cell r="EG461">
            <v>4</v>
          </cell>
          <cell r="EH461">
            <v>4</v>
          </cell>
          <cell r="EI461" t="str">
            <v/>
          </cell>
          <cell r="EJ461">
            <v>0</v>
          </cell>
          <cell r="EK461">
            <v>0</v>
          </cell>
          <cell r="EL461">
            <v>4</v>
          </cell>
          <cell r="EM461">
            <v>4</v>
          </cell>
          <cell r="EN461" t="str">
            <v/>
          </cell>
          <cell r="EO461">
            <v>0</v>
          </cell>
          <cell r="EP461">
            <v>0</v>
          </cell>
          <cell r="EQ461">
            <v>4</v>
          </cell>
          <cell r="ER461">
            <v>4</v>
          </cell>
          <cell r="ES461" t="str">
            <v/>
          </cell>
          <cell r="ET461">
            <v>0</v>
          </cell>
          <cell r="EU461">
            <v>0</v>
          </cell>
          <cell r="EV461">
            <v>4</v>
          </cell>
          <cell r="EW461">
            <v>4</v>
          </cell>
          <cell r="EX461" t="str">
            <v/>
          </cell>
          <cell r="EY461">
            <v>0</v>
          </cell>
          <cell r="EZ461">
            <v>0</v>
          </cell>
          <cell r="FA461">
            <v>4</v>
          </cell>
          <cell r="FB461">
            <v>4</v>
          </cell>
          <cell r="FC461" t="str">
            <v/>
          </cell>
          <cell r="FD461">
            <v>0</v>
          </cell>
          <cell r="FE461">
            <v>0</v>
          </cell>
          <cell r="FF461">
            <v>4</v>
          </cell>
          <cell r="FG461">
            <v>4</v>
          </cell>
          <cell r="FH461" t="str">
            <v/>
          </cell>
          <cell r="FI461">
            <v>0</v>
          </cell>
          <cell r="FJ461">
            <v>0</v>
          </cell>
          <cell r="FK461">
            <v>4</v>
          </cell>
          <cell r="FL461">
            <v>4</v>
          </cell>
          <cell r="FM461" t="str">
            <v/>
          </cell>
          <cell r="FN461">
            <v>0</v>
          </cell>
          <cell r="FO461">
            <v>0</v>
          </cell>
          <cell r="FP461">
            <v>4</v>
          </cell>
          <cell r="FQ461">
            <v>4</v>
          </cell>
          <cell r="FR461" t="str">
            <v/>
          </cell>
          <cell r="FS461">
            <v>0</v>
          </cell>
          <cell r="FT461">
            <v>0</v>
          </cell>
          <cell r="FU461">
            <v>2.0333333333333332</v>
          </cell>
          <cell r="FW461" t="str">
            <v>SIN ROTACIÓN</v>
          </cell>
          <cell r="FX461" t="str">
            <v>STOCK MUERTO</v>
          </cell>
          <cell r="FY461" t="str">
            <v>Si</v>
          </cell>
        </row>
        <row r="462">
          <cell r="B462" t="str">
            <v>REP-0479</v>
          </cell>
          <cell r="C462" t="str">
            <v>MIX</v>
          </cell>
          <cell r="D462">
            <v>0</v>
          </cell>
          <cell r="E462">
            <v>4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2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6</v>
          </cell>
          <cell r="AA462">
            <v>6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6</v>
          </cell>
          <cell r="AQ462" t="str">
            <v/>
          </cell>
          <cell r="AR462">
            <v>0</v>
          </cell>
          <cell r="AS462">
            <v>6</v>
          </cell>
          <cell r="AT462">
            <v>6</v>
          </cell>
          <cell r="AU462" t="str">
            <v/>
          </cell>
          <cell r="AV462">
            <v>0</v>
          </cell>
          <cell r="AW462">
            <v>6</v>
          </cell>
          <cell r="AX462">
            <v>6</v>
          </cell>
          <cell r="AY462" t="str">
            <v/>
          </cell>
          <cell r="AZ462">
            <v>0</v>
          </cell>
          <cell r="BA462">
            <v>6</v>
          </cell>
          <cell r="BB462">
            <v>6</v>
          </cell>
          <cell r="BC462" t="str">
            <v/>
          </cell>
          <cell r="BD462">
            <v>0</v>
          </cell>
          <cell r="BE462">
            <v>6</v>
          </cell>
          <cell r="BF462" t="str">
            <v/>
          </cell>
          <cell r="BG462">
            <v>0</v>
          </cell>
          <cell r="BH462">
            <v>6</v>
          </cell>
          <cell r="BI462">
            <v>6</v>
          </cell>
          <cell r="BJ462" t="str">
            <v/>
          </cell>
          <cell r="BK462">
            <v>0</v>
          </cell>
          <cell r="BL462">
            <v>6</v>
          </cell>
          <cell r="BM462">
            <v>6</v>
          </cell>
          <cell r="BN462" t="str">
            <v/>
          </cell>
          <cell r="BO462">
            <v>0</v>
          </cell>
          <cell r="BP462">
            <v>6</v>
          </cell>
          <cell r="BQ462">
            <v>6</v>
          </cell>
          <cell r="BR462" t="str">
            <v/>
          </cell>
          <cell r="BS462">
            <v>0</v>
          </cell>
          <cell r="BT462">
            <v>6</v>
          </cell>
          <cell r="BU462">
            <v>6</v>
          </cell>
          <cell r="BV462" t="str">
            <v/>
          </cell>
          <cell r="BW462">
            <v>0</v>
          </cell>
          <cell r="BX462">
            <v>0</v>
          </cell>
          <cell r="BY462">
            <v>6</v>
          </cell>
          <cell r="BZ462">
            <v>6</v>
          </cell>
          <cell r="CA462" t="str">
            <v/>
          </cell>
          <cell r="CB462">
            <v>0</v>
          </cell>
          <cell r="CC462">
            <v>0</v>
          </cell>
          <cell r="CD462">
            <v>6</v>
          </cell>
          <cell r="CE462">
            <v>6</v>
          </cell>
          <cell r="CF462" t="str">
            <v/>
          </cell>
          <cell r="CG462">
            <v>0</v>
          </cell>
          <cell r="CH462">
            <v>0</v>
          </cell>
          <cell r="CI462">
            <v>6</v>
          </cell>
          <cell r="CJ462">
            <v>6</v>
          </cell>
          <cell r="CK462" t="str">
            <v/>
          </cell>
          <cell r="CL462">
            <v>0</v>
          </cell>
          <cell r="CM462">
            <v>0</v>
          </cell>
          <cell r="CN462">
            <v>6</v>
          </cell>
          <cell r="CO462">
            <v>6</v>
          </cell>
          <cell r="CP462" t="str">
            <v/>
          </cell>
          <cell r="CQ462">
            <v>0</v>
          </cell>
          <cell r="CR462">
            <v>0</v>
          </cell>
          <cell r="CS462">
            <v>6</v>
          </cell>
          <cell r="CT462">
            <v>6</v>
          </cell>
          <cell r="CU462" t="str">
            <v/>
          </cell>
          <cell r="CV462">
            <v>0</v>
          </cell>
          <cell r="CW462">
            <v>0</v>
          </cell>
          <cell r="CX462">
            <v>6</v>
          </cell>
          <cell r="CY462">
            <v>4</v>
          </cell>
          <cell r="CZ462" t="str">
            <v/>
          </cell>
          <cell r="DA462">
            <v>0</v>
          </cell>
          <cell r="DB462">
            <v>0</v>
          </cell>
          <cell r="DC462">
            <v>4</v>
          </cell>
          <cell r="DD462">
            <v>6</v>
          </cell>
          <cell r="DE462" t="str">
            <v/>
          </cell>
          <cell r="DF462">
            <v>0</v>
          </cell>
          <cell r="DG462">
            <v>0</v>
          </cell>
          <cell r="DH462">
            <v>6</v>
          </cell>
          <cell r="DI462">
            <v>6</v>
          </cell>
          <cell r="DJ462" t="str">
            <v/>
          </cell>
          <cell r="DK462">
            <v>0</v>
          </cell>
          <cell r="DL462">
            <v>0</v>
          </cell>
          <cell r="DM462">
            <v>6</v>
          </cell>
          <cell r="DN462">
            <v>6</v>
          </cell>
          <cell r="DO462" t="str">
            <v/>
          </cell>
          <cell r="DP462">
            <v>0</v>
          </cell>
          <cell r="DQ462">
            <v>0</v>
          </cell>
          <cell r="DR462">
            <v>6</v>
          </cell>
          <cell r="DS462">
            <v>6</v>
          </cell>
          <cell r="DT462" t="str">
            <v/>
          </cell>
          <cell r="DU462">
            <v>0</v>
          </cell>
          <cell r="DV462">
            <v>0</v>
          </cell>
          <cell r="DW462">
            <v>6</v>
          </cell>
          <cell r="DX462">
            <v>6</v>
          </cell>
          <cell r="DY462" t="str">
            <v/>
          </cell>
          <cell r="DZ462">
            <v>0</v>
          </cell>
          <cell r="EA462">
            <v>0</v>
          </cell>
          <cell r="EB462">
            <v>6</v>
          </cell>
          <cell r="EC462">
            <v>6</v>
          </cell>
          <cell r="ED462" t="str">
            <v/>
          </cell>
          <cell r="EE462">
            <v>0</v>
          </cell>
          <cell r="EF462">
            <v>0</v>
          </cell>
          <cell r="EG462">
            <v>6</v>
          </cell>
          <cell r="EH462">
            <v>6</v>
          </cell>
          <cell r="EI462" t="str">
            <v/>
          </cell>
          <cell r="EJ462">
            <v>0</v>
          </cell>
          <cell r="EK462">
            <v>0</v>
          </cell>
          <cell r="EL462">
            <v>6</v>
          </cell>
          <cell r="EM462">
            <v>6</v>
          </cell>
          <cell r="EN462" t="str">
            <v/>
          </cell>
          <cell r="EO462">
            <v>0</v>
          </cell>
          <cell r="EP462">
            <v>0</v>
          </cell>
          <cell r="EQ462">
            <v>6</v>
          </cell>
          <cell r="ER462">
            <v>6</v>
          </cell>
          <cell r="ES462" t="str">
            <v/>
          </cell>
          <cell r="ET462">
            <v>0</v>
          </cell>
          <cell r="EU462">
            <v>0</v>
          </cell>
          <cell r="EV462">
            <v>6</v>
          </cell>
          <cell r="EW462">
            <v>6</v>
          </cell>
          <cell r="EX462" t="str">
            <v/>
          </cell>
          <cell r="EY462">
            <v>0</v>
          </cell>
          <cell r="EZ462">
            <v>0</v>
          </cell>
          <cell r="FA462">
            <v>6</v>
          </cell>
          <cell r="FB462">
            <v>6</v>
          </cell>
          <cell r="FC462" t="str">
            <v/>
          </cell>
          <cell r="FD462">
            <v>0</v>
          </cell>
          <cell r="FE462">
            <v>0</v>
          </cell>
          <cell r="FF462">
            <v>6</v>
          </cell>
          <cell r="FG462">
            <v>6</v>
          </cell>
          <cell r="FH462" t="str">
            <v/>
          </cell>
          <cell r="FI462">
            <v>0</v>
          </cell>
          <cell r="FJ462">
            <v>0</v>
          </cell>
          <cell r="FK462">
            <v>6</v>
          </cell>
          <cell r="FL462">
            <v>6</v>
          </cell>
          <cell r="FM462" t="str">
            <v/>
          </cell>
          <cell r="FN462">
            <v>0</v>
          </cell>
          <cell r="FO462">
            <v>0</v>
          </cell>
          <cell r="FP462">
            <v>6</v>
          </cell>
          <cell r="FQ462">
            <v>6</v>
          </cell>
          <cell r="FR462" t="str">
            <v/>
          </cell>
          <cell r="FS462">
            <v>0</v>
          </cell>
          <cell r="FT462">
            <v>0</v>
          </cell>
          <cell r="FU462">
            <v>2.0333333333333332</v>
          </cell>
          <cell r="FW462" t="str">
            <v>SIN ROTACIÓN</v>
          </cell>
          <cell r="FX462" t="str">
            <v>STOCK MUERTO</v>
          </cell>
          <cell r="FY462" t="str">
            <v>Si</v>
          </cell>
        </row>
        <row r="463">
          <cell r="B463" t="str">
            <v>REP-0480</v>
          </cell>
          <cell r="C463" t="str">
            <v>MIX</v>
          </cell>
          <cell r="D463">
            <v>0</v>
          </cell>
          <cell r="E463">
            <v>4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4</v>
          </cell>
          <cell r="AA463">
            <v>4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4</v>
          </cell>
          <cell r="AQ463" t="str">
            <v/>
          </cell>
          <cell r="AR463">
            <v>0</v>
          </cell>
          <cell r="AS463">
            <v>4</v>
          </cell>
          <cell r="AT463">
            <v>4</v>
          </cell>
          <cell r="AU463" t="str">
            <v/>
          </cell>
          <cell r="AV463">
            <v>0</v>
          </cell>
          <cell r="AW463">
            <v>4</v>
          </cell>
          <cell r="AX463">
            <v>4</v>
          </cell>
          <cell r="AY463" t="str">
            <v/>
          </cell>
          <cell r="AZ463">
            <v>0</v>
          </cell>
          <cell r="BA463">
            <v>4</v>
          </cell>
          <cell r="BB463">
            <v>4</v>
          </cell>
          <cell r="BC463" t="str">
            <v/>
          </cell>
          <cell r="BD463">
            <v>0</v>
          </cell>
          <cell r="BE463">
            <v>4</v>
          </cell>
          <cell r="BF463" t="str">
            <v/>
          </cell>
          <cell r="BG463">
            <v>0</v>
          </cell>
          <cell r="BH463">
            <v>4</v>
          </cell>
          <cell r="BI463">
            <v>4</v>
          </cell>
          <cell r="BJ463" t="str">
            <v/>
          </cell>
          <cell r="BK463">
            <v>0</v>
          </cell>
          <cell r="BL463">
            <v>4</v>
          </cell>
          <cell r="BM463">
            <v>4</v>
          </cell>
          <cell r="BN463" t="str">
            <v/>
          </cell>
          <cell r="BO463">
            <v>0</v>
          </cell>
          <cell r="BP463">
            <v>4</v>
          </cell>
          <cell r="BQ463">
            <v>4</v>
          </cell>
          <cell r="BR463" t="str">
            <v/>
          </cell>
          <cell r="BS463">
            <v>0</v>
          </cell>
          <cell r="BT463">
            <v>4</v>
          </cell>
          <cell r="BU463">
            <v>4</v>
          </cell>
          <cell r="BV463" t="str">
            <v/>
          </cell>
          <cell r="BW463">
            <v>0</v>
          </cell>
          <cell r="BX463">
            <v>0</v>
          </cell>
          <cell r="BY463">
            <v>4</v>
          </cell>
          <cell r="BZ463">
            <v>4</v>
          </cell>
          <cell r="CA463" t="str">
            <v/>
          </cell>
          <cell r="CB463">
            <v>0</v>
          </cell>
          <cell r="CC463">
            <v>0</v>
          </cell>
          <cell r="CD463">
            <v>4</v>
          </cell>
          <cell r="CE463">
            <v>4</v>
          </cell>
          <cell r="CF463" t="str">
            <v/>
          </cell>
          <cell r="CG463">
            <v>0</v>
          </cell>
          <cell r="CH463">
            <v>0</v>
          </cell>
          <cell r="CI463">
            <v>4</v>
          </cell>
          <cell r="CJ463">
            <v>4</v>
          </cell>
          <cell r="CK463" t="str">
            <v/>
          </cell>
          <cell r="CL463">
            <v>0</v>
          </cell>
          <cell r="CM463">
            <v>0</v>
          </cell>
          <cell r="CN463">
            <v>4</v>
          </cell>
          <cell r="CO463">
            <v>4</v>
          </cell>
          <cell r="CP463" t="str">
            <v/>
          </cell>
          <cell r="CQ463">
            <v>0</v>
          </cell>
          <cell r="CR463">
            <v>0</v>
          </cell>
          <cell r="CS463">
            <v>4</v>
          </cell>
          <cell r="CT463">
            <v>4</v>
          </cell>
          <cell r="CU463" t="str">
            <v/>
          </cell>
          <cell r="CV463">
            <v>0</v>
          </cell>
          <cell r="CW463">
            <v>0</v>
          </cell>
          <cell r="CX463">
            <v>4</v>
          </cell>
          <cell r="CY463">
            <v>4</v>
          </cell>
          <cell r="CZ463" t="str">
            <v/>
          </cell>
          <cell r="DA463">
            <v>0</v>
          </cell>
          <cell r="DB463">
            <v>0</v>
          </cell>
          <cell r="DC463">
            <v>4</v>
          </cell>
          <cell r="DD463">
            <v>4</v>
          </cell>
          <cell r="DE463" t="str">
            <v/>
          </cell>
          <cell r="DF463">
            <v>0</v>
          </cell>
          <cell r="DG463">
            <v>0</v>
          </cell>
          <cell r="DH463">
            <v>4</v>
          </cell>
          <cell r="DI463">
            <v>4</v>
          </cell>
          <cell r="DJ463" t="str">
            <v/>
          </cell>
          <cell r="DK463">
            <v>0</v>
          </cell>
          <cell r="DL463">
            <v>0</v>
          </cell>
          <cell r="DM463">
            <v>4</v>
          </cell>
          <cell r="DN463">
            <v>4</v>
          </cell>
          <cell r="DO463" t="str">
            <v/>
          </cell>
          <cell r="DP463">
            <v>0</v>
          </cell>
          <cell r="DQ463">
            <v>0</v>
          </cell>
          <cell r="DR463">
            <v>4</v>
          </cell>
          <cell r="DS463">
            <v>4</v>
          </cell>
          <cell r="DT463" t="str">
            <v/>
          </cell>
          <cell r="DU463">
            <v>0</v>
          </cell>
          <cell r="DV463">
            <v>0</v>
          </cell>
          <cell r="DW463">
            <v>4</v>
          </cell>
          <cell r="DX463">
            <v>4</v>
          </cell>
          <cell r="DY463" t="str">
            <v/>
          </cell>
          <cell r="DZ463">
            <v>0</v>
          </cell>
          <cell r="EA463">
            <v>0</v>
          </cell>
          <cell r="EB463">
            <v>4</v>
          </cell>
          <cell r="EC463">
            <v>4</v>
          </cell>
          <cell r="ED463" t="str">
            <v/>
          </cell>
          <cell r="EE463">
            <v>0</v>
          </cell>
          <cell r="EF463">
            <v>0</v>
          </cell>
          <cell r="EG463">
            <v>4</v>
          </cell>
          <cell r="EH463">
            <v>4</v>
          </cell>
          <cell r="EI463" t="str">
            <v/>
          </cell>
          <cell r="EJ463">
            <v>0</v>
          </cell>
          <cell r="EK463">
            <v>0</v>
          </cell>
          <cell r="EL463">
            <v>4</v>
          </cell>
          <cell r="EM463">
            <v>4</v>
          </cell>
          <cell r="EN463" t="str">
            <v/>
          </cell>
          <cell r="EO463">
            <v>0</v>
          </cell>
          <cell r="EP463">
            <v>0</v>
          </cell>
          <cell r="EQ463">
            <v>4</v>
          </cell>
          <cell r="ER463">
            <v>4</v>
          </cell>
          <cell r="ES463" t="str">
            <v/>
          </cell>
          <cell r="ET463">
            <v>0</v>
          </cell>
          <cell r="EU463">
            <v>0</v>
          </cell>
          <cell r="EV463">
            <v>4</v>
          </cell>
          <cell r="EW463">
            <v>4</v>
          </cell>
          <cell r="EX463" t="str">
            <v/>
          </cell>
          <cell r="EY463">
            <v>0</v>
          </cell>
          <cell r="EZ463">
            <v>0</v>
          </cell>
          <cell r="FA463">
            <v>4</v>
          </cell>
          <cell r="FB463">
            <v>4</v>
          </cell>
          <cell r="FC463" t="str">
            <v/>
          </cell>
          <cell r="FD463">
            <v>0</v>
          </cell>
          <cell r="FE463">
            <v>0</v>
          </cell>
          <cell r="FF463">
            <v>4</v>
          </cell>
          <cell r="FG463">
            <v>4</v>
          </cell>
          <cell r="FH463" t="str">
            <v/>
          </cell>
          <cell r="FI463">
            <v>0</v>
          </cell>
          <cell r="FJ463">
            <v>0</v>
          </cell>
          <cell r="FK463">
            <v>4</v>
          </cell>
          <cell r="FL463">
            <v>4</v>
          </cell>
          <cell r="FM463" t="str">
            <v/>
          </cell>
          <cell r="FN463">
            <v>0</v>
          </cell>
          <cell r="FO463">
            <v>0</v>
          </cell>
          <cell r="FP463">
            <v>4</v>
          </cell>
          <cell r="FQ463">
            <v>4</v>
          </cell>
          <cell r="FR463" t="str">
            <v/>
          </cell>
          <cell r="FS463">
            <v>0</v>
          </cell>
          <cell r="FT463">
            <v>0</v>
          </cell>
          <cell r="FU463">
            <v>2.0333333333333332</v>
          </cell>
          <cell r="FW463" t="str">
            <v>SIN ROTACIÓN</v>
          </cell>
          <cell r="FX463" t="str">
            <v>STOCK MUERTO</v>
          </cell>
          <cell r="FY463" t="str">
            <v>Si</v>
          </cell>
        </row>
        <row r="464">
          <cell r="B464" t="str">
            <v>REP-0481</v>
          </cell>
          <cell r="C464" t="str">
            <v>MIX</v>
          </cell>
          <cell r="D464">
            <v>0</v>
          </cell>
          <cell r="E464">
            <v>2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2</v>
          </cell>
          <cell r="AA464">
            <v>2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2</v>
          </cell>
          <cell r="AQ464" t="str">
            <v/>
          </cell>
          <cell r="AR464">
            <v>0</v>
          </cell>
          <cell r="AS464">
            <v>2</v>
          </cell>
          <cell r="AT464">
            <v>2</v>
          </cell>
          <cell r="AU464" t="str">
            <v/>
          </cell>
          <cell r="AV464">
            <v>0</v>
          </cell>
          <cell r="AW464">
            <v>2</v>
          </cell>
          <cell r="AX464">
            <v>2</v>
          </cell>
          <cell r="AY464" t="str">
            <v/>
          </cell>
          <cell r="AZ464">
            <v>0</v>
          </cell>
          <cell r="BA464">
            <v>2</v>
          </cell>
          <cell r="BB464">
            <v>2</v>
          </cell>
          <cell r="BC464" t="str">
            <v/>
          </cell>
          <cell r="BD464">
            <v>0</v>
          </cell>
          <cell r="BE464">
            <v>2</v>
          </cell>
          <cell r="BF464" t="str">
            <v/>
          </cell>
          <cell r="BG464">
            <v>0</v>
          </cell>
          <cell r="BH464">
            <v>2</v>
          </cell>
          <cell r="BI464">
            <v>2</v>
          </cell>
          <cell r="BJ464" t="str">
            <v/>
          </cell>
          <cell r="BK464">
            <v>0</v>
          </cell>
          <cell r="BL464">
            <v>2</v>
          </cell>
          <cell r="BM464">
            <v>2</v>
          </cell>
          <cell r="BN464" t="str">
            <v/>
          </cell>
          <cell r="BO464">
            <v>0</v>
          </cell>
          <cell r="BP464">
            <v>2</v>
          </cell>
          <cell r="BQ464">
            <v>2</v>
          </cell>
          <cell r="BR464" t="str">
            <v/>
          </cell>
          <cell r="BS464">
            <v>0</v>
          </cell>
          <cell r="BT464">
            <v>2</v>
          </cell>
          <cell r="BU464">
            <v>2</v>
          </cell>
          <cell r="BV464" t="str">
            <v/>
          </cell>
          <cell r="BW464">
            <v>0</v>
          </cell>
          <cell r="BX464">
            <v>0</v>
          </cell>
          <cell r="BY464">
            <v>2</v>
          </cell>
          <cell r="BZ464">
            <v>2</v>
          </cell>
          <cell r="CA464" t="str">
            <v/>
          </cell>
          <cell r="CB464">
            <v>0</v>
          </cell>
          <cell r="CC464">
            <v>0</v>
          </cell>
          <cell r="CD464">
            <v>2</v>
          </cell>
          <cell r="CE464">
            <v>2</v>
          </cell>
          <cell r="CF464" t="str">
            <v/>
          </cell>
          <cell r="CG464">
            <v>0</v>
          </cell>
          <cell r="CH464">
            <v>0</v>
          </cell>
          <cell r="CI464">
            <v>2</v>
          </cell>
          <cell r="CJ464">
            <v>2</v>
          </cell>
          <cell r="CK464" t="str">
            <v/>
          </cell>
          <cell r="CL464">
            <v>0</v>
          </cell>
          <cell r="CM464">
            <v>0</v>
          </cell>
          <cell r="CN464">
            <v>2</v>
          </cell>
          <cell r="CO464">
            <v>2</v>
          </cell>
          <cell r="CP464" t="str">
            <v/>
          </cell>
          <cell r="CQ464">
            <v>0</v>
          </cell>
          <cell r="CR464">
            <v>0</v>
          </cell>
          <cell r="CS464">
            <v>2</v>
          </cell>
          <cell r="CT464">
            <v>2</v>
          </cell>
          <cell r="CU464" t="str">
            <v/>
          </cell>
          <cell r="CV464">
            <v>0</v>
          </cell>
          <cell r="CW464">
            <v>0</v>
          </cell>
          <cell r="CX464">
            <v>2</v>
          </cell>
          <cell r="CY464">
            <v>2</v>
          </cell>
          <cell r="CZ464" t="str">
            <v/>
          </cell>
          <cell r="DA464">
            <v>0</v>
          </cell>
          <cell r="DB464">
            <v>0</v>
          </cell>
          <cell r="DC464">
            <v>2</v>
          </cell>
          <cell r="DD464">
            <v>2</v>
          </cell>
          <cell r="DE464" t="str">
            <v/>
          </cell>
          <cell r="DF464">
            <v>0</v>
          </cell>
          <cell r="DG464">
            <v>0</v>
          </cell>
          <cell r="DH464">
            <v>2</v>
          </cell>
          <cell r="DI464">
            <v>2</v>
          </cell>
          <cell r="DJ464" t="str">
            <v/>
          </cell>
          <cell r="DK464">
            <v>0</v>
          </cell>
          <cell r="DL464">
            <v>0</v>
          </cell>
          <cell r="DM464">
            <v>2</v>
          </cell>
          <cell r="DN464">
            <v>2</v>
          </cell>
          <cell r="DO464" t="str">
            <v/>
          </cell>
          <cell r="DP464">
            <v>0</v>
          </cell>
          <cell r="DQ464">
            <v>0</v>
          </cell>
          <cell r="DR464">
            <v>2</v>
          </cell>
          <cell r="DS464">
            <v>2</v>
          </cell>
          <cell r="DT464" t="str">
            <v/>
          </cell>
          <cell r="DU464">
            <v>0</v>
          </cell>
          <cell r="DV464">
            <v>0</v>
          </cell>
          <cell r="DW464">
            <v>2</v>
          </cell>
          <cell r="DX464">
            <v>2</v>
          </cell>
          <cell r="DY464" t="str">
            <v/>
          </cell>
          <cell r="DZ464">
            <v>0</v>
          </cell>
          <cell r="EA464">
            <v>0</v>
          </cell>
          <cell r="EB464">
            <v>2</v>
          </cell>
          <cell r="EC464">
            <v>2</v>
          </cell>
          <cell r="ED464" t="str">
            <v/>
          </cell>
          <cell r="EE464">
            <v>0</v>
          </cell>
          <cell r="EF464">
            <v>0</v>
          </cell>
          <cell r="EG464">
            <v>2</v>
          </cell>
          <cell r="EH464">
            <v>2</v>
          </cell>
          <cell r="EI464" t="str">
            <v/>
          </cell>
          <cell r="EJ464">
            <v>0</v>
          </cell>
          <cell r="EK464">
            <v>0</v>
          </cell>
          <cell r="EL464">
            <v>2</v>
          </cell>
          <cell r="EM464">
            <v>2</v>
          </cell>
          <cell r="EN464" t="str">
            <v/>
          </cell>
          <cell r="EO464">
            <v>0</v>
          </cell>
          <cell r="EP464">
            <v>0</v>
          </cell>
          <cell r="EQ464">
            <v>2</v>
          </cell>
          <cell r="ER464">
            <v>2</v>
          </cell>
          <cell r="ES464" t="str">
            <v/>
          </cell>
          <cell r="ET464">
            <v>0</v>
          </cell>
          <cell r="EU464">
            <v>0</v>
          </cell>
          <cell r="EV464">
            <v>2</v>
          </cell>
          <cell r="EW464">
            <v>2</v>
          </cell>
          <cell r="EX464" t="str">
            <v/>
          </cell>
          <cell r="EY464">
            <v>0</v>
          </cell>
          <cell r="EZ464">
            <v>0</v>
          </cell>
          <cell r="FA464">
            <v>2</v>
          </cell>
          <cell r="FB464">
            <v>2</v>
          </cell>
          <cell r="FC464" t="str">
            <v/>
          </cell>
          <cell r="FD464">
            <v>0</v>
          </cell>
          <cell r="FE464">
            <v>0</v>
          </cell>
          <cell r="FF464">
            <v>2</v>
          </cell>
          <cell r="FG464">
            <v>2</v>
          </cell>
          <cell r="FH464" t="str">
            <v/>
          </cell>
          <cell r="FI464">
            <v>0</v>
          </cell>
          <cell r="FJ464">
            <v>0</v>
          </cell>
          <cell r="FK464">
            <v>2</v>
          </cell>
          <cell r="FL464">
            <v>2</v>
          </cell>
          <cell r="FM464" t="str">
            <v/>
          </cell>
          <cell r="FN464">
            <v>0</v>
          </cell>
          <cell r="FO464">
            <v>0</v>
          </cell>
          <cell r="FP464">
            <v>2</v>
          </cell>
          <cell r="FQ464">
            <v>2</v>
          </cell>
          <cell r="FR464" t="str">
            <v/>
          </cell>
          <cell r="FS464">
            <v>0</v>
          </cell>
          <cell r="FT464">
            <v>0</v>
          </cell>
          <cell r="FU464">
            <v>2.0333333333333332</v>
          </cell>
          <cell r="FW464" t="str">
            <v>SIN ROTACIÓN</v>
          </cell>
          <cell r="FX464" t="str">
            <v>STOCK MUERTO</v>
          </cell>
          <cell r="FY464" t="str">
            <v>Si</v>
          </cell>
        </row>
        <row r="465">
          <cell r="B465" t="str">
            <v>REP-0482</v>
          </cell>
          <cell r="C465" t="str">
            <v>MIX</v>
          </cell>
          <cell r="D465">
            <v>0</v>
          </cell>
          <cell r="E465">
            <v>4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4</v>
          </cell>
          <cell r="AA465">
            <v>4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4</v>
          </cell>
          <cell r="AQ465" t="str">
            <v/>
          </cell>
          <cell r="AR465">
            <v>0</v>
          </cell>
          <cell r="AS465">
            <v>4</v>
          </cell>
          <cell r="AT465">
            <v>4</v>
          </cell>
          <cell r="AU465" t="str">
            <v/>
          </cell>
          <cell r="AV465">
            <v>0</v>
          </cell>
          <cell r="AW465">
            <v>4</v>
          </cell>
          <cell r="AX465">
            <v>4</v>
          </cell>
          <cell r="AY465" t="str">
            <v/>
          </cell>
          <cell r="AZ465">
            <v>0</v>
          </cell>
          <cell r="BA465">
            <v>4</v>
          </cell>
          <cell r="BB465">
            <v>4</v>
          </cell>
          <cell r="BC465" t="str">
            <v/>
          </cell>
          <cell r="BD465">
            <v>0</v>
          </cell>
          <cell r="BE465">
            <v>4</v>
          </cell>
          <cell r="BF465" t="str">
            <v/>
          </cell>
          <cell r="BG465">
            <v>0</v>
          </cell>
          <cell r="BH465">
            <v>4</v>
          </cell>
          <cell r="BI465">
            <v>4</v>
          </cell>
          <cell r="BJ465" t="str">
            <v/>
          </cell>
          <cell r="BK465">
            <v>0</v>
          </cell>
          <cell r="BL465">
            <v>4</v>
          </cell>
          <cell r="BM465">
            <v>4</v>
          </cell>
          <cell r="BN465" t="str">
            <v/>
          </cell>
          <cell r="BO465">
            <v>0</v>
          </cell>
          <cell r="BP465">
            <v>4</v>
          </cell>
          <cell r="BQ465">
            <v>4</v>
          </cell>
          <cell r="BR465" t="str">
            <v/>
          </cell>
          <cell r="BS465">
            <v>0</v>
          </cell>
          <cell r="BT465">
            <v>4</v>
          </cell>
          <cell r="BU465">
            <v>4</v>
          </cell>
          <cell r="BV465" t="str">
            <v/>
          </cell>
          <cell r="BW465">
            <v>0</v>
          </cell>
          <cell r="BX465">
            <v>0</v>
          </cell>
          <cell r="BY465">
            <v>4</v>
          </cell>
          <cell r="BZ465">
            <v>4</v>
          </cell>
          <cell r="CA465" t="str">
            <v/>
          </cell>
          <cell r="CB465">
            <v>0</v>
          </cell>
          <cell r="CC465">
            <v>0</v>
          </cell>
          <cell r="CD465">
            <v>4</v>
          </cell>
          <cell r="CE465">
            <v>4</v>
          </cell>
          <cell r="CF465" t="str">
            <v/>
          </cell>
          <cell r="CG465">
            <v>0</v>
          </cell>
          <cell r="CH465">
            <v>0</v>
          </cell>
          <cell r="CI465">
            <v>4</v>
          </cell>
          <cell r="CJ465">
            <v>4</v>
          </cell>
          <cell r="CK465" t="str">
            <v/>
          </cell>
          <cell r="CL465">
            <v>0</v>
          </cell>
          <cell r="CM465">
            <v>0</v>
          </cell>
          <cell r="CN465">
            <v>4</v>
          </cell>
          <cell r="CO465">
            <v>4</v>
          </cell>
          <cell r="CP465" t="str">
            <v/>
          </cell>
          <cell r="CQ465">
            <v>0</v>
          </cell>
          <cell r="CR465">
            <v>0</v>
          </cell>
          <cell r="CS465">
            <v>4</v>
          </cell>
          <cell r="CT465">
            <v>4</v>
          </cell>
          <cell r="CU465" t="str">
            <v/>
          </cell>
          <cell r="CV465">
            <v>0</v>
          </cell>
          <cell r="CW465">
            <v>0</v>
          </cell>
          <cell r="CX465">
            <v>4</v>
          </cell>
          <cell r="CY465">
            <v>4</v>
          </cell>
          <cell r="CZ465" t="str">
            <v/>
          </cell>
          <cell r="DA465">
            <v>0</v>
          </cell>
          <cell r="DB465">
            <v>0</v>
          </cell>
          <cell r="DC465">
            <v>4</v>
          </cell>
          <cell r="DD465">
            <v>4</v>
          </cell>
          <cell r="DE465" t="str">
            <v/>
          </cell>
          <cell r="DF465">
            <v>0</v>
          </cell>
          <cell r="DG465">
            <v>0</v>
          </cell>
          <cell r="DH465">
            <v>4</v>
          </cell>
          <cell r="DI465">
            <v>4</v>
          </cell>
          <cell r="DJ465" t="str">
            <v/>
          </cell>
          <cell r="DK465">
            <v>0</v>
          </cell>
          <cell r="DL465">
            <v>0</v>
          </cell>
          <cell r="DM465">
            <v>4</v>
          </cell>
          <cell r="DN465">
            <v>4</v>
          </cell>
          <cell r="DO465" t="str">
            <v/>
          </cell>
          <cell r="DP465">
            <v>0</v>
          </cell>
          <cell r="DQ465">
            <v>0</v>
          </cell>
          <cell r="DR465">
            <v>4</v>
          </cell>
          <cell r="DS465">
            <v>4</v>
          </cell>
          <cell r="DT465" t="str">
            <v/>
          </cell>
          <cell r="DU465">
            <v>0</v>
          </cell>
          <cell r="DV465">
            <v>0</v>
          </cell>
          <cell r="DW465">
            <v>4</v>
          </cell>
          <cell r="DX465">
            <v>4</v>
          </cell>
          <cell r="DY465" t="str">
            <v/>
          </cell>
          <cell r="DZ465">
            <v>0</v>
          </cell>
          <cell r="EA465">
            <v>0</v>
          </cell>
          <cell r="EB465">
            <v>4</v>
          </cell>
          <cell r="EC465">
            <v>4</v>
          </cell>
          <cell r="ED465" t="str">
            <v/>
          </cell>
          <cell r="EE465">
            <v>0</v>
          </cell>
          <cell r="EF465">
            <v>0</v>
          </cell>
          <cell r="EG465">
            <v>4</v>
          </cell>
          <cell r="EH465">
            <v>4</v>
          </cell>
          <cell r="EI465" t="str">
            <v/>
          </cell>
          <cell r="EJ465">
            <v>0</v>
          </cell>
          <cell r="EK465">
            <v>0</v>
          </cell>
          <cell r="EL465">
            <v>4</v>
          </cell>
          <cell r="EM465">
            <v>4</v>
          </cell>
          <cell r="EN465" t="str">
            <v/>
          </cell>
          <cell r="EO465">
            <v>0</v>
          </cell>
          <cell r="EP465">
            <v>0</v>
          </cell>
          <cell r="EQ465">
            <v>4</v>
          </cell>
          <cell r="ER465">
            <v>4</v>
          </cell>
          <cell r="ES465" t="str">
            <v/>
          </cell>
          <cell r="ET465">
            <v>0</v>
          </cell>
          <cell r="EU465">
            <v>0</v>
          </cell>
          <cell r="EV465">
            <v>4</v>
          </cell>
          <cell r="EW465">
            <v>4</v>
          </cell>
          <cell r="EX465" t="str">
            <v/>
          </cell>
          <cell r="EY465">
            <v>0</v>
          </cell>
          <cell r="EZ465">
            <v>0</v>
          </cell>
          <cell r="FA465">
            <v>4</v>
          </cell>
          <cell r="FB465">
            <v>4</v>
          </cell>
          <cell r="FC465" t="str">
            <v/>
          </cell>
          <cell r="FD465">
            <v>0</v>
          </cell>
          <cell r="FE465">
            <v>0</v>
          </cell>
          <cell r="FF465">
            <v>4</v>
          </cell>
          <cell r="FG465">
            <v>4</v>
          </cell>
          <cell r="FH465" t="str">
            <v/>
          </cell>
          <cell r="FI465">
            <v>0</v>
          </cell>
          <cell r="FJ465">
            <v>0</v>
          </cell>
          <cell r="FK465">
            <v>4</v>
          </cell>
          <cell r="FL465">
            <v>4</v>
          </cell>
          <cell r="FM465" t="str">
            <v/>
          </cell>
          <cell r="FN465">
            <v>0</v>
          </cell>
          <cell r="FO465">
            <v>0</v>
          </cell>
          <cell r="FP465">
            <v>4</v>
          </cell>
          <cell r="FQ465">
            <v>4</v>
          </cell>
          <cell r="FR465" t="str">
            <v/>
          </cell>
          <cell r="FS465">
            <v>0</v>
          </cell>
          <cell r="FT465">
            <v>0</v>
          </cell>
          <cell r="FU465">
            <v>2.0333333333333332</v>
          </cell>
          <cell r="FW465" t="str">
            <v>SIN ROTACIÓN</v>
          </cell>
          <cell r="FX465" t="str">
            <v>STOCK MUERTO</v>
          </cell>
          <cell r="FY465" t="str">
            <v>Si</v>
          </cell>
        </row>
        <row r="466">
          <cell r="B466" t="str">
            <v>REP-0483</v>
          </cell>
          <cell r="C466" t="str">
            <v>MIX</v>
          </cell>
          <cell r="D466">
            <v>0</v>
          </cell>
          <cell r="E466">
            <v>2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1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3</v>
          </cell>
          <cell r="AA466">
            <v>3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8.3333333333333329E-2</v>
          </cell>
          <cell r="AI466">
            <v>0</v>
          </cell>
          <cell r="AJ466">
            <v>0</v>
          </cell>
          <cell r="AK466">
            <v>8.3333333333333329E-2</v>
          </cell>
          <cell r="AL466">
            <v>4.1666666666666664E-2</v>
          </cell>
          <cell r="AM466">
            <v>2.0833333333333332E-2</v>
          </cell>
          <cell r="AN466">
            <v>2</v>
          </cell>
          <cell r="AO466">
            <v>0</v>
          </cell>
          <cell r="AP466">
            <v>3.8333333333333335</v>
          </cell>
          <cell r="AQ466" t="str">
            <v/>
          </cell>
          <cell r="AR466">
            <v>0</v>
          </cell>
          <cell r="AS466">
            <v>4</v>
          </cell>
          <cell r="AT466">
            <v>4</v>
          </cell>
          <cell r="AU466" t="str">
            <v/>
          </cell>
          <cell r="AV466">
            <v>0</v>
          </cell>
          <cell r="AW466">
            <v>4</v>
          </cell>
          <cell r="AX466">
            <v>4</v>
          </cell>
          <cell r="AY466">
            <v>48</v>
          </cell>
          <cell r="AZ466">
            <v>0</v>
          </cell>
          <cell r="BA466">
            <v>4</v>
          </cell>
          <cell r="BB466">
            <v>3</v>
          </cell>
          <cell r="BC466">
            <v>9</v>
          </cell>
          <cell r="BD466">
            <v>0</v>
          </cell>
          <cell r="BE466">
            <v>2.6666666666666665</v>
          </cell>
          <cell r="BF466">
            <v>8</v>
          </cell>
          <cell r="BG466">
            <v>0</v>
          </cell>
          <cell r="BH466">
            <v>2.333333333333333</v>
          </cell>
          <cell r="BI466">
            <v>3</v>
          </cell>
          <cell r="BJ466">
            <v>36</v>
          </cell>
          <cell r="BK466">
            <v>0</v>
          </cell>
          <cell r="BL466">
            <v>2.8333333333333335</v>
          </cell>
          <cell r="BM466">
            <v>3</v>
          </cell>
          <cell r="BN466">
            <v>18</v>
          </cell>
          <cell r="BO466">
            <v>0</v>
          </cell>
          <cell r="BP466">
            <v>2.8333333333333335</v>
          </cell>
          <cell r="BQ466">
            <v>3</v>
          </cell>
          <cell r="BR466">
            <v>36</v>
          </cell>
          <cell r="BS466">
            <v>0</v>
          </cell>
          <cell r="BT466">
            <v>2.8333333333333335</v>
          </cell>
          <cell r="BU466">
            <v>3</v>
          </cell>
          <cell r="BV466">
            <v>18</v>
          </cell>
          <cell r="BW466">
            <v>0</v>
          </cell>
          <cell r="BX466">
            <v>0</v>
          </cell>
          <cell r="BY466">
            <v>2.8333333333333335</v>
          </cell>
          <cell r="BZ466">
            <v>3</v>
          </cell>
          <cell r="CA466">
            <v>30</v>
          </cell>
          <cell r="CB466">
            <v>0</v>
          </cell>
          <cell r="CC466">
            <v>0</v>
          </cell>
          <cell r="CD466">
            <v>2.9</v>
          </cell>
          <cell r="CE466">
            <v>3</v>
          </cell>
          <cell r="CF466">
            <v>33</v>
          </cell>
          <cell r="CG466">
            <v>0</v>
          </cell>
          <cell r="CH466">
            <v>0</v>
          </cell>
          <cell r="CI466">
            <v>2.8090909090909091</v>
          </cell>
          <cell r="CJ466">
            <v>3</v>
          </cell>
          <cell r="CK466">
            <v>36</v>
          </cell>
          <cell r="CL466">
            <v>0</v>
          </cell>
          <cell r="CM466">
            <v>0</v>
          </cell>
          <cell r="CN466">
            <v>2.9166666666666665</v>
          </cell>
          <cell r="CO466">
            <v>3</v>
          </cell>
          <cell r="CP466">
            <v>36</v>
          </cell>
          <cell r="CQ466">
            <v>0</v>
          </cell>
          <cell r="CR466">
            <v>0</v>
          </cell>
          <cell r="CS466">
            <v>2.9166666666666665</v>
          </cell>
          <cell r="CT466">
            <v>3</v>
          </cell>
          <cell r="CU466">
            <v>36</v>
          </cell>
          <cell r="CV466">
            <v>0</v>
          </cell>
          <cell r="CW466">
            <v>0</v>
          </cell>
          <cell r="CX466">
            <v>2.9166666666666665</v>
          </cell>
          <cell r="CY466">
            <v>2</v>
          </cell>
          <cell r="CZ466">
            <v>24</v>
          </cell>
          <cell r="DA466">
            <v>0</v>
          </cell>
          <cell r="DB466">
            <v>0</v>
          </cell>
          <cell r="DC466">
            <v>1.9166666666666667</v>
          </cell>
          <cell r="DD466">
            <v>3</v>
          </cell>
          <cell r="DE466">
            <v>24</v>
          </cell>
          <cell r="DF466">
            <v>0</v>
          </cell>
          <cell r="DG466">
            <v>0</v>
          </cell>
          <cell r="DH466">
            <v>2.9166666666666665</v>
          </cell>
          <cell r="DI466">
            <v>3</v>
          </cell>
          <cell r="DJ466">
            <v>26</v>
          </cell>
          <cell r="DK466">
            <v>0</v>
          </cell>
          <cell r="DL466">
            <v>0</v>
          </cell>
          <cell r="DM466">
            <v>2.833333333333333</v>
          </cell>
          <cell r="DN466">
            <v>3</v>
          </cell>
          <cell r="DO466">
            <v>26</v>
          </cell>
          <cell r="DP466">
            <v>0</v>
          </cell>
          <cell r="DQ466">
            <v>0</v>
          </cell>
          <cell r="DR466">
            <v>2.9166666666666665</v>
          </cell>
          <cell r="DS466">
            <v>2.9166666666666665</v>
          </cell>
          <cell r="DT466">
            <v>25</v>
          </cell>
          <cell r="DU466">
            <v>0</v>
          </cell>
          <cell r="DV466">
            <v>0</v>
          </cell>
          <cell r="DW466">
            <v>2.833333333333333</v>
          </cell>
          <cell r="DX466">
            <v>2.833333333333333</v>
          </cell>
          <cell r="DY466">
            <v>23.999999999999996</v>
          </cell>
          <cell r="DZ466">
            <v>0</v>
          </cell>
          <cell r="EA466">
            <v>0</v>
          </cell>
          <cell r="EB466">
            <v>2.7499999999999996</v>
          </cell>
          <cell r="EC466">
            <v>2.7499999999999996</v>
          </cell>
          <cell r="ED466">
            <v>22.999999999999996</v>
          </cell>
          <cell r="EE466">
            <v>0</v>
          </cell>
          <cell r="EF466">
            <v>0</v>
          </cell>
          <cell r="EG466">
            <v>2.6666666666666661</v>
          </cell>
          <cell r="EH466">
            <v>2.6666666666666661</v>
          </cell>
          <cell r="EI466">
            <v>21.999999999999993</v>
          </cell>
          <cell r="EJ466">
            <v>0</v>
          </cell>
          <cell r="EK466">
            <v>0</v>
          </cell>
          <cell r="EL466">
            <v>2.5833333333333326</v>
          </cell>
          <cell r="EM466">
            <v>2.5833333333333326</v>
          </cell>
          <cell r="EN466">
            <v>20.999999999999993</v>
          </cell>
          <cell r="EO466">
            <v>0</v>
          </cell>
          <cell r="EP466">
            <v>0</v>
          </cell>
          <cell r="EQ466">
            <v>2.4999999999999991</v>
          </cell>
          <cell r="ER466">
            <v>2.4999999999999991</v>
          </cell>
          <cell r="ES466">
            <v>19.999999999999989</v>
          </cell>
          <cell r="ET466">
            <v>0</v>
          </cell>
          <cell r="EU466">
            <v>0</v>
          </cell>
          <cell r="EV466">
            <v>2.4166666666666656</v>
          </cell>
          <cell r="EW466">
            <v>2.4166666666666656</v>
          </cell>
          <cell r="EX466">
            <v>18.999999999999989</v>
          </cell>
          <cell r="EY466">
            <v>0</v>
          </cell>
          <cell r="EZ466">
            <v>0</v>
          </cell>
          <cell r="FA466">
            <v>2.3333333333333321</v>
          </cell>
          <cell r="FB466">
            <v>2.3333333333333321</v>
          </cell>
          <cell r="FC466">
            <v>17.999999999999986</v>
          </cell>
          <cell r="FD466">
            <v>0</v>
          </cell>
          <cell r="FE466">
            <v>0</v>
          </cell>
          <cell r="FF466">
            <v>2.2499999999999987</v>
          </cell>
          <cell r="FG466">
            <v>2.2499999999999987</v>
          </cell>
          <cell r="FH466">
            <v>16.999999999999986</v>
          </cell>
          <cell r="FI466">
            <v>0</v>
          </cell>
          <cell r="FJ466">
            <v>0</v>
          </cell>
          <cell r="FK466">
            <v>2.1666666666666652</v>
          </cell>
          <cell r="FL466">
            <v>2.1666666666666652</v>
          </cell>
          <cell r="FM466">
            <v>15.999999999999982</v>
          </cell>
          <cell r="FN466">
            <v>0</v>
          </cell>
          <cell r="FO466">
            <v>0</v>
          </cell>
          <cell r="FP466">
            <v>2.0833333333333317</v>
          </cell>
          <cell r="FQ466">
            <v>2.0833333333333317</v>
          </cell>
          <cell r="FR466">
            <v>14.99999999999998</v>
          </cell>
          <cell r="FS466">
            <v>0</v>
          </cell>
          <cell r="FT466">
            <v>1</v>
          </cell>
          <cell r="FU466">
            <v>2.0333333333333332</v>
          </cell>
          <cell r="FW466" t="str">
            <v>SIN ROTACIÓN</v>
          </cell>
          <cell r="FX466" t="str">
            <v>STOCK MUERTO</v>
          </cell>
          <cell r="FY466" t="str">
            <v>Si</v>
          </cell>
        </row>
        <row r="467">
          <cell r="B467" t="str">
            <v>REP-0484</v>
          </cell>
          <cell r="C467" t="str">
            <v>MIX</v>
          </cell>
          <cell r="D467">
            <v>0</v>
          </cell>
          <cell r="E467">
            <v>9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9</v>
          </cell>
          <cell r="AA467">
            <v>9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0.16666666666666666</v>
          </cell>
          <cell r="AI467">
            <v>0</v>
          </cell>
          <cell r="AJ467">
            <v>0</v>
          </cell>
          <cell r="AK467">
            <v>0.16666666666666666</v>
          </cell>
          <cell r="AL467">
            <v>8.3333333333333329E-2</v>
          </cell>
          <cell r="AM467">
            <v>4.1666666666666664E-2</v>
          </cell>
          <cell r="AN467">
            <v>2</v>
          </cell>
          <cell r="AO467">
            <v>0</v>
          </cell>
          <cell r="AP467">
            <v>4</v>
          </cell>
          <cell r="AQ467" t="str">
            <v/>
          </cell>
          <cell r="AR467">
            <v>0</v>
          </cell>
          <cell r="AS467">
            <v>4</v>
          </cell>
          <cell r="AT467">
            <v>4</v>
          </cell>
          <cell r="AU467" t="str">
            <v/>
          </cell>
          <cell r="AV467">
            <v>0</v>
          </cell>
          <cell r="AW467">
            <v>4</v>
          </cell>
          <cell r="AX467">
            <v>4</v>
          </cell>
          <cell r="AY467">
            <v>24</v>
          </cell>
          <cell r="AZ467">
            <v>0</v>
          </cell>
          <cell r="BA467">
            <v>4</v>
          </cell>
          <cell r="BB467">
            <v>4</v>
          </cell>
          <cell r="BC467" t="str">
            <v/>
          </cell>
          <cell r="BD467">
            <v>0</v>
          </cell>
          <cell r="BE467">
            <v>4</v>
          </cell>
          <cell r="BF467" t="str">
            <v/>
          </cell>
          <cell r="BG467">
            <v>0</v>
          </cell>
          <cell r="BH467">
            <v>4</v>
          </cell>
          <cell r="BI467">
            <v>9</v>
          </cell>
          <cell r="BJ467">
            <v>54</v>
          </cell>
          <cell r="BK467">
            <v>0</v>
          </cell>
          <cell r="BL467">
            <v>4</v>
          </cell>
          <cell r="BM467">
            <v>4</v>
          </cell>
          <cell r="BN467" t="str">
            <v/>
          </cell>
          <cell r="BO467">
            <v>0</v>
          </cell>
          <cell r="BP467">
            <v>4</v>
          </cell>
          <cell r="BQ467">
            <v>4</v>
          </cell>
          <cell r="BR467">
            <v>24</v>
          </cell>
          <cell r="BS467">
            <v>0</v>
          </cell>
          <cell r="BT467">
            <v>4</v>
          </cell>
          <cell r="BU467">
            <v>4</v>
          </cell>
          <cell r="BV467" t="str">
            <v/>
          </cell>
          <cell r="BW467">
            <v>0</v>
          </cell>
          <cell r="BX467">
            <v>0</v>
          </cell>
          <cell r="BY467">
            <v>4</v>
          </cell>
          <cell r="BZ467">
            <v>4</v>
          </cell>
          <cell r="CA467" t="str">
            <v/>
          </cell>
          <cell r="CB467">
            <v>0</v>
          </cell>
          <cell r="CC467">
            <v>0</v>
          </cell>
          <cell r="CD467">
            <v>4</v>
          </cell>
          <cell r="CE467">
            <v>4</v>
          </cell>
          <cell r="CF467" t="str">
            <v/>
          </cell>
          <cell r="CG467">
            <v>0</v>
          </cell>
          <cell r="CH467">
            <v>0</v>
          </cell>
          <cell r="CI467">
            <v>4</v>
          </cell>
          <cell r="CJ467">
            <v>2</v>
          </cell>
          <cell r="CK467">
            <v>6</v>
          </cell>
          <cell r="CL467">
            <v>0</v>
          </cell>
          <cell r="CM467">
            <v>0</v>
          </cell>
          <cell r="CN467">
            <v>1.6666666666666667</v>
          </cell>
          <cell r="CO467">
            <v>2</v>
          </cell>
          <cell r="CP467">
            <v>6</v>
          </cell>
          <cell r="CQ467">
            <v>0.33333333333333326</v>
          </cell>
          <cell r="CR467">
            <v>0</v>
          </cell>
          <cell r="CS467">
            <v>1.6666666666666667</v>
          </cell>
          <cell r="CT467">
            <v>2</v>
          </cell>
          <cell r="CU467">
            <v>6</v>
          </cell>
          <cell r="CV467">
            <v>0</v>
          </cell>
          <cell r="CW467">
            <v>0</v>
          </cell>
          <cell r="CX467">
            <v>1.6666666666666667</v>
          </cell>
          <cell r="CY467">
            <v>2</v>
          </cell>
          <cell r="CZ467">
            <v>12</v>
          </cell>
          <cell r="DA467">
            <v>0</v>
          </cell>
          <cell r="DB467">
            <v>5</v>
          </cell>
          <cell r="DC467">
            <v>6.833333333333333</v>
          </cell>
          <cell r="DD467">
            <v>10</v>
          </cell>
          <cell r="DE467">
            <v>54</v>
          </cell>
          <cell r="DF467">
            <v>0</v>
          </cell>
          <cell r="DG467">
            <v>0</v>
          </cell>
          <cell r="DH467">
            <v>9.8333333333333339</v>
          </cell>
          <cell r="DI467">
            <v>9</v>
          </cell>
          <cell r="DJ467">
            <v>50</v>
          </cell>
          <cell r="DK467">
            <v>0</v>
          </cell>
          <cell r="DL467">
            <v>0</v>
          </cell>
          <cell r="DM467">
            <v>9.6666666666666679</v>
          </cell>
          <cell r="DN467">
            <v>9</v>
          </cell>
          <cell r="DO467">
            <v>50</v>
          </cell>
          <cell r="DP467">
            <v>0</v>
          </cell>
          <cell r="DQ467">
            <v>0</v>
          </cell>
          <cell r="DR467">
            <v>8.8333333333333339</v>
          </cell>
          <cell r="DS467">
            <v>8.8333333333333339</v>
          </cell>
          <cell r="DT467">
            <v>49.000000000000007</v>
          </cell>
          <cell r="DU467">
            <v>0</v>
          </cell>
          <cell r="DV467">
            <v>0</v>
          </cell>
          <cell r="DW467">
            <v>8.6666666666666679</v>
          </cell>
          <cell r="DX467">
            <v>8.6666666666666679</v>
          </cell>
          <cell r="DY467">
            <v>48.000000000000007</v>
          </cell>
          <cell r="DZ467">
            <v>0</v>
          </cell>
          <cell r="EA467">
            <v>0</v>
          </cell>
          <cell r="EB467">
            <v>8.5000000000000018</v>
          </cell>
          <cell r="EC467">
            <v>8.5000000000000018</v>
          </cell>
          <cell r="ED467">
            <v>47.000000000000014</v>
          </cell>
          <cell r="EE467">
            <v>0</v>
          </cell>
          <cell r="EF467">
            <v>0</v>
          </cell>
          <cell r="EG467">
            <v>8.3333333333333357</v>
          </cell>
          <cell r="EH467">
            <v>8.3333333333333357</v>
          </cell>
          <cell r="EI467">
            <v>46.000000000000014</v>
          </cell>
          <cell r="EJ467">
            <v>0</v>
          </cell>
          <cell r="EK467">
            <v>0</v>
          </cell>
          <cell r="EL467">
            <v>8.1666666666666696</v>
          </cell>
          <cell r="EM467">
            <v>8.1666666666666696</v>
          </cell>
          <cell r="EN467">
            <v>45.000000000000021</v>
          </cell>
          <cell r="EO467">
            <v>0</v>
          </cell>
          <cell r="EP467">
            <v>0</v>
          </cell>
          <cell r="EQ467">
            <v>8.0000000000000036</v>
          </cell>
          <cell r="ER467">
            <v>8.0000000000000036</v>
          </cell>
          <cell r="ES467">
            <v>44.000000000000021</v>
          </cell>
          <cell r="ET467">
            <v>0</v>
          </cell>
          <cell r="EU467">
            <v>0</v>
          </cell>
          <cell r="EV467">
            <v>7.8333333333333366</v>
          </cell>
          <cell r="EW467">
            <v>7.8333333333333366</v>
          </cell>
          <cell r="EX467">
            <v>43.000000000000021</v>
          </cell>
          <cell r="EY467">
            <v>0</v>
          </cell>
          <cell r="EZ467">
            <v>0</v>
          </cell>
          <cell r="FA467">
            <v>7.6666666666666696</v>
          </cell>
          <cell r="FB467">
            <v>7.6666666666666696</v>
          </cell>
          <cell r="FC467">
            <v>42.000000000000021</v>
          </cell>
          <cell r="FD467">
            <v>0</v>
          </cell>
          <cell r="FE467">
            <v>0</v>
          </cell>
          <cell r="FF467">
            <v>7.5000000000000027</v>
          </cell>
          <cell r="FG467">
            <v>7.5000000000000027</v>
          </cell>
          <cell r="FH467">
            <v>41.000000000000021</v>
          </cell>
          <cell r="FI467">
            <v>0</v>
          </cell>
          <cell r="FJ467">
            <v>0</v>
          </cell>
          <cell r="FK467">
            <v>7.3333333333333357</v>
          </cell>
          <cell r="FL467">
            <v>7.3333333333333357</v>
          </cell>
          <cell r="FM467">
            <v>40.000000000000014</v>
          </cell>
          <cell r="FN467">
            <v>0</v>
          </cell>
          <cell r="FO467">
            <v>0</v>
          </cell>
          <cell r="FP467">
            <v>7.1666666666666687</v>
          </cell>
          <cell r="FQ467">
            <v>7.1666666666666687</v>
          </cell>
          <cell r="FR467">
            <v>39.000000000000014</v>
          </cell>
          <cell r="FS467">
            <v>0</v>
          </cell>
          <cell r="FT467">
            <v>1</v>
          </cell>
          <cell r="FU467">
            <v>2.0333333333333332</v>
          </cell>
          <cell r="FW467" t="str">
            <v>SIN ROTACIÓN</v>
          </cell>
          <cell r="FX467" t="str">
            <v>STOCK MUERTO</v>
          </cell>
          <cell r="FY467" t="str">
            <v>Si</v>
          </cell>
        </row>
        <row r="468">
          <cell r="B468" t="str">
            <v>REP-0485</v>
          </cell>
          <cell r="C468" t="str">
            <v>MIX</v>
          </cell>
          <cell r="D468">
            <v>0</v>
          </cell>
          <cell r="E468">
            <v>4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4</v>
          </cell>
          <cell r="AA468">
            <v>4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4</v>
          </cell>
          <cell r="AQ468" t="str">
            <v/>
          </cell>
          <cell r="AR468">
            <v>0</v>
          </cell>
          <cell r="AS468">
            <v>4</v>
          </cell>
          <cell r="AT468">
            <v>4</v>
          </cell>
          <cell r="AU468" t="str">
            <v/>
          </cell>
          <cell r="AV468">
            <v>0</v>
          </cell>
          <cell r="AW468">
            <v>4</v>
          </cell>
          <cell r="AX468">
            <v>4</v>
          </cell>
          <cell r="AY468" t="str">
            <v/>
          </cell>
          <cell r="AZ468">
            <v>0</v>
          </cell>
          <cell r="BA468">
            <v>4</v>
          </cell>
          <cell r="BB468">
            <v>4</v>
          </cell>
          <cell r="BC468" t="str">
            <v/>
          </cell>
          <cell r="BD468">
            <v>0</v>
          </cell>
          <cell r="BE468">
            <v>4</v>
          </cell>
          <cell r="BF468" t="str">
            <v/>
          </cell>
          <cell r="BG468">
            <v>0</v>
          </cell>
          <cell r="BH468">
            <v>4</v>
          </cell>
          <cell r="BI468">
            <v>4</v>
          </cell>
          <cell r="BJ468" t="str">
            <v/>
          </cell>
          <cell r="BK468">
            <v>0</v>
          </cell>
          <cell r="BL468">
            <v>4</v>
          </cell>
          <cell r="BM468">
            <v>4</v>
          </cell>
          <cell r="BN468" t="str">
            <v/>
          </cell>
          <cell r="BO468">
            <v>0</v>
          </cell>
          <cell r="BP468">
            <v>4</v>
          </cell>
          <cell r="BQ468">
            <v>4</v>
          </cell>
          <cell r="BR468" t="str">
            <v/>
          </cell>
          <cell r="BS468">
            <v>0</v>
          </cell>
          <cell r="BT468">
            <v>4</v>
          </cell>
          <cell r="BU468">
            <v>4</v>
          </cell>
          <cell r="BV468" t="str">
            <v/>
          </cell>
          <cell r="BW468">
            <v>0</v>
          </cell>
          <cell r="BX468">
            <v>0</v>
          </cell>
          <cell r="BY468">
            <v>4</v>
          </cell>
          <cell r="BZ468">
            <v>4</v>
          </cell>
          <cell r="CA468" t="str">
            <v/>
          </cell>
          <cell r="CB468">
            <v>0</v>
          </cell>
          <cell r="CC468">
            <v>0</v>
          </cell>
          <cell r="CD468">
            <v>4</v>
          </cell>
          <cell r="CE468">
            <v>4</v>
          </cell>
          <cell r="CF468" t="str">
            <v/>
          </cell>
          <cell r="CG468">
            <v>0</v>
          </cell>
          <cell r="CH468">
            <v>0</v>
          </cell>
          <cell r="CI468">
            <v>4</v>
          </cell>
          <cell r="CJ468">
            <v>4</v>
          </cell>
          <cell r="CK468" t="str">
            <v/>
          </cell>
          <cell r="CL468">
            <v>0</v>
          </cell>
          <cell r="CM468">
            <v>0</v>
          </cell>
          <cell r="CN468">
            <v>4</v>
          </cell>
          <cell r="CO468">
            <v>4</v>
          </cell>
          <cell r="CP468" t="str">
            <v/>
          </cell>
          <cell r="CQ468">
            <v>0</v>
          </cell>
          <cell r="CR468">
            <v>0</v>
          </cell>
          <cell r="CS468">
            <v>4</v>
          </cell>
          <cell r="CT468">
            <v>4</v>
          </cell>
          <cell r="CU468" t="str">
            <v/>
          </cell>
          <cell r="CV468">
            <v>0</v>
          </cell>
          <cell r="CW468">
            <v>0</v>
          </cell>
          <cell r="CX468">
            <v>4</v>
          </cell>
          <cell r="CY468">
            <v>4</v>
          </cell>
          <cell r="CZ468" t="str">
            <v/>
          </cell>
          <cell r="DA468">
            <v>0</v>
          </cell>
          <cell r="DB468">
            <v>0</v>
          </cell>
          <cell r="DC468">
            <v>4</v>
          </cell>
          <cell r="DD468">
            <v>4</v>
          </cell>
          <cell r="DE468" t="str">
            <v/>
          </cell>
          <cell r="DF468">
            <v>0</v>
          </cell>
          <cell r="DG468">
            <v>0</v>
          </cell>
          <cell r="DH468">
            <v>4</v>
          </cell>
          <cell r="DI468">
            <v>4</v>
          </cell>
          <cell r="DJ468" t="str">
            <v/>
          </cell>
          <cell r="DK468">
            <v>0</v>
          </cell>
          <cell r="DL468">
            <v>0</v>
          </cell>
          <cell r="DM468">
            <v>4</v>
          </cell>
          <cell r="DN468">
            <v>4</v>
          </cell>
          <cell r="DO468" t="str">
            <v/>
          </cell>
          <cell r="DP468">
            <v>0</v>
          </cell>
          <cell r="DQ468">
            <v>0</v>
          </cell>
          <cell r="DR468">
            <v>4</v>
          </cell>
          <cell r="DS468">
            <v>4</v>
          </cell>
          <cell r="DT468" t="str">
            <v/>
          </cell>
          <cell r="DU468">
            <v>0</v>
          </cell>
          <cell r="DV468">
            <v>0</v>
          </cell>
          <cell r="DW468">
            <v>4</v>
          </cell>
          <cell r="DX468">
            <v>4</v>
          </cell>
          <cell r="DY468" t="str">
            <v/>
          </cell>
          <cell r="DZ468">
            <v>0</v>
          </cell>
          <cell r="EA468">
            <v>0</v>
          </cell>
          <cell r="EB468">
            <v>4</v>
          </cell>
          <cell r="EC468">
            <v>4</v>
          </cell>
          <cell r="ED468" t="str">
            <v/>
          </cell>
          <cell r="EE468">
            <v>0</v>
          </cell>
          <cell r="EF468">
            <v>0</v>
          </cell>
          <cell r="EG468">
            <v>4</v>
          </cell>
          <cell r="EH468">
            <v>4</v>
          </cell>
          <cell r="EI468" t="str">
            <v/>
          </cell>
          <cell r="EJ468">
            <v>0</v>
          </cell>
          <cell r="EK468">
            <v>0</v>
          </cell>
          <cell r="EL468">
            <v>4</v>
          </cell>
          <cell r="EM468">
            <v>4</v>
          </cell>
          <cell r="EN468" t="str">
            <v/>
          </cell>
          <cell r="EO468">
            <v>0</v>
          </cell>
          <cell r="EP468">
            <v>0</v>
          </cell>
          <cell r="EQ468">
            <v>4</v>
          </cell>
          <cell r="ER468">
            <v>4</v>
          </cell>
          <cell r="ES468" t="str">
            <v/>
          </cell>
          <cell r="ET468">
            <v>0</v>
          </cell>
          <cell r="EU468">
            <v>0</v>
          </cell>
          <cell r="EV468">
            <v>4</v>
          </cell>
          <cell r="EW468">
            <v>4</v>
          </cell>
          <cell r="EX468" t="str">
            <v/>
          </cell>
          <cell r="EY468">
            <v>0</v>
          </cell>
          <cell r="EZ468">
            <v>0</v>
          </cell>
          <cell r="FA468">
            <v>4</v>
          </cell>
          <cell r="FB468">
            <v>4</v>
          </cell>
          <cell r="FC468" t="str">
            <v/>
          </cell>
          <cell r="FD468">
            <v>0</v>
          </cell>
          <cell r="FE468">
            <v>0</v>
          </cell>
          <cell r="FF468">
            <v>4</v>
          </cell>
          <cell r="FG468">
            <v>4</v>
          </cell>
          <cell r="FH468" t="str">
            <v/>
          </cell>
          <cell r="FI468">
            <v>0</v>
          </cell>
          <cell r="FJ468">
            <v>0</v>
          </cell>
          <cell r="FK468">
            <v>4</v>
          </cell>
          <cell r="FL468">
            <v>4</v>
          </cell>
          <cell r="FM468" t="str">
            <v/>
          </cell>
          <cell r="FN468">
            <v>0</v>
          </cell>
          <cell r="FO468">
            <v>0</v>
          </cell>
          <cell r="FP468">
            <v>4</v>
          </cell>
          <cell r="FQ468">
            <v>4</v>
          </cell>
          <cell r="FR468" t="str">
            <v/>
          </cell>
          <cell r="FS468">
            <v>0</v>
          </cell>
          <cell r="FT468">
            <v>0</v>
          </cell>
          <cell r="FU468">
            <v>2.0333333333333332</v>
          </cell>
          <cell r="FW468" t="str">
            <v>SIN ROTACIÓN</v>
          </cell>
          <cell r="FX468" t="str">
            <v>STOCK MUERTO</v>
          </cell>
          <cell r="FY468" t="str">
            <v>Si</v>
          </cell>
        </row>
        <row r="469">
          <cell r="B469" t="str">
            <v>REP-0486</v>
          </cell>
          <cell r="C469" t="str">
            <v>MIX</v>
          </cell>
          <cell r="D469">
            <v>0</v>
          </cell>
          <cell r="E469">
            <v>4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4</v>
          </cell>
          <cell r="AA469">
            <v>4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2</v>
          </cell>
          <cell r="AQ469" t="str">
            <v/>
          </cell>
          <cell r="AR469">
            <v>0</v>
          </cell>
          <cell r="AS469">
            <v>2</v>
          </cell>
          <cell r="AT469">
            <v>2</v>
          </cell>
          <cell r="AU469" t="str">
            <v/>
          </cell>
          <cell r="AV469">
            <v>0</v>
          </cell>
          <cell r="AW469">
            <v>2</v>
          </cell>
          <cell r="AX469">
            <v>2</v>
          </cell>
          <cell r="AY469" t="str">
            <v/>
          </cell>
          <cell r="AZ469">
            <v>0</v>
          </cell>
          <cell r="BA469">
            <v>2</v>
          </cell>
          <cell r="BB469">
            <v>2</v>
          </cell>
          <cell r="BC469" t="str">
            <v/>
          </cell>
          <cell r="BD469">
            <v>0</v>
          </cell>
          <cell r="BE469">
            <v>2</v>
          </cell>
          <cell r="BF469" t="str">
            <v/>
          </cell>
          <cell r="BG469">
            <v>0</v>
          </cell>
          <cell r="BH469">
            <v>2</v>
          </cell>
          <cell r="BI469">
            <v>4</v>
          </cell>
          <cell r="BJ469" t="str">
            <v/>
          </cell>
          <cell r="BK469">
            <v>0</v>
          </cell>
          <cell r="BL469">
            <v>2</v>
          </cell>
          <cell r="BM469">
            <v>2</v>
          </cell>
          <cell r="BN469" t="str">
            <v/>
          </cell>
          <cell r="BO469">
            <v>0</v>
          </cell>
          <cell r="BP469">
            <v>2</v>
          </cell>
          <cell r="BQ469">
            <v>2</v>
          </cell>
          <cell r="BR469" t="str">
            <v/>
          </cell>
          <cell r="BS469">
            <v>0</v>
          </cell>
          <cell r="BT469">
            <v>2</v>
          </cell>
          <cell r="BU469">
            <v>2</v>
          </cell>
          <cell r="BV469" t="str">
            <v/>
          </cell>
          <cell r="BW469">
            <v>0</v>
          </cell>
          <cell r="BX469">
            <v>0</v>
          </cell>
          <cell r="BY469">
            <v>2</v>
          </cell>
          <cell r="BZ469">
            <v>2</v>
          </cell>
          <cell r="CA469" t="str">
            <v/>
          </cell>
          <cell r="CB469">
            <v>0</v>
          </cell>
          <cell r="CC469">
            <v>0</v>
          </cell>
          <cell r="CD469">
            <v>2</v>
          </cell>
          <cell r="CE469">
            <v>2</v>
          </cell>
          <cell r="CF469" t="str">
            <v/>
          </cell>
          <cell r="CG469">
            <v>0</v>
          </cell>
          <cell r="CH469">
            <v>0</v>
          </cell>
          <cell r="CI469">
            <v>2</v>
          </cell>
          <cell r="CJ469">
            <v>2</v>
          </cell>
          <cell r="CK469" t="str">
            <v/>
          </cell>
          <cell r="CL469">
            <v>0</v>
          </cell>
          <cell r="CM469">
            <v>0</v>
          </cell>
          <cell r="CN469">
            <v>2</v>
          </cell>
          <cell r="CO469">
            <v>2</v>
          </cell>
          <cell r="CP469" t="str">
            <v/>
          </cell>
          <cell r="CQ469">
            <v>0</v>
          </cell>
          <cell r="CR469">
            <v>0</v>
          </cell>
          <cell r="CS469">
            <v>2</v>
          </cell>
          <cell r="CT469">
            <v>2</v>
          </cell>
          <cell r="CU469" t="str">
            <v/>
          </cell>
          <cell r="CV469">
            <v>0</v>
          </cell>
          <cell r="CW469">
            <v>0</v>
          </cell>
          <cell r="CX469">
            <v>2</v>
          </cell>
          <cell r="CY469">
            <v>2</v>
          </cell>
          <cell r="CZ469" t="str">
            <v/>
          </cell>
          <cell r="DA469">
            <v>0</v>
          </cell>
          <cell r="DB469">
            <v>0</v>
          </cell>
          <cell r="DC469">
            <v>2</v>
          </cell>
          <cell r="DD469">
            <v>4</v>
          </cell>
          <cell r="DE469" t="str">
            <v/>
          </cell>
          <cell r="DF469">
            <v>0</v>
          </cell>
          <cell r="DG469">
            <v>0</v>
          </cell>
          <cell r="DH469">
            <v>4</v>
          </cell>
          <cell r="DI469">
            <v>4</v>
          </cell>
          <cell r="DJ469" t="str">
            <v/>
          </cell>
          <cell r="DK469">
            <v>0</v>
          </cell>
          <cell r="DL469">
            <v>0</v>
          </cell>
          <cell r="DM469">
            <v>4</v>
          </cell>
          <cell r="DN469">
            <v>4</v>
          </cell>
          <cell r="DO469" t="str">
            <v/>
          </cell>
          <cell r="DP469">
            <v>0</v>
          </cell>
          <cell r="DQ469">
            <v>0</v>
          </cell>
          <cell r="DR469">
            <v>4</v>
          </cell>
          <cell r="DS469">
            <v>4</v>
          </cell>
          <cell r="DT469" t="str">
            <v/>
          </cell>
          <cell r="DU469">
            <v>0</v>
          </cell>
          <cell r="DV469">
            <v>0</v>
          </cell>
          <cell r="DW469">
            <v>4</v>
          </cell>
          <cell r="DX469">
            <v>4</v>
          </cell>
          <cell r="DY469" t="str">
            <v/>
          </cell>
          <cell r="DZ469">
            <v>0</v>
          </cell>
          <cell r="EA469">
            <v>0</v>
          </cell>
          <cell r="EB469">
            <v>4</v>
          </cell>
          <cell r="EC469">
            <v>4</v>
          </cell>
          <cell r="ED469" t="str">
            <v/>
          </cell>
          <cell r="EE469">
            <v>0</v>
          </cell>
          <cell r="EF469">
            <v>0</v>
          </cell>
          <cell r="EG469">
            <v>4</v>
          </cell>
          <cell r="EH469">
            <v>4</v>
          </cell>
          <cell r="EI469" t="str">
            <v/>
          </cell>
          <cell r="EJ469">
            <v>0</v>
          </cell>
          <cell r="EK469">
            <v>0</v>
          </cell>
          <cell r="EL469">
            <v>4</v>
          </cell>
          <cell r="EM469">
            <v>4</v>
          </cell>
          <cell r="EN469" t="str">
            <v/>
          </cell>
          <cell r="EO469">
            <v>0</v>
          </cell>
          <cell r="EP469">
            <v>0</v>
          </cell>
          <cell r="EQ469">
            <v>4</v>
          </cell>
          <cell r="ER469">
            <v>4</v>
          </cell>
          <cell r="ES469" t="str">
            <v/>
          </cell>
          <cell r="ET469">
            <v>0</v>
          </cell>
          <cell r="EU469">
            <v>0</v>
          </cell>
          <cell r="EV469">
            <v>4</v>
          </cell>
          <cell r="EW469">
            <v>4</v>
          </cell>
          <cell r="EX469" t="str">
            <v/>
          </cell>
          <cell r="EY469">
            <v>0</v>
          </cell>
          <cell r="EZ469">
            <v>0</v>
          </cell>
          <cell r="FA469">
            <v>4</v>
          </cell>
          <cell r="FB469">
            <v>4</v>
          </cell>
          <cell r="FC469" t="str">
            <v/>
          </cell>
          <cell r="FD469">
            <v>0</v>
          </cell>
          <cell r="FE469">
            <v>0</v>
          </cell>
          <cell r="FF469">
            <v>4</v>
          </cell>
          <cell r="FG469">
            <v>4</v>
          </cell>
          <cell r="FH469" t="str">
            <v/>
          </cell>
          <cell r="FI469">
            <v>0</v>
          </cell>
          <cell r="FJ469">
            <v>0</v>
          </cell>
          <cell r="FK469">
            <v>4</v>
          </cell>
          <cell r="FL469">
            <v>4</v>
          </cell>
          <cell r="FM469" t="str">
            <v/>
          </cell>
          <cell r="FN469">
            <v>0</v>
          </cell>
          <cell r="FO469">
            <v>0</v>
          </cell>
          <cell r="FP469">
            <v>4</v>
          </cell>
          <cell r="FQ469">
            <v>4</v>
          </cell>
          <cell r="FR469" t="str">
            <v/>
          </cell>
          <cell r="FS469">
            <v>0</v>
          </cell>
          <cell r="FT469">
            <v>0</v>
          </cell>
          <cell r="FU469">
            <v>2.0333333333333332</v>
          </cell>
          <cell r="FW469" t="str">
            <v>SIN ROTACIÓN</v>
          </cell>
          <cell r="FX469" t="str">
            <v>STOCK MUERTO</v>
          </cell>
          <cell r="FY469" t="str">
            <v>Si</v>
          </cell>
        </row>
        <row r="470">
          <cell r="B470" t="str">
            <v>REP-0487</v>
          </cell>
          <cell r="C470" t="str">
            <v>MIX</v>
          </cell>
          <cell r="D470">
            <v>0</v>
          </cell>
          <cell r="E470">
            <v>2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2</v>
          </cell>
          <cell r="AA470">
            <v>2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2</v>
          </cell>
          <cell r="AQ470" t="str">
            <v/>
          </cell>
          <cell r="AR470">
            <v>0</v>
          </cell>
          <cell r="AS470">
            <v>2</v>
          </cell>
          <cell r="AT470">
            <v>2</v>
          </cell>
          <cell r="AU470" t="str">
            <v/>
          </cell>
          <cell r="AV470">
            <v>0</v>
          </cell>
          <cell r="AW470">
            <v>2</v>
          </cell>
          <cell r="AX470">
            <v>2</v>
          </cell>
          <cell r="AY470" t="str">
            <v/>
          </cell>
          <cell r="AZ470">
            <v>0</v>
          </cell>
          <cell r="BA470">
            <v>2</v>
          </cell>
          <cell r="BB470">
            <v>2</v>
          </cell>
          <cell r="BC470" t="str">
            <v/>
          </cell>
          <cell r="BD470">
            <v>0</v>
          </cell>
          <cell r="BE470">
            <v>2</v>
          </cell>
          <cell r="BF470" t="str">
            <v/>
          </cell>
          <cell r="BG470">
            <v>0</v>
          </cell>
          <cell r="BH470">
            <v>2</v>
          </cell>
          <cell r="BI470">
            <v>2</v>
          </cell>
          <cell r="BJ470" t="str">
            <v/>
          </cell>
          <cell r="BK470">
            <v>0</v>
          </cell>
          <cell r="BL470">
            <v>2</v>
          </cell>
          <cell r="BM470">
            <v>2</v>
          </cell>
          <cell r="BN470" t="str">
            <v/>
          </cell>
          <cell r="BO470">
            <v>0</v>
          </cell>
          <cell r="BP470">
            <v>2</v>
          </cell>
          <cell r="BQ470">
            <v>2</v>
          </cell>
          <cell r="BR470" t="str">
            <v/>
          </cell>
          <cell r="BS470">
            <v>0</v>
          </cell>
          <cell r="BT470">
            <v>2</v>
          </cell>
          <cell r="BU470">
            <v>2</v>
          </cell>
          <cell r="BV470" t="str">
            <v/>
          </cell>
          <cell r="BW470">
            <v>0</v>
          </cell>
          <cell r="BX470">
            <v>0</v>
          </cell>
          <cell r="BY470">
            <v>2</v>
          </cell>
          <cell r="BZ470">
            <v>2</v>
          </cell>
          <cell r="CA470" t="str">
            <v/>
          </cell>
          <cell r="CB470">
            <v>0</v>
          </cell>
          <cell r="CC470">
            <v>0</v>
          </cell>
          <cell r="CD470">
            <v>2</v>
          </cell>
          <cell r="CE470">
            <v>2</v>
          </cell>
          <cell r="CF470" t="str">
            <v/>
          </cell>
          <cell r="CG470">
            <v>0</v>
          </cell>
          <cell r="CH470">
            <v>0</v>
          </cell>
          <cell r="CI470">
            <v>2</v>
          </cell>
          <cell r="CJ470">
            <v>2</v>
          </cell>
          <cell r="CK470" t="str">
            <v/>
          </cell>
          <cell r="CL470">
            <v>0</v>
          </cell>
          <cell r="CM470">
            <v>0</v>
          </cell>
          <cell r="CN470">
            <v>2</v>
          </cell>
          <cell r="CO470">
            <v>2</v>
          </cell>
          <cell r="CP470" t="str">
            <v/>
          </cell>
          <cell r="CQ470">
            <v>0</v>
          </cell>
          <cell r="CR470">
            <v>0</v>
          </cell>
          <cell r="CS470">
            <v>2</v>
          </cell>
          <cell r="CT470">
            <v>2</v>
          </cell>
          <cell r="CU470" t="str">
            <v/>
          </cell>
          <cell r="CV470">
            <v>0</v>
          </cell>
          <cell r="CW470">
            <v>0</v>
          </cell>
          <cell r="CX470">
            <v>2</v>
          </cell>
          <cell r="CY470">
            <v>2</v>
          </cell>
          <cell r="CZ470" t="str">
            <v/>
          </cell>
          <cell r="DA470">
            <v>0</v>
          </cell>
          <cell r="DB470">
            <v>0</v>
          </cell>
          <cell r="DC470">
            <v>2</v>
          </cell>
          <cell r="DD470">
            <v>2</v>
          </cell>
          <cell r="DE470" t="str">
            <v/>
          </cell>
          <cell r="DF470">
            <v>0</v>
          </cell>
          <cell r="DG470">
            <v>0</v>
          </cell>
          <cell r="DH470">
            <v>2</v>
          </cell>
          <cell r="DI470">
            <v>2</v>
          </cell>
          <cell r="DJ470" t="str">
            <v/>
          </cell>
          <cell r="DK470">
            <v>0</v>
          </cell>
          <cell r="DL470">
            <v>0</v>
          </cell>
          <cell r="DM470">
            <v>2</v>
          </cell>
          <cell r="DN470">
            <v>2</v>
          </cell>
          <cell r="DO470" t="str">
            <v/>
          </cell>
          <cell r="DP470">
            <v>0</v>
          </cell>
          <cell r="DQ470">
            <v>0</v>
          </cell>
          <cell r="DR470">
            <v>2</v>
          </cell>
          <cell r="DS470">
            <v>2</v>
          </cell>
          <cell r="DT470" t="str">
            <v/>
          </cell>
          <cell r="DU470">
            <v>0</v>
          </cell>
          <cell r="DV470">
            <v>0</v>
          </cell>
          <cell r="DW470">
            <v>2</v>
          </cell>
          <cell r="DX470">
            <v>2</v>
          </cell>
          <cell r="DY470" t="str">
            <v/>
          </cell>
          <cell r="DZ470">
            <v>0</v>
          </cell>
          <cell r="EA470">
            <v>0</v>
          </cell>
          <cell r="EB470">
            <v>2</v>
          </cell>
          <cell r="EC470">
            <v>2</v>
          </cell>
          <cell r="ED470" t="str">
            <v/>
          </cell>
          <cell r="EE470">
            <v>0</v>
          </cell>
          <cell r="EF470">
            <v>0</v>
          </cell>
          <cell r="EG470">
            <v>2</v>
          </cell>
          <cell r="EH470">
            <v>2</v>
          </cell>
          <cell r="EI470" t="str">
            <v/>
          </cell>
          <cell r="EJ470">
            <v>0</v>
          </cell>
          <cell r="EK470">
            <v>0</v>
          </cell>
          <cell r="EL470">
            <v>2</v>
          </cell>
          <cell r="EM470">
            <v>2</v>
          </cell>
          <cell r="EN470" t="str">
            <v/>
          </cell>
          <cell r="EO470">
            <v>0</v>
          </cell>
          <cell r="EP470">
            <v>0</v>
          </cell>
          <cell r="EQ470">
            <v>2</v>
          </cell>
          <cell r="ER470">
            <v>2</v>
          </cell>
          <cell r="ES470" t="str">
            <v/>
          </cell>
          <cell r="ET470">
            <v>0</v>
          </cell>
          <cell r="EU470">
            <v>0</v>
          </cell>
          <cell r="EV470">
            <v>2</v>
          </cell>
          <cell r="EW470">
            <v>2</v>
          </cell>
          <cell r="EX470" t="str">
            <v/>
          </cell>
          <cell r="EY470">
            <v>0</v>
          </cell>
          <cell r="EZ470">
            <v>0</v>
          </cell>
          <cell r="FA470">
            <v>2</v>
          </cell>
          <cell r="FB470">
            <v>2</v>
          </cell>
          <cell r="FC470" t="str">
            <v/>
          </cell>
          <cell r="FD470">
            <v>0</v>
          </cell>
          <cell r="FE470">
            <v>0</v>
          </cell>
          <cell r="FF470">
            <v>2</v>
          </cell>
          <cell r="FG470">
            <v>2</v>
          </cell>
          <cell r="FH470" t="str">
            <v/>
          </cell>
          <cell r="FI470">
            <v>0</v>
          </cell>
          <cell r="FJ470">
            <v>0</v>
          </cell>
          <cell r="FK470">
            <v>2</v>
          </cell>
          <cell r="FL470">
            <v>2</v>
          </cell>
          <cell r="FM470" t="str">
            <v/>
          </cell>
          <cell r="FN470">
            <v>0</v>
          </cell>
          <cell r="FO470">
            <v>0</v>
          </cell>
          <cell r="FP470">
            <v>2</v>
          </cell>
          <cell r="FQ470">
            <v>2</v>
          </cell>
          <cell r="FR470" t="str">
            <v/>
          </cell>
          <cell r="FS470">
            <v>0</v>
          </cell>
          <cell r="FT470">
            <v>0</v>
          </cell>
          <cell r="FU470">
            <v>2.0333333333333332</v>
          </cell>
          <cell r="FW470" t="str">
            <v>SIN ROTACIÓN</v>
          </cell>
          <cell r="FX470" t="str">
            <v>STOCK MUERTO</v>
          </cell>
          <cell r="FY470" t="str">
            <v>Si</v>
          </cell>
        </row>
        <row r="471">
          <cell r="B471" t="str">
            <v>REP-0488</v>
          </cell>
          <cell r="C471" t="str">
            <v>MIX</v>
          </cell>
          <cell r="D471">
            <v>0</v>
          </cell>
          <cell r="E471">
            <v>4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4</v>
          </cell>
          <cell r="AA471">
            <v>4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4</v>
          </cell>
          <cell r="AQ471" t="str">
            <v/>
          </cell>
          <cell r="AR471">
            <v>0</v>
          </cell>
          <cell r="AS471">
            <v>4</v>
          </cell>
          <cell r="AT471">
            <v>4</v>
          </cell>
          <cell r="AU471" t="str">
            <v/>
          </cell>
          <cell r="AV471">
            <v>0</v>
          </cell>
          <cell r="AW471">
            <v>4</v>
          </cell>
          <cell r="AX471">
            <v>4</v>
          </cell>
          <cell r="AY471" t="str">
            <v/>
          </cell>
          <cell r="AZ471">
            <v>0</v>
          </cell>
          <cell r="BA471">
            <v>4</v>
          </cell>
          <cell r="BB471">
            <v>4</v>
          </cell>
          <cell r="BC471" t="str">
            <v/>
          </cell>
          <cell r="BD471">
            <v>0</v>
          </cell>
          <cell r="BE471">
            <v>4</v>
          </cell>
          <cell r="BF471" t="str">
            <v/>
          </cell>
          <cell r="BG471">
            <v>0</v>
          </cell>
          <cell r="BH471">
            <v>4</v>
          </cell>
          <cell r="BI471">
            <v>4</v>
          </cell>
          <cell r="BJ471" t="str">
            <v/>
          </cell>
          <cell r="BK471">
            <v>0</v>
          </cell>
          <cell r="BL471">
            <v>4</v>
          </cell>
          <cell r="BM471">
            <v>4</v>
          </cell>
          <cell r="BN471" t="str">
            <v/>
          </cell>
          <cell r="BO471">
            <v>0</v>
          </cell>
          <cell r="BP471">
            <v>4</v>
          </cell>
          <cell r="BQ471">
            <v>4</v>
          </cell>
          <cell r="BR471" t="str">
            <v/>
          </cell>
          <cell r="BS471">
            <v>0</v>
          </cell>
          <cell r="BT471">
            <v>4</v>
          </cell>
          <cell r="BU471">
            <v>4</v>
          </cell>
          <cell r="BV471" t="str">
            <v/>
          </cell>
          <cell r="BW471">
            <v>0</v>
          </cell>
          <cell r="BX471">
            <v>0</v>
          </cell>
          <cell r="BY471">
            <v>4</v>
          </cell>
          <cell r="BZ471">
            <v>4</v>
          </cell>
          <cell r="CA471" t="str">
            <v/>
          </cell>
          <cell r="CB471">
            <v>0</v>
          </cell>
          <cell r="CC471">
            <v>0</v>
          </cell>
          <cell r="CD471">
            <v>4</v>
          </cell>
          <cell r="CE471">
            <v>4</v>
          </cell>
          <cell r="CF471" t="str">
            <v/>
          </cell>
          <cell r="CG471">
            <v>0</v>
          </cell>
          <cell r="CH471">
            <v>0</v>
          </cell>
          <cell r="CI471">
            <v>4</v>
          </cell>
          <cell r="CJ471">
            <v>4</v>
          </cell>
          <cell r="CK471" t="str">
            <v/>
          </cell>
          <cell r="CL471">
            <v>0</v>
          </cell>
          <cell r="CM471">
            <v>0</v>
          </cell>
          <cell r="CN471">
            <v>4</v>
          </cell>
          <cell r="CO471">
            <v>4</v>
          </cell>
          <cell r="CP471" t="str">
            <v/>
          </cell>
          <cell r="CQ471">
            <v>0</v>
          </cell>
          <cell r="CR471">
            <v>0</v>
          </cell>
          <cell r="CS471">
            <v>4</v>
          </cell>
          <cell r="CT471">
            <v>4</v>
          </cell>
          <cell r="CU471" t="str">
            <v/>
          </cell>
          <cell r="CV471">
            <v>0</v>
          </cell>
          <cell r="CW471">
            <v>0</v>
          </cell>
          <cell r="CX471">
            <v>4</v>
          </cell>
          <cell r="CY471">
            <v>4</v>
          </cell>
          <cell r="CZ471" t="str">
            <v/>
          </cell>
          <cell r="DA471">
            <v>0</v>
          </cell>
          <cell r="DB471">
            <v>0</v>
          </cell>
          <cell r="DC471">
            <v>4</v>
          </cell>
          <cell r="DD471">
            <v>4</v>
          </cell>
          <cell r="DE471" t="str">
            <v/>
          </cell>
          <cell r="DF471">
            <v>0</v>
          </cell>
          <cell r="DG471">
            <v>0</v>
          </cell>
          <cell r="DH471">
            <v>4</v>
          </cell>
          <cell r="DI471">
            <v>4</v>
          </cell>
          <cell r="DJ471" t="str">
            <v/>
          </cell>
          <cell r="DK471">
            <v>0</v>
          </cell>
          <cell r="DL471">
            <v>0</v>
          </cell>
          <cell r="DM471">
            <v>4</v>
          </cell>
          <cell r="DN471">
            <v>4</v>
          </cell>
          <cell r="DO471" t="str">
            <v/>
          </cell>
          <cell r="DP471">
            <v>0</v>
          </cell>
          <cell r="DQ471">
            <v>0</v>
          </cell>
          <cell r="DR471">
            <v>4</v>
          </cell>
          <cell r="DS471">
            <v>4</v>
          </cell>
          <cell r="DT471" t="str">
            <v/>
          </cell>
          <cell r="DU471">
            <v>0</v>
          </cell>
          <cell r="DV471">
            <v>0</v>
          </cell>
          <cell r="DW471">
            <v>4</v>
          </cell>
          <cell r="DX471">
            <v>4</v>
          </cell>
          <cell r="DY471" t="str">
            <v/>
          </cell>
          <cell r="DZ471">
            <v>0</v>
          </cell>
          <cell r="EA471">
            <v>0</v>
          </cell>
          <cell r="EB471">
            <v>4</v>
          </cell>
          <cell r="EC471">
            <v>4</v>
          </cell>
          <cell r="ED471" t="str">
            <v/>
          </cell>
          <cell r="EE471">
            <v>0</v>
          </cell>
          <cell r="EF471">
            <v>0</v>
          </cell>
          <cell r="EG471">
            <v>4</v>
          </cell>
          <cell r="EH471">
            <v>4</v>
          </cell>
          <cell r="EI471" t="str">
            <v/>
          </cell>
          <cell r="EJ471">
            <v>0</v>
          </cell>
          <cell r="EK471">
            <v>0</v>
          </cell>
          <cell r="EL471">
            <v>4</v>
          </cell>
          <cell r="EM471">
            <v>4</v>
          </cell>
          <cell r="EN471" t="str">
            <v/>
          </cell>
          <cell r="EO471">
            <v>0</v>
          </cell>
          <cell r="EP471">
            <v>0</v>
          </cell>
          <cell r="EQ471">
            <v>4</v>
          </cell>
          <cell r="ER471">
            <v>4</v>
          </cell>
          <cell r="ES471" t="str">
            <v/>
          </cell>
          <cell r="ET471">
            <v>0</v>
          </cell>
          <cell r="EU471">
            <v>0</v>
          </cell>
          <cell r="EV471">
            <v>4</v>
          </cell>
          <cell r="EW471">
            <v>4</v>
          </cell>
          <cell r="EX471" t="str">
            <v/>
          </cell>
          <cell r="EY471">
            <v>0</v>
          </cell>
          <cell r="EZ471">
            <v>0</v>
          </cell>
          <cell r="FA471">
            <v>4</v>
          </cell>
          <cell r="FB471">
            <v>4</v>
          </cell>
          <cell r="FC471" t="str">
            <v/>
          </cell>
          <cell r="FD471">
            <v>0</v>
          </cell>
          <cell r="FE471">
            <v>0</v>
          </cell>
          <cell r="FF471">
            <v>4</v>
          </cell>
          <cell r="FG471">
            <v>4</v>
          </cell>
          <cell r="FH471" t="str">
            <v/>
          </cell>
          <cell r="FI471">
            <v>0</v>
          </cell>
          <cell r="FJ471">
            <v>0</v>
          </cell>
          <cell r="FK471">
            <v>4</v>
          </cell>
          <cell r="FL471">
            <v>4</v>
          </cell>
          <cell r="FM471" t="str">
            <v/>
          </cell>
          <cell r="FN471">
            <v>0</v>
          </cell>
          <cell r="FO471">
            <v>0</v>
          </cell>
          <cell r="FP471">
            <v>4</v>
          </cell>
          <cell r="FQ471">
            <v>4</v>
          </cell>
          <cell r="FR471" t="str">
            <v/>
          </cell>
          <cell r="FS471">
            <v>0</v>
          </cell>
          <cell r="FT471">
            <v>0</v>
          </cell>
          <cell r="FU471">
            <v>2.0333333333333332</v>
          </cell>
          <cell r="FW471" t="str">
            <v>SIN ROTACIÓN</v>
          </cell>
          <cell r="FX471" t="str">
            <v>STOCK MUERTO</v>
          </cell>
          <cell r="FY471" t="str">
            <v>Si</v>
          </cell>
        </row>
        <row r="472">
          <cell r="B472" t="str">
            <v>REP-0489</v>
          </cell>
          <cell r="C472" t="str">
            <v>MIX</v>
          </cell>
          <cell r="D472">
            <v>0</v>
          </cell>
          <cell r="E472">
            <v>41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13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54</v>
          </cell>
          <cell r="AA472">
            <v>54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2</v>
          </cell>
          <cell r="AI472">
            <v>1.1666666666666667</v>
          </cell>
          <cell r="AJ472">
            <v>1.1666666666666667</v>
          </cell>
          <cell r="AK472">
            <v>1.4444444444444446</v>
          </cell>
          <cell r="AL472">
            <v>0.82214714371937458</v>
          </cell>
          <cell r="AM472">
            <v>1.0833333333333335</v>
          </cell>
          <cell r="AN472">
            <v>0.75890505574096101</v>
          </cell>
          <cell r="AO472">
            <v>0</v>
          </cell>
          <cell r="AP472">
            <v>1.1666666666666665</v>
          </cell>
          <cell r="AQ472" t="str">
            <v/>
          </cell>
          <cell r="AR472">
            <v>0</v>
          </cell>
          <cell r="AS472">
            <v>1</v>
          </cell>
          <cell r="AT472">
            <v>1</v>
          </cell>
          <cell r="AU472">
            <v>0.66666666666666663</v>
          </cell>
          <cell r="AV472">
            <v>0</v>
          </cell>
          <cell r="AW472">
            <v>-0.5</v>
          </cell>
          <cell r="AX472">
            <v>1</v>
          </cell>
          <cell r="AY472">
            <v>0.69230769230769218</v>
          </cell>
          <cell r="AZ472">
            <v>0</v>
          </cell>
          <cell r="BA472">
            <v>40</v>
          </cell>
          <cell r="BB472">
            <v>1</v>
          </cell>
          <cell r="BC472">
            <v>1</v>
          </cell>
          <cell r="BD472">
            <v>0</v>
          </cell>
          <cell r="BE472">
            <v>0</v>
          </cell>
          <cell r="BF472">
            <v>0</v>
          </cell>
          <cell r="BG472">
            <v>40</v>
          </cell>
          <cell r="BH472">
            <v>39</v>
          </cell>
          <cell r="BI472">
            <v>54</v>
          </cell>
          <cell r="BJ472">
            <v>37.38461538461538</v>
          </cell>
          <cell r="BK472">
            <v>0</v>
          </cell>
          <cell r="BL472">
            <v>80.5</v>
          </cell>
          <cell r="BM472">
            <v>75</v>
          </cell>
          <cell r="BN472">
            <v>50</v>
          </cell>
          <cell r="BO472">
            <v>0</v>
          </cell>
          <cell r="BP472">
            <v>73.5</v>
          </cell>
          <cell r="BQ472">
            <v>64</v>
          </cell>
          <cell r="BR472">
            <v>44.307692307692299</v>
          </cell>
          <cell r="BS472">
            <v>0</v>
          </cell>
          <cell r="BT472">
            <v>61.166666666666664</v>
          </cell>
          <cell r="BU472">
            <v>64</v>
          </cell>
          <cell r="BV472">
            <v>22.588235294117645</v>
          </cell>
          <cell r="BW472">
            <v>0</v>
          </cell>
          <cell r="BX472">
            <v>0</v>
          </cell>
          <cell r="BY472">
            <v>61.166666666666664</v>
          </cell>
          <cell r="BZ472">
            <v>64</v>
          </cell>
          <cell r="CA472">
            <v>22.588235294117645</v>
          </cell>
          <cell r="CB472">
            <v>0</v>
          </cell>
          <cell r="CC472">
            <v>0</v>
          </cell>
          <cell r="CD472">
            <v>61.166666666666664</v>
          </cell>
          <cell r="CE472">
            <v>64</v>
          </cell>
          <cell r="CF472">
            <v>22.588235294117645</v>
          </cell>
          <cell r="CG472">
            <v>0</v>
          </cell>
          <cell r="CH472">
            <v>0</v>
          </cell>
          <cell r="CI472">
            <v>58.333333333333329</v>
          </cell>
          <cell r="CJ472">
            <v>60</v>
          </cell>
          <cell r="CK472">
            <v>17.142857142857142</v>
          </cell>
          <cell r="CL472">
            <v>0</v>
          </cell>
          <cell r="CM472">
            <v>0</v>
          </cell>
          <cell r="CN472">
            <v>56.5</v>
          </cell>
          <cell r="CO472">
            <v>53</v>
          </cell>
          <cell r="CP472">
            <v>13.826086956521738</v>
          </cell>
          <cell r="CQ472">
            <v>0</v>
          </cell>
          <cell r="CR472">
            <v>0</v>
          </cell>
          <cell r="CS472">
            <v>49.166666666666664</v>
          </cell>
          <cell r="CT472">
            <v>52</v>
          </cell>
          <cell r="CU472">
            <v>21.272727272727273</v>
          </cell>
          <cell r="CV472">
            <v>0</v>
          </cell>
          <cell r="CW472">
            <v>0</v>
          </cell>
          <cell r="CX472">
            <v>49.555555555555557</v>
          </cell>
          <cell r="CY472">
            <v>50</v>
          </cell>
          <cell r="CZ472">
            <v>25.714285714285712</v>
          </cell>
          <cell r="DA472">
            <v>0</v>
          </cell>
          <cell r="DB472">
            <v>0</v>
          </cell>
          <cell r="DC472">
            <v>48.25</v>
          </cell>
          <cell r="DD472">
            <v>54</v>
          </cell>
          <cell r="DE472">
            <v>28.571428571428573</v>
          </cell>
          <cell r="DF472">
            <v>0</v>
          </cell>
          <cell r="DG472">
            <v>0</v>
          </cell>
          <cell r="DH472">
            <v>52.25</v>
          </cell>
          <cell r="DI472">
            <v>54</v>
          </cell>
          <cell r="DJ472">
            <v>32.612244897959179</v>
          </cell>
          <cell r="DK472">
            <v>0</v>
          </cell>
          <cell r="DL472">
            <v>0</v>
          </cell>
          <cell r="DM472">
            <v>50.616666666666667</v>
          </cell>
          <cell r="DN472">
            <v>54</v>
          </cell>
          <cell r="DO472">
            <v>37.307692307692299</v>
          </cell>
          <cell r="DP472">
            <v>0</v>
          </cell>
          <cell r="DQ472">
            <v>0</v>
          </cell>
          <cell r="DR472">
            <v>52.555555555555557</v>
          </cell>
          <cell r="DS472">
            <v>52.555555555555557</v>
          </cell>
          <cell r="DT472">
            <v>36.307692307692307</v>
          </cell>
          <cell r="DU472">
            <v>0</v>
          </cell>
          <cell r="DV472">
            <v>0</v>
          </cell>
          <cell r="DW472">
            <v>51.111111111111114</v>
          </cell>
          <cell r="DX472">
            <v>51.111111111111114</v>
          </cell>
          <cell r="DY472">
            <v>35.307692307692307</v>
          </cell>
          <cell r="DZ472">
            <v>0</v>
          </cell>
          <cell r="EA472">
            <v>0</v>
          </cell>
          <cell r="EB472">
            <v>49.666666666666671</v>
          </cell>
          <cell r="EC472">
            <v>49.666666666666671</v>
          </cell>
          <cell r="ED472">
            <v>34.307692307692307</v>
          </cell>
          <cell r="EE472">
            <v>0</v>
          </cell>
          <cell r="EF472">
            <v>0</v>
          </cell>
          <cell r="EG472">
            <v>48.222222222222229</v>
          </cell>
          <cell r="EH472">
            <v>48.222222222222229</v>
          </cell>
          <cell r="EI472">
            <v>33.307692307692307</v>
          </cell>
          <cell r="EJ472">
            <v>0</v>
          </cell>
          <cell r="EK472">
            <v>0</v>
          </cell>
          <cell r="EL472">
            <v>46.777777777777786</v>
          </cell>
          <cell r="EM472">
            <v>46.777777777777786</v>
          </cell>
          <cell r="EN472">
            <v>32.307692307692307</v>
          </cell>
          <cell r="EO472">
            <v>0</v>
          </cell>
          <cell r="EP472">
            <v>0</v>
          </cell>
          <cell r="EQ472">
            <v>45.333333333333343</v>
          </cell>
          <cell r="ER472">
            <v>45.333333333333343</v>
          </cell>
          <cell r="ES472">
            <v>31.30769230769231</v>
          </cell>
          <cell r="ET472">
            <v>0</v>
          </cell>
          <cell r="EU472">
            <v>0</v>
          </cell>
          <cell r="EV472">
            <v>43.8888888888889</v>
          </cell>
          <cell r="EW472">
            <v>43.8888888888889</v>
          </cell>
          <cell r="EX472">
            <v>30.30769230769231</v>
          </cell>
          <cell r="EY472">
            <v>0</v>
          </cell>
          <cell r="EZ472">
            <v>0</v>
          </cell>
          <cell r="FA472">
            <v>42.444444444444457</v>
          </cell>
          <cell r="FB472">
            <v>42.444444444444457</v>
          </cell>
          <cell r="FC472">
            <v>29.307692307692314</v>
          </cell>
          <cell r="FD472">
            <v>0</v>
          </cell>
          <cell r="FE472">
            <v>0</v>
          </cell>
          <cell r="FF472">
            <v>41.000000000000014</v>
          </cell>
          <cell r="FG472">
            <v>41.000000000000014</v>
          </cell>
          <cell r="FH472">
            <v>28.307692307692314</v>
          </cell>
          <cell r="FI472">
            <v>0</v>
          </cell>
          <cell r="FJ472">
            <v>0</v>
          </cell>
          <cell r="FK472">
            <v>39.555555555555571</v>
          </cell>
          <cell r="FL472">
            <v>39.555555555555571</v>
          </cell>
          <cell r="FM472">
            <v>27.307692307692314</v>
          </cell>
          <cell r="FN472">
            <v>0</v>
          </cell>
          <cell r="FO472">
            <v>0</v>
          </cell>
          <cell r="FP472">
            <v>38.111111111111128</v>
          </cell>
          <cell r="FQ472">
            <v>38.111111111111128</v>
          </cell>
          <cell r="FR472">
            <v>26.307692307692317</v>
          </cell>
          <cell r="FS472">
            <v>0</v>
          </cell>
          <cell r="FT472">
            <v>3</v>
          </cell>
          <cell r="FU472">
            <v>2.0333333333333332</v>
          </cell>
          <cell r="FW472" t="str">
            <v>SOBRESTOCK</v>
          </cell>
          <cell r="FX472" t="str">
            <v>C</v>
          </cell>
          <cell r="FY472" t="str">
            <v>Si</v>
          </cell>
        </row>
        <row r="473">
          <cell r="B473" t="str">
            <v>REP-0490</v>
          </cell>
          <cell r="C473" t="str">
            <v>MIX</v>
          </cell>
          <cell r="D473">
            <v>0</v>
          </cell>
          <cell r="E473">
            <v>5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5</v>
          </cell>
          <cell r="AA473">
            <v>5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8.3333333333333329E-2</v>
          </cell>
          <cell r="AI473">
            <v>0</v>
          </cell>
          <cell r="AJ473">
            <v>0</v>
          </cell>
          <cell r="AK473">
            <v>8.3333333333333329E-2</v>
          </cell>
          <cell r="AL473">
            <v>4.1666666666666664E-2</v>
          </cell>
          <cell r="AM473">
            <v>2.0833333333333332E-2</v>
          </cell>
          <cell r="AN473">
            <v>2</v>
          </cell>
          <cell r="AO473">
            <v>0</v>
          </cell>
          <cell r="AP473">
            <v>1.8333333333333333</v>
          </cell>
          <cell r="AQ473" t="str">
            <v/>
          </cell>
          <cell r="AR473">
            <v>0</v>
          </cell>
          <cell r="AS473">
            <v>2</v>
          </cell>
          <cell r="AT473">
            <v>2</v>
          </cell>
          <cell r="AU473" t="str">
            <v/>
          </cell>
          <cell r="AV473">
            <v>0</v>
          </cell>
          <cell r="AW473">
            <v>2</v>
          </cell>
          <cell r="AX473">
            <v>2</v>
          </cell>
          <cell r="AY473">
            <v>24</v>
          </cell>
          <cell r="AZ473">
            <v>0</v>
          </cell>
          <cell r="BA473">
            <v>2</v>
          </cell>
          <cell r="BB473">
            <v>2</v>
          </cell>
          <cell r="BC473" t="str">
            <v/>
          </cell>
          <cell r="BD473">
            <v>0</v>
          </cell>
          <cell r="BE473">
            <v>2</v>
          </cell>
          <cell r="BF473" t="str">
            <v/>
          </cell>
          <cell r="BG473">
            <v>0</v>
          </cell>
          <cell r="BH473">
            <v>2</v>
          </cell>
          <cell r="BI473">
            <v>5</v>
          </cell>
          <cell r="BJ473">
            <v>60</v>
          </cell>
          <cell r="BK473">
            <v>0</v>
          </cell>
          <cell r="BL473">
            <v>0.83333333333333337</v>
          </cell>
          <cell r="BM473">
            <v>1</v>
          </cell>
          <cell r="BN473">
            <v>6</v>
          </cell>
          <cell r="BO473">
            <v>0</v>
          </cell>
          <cell r="BP473">
            <v>0.83333333333333337</v>
          </cell>
          <cell r="BQ473">
            <v>1</v>
          </cell>
          <cell r="BR473">
            <v>12</v>
          </cell>
          <cell r="BS473">
            <v>0</v>
          </cell>
          <cell r="BT473">
            <v>0.83333333333333337</v>
          </cell>
          <cell r="BU473">
            <v>1</v>
          </cell>
          <cell r="BV473">
            <v>6</v>
          </cell>
          <cell r="BW473">
            <v>1</v>
          </cell>
          <cell r="BX473">
            <v>0</v>
          </cell>
          <cell r="BY473">
            <v>0.83333333333333337</v>
          </cell>
          <cell r="BZ473">
            <v>1</v>
          </cell>
          <cell r="CA473">
            <v>6</v>
          </cell>
          <cell r="CB473">
            <v>1</v>
          </cell>
          <cell r="CC473">
            <v>0</v>
          </cell>
          <cell r="CD473">
            <v>4.833333333333333</v>
          </cell>
          <cell r="CE473">
            <v>1</v>
          </cell>
          <cell r="CF473">
            <v>6</v>
          </cell>
          <cell r="CG473">
            <v>1</v>
          </cell>
          <cell r="CH473">
            <v>4</v>
          </cell>
          <cell r="CI473">
            <v>5.6666666666666661</v>
          </cell>
          <cell r="CJ473">
            <v>5</v>
          </cell>
          <cell r="CK473">
            <v>60</v>
          </cell>
          <cell r="CL473">
            <v>0</v>
          </cell>
          <cell r="CM473">
            <v>0</v>
          </cell>
          <cell r="CN473">
            <v>4.916666666666667</v>
          </cell>
          <cell r="CO473">
            <v>5</v>
          </cell>
          <cell r="CP473">
            <v>60</v>
          </cell>
          <cell r="CQ473">
            <v>0</v>
          </cell>
          <cell r="CR473">
            <v>0</v>
          </cell>
          <cell r="CS473">
            <v>4.916666666666667</v>
          </cell>
          <cell r="CT473">
            <v>5</v>
          </cell>
          <cell r="CU473">
            <v>60</v>
          </cell>
          <cell r="CV473">
            <v>0</v>
          </cell>
          <cell r="CW473">
            <v>0</v>
          </cell>
          <cell r="CX473">
            <v>4.916666666666667</v>
          </cell>
          <cell r="CY473">
            <v>5</v>
          </cell>
          <cell r="CZ473">
            <v>60</v>
          </cell>
          <cell r="DA473">
            <v>0</v>
          </cell>
          <cell r="DB473">
            <v>0</v>
          </cell>
          <cell r="DC473">
            <v>4.916666666666667</v>
          </cell>
          <cell r="DD473">
            <v>5</v>
          </cell>
          <cell r="DE473">
            <v>48</v>
          </cell>
          <cell r="DF473">
            <v>0</v>
          </cell>
          <cell r="DG473">
            <v>0</v>
          </cell>
          <cell r="DH473">
            <v>4.916666666666667</v>
          </cell>
          <cell r="DI473">
            <v>5</v>
          </cell>
          <cell r="DJ473">
            <v>50</v>
          </cell>
          <cell r="DK473">
            <v>0</v>
          </cell>
          <cell r="DL473">
            <v>0</v>
          </cell>
          <cell r="DM473">
            <v>4.8333333333333339</v>
          </cell>
          <cell r="DN473">
            <v>5</v>
          </cell>
          <cell r="DO473">
            <v>50</v>
          </cell>
          <cell r="DP473">
            <v>0</v>
          </cell>
          <cell r="DQ473">
            <v>0</v>
          </cell>
          <cell r="DR473">
            <v>4.916666666666667</v>
          </cell>
          <cell r="DS473">
            <v>4.916666666666667</v>
          </cell>
          <cell r="DT473">
            <v>49.000000000000007</v>
          </cell>
          <cell r="DU473">
            <v>0</v>
          </cell>
          <cell r="DV473">
            <v>0</v>
          </cell>
          <cell r="DW473">
            <v>4.8333333333333339</v>
          </cell>
          <cell r="DX473">
            <v>4.8333333333333339</v>
          </cell>
          <cell r="DY473">
            <v>48.000000000000007</v>
          </cell>
          <cell r="DZ473">
            <v>0</v>
          </cell>
          <cell r="EA473">
            <v>0</v>
          </cell>
          <cell r="EB473">
            <v>4.7500000000000009</v>
          </cell>
          <cell r="EC473">
            <v>4.7500000000000009</v>
          </cell>
          <cell r="ED473">
            <v>47.000000000000014</v>
          </cell>
          <cell r="EE473">
            <v>0</v>
          </cell>
          <cell r="EF473">
            <v>0</v>
          </cell>
          <cell r="EG473">
            <v>4.6666666666666679</v>
          </cell>
          <cell r="EH473">
            <v>4.6666666666666679</v>
          </cell>
          <cell r="EI473">
            <v>46.000000000000014</v>
          </cell>
          <cell r="EJ473">
            <v>0</v>
          </cell>
          <cell r="EK473">
            <v>0</v>
          </cell>
          <cell r="EL473">
            <v>4.5833333333333348</v>
          </cell>
          <cell r="EM473">
            <v>4.5833333333333348</v>
          </cell>
          <cell r="EN473">
            <v>45.000000000000021</v>
          </cell>
          <cell r="EO473">
            <v>0</v>
          </cell>
          <cell r="EP473">
            <v>0</v>
          </cell>
          <cell r="EQ473">
            <v>4.5000000000000018</v>
          </cell>
          <cell r="ER473">
            <v>4.5000000000000018</v>
          </cell>
          <cell r="ES473">
            <v>44.000000000000021</v>
          </cell>
          <cell r="ET473">
            <v>0</v>
          </cell>
          <cell r="EU473">
            <v>0</v>
          </cell>
          <cell r="EV473">
            <v>4.4166666666666687</v>
          </cell>
          <cell r="EW473">
            <v>4.4166666666666687</v>
          </cell>
          <cell r="EX473">
            <v>43.000000000000028</v>
          </cell>
          <cell r="EY473">
            <v>0</v>
          </cell>
          <cell r="EZ473">
            <v>0</v>
          </cell>
          <cell r="FA473">
            <v>4.3333333333333357</v>
          </cell>
          <cell r="FB473">
            <v>4.3333333333333357</v>
          </cell>
          <cell r="FC473">
            <v>42.000000000000028</v>
          </cell>
          <cell r="FD473">
            <v>0</v>
          </cell>
          <cell r="FE473">
            <v>0</v>
          </cell>
          <cell r="FF473">
            <v>4.2500000000000027</v>
          </cell>
          <cell r="FG473">
            <v>4.2500000000000027</v>
          </cell>
          <cell r="FH473">
            <v>41.000000000000036</v>
          </cell>
          <cell r="FI473">
            <v>0</v>
          </cell>
          <cell r="FJ473">
            <v>0</v>
          </cell>
          <cell r="FK473">
            <v>4.1666666666666696</v>
          </cell>
          <cell r="FL473">
            <v>4.1666666666666696</v>
          </cell>
          <cell r="FM473">
            <v>40.000000000000036</v>
          </cell>
          <cell r="FN473">
            <v>0</v>
          </cell>
          <cell r="FO473">
            <v>0</v>
          </cell>
          <cell r="FP473">
            <v>4.0833333333333366</v>
          </cell>
          <cell r="FQ473">
            <v>4.0833333333333366</v>
          </cell>
          <cell r="FR473">
            <v>39.000000000000043</v>
          </cell>
          <cell r="FS473">
            <v>0</v>
          </cell>
          <cell r="FT473">
            <v>1</v>
          </cell>
          <cell r="FU473">
            <v>2.0333333333333332</v>
          </cell>
          <cell r="FW473" t="str">
            <v>SIN ROTACIÓN</v>
          </cell>
          <cell r="FX473" t="str">
            <v>STOCK MUERTO</v>
          </cell>
          <cell r="FY473" t="str">
            <v>Si</v>
          </cell>
        </row>
        <row r="474">
          <cell r="B474" t="str">
            <v>REP-0491</v>
          </cell>
          <cell r="C474" t="str">
            <v>NAC</v>
          </cell>
          <cell r="D474">
            <v>0</v>
          </cell>
          <cell r="E474">
            <v>18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22</v>
          </cell>
          <cell r="L474">
            <v>10</v>
          </cell>
          <cell r="M474">
            <v>5</v>
          </cell>
          <cell r="N474">
            <v>10</v>
          </cell>
          <cell r="O474">
            <v>10</v>
          </cell>
          <cell r="P474">
            <v>2</v>
          </cell>
          <cell r="Q474">
            <v>0</v>
          </cell>
          <cell r="R474">
            <v>0</v>
          </cell>
          <cell r="S474">
            <v>0</v>
          </cell>
          <cell r="T474">
            <v>10</v>
          </cell>
          <cell r="U474">
            <v>5</v>
          </cell>
          <cell r="V474">
            <v>10</v>
          </cell>
          <cell r="W474">
            <v>0</v>
          </cell>
          <cell r="X474">
            <v>0</v>
          </cell>
          <cell r="Y474">
            <v>102</v>
          </cell>
          <cell r="AA474">
            <v>102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2.5833333333333335</v>
          </cell>
          <cell r="AG474">
            <v>8.3333333333333329E-2</v>
          </cell>
          <cell r="AH474">
            <v>4.666666666666667</v>
          </cell>
          <cell r="AI474">
            <v>0</v>
          </cell>
          <cell r="AJ474">
            <v>0</v>
          </cell>
          <cell r="AK474">
            <v>4.666666666666667</v>
          </cell>
          <cell r="AL474">
            <v>2.31977708858863</v>
          </cell>
          <cell r="AM474">
            <v>1.1875</v>
          </cell>
          <cell r="AN474">
            <v>1.9534964956535832</v>
          </cell>
          <cell r="AO474">
            <v>0</v>
          </cell>
          <cell r="AP474">
            <v>189</v>
          </cell>
          <cell r="AQ474">
            <v>74.096774193548384</v>
          </cell>
          <cell r="AR474">
            <v>0</v>
          </cell>
          <cell r="AS474">
            <v>188.83333333333331</v>
          </cell>
          <cell r="AT474">
            <v>194</v>
          </cell>
          <cell r="AU474">
            <v>1164</v>
          </cell>
          <cell r="AV474">
            <v>0</v>
          </cell>
          <cell r="AW474">
            <v>193.83333333333334</v>
          </cell>
          <cell r="AX474">
            <v>194</v>
          </cell>
          <cell r="AY474">
            <v>41.571428571428569</v>
          </cell>
          <cell r="AZ474">
            <v>0</v>
          </cell>
          <cell r="BA474">
            <v>193.91666666666666</v>
          </cell>
          <cell r="BB474">
            <v>184</v>
          </cell>
          <cell r="BC474">
            <v>2208</v>
          </cell>
          <cell r="BD474">
            <v>0</v>
          </cell>
          <cell r="BE474">
            <v>183.91666666666666</v>
          </cell>
          <cell r="BF474">
            <v>2207</v>
          </cell>
          <cell r="BG474">
            <v>0</v>
          </cell>
          <cell r="BH474">
            <v>183.83333333333331</v>
          </cell>
          <cell r="BI474">
            <v>102</v>
          </cell>
          <cell r="BJ474">
            <v>21.857142857142854</v>
          </cell>
          <cell r="BK474">
            <v>0</v>
          </cell>
          <cell r="BL474">
            <v>167.66666666666666</v>
          </cell>
          <cell r="BM474">
            <v>163</v>
          </cell>
          <cell r="BN474">
            <v>33.724137931034484</v>
          </cell>
          <cell r="BO474">
            <v>0</v>
          </cell>
          <cell r="BP474">
            <v>158.16666666666666</v>
          </cell>
          <cell r="BQ474">
            <v>164</v>
          </cell>
          <cell r="BR474">
            <v>35.142857142857139</v>
          </cell>
          <cell r="BS474">
            <v>0</v>
          </cell>
          <cell r="BT474">
            <v>159</v>
          </cell>
          <cell r="BU474">
            <v>164</v>
          </cell>
          <cell r="BV474">
            <v>32.799999999999997</v>
          </cell>
          <cell r="BW474">
            <v>0</v>
          </cell>
          <cell r="BX474">
            <v>0</v>
          </cell>
          <cell r="BY474">
            <v>159</v>
          </cell>
          <cell r="BZ474">
            <v>164</v>
          </cell>
          <cell r="CA474">
            <v>32.799999999999997</v>
          </cell>
          <cell r="CB474">
            <v>0</v>
          </cell>
          <cell r="CC474">
            <v>0</v>
          </cell>
          <cell r="CD474">
            <v>159</v>
          </cell>
          <cell r="CE474">
            <v>164</v>
          </cell>
          <cell r="CF474">
            <v>49.199999999999996</v>
          </cell>
          <cell r="CG474">
            <v>0</v>
          </cell>
          <cell r="CH474">
            <v>0</v>
          </cell>
          <cell r="CI474">
            <v>155.66666666666666</v>
          </cell>
          <cell r="CJ474">
            <v>138</v>
          </cell>
          <cell r="CK474">
            <v>19.714285714285715</v>
          </cell>
          <cell r="CL474">
            <v>0</v>
          </cell>
          <cell r="CM474">
            <v>0</v>
          </cell>
          <cell r="CN474">
            <v>131</v>
          </cell>
          <cell r="CO474">
            <v>138</v>
          </cell>
          <cell r="CP474">
            <v>19.714285714285715</v>
          </cell>
          <cell r="CQ474">
            <v>0</v>
          </cell>
          <cell r="CR474">
            <v>0</v>
          </cell>
          <cell r="CS474">
            <v>131</v>
          </cell>
          <cell r="CT474">
            <v>138</v>
          </cell>
          <cell r="CU474">
            <v>29.571428571428569</v>
          </cell>
          <cell r="CV474">
            <v>0</v>
          </cell>
          <cell r="CW474">
            <v>0</v>
          </cell>
          <cell r="CX474">
            <v>133.33333333333334</v>
          </cell>
          <cell r="CY474">
            <v>128</v>
          </cell>
          <cell r="CZ474">
            <v>27.428571428571427</v>
          </cell>
          <cell r="DA474">
            <v>0</v>
          </cell>
          <cell r="DB474">
            <v>0</v>
          </cell>
          <cell r="DC474">
            <v>123.33333333333333</v>
          </cell>
          <cell r="DD474">
            <v>124</v>
          </cell>
          <cell r="DE474">
            <v>25.5</v>
          </cell>
          <cell r="DF474">
            <v>0</v>
          </cell>
          <cell r="DG474">
            <v>0</v>
          </cell>
          <cell r="DH474">
            <v>119.33333333333333</v>
          </cell>
          <cell r="DI474">
            <v>119</v>
          </cell>
          <cell r="DJ474">
            <v>26.428571428571427</v>
          </cell>
          <cell r="DK474">
            <v>0</v>
          </cell>
          <cell r="DL474">
            <v>0</v>
          </cell>
          <cell r="DM474">
            <v>114.66666666666666</v>
          </cell>
          <cell r="DN474">
            <v>102</v>
          </cell>
          <cell r="DO474">
            <v>22.785714285714285</v>
          </cell>
          <cell r="DP474">
            <v>0</v>
          </cell>
          <cell r="DQ474">
            <v>0</v>
          </cell>
          <cell r="DR474">
            <v>97.333333333333329</v>
          </cell>
          <cell r="DS474">
            <v>97.333333333333329</v>
          </cell>
          <cell r="DT474">
            <v>21.785714285714285</v>
          </cell>
          <cell r="DU474">
            <v>0</v>
          </cell>
          <cell r="DV474">
            <v>0</v>
          </cell>
          <cell r="DW474">
            <v>92.666666666666657</v>
          </cell>
          <cell r="DX474">
            <v>92.666666666666657</v>
          </cell>
          <cell r="DY474">
            <v>20.785714285714281</v>
          </cell>
          <cell r="DZ474">
            <v>0</v>
          </cell>
          <cell r="EA474">
            <v>0</v>
          </cell>
          <cell r="EB474">
            <v>87.999999999999986</v>
          </cell>
          <cell r="EC474">
            <v>87.999999999999986</v>
          </cell>
          <cell r="ED474">
            <v>19.785714285714281</v>
          </cell>
          <cell r="EE474">
            <v>0</v>
          </cell>
          <cell r="EF474">
            <v>0</v>
          </cell>
          <cell r="EG474">
            <v>83.333333333333314</v>
          </cell>
          <cell r="EH474">
            <v>83.333333333333314</v>
          </cell>
          <cell r="EI474">
            <v>18.785714285714281</v>
          </cell>
          <cell r="EJ474">
            <v>0</v>
          </cell>
          <cell r="EK474">
            <v>0</v>
          </cell>
          <cell r="EL474">
            <v>78.666666666666643</v>
          </cell>
          <cell r="EM474">
            <v>78.666666666666643</v>
          </cell>
          <cell r="EN474">
            <v>17.785714285714278</v>
          </cell>
          <cell r="EO474">
            <v>0</v>
          </cell>
          <cell r="EP474">
            <v>0</v>
          </cell>
          <cell r="EQ474">
            <v>73.999999999999972</v>
          </cell>
          <cell r="ER474">
            <v>73.999999999999972</v>
          </cell>
          <cell r="ES474">
            <v>16.785714285714278</v>
          </cell>
          <cell r="ET474">
            <v>0</v>
          </cell>
          <cell r="EU474">
            <v>0</v>
          </cell>
          <cell r="EV474">
            <v>69.3333333333333</v>
          </cell>
          <cell r="EW474">
            <v>69.3333333333333</v>
          </cell>
          <cell r="EX474">
            <v>15.785714285714278</v>
          </cell>
          <cell r="EY474">
            <v>0</v>
          </cell>
          <cell r="EZ474">
            <v>0</v>
          </cell>
          <cell r="FA474">
            <v>64.666666666666629</v>
          </cell>
          <cell r="FB474">
            <v>64.666666666666629</v>
          </cell>
          <cell r="FC474">
            <v>14.785714285714278</v>
          </cell>
          <cell r="FD474">
            <v>0</v>
          </cell>
          <cell r="FE474">
            <v>0</v>
          </cell>
          <cell r="FF474">
            <v>59.999999999999964</v>
          </cell>
          <cell r="FG474">
            <v>59.999999999999964</v>
          </cell>
          <cell r="FH474">
            <v>13.785714285714278</v>
          </cell>
          <cell r="FI474">
            <v>0</v>
          </cell>
          <cell r="FJ474">
            <v>0</v>
          </cell>
          <cell r="FK474">
            <v>55.3333333333333</v>
          </cell>
          <cell r="FL474">
            <v>55.3333333333333</v>
          </cell>
          <cell r="FM474">
            <v>12.785714285714278</v>
          </cell>
          <cell r="FN474">
            <v>0</v>
          </cell>
          <cell r="FO474">
            <v>0</v>
          </cell>
          <cell r="FP474">
            <v>50.666666666666636</v>
          </cell>
          <cell r="FQ474">
            <v>50.666666666666636</v>
          </cell>
          <cell r="FR474">
            <v>11.785714285714279</v>
          </cell>
          <cell r="FS474">
            <v>0</v>
          </cell>
          <cell r="FT474">
            <v>5</v>
          </cell>
          <cell r="FU474">
            <v>1</v>
          </cell>
          <cell r="FW474" t="str">
            <v>SIN ROTACIÓN</v>
          </cell>
          <cell r="FX474" t="str">
            <v>B</v>
          </cell>
          <cell r="FY474" t="str">
            <v>Si</v>
          </cell>
        </row>
        <row r="475">
          <cell r="B475" t="str">
            <v>REP-0492</v>
          </cell>
          <cell r="C475" t="str">
            <v>NAC</v>
          </cell>
          <cell r="D475">
            <v>0</v>
          </cell>
          <cell r="E475">
            <v>70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1</v>
          </cell>
          <cell r="L475">
            <v>10</v>
          </cell>
          <cell r="M475">
            <v>7</v>
          </cell>
          <cell r="N475">
            <v>2</v>
          </cell>
          <cell r="O475">
            <v>2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2</v>
          </cell>
          <cell r="U475">
            <v>7</v>
          </cell>
          <cell r="V475">
            <v>10</v>
          </cell>
          <cell r="W475">
            <v>9</v>
          </cell>
          <cell r="X475">
            <v>0</v>
          </cell>
          <cell r="Y475">
            <v>120</v>
          </cell>
          <cell r="AA475">
            <v>120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1.1666666666666667</v>
          </cell>
          <cell r="AG475">
            <v>8.3333333333333329E-2</v>
          </cell>
          <cell r="AH475">
            <v>2</v>
          </cell>
          <cell r="AI475">
            <v>3.3333333333333335</v>
          </cell>
          <cell r="AJ475">
            <v>3.3333333333333335</v>
          </cell>
          <cell r="AK475">
            <v>3.3333333333333335</v>
          </cell>
          <cell r="AL475">
            <v>1.5371555621413935</v>
          </cell>
          <cell r="AM475">
            <v>2.1875</v>
          </cell>
          <cell r="AN475">
            <v>0.70269968555035134</v>
          </cell>
          <cell r="AO475">
            <v>0</v>
          </cell>
          <cell r="AP475">
            <v>116.33333333333333</v>
          </cell>
          <cell r="AQ475">
            <v>101.85714285714285</v>
          </cell>
          <cell r="AR475">
            <v>0</v>
          </cell>
          <cell r="AS475">
            <v>117.66666666666666</v>
          </cell>
          <cell r="AT475">
            <v>120</v>
          </cell>
          <cell r="AU475">
            <v>1440</v>
          </cell>
          <cell r="AV475">
            <v>0</v>
          </cell>
          <cell r="AW475">
            <v>119.91666666666667</v>
          </cell>
          <cell r="AX475">
            <v>120</v>
          </cell>
          <cell r="AY475">
            <v>36</v>
          </cell>
          <cell r="AZ475">
            <v>0</v>
          </cell>
          <cell r="BA475">
            <v>119.91666666666667</v>
          </cell>
          <cell r="BB475">
            <v>106</v>
          </cell>
          <cell r="BC475">
            <v>1272</v>
          </cell>
          <cell r="BD475">
            <v>0</v>
          </cell>
          <cell r="BE475">
            <v>105.91666666666667</v>
          </cell>
          <cell r="BF475">
            <v>1271.0000000000002</v>
          </cell>
          <cell r="BG475">
            <v>0</v>
          </cell>
          <cell r="BH475">
            <v>105.83333333333334</v>
          </cell>
          <cell r="BI475">
            <v>120</v>
          </cell>
          <cell r="BJ475">
            <v>36</v>
          </cell>
          <cell r="BK475">
            <v>0</v>
          </cell>
          <cell r="BL475">
            <v>84.333333333333329</v>
          </cell>
          <cell r="BM475">
            <v>98</v>
          </cell>
          <cell r="BN475">
            <v>26.727272727272727</v>
          </cell>
          <cell r="BO475">
            <v>0</v>
          </cell>
          <cell r="BP475">
            <v>94.333333333333329</v>
          </cell>
          <cell r="BQ475">
            <v>98</v>
          </cell>
          <cell r="BR475">
            <v>29.4</v>
          </cell>
          <cell r="BS475">
            <v>0</v>
          </cell>
          <cell r="BT475">
            <v>94.333333333333329</v>
          </cell>
          <cell r="BU475">
            <v>98</v>
          </cell>
          <cell r="BV475">
            <v>26.727272727272727</v>
          </cell>
          <cell r="BW475">
            <v>0</v>
          </cell>
          <cell r="BX475">
            <v>0</v>
          </cell>
          <cell r="BY475">
            <v>94.333333333333329</v>
          </cell>
          <cell r="BZ475">
            <v>98</v>
          </cell>
          <cell r="CA475">
            <v>26.727272727272727</v>
          </cell>
          <cell r="CB475">
            <v>0</v>
          </cell>
          <cell r="CC475">
            <v>0</v>
          </cell>
          <cell r="CD475">
            <v>94.333333333333329</v>
          </cell>
          <cell r="CE475">
            <v>98</v>
          </cell>
          <cell r="CF475">
            <v>49</v>
          </cell>
          <cell r="CG475">
            <v>0</v>
          </cell>
          <cell r="CH475">
            <v>0</v>
          </cell>
          <cell r="CI475">
            <v>92.333333333333329</v>
          </cell>
          <cell r="CJ475">
            <v>96</v>
          </cell>
          <cell r="CK475">
            <v>48</v>
          </cell>
          <cell r="CL475">
            <v>0</v>
          </cell>
          <cell r="CM475">
            <v>0</v>
          </cell>
          <cell r="CN475">
            <v>94</v>
          </cell>
          <cell r="CO475">
            <v>75</v>
          </cell>
          <cell r="CP475">
            <v>3.75</v>
          </cell>
          <cell r="CQ475">
            <v>0</v>
          </cell>
          <cell r="CR475">
            <v>0</v>
          </cell>
          <cell r="CS475">
            <v>55</v>
          </cell>
          <cell r="CT475">
            <v>75</v>
          </cell>
          <cell r="CU475">
            <v>7.5</v>
          </cell>
          <cell r="CV475">
            <v>0</v>
          </cell>
          <cell r="CW475">
            <v>0</v>
          </cell>
          <cell r="CX475">
            <v>65</v>
          </cell>
          <cell r="CY475">
            <v>80</v>
          </cell>
          <cell r="CZ475">
            <v>12</v>
          </cell>
          <cell r="DA475">
            <v>0</v>
          </cell>
          <cell r="DB475">
            <v>0</v>
          </cell>
          <cell r="DC475">
            <v>75</v>
          </cell>
          <cell r="DD475">
            <v>88</v>
          </cell>
          <cell r="DE475">
            <v>16.8</v>
          </cell>
          <cell r="DF475">
            <v>0</v>
          </cell>
          <cell r="DG475">
            <v>0</v>
          </cell>
          <cell r="DH475">
            <v>83</v>
          </cell>
          <cell r="DI475">
            <v>87</v>
          </cell>
          <cell r="DJ475">
            <v>22.75</v>
          </cell>
          <cell r="DK475">
            <v>0</v>
          </cell>
          <cell r="DL475">
            <v>0</v>
          </cell>
          <cell r="DM475">
            <v>79</v>
          </cell>
          <cell r="DN475">
            <v>120</v>
          </cell>
          <cell r="DO475">
            <v>36.799999999999997</v>
          </cell>
          <cell r="DP475">
            <v>0</v>
          </cell>
          <cell r="DQ475">
            <v>0</v>
          </cell>
          <cell r="DR475">
            <v>116.66666666666667</v>
          </cell>
          <cell r="DS475">
            <v>116.66666666666667</v>
          </cell>
          <cell r="DT475">
            <v>35.799999999999997</v>
          </cell>
          <cell r="DU475">
            <v>0</v>
          </cell>
          <cell r="DV475">
            <v>0</v>
          </cell>
          <cell r="DW475">
            <v>113.33333333333334</v>
          </cell>
          <cell r="DX475">
            <v>113.33333333333334</v>
          </cell>
          <cell r="DY475">
            <v>34.800000000000004</v>
          </cell>
          <cell r="DZ475">
            <v>0</v>
          </cell>
          <cell r="EA475">
            <v>0</v>
          </cell>
          <cell r="EB475">
            <v>110.00000000000001</v>
          </cell>
          <cell r="EC475">
            <v>110.00000000000001</v>
          </cell>
          <cell r="ED475">
            <v>33.800000000000004</v>
          </cell>
          <cell r="EE475">
            <v>0</v>
          </cell>
          <cell r="EF475">
            <v>0</v>
          </cell>
          <cell r="EG475">
            <v>106.66666666666669</v>
          </cell>
          <cell r="EH475">
            <v>106.66666666666669</v>
          </cell>
          <cell r="EI475">
            <v>32.800000000000004</v>
          </cell>
          <cell r="EJ475">
            <v>0</v>
          </cell>
          <cell r="EK475">
            <v>0</v>
          </cell>
          <cell r="EL475">
            <v>103.33333333333336</v>
          </cell>
          <cell r="EM475">
            <v>103.33333333333336</v>
          </cell>
          <cell r="EN475">
            <v>31.800000000000004</v>
          </cell>
          <cell r="EO475">
            <v>0</v>
          </cell>
          <cell r="EP475">
            <v>0</v>
          </cell>
          <cell r="EQ475">
            <v>100.00000000000003</v>
          </cell>
          <cell r="ER475">
            <v>100.00000000000003</v>
          </cell>
          <cell r="ES475">
            <v>30.800000000000008</v>
          </cell>
          <cell r="ET475">
            <v>0</v>
          </cell>
          <cell r="EU475">
            <v>0</v>
          </cell>
          <cell r="EV475">
            <v>96.6666666666667</v>
          </cell>
          <cell r="EW475">
            <v>96.6666666666667</v>
          </cell>
          <cell r="EX475">
            <v>29.800000000000008</v>
          </cell>
          <cell r="EY475">
            <v>0</v>
          </cell>
          <cell r="EZ475">
            <v>0</v>
          </cell>
          <cell r="FA475">
            <v>93.333333333333371</v>
          </cell>
          <cell r="FB475">
            <v>93.333333333333371</v>
          </cell>
          <cell r="FC475">
            <v>28.800000000000011</v>
          </cell>
          <cell r="FD475">
            <v>0</v>
          </cell>
          <cell r="FE475">
            <v>0</v>
          </cell>
          <cell r="FF475">
            <v>90.000000000000043</v>
          </cell>
          <cell r="FG475">
            <v>90.000000000000043</v>
          </cell>
          <cell r="FH475">
            <v>27.800000000000011</v>
          </cell>
          <cell r="FI475">
            <v>0</v>
          </cell>
          <cell r="FJ475">
            <v>0</v>
          </cell>
          <cell r="FK475">
            <v>86.666666666666714</v>
          </cell>
          <cell r="FL475">
            <v>86.666666666666714</v>
          </cell>
          <cell r="FM475">
            <v>26.800000000000011</v>
          </cell>
          <cell r="FN475">
            <v>0</v>
          </cell>
          <cell r="FO475">
            <v>0</v>
          </cell>
          <cell r="FP475">
            <v>83.333333333333385</v>
          </cell>
          <cell r="FQ475">
            <v>83.333333333333385</v>
          </cell>
          <cell r="FR475">
            <v>25.800000000000015</v>
          </cell>
          <cell r="FS475">
            <v>0</v>
          </cell>
          <cell r="FT475">
            <v>4</v>
          </cell>
          <cell r="FU475">
            <v>1</v>
          </cell>
          <cell r="FW475" t="str">
            <v>SOBRESTOCK</v>
          </cell>
          <cell r="FX475" t="str">
            <v>B</v>
          </cell>
          <cell r="FY475" t="str">
            <v>Si</v>
          </cell>
        </row>
        <row r="476">
          <cell r="B476" t="str">
            <v>REP-0493</v>
          </cell>
          <cell r="C476" t="str">
            <v>NAC</v>
          </cell>
          <cell r="D476">
            <v>0</v>
          </cell>
          <cell r="E476">
            <v>13</v>
          </cell>
          <cell r="F476">
            <v>0</v>
          </cell>
          <cell r="G476">
            <v>0</v>
          </cell>
          <cell r="H476">
            <v>2</v>
          </cell>
          <cell r="I476">
            <v>2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2</v>
          </cell>
          <cell r="P476">
            <v>0</v>
          </cell>
          <cell r="Q476">
            <v>1</v>
          </cell>
          <cell r="R476">
            <v>1</v>
          </cell>
          <cell r="S476">
            <v>1</v>
          </cell>
          <cell r="T476">
            <v>0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23</v>
          </cell>
          <cell r="AA476">
            <v>23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0.16666666666666666</v>
          </cell>
          <cell r="AG476">
            <v>8.3333333333333329E-2</v>
          </cell>
          <cell r="AH476">
            <v>0.33333333333333331</v>
          </cell>
          <cell r="AI476">
            <v>0</v>
          </cell>
          <cell r="AJ476">
            <v>0</v>
          </cell>
          <cell r="AK476">
            <v>0.33333333333333331</v>
          </cell>
          <cell r="AL476">
            <v>0.15774745405000762</v>
          </cell>
          <cell r="AM476">
            <v>0.10416666666666666</v>
          </cell>
          <cell r="AN476">
            <v>1.5143755588800734</v>
          </cell>
          <cell r="AO476">
            <v>0</v>
          </cell>
          <cell r="AP476">
            <v>10.5</v>
          </cell>
          <cell r="AQ476">
            <v>65.000000000000014</v>
          </cell>
          <cell r="AR476">
            <v>0</v>
          </cell>
          <cell r="AS476">
            <v>10.666666666666668</v>
          </cell>
          <cell r="AT476">
            <v>11</v>
          </cell>
          <cell r="AU476">
            <v>132</v>
          </cell>
          <cell r="AV476">
            <v>0</v>
          </cell>
          <cell r="AW476">
            <v>10.916666666666666</v>
          </cell>
          <cell r="AX476">
            <v>11</v>
          </cell>
          <cell r="AY476">
            <v>33</v>
          </cell>
          <cell r="AZ476">
            <v>0</v>
          </cell>
          <cell r="BA476">
            <v>10.916666666666666</v>
          </cell>
          <cell r="BB476">
            <v>11</v>
          </cell>
          <cell r="BC476">
            <v>132</v>
          </cell>
          <cell r="BD476">
            <v>0</v>
          </cell>
          <cell r="BE476">
            <v>10.916666666666666</v>
          </cell>
          <cell r="BF476">
            <v>131</v>
          </cell>
          <cell r="BG476">
            <v>0</v>
          </cell>
          <cell r="BH476">
            <v>10.833333333333332</v>
          </cell>
          <cell r="BI476">
            <v>23</v>
          </cell>
          <cell r="BJ476">
            <v>69</v>
          </cell>
          <cell r="BK476">
            <v>0</v>
          </cell>
          <cell r="BL476">
            <v>10.916666666666666</v>
          </cell>
          <cell r="BM476">
            <v>9</v>
          </cell>
          <cell r="BN476">
            <v>54</v>
          </cell>
          <cell r="BO476">
            <v>0</v>
          </cell>
          <cell r="BP476">
            <v>8.8333333333333339</v>
          </cell>
          <cell r="BQ476">
            <v>22</v>
          </cell>
          <cell r="BR476">
            <v>66</v>
          </cell>
          <cell r="BS476">
            <v>0</v>
          </cell>
          <cell r="BT476">
            <v>21.5</v>
          </cell>
          <cell r="BU476">
            <v>22</v>
          </cell>
          <cell r="BV476">
            <v>44</v>
          </cell>
          <cell r="BW476">
            <v>0</v>
          </cell>
          <cell r="BX476">
            <v>0</v>
          </cell>
          <cell r="BY476">
            <v>21.5</v>
          </cell>
          <cell r="BZ476">
            <v>22</v>
          </cell>
          <cell r="CA476">
            <v>44</v>
          </cell>
          <cell r="CB476">
            <v>0</v>
          </cell>
          <cell r="CC476">
            <v>0</v>
          </cell>
          <cell r="CD476">
            <v>21.5</v>
          </cell>
          <cell r="CE476">
            <v>22</v>
          </cell>
          <cell r="CF476">
            <v>44</v>
          </cell>
          <cell r="CG476">
            <v>0</v>
          </cell>
          <cell r="CH476">
            <v>0</v>
          </cell>
          <cell r="CI476">
            <v>21</v>
          </cell>
          <cell r="CJ476">
            <v>21</v>
          </cell>
          <cell r="CK476">
            <v>31.5</v>
          </cell>
          <cell r="CL476">
            <v>0</v>
          </cell>
          <cell r="CM476">
            <v>0</v>
          </cell>
          <cell r="CN476">
            <v>20.333333333333332</v>
          </cell>
          <cell r="CO476">
            <v>21</v>
          </cell>
          <cell r="CP476">
            <v>31.5</v>
          </cell>
          <cell r="CQ476">
            <v>0</v>
          </cell>
          <cell r="CR476">
            <v>0</v>
          </cell>
          <cell r="CS476">
            <v>20.333333333333332</v>
          </cell>
          <cell r="CT476">
            <v>21</v>
          </cell>
          <cell r="CU476">
            <v>63</v>
          </cell>
          <cell r="CV476">
            <v>0</v>
          </cell>
          <cell r="CW476">
            <v>0</v>
          </cell>
          <cell r="CX476">
            <v>20.666666666666668</v>
          </cell>
          <cell r="CY476">
            <v>20</v>
          </cell>
          <cell r="CZ476">
            <v>60</v>
          </cell>
          <cell r="DA476">
            <v>0</v>
          </cell>
          <cell r="DB476">
            <v>0</v>
          </cell>
          <cell r="DC476">
            <v>19.666666666666668</v>
          </cell>
          <cell r="DD476">
            <v>21</v>
          </cell>
          <cell r="DE476">
            <v>60</v>
          </cell>
          <cell r="DF476">
            <v>0</v>
          </cell>
          <cell r="DG476">
            <v>0</v>
          </cell>
          <cell r="DH476">
            <v>20.666666666666668</v>
          </cell>
          <cell r="DI476">
            <v>21</v>
          </cell>
          <cell r="DJ476">
            <v>62</v>
          </cell>
          <cell r="DK476">
            <v>0</v>
          </cell>
          <cell r="DL476">
            <v>0</v>
          </cell>
          <cell r="DM476">
            <v>20.333333333333336</v>
          </cell>
          <cell r="DN476">
            <v>23</v>
          </cell>
          <cell r="DO476">
            <v>68</v>
          </cell>
          <cell r="DP476">
            <v>0</v>
          </cell>
          <cell r="DQ476">
            <v>0</v>
          </cell>
          <cell r="DR476">
            <v>22.666666666666668</v>
          </cell>
          <cell r="DS476">
            <v>22.666666666666668</v>
          </cell>
          <cell r="DT476">
            <v>67.000000000000014</v>
          </cell>
          <cell r="DU476">
            <v>0</v>
          </cell>
          <cell r="DV476">
            <v>0</v>
          </cell>
          <cell r="DW476">
            <v>22.333333333333336</v>
          </cell>
          <cell r="DX476">
            <v>22.333333333333336</v>
          </cell>
          <cell r="DY476">
            <v>66.000000000000014</v>
          </cell>
          <cell r="DZ476">
            <v>0</v>
          </cell>
          <cell r="EA476">
            <v>0</v>
          </cell>
          <cell r="EB476">
            <v>22.000000000000004</v>
          </cell>
          <cell r="EC476">
            <v>22.000000000000004</v>
          </cell>
          <cell r="ED476">
            <v>65.000000000000014</v>
          </cell>
          <cell r="EE476">
            <v>0</v>
          </cell>
          <cell r="EF476">
            <v>0</v>
          </cell>
          <cell r="EG476">
            <v>21.666666666666671</v>
          </cell>
          <cell r="EH476">
            <v>21.666666666666671</v>
          </cell>
          <cell r="EI476">
            <v>64.000000000000014</v>
          </cell>
          <cell r="EJ476">
            <v>0</v>
          </cell>
          <cell r="EK476">
            <v>0</v>
          </cell>
          <cell r="EL476">
            <v>21.333333333333339</v>
          </cell>
          <cell r="EM476">
            <v>21.333333333333339</v>
          </cell>
          <cell r="EN476">
            <v>63.000000000000021</v>
          </cell>
          <cell r="EO476">
            <v>0</v>
          </cell>
          <cell r="EP476">
            <v>0</v>
          </cell>
          <cell r="EQ476">
            <v>21.000000000000007</v>
          </cell>
          <cell r="ER476">
            <v>21.000000000000007</v>
          </cell>
          <cell r="ES476">
            <v>62.000000000000021</v>
          </cell>
          <cell r="ET476">
            <v>0</v>
          </cell>
          <cell r="EU476">
            <v>0</v>
          </cell>
          <cell r="EV476">
            <v>20.666666666666675</v>
          </cell>
          <cell r="EW476">
            <v>20.666666666666675</v>
          </cell>
          <cell r="EX476">
            <v>61.000000000000028</v>
          </cell>
          <cell r="EY476">
            <v>0</v>
          </cell>
          <cell r="EZ476">
            <v>0</v>
          </cell>
          <cell r="FA476">
            <v>20.333333333333343</v>
          </cell>
          <cell r="FB476">
            <v>20.333333333333343</v>
          </cell>
          <cell r="FC476">
            <v>60.000000000000028</v>
          </cell>
          <cell r="FD476">
            <v>0</v>
          </cell>
          <cell r="FE476">
            <v>0</v>
          </cell>
          <cell r="FF476">
            <v>20.000000000000011</v>
          </cell>
          <cell r="FG476">
            <v>20.000000000000011</v>
          </cell>
          <cell r="FH476">
            <v>59.000000000000036</v>
          </cell>
          <cell r="FI476">
            <v>0</v>
          </cell>
          <cell r="FJ476">
            <v>0</v>
          </cell>
          <cell r="FK476">
            <v>19.666666666666679</v>
          </cell>
          <cell r="FL476">
            <v>19.666666666666679</v>
          </cell>
          <cell r="FM476">
            <v>58.000000000000036</v>
          </cell>
          <cell r="FN476">
            <v>0</v>
          </cell>
          <cell r="FO476">
            <v>0</v>
          </cell>
          <cell r="FP476">
            <v>19.333333333333346</v>
          </cell>
          <cell r="FQ476">
            <v>19.333333333333346</v>
          </cell>
          <cell r="FR476">
            <v>57.000000000000043</v>
          </cell>
          <cell r="FS476">
            <v>0</v>
          </cell>
          <cell r="FT476">
            <v>1</v>
          </cell>
          <cell r="FU476">
            <v>1</v>
          </cell>
          <cell r="FW476" t="str">
            <v>SIN ROTACIÓN</v>
          </cell>
          <cell r="FX476" t="str">
            <v>C</v>
          </cell>
          <cell r="FY476" t="str">
            <v>Si</v>
          </cell>
        </row>
        <row r="477">
          <cell r="B477" t="str">
            <v>REP-0494</v>
          </cell>
          <cell r="C477" t="str">
            <v>NAC</v>
          </cell>
          <cell r="D477">
            <v>0</v>
          </cell>
          <cell r="E477">
            <v>2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2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1</v>
          </cell>
          <cell r="R477">
            <v>0</v>
          </cell>
          <cell r="S477">
            <v>0</v>
          </cell>
          <cell r="T477">
            <v>1</v>
          </cell>
          <cell r="U477">
            <v>0</v>
          </cell>
          <cell r="V477">
            <v>1</v>
          </cell>
          <cell r="W477">
            <v>0</v>
          </cell>
          <cell r="X477">
            <v>1</v>
          </cell>
          <cell r="Y477">
            <v>8</v>
          </cell>
          <cell r="AA477">
            <v>8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8.3333333333333329E-2</v>
          </cell>
          <cell r="AG477">
            <v>0</v>
          </cell>
          <cell r="AH477">
            <v>0.91666666666666663</v>
          </cell>
          <cell r="AI477">
            <v>0.83333333333333337</v>
          </cell>
          <cell r="AJ477">
            <v>0.83333333333333337</v>
          </cell>
          <cell r="AK477">
            <v>0.91666666666666663</v>
          </cell>
          <cell r="AL477">
            <v>0.43234395600759401</v>
          </cell>
          <cell r="AM477">
            <v>0.64583333333333337</v>
          </cell>
          <cell r="AN477">
            <v>0.66943580285046811</v>
          </cell>
          <cell r="AO477">
            <v>0</v>
          </cell>
          <cell r="AP477">
            <v>-0.16666666666666674</v>
          </cell>
          <cell r="AQ477">
            <v>11</v>
          </cell>
          <cell r="AR477">
            <v>0</v>
          </cell>
          <cell r="AS477">
            <v>0</v>
          </cell>
          <cell r="AT477">
            <v>5</v>
          </cell>
          <cell r="AU477">
            <v>10</v>
          </cell>
          <cell r="AV477">
            <v>0</v>
          </cell>
          <cell r="AW477">
            <v>4.5</v>
          </cell>
          <cell r="AX477">
            <v>5</v>
          </cell>
          <cell r="AY477">
            <v>5.454545454545455</v>
          </cell>
          <cell r="AZ477">
            <v>0</v>
          </cell>
          <cell r="BA477">
            <v>4.666666666666667</v>
          </cell>
          <cell r="BB477">
            <v>5</v>
          </cell>
          <cell r="BC477">
            <v>15</v>
          </cell>
          <cell r="BD477">
            <v>0</v>
          </cell>
          <cell r="BE477">
            <v>4.666666666666667</v>
          </cell>
          <cell r="BF477">
            <v>14.000000000000002</v>
          </cell>
          <cell r="BG477">
            <v>0</v>
          </cell>
          <cell r="BH477">
            <v>4.3333333333333339</v>
          </cell>
          <cell r="BI477">
            <v>8</v>
          </cell>
          <cell r="BJ477">
            <v>8.7272727272727284</v>
          </cell>
          <cell r="BK477">
            <v>0</v>
          </cell>
          <cell r="BL477">
            <v>17.333333333333332</v>
          </cell>
          <cell r="BM477">
            <v>16</v>
          </cell>
          <cell r="BN477">
            <v>28</v>
          </cell>
          <cell r="BO477">
            <v>0</v>
          </cell>
          <cell r="BP477">
            <v>15.428571428571429</v>
          </cell>
          <cell r="BQ477">
            <v>13</v>
          </cell>
          <cell r="BR477">
            <v>14.181818181818182</v>
          </cell>
          <cell r="BS477">
            <v>0</v>
          </cell>
          <cell r="BT477">
            <v>12</v>
          </cell>
          <cell r="BU477">
            <v>14</v>
          </cell>
          <cell r="BV477">
            <v>12</v>
          </cell>
          <cell r="BW477">
            <v>0</v>
          </cell>
          <cell r="BX477">
            <v>0</v>
          </cell>
          <cell r="BY477">
            <v>12.833333333333334</v>
          </cell>
          <cell r="BZ477">
            <v>13</v>
          </cell>
          <cell r="CA477">
            <v>9.75</v>
          </cell>
          <cell r="CB477">
            <v>0</v>
          </cell>
          <cell r="CC477">
            <v>0</v>
          </cell>
          <cell r="CD477">
            <v>11.666666666666666</v>
          </cell>
          <cell r="CE477">
            <v>13</v>
          </cell>
          <cell r="CF477">
            <v>9.75</v>
          </cell>
          <cell r="CG477">
            <v>0</v>
          </cell>
          <cell r="CH477">
            <v>0</v>
          </cell>
          <cell r="CI477">
            <v>10.333333333333332</v>
          </cell>
          <cell r="CJ477">
            <v>11</v>
          </cell>
          <cell r="CK477">
            <v>9.4285714285714288</v>
          </cell>
          <cell r="CL477">
            <v>0</v>
          </cell>
          <cell r="CM477">
            <v>0</v>
          </cell>
          <cell r="CN477">
            <v>9.8333333333333339</v>
          </cell>
          <cell r="CO477">
            <v>12</v>
          </cell>
          <cell r="CP477">
            <v>10.285714285714285</v>
          </cell>
          <cell r="CQ477">
            <v>0</v>
          </cell>
          <cell r="CR477">
            <v>0</v>
          </cell>
          <cell r="CS477">
            <v>10.833333333333334</v>
          </cell>
          <cell r="CT477">
            <v>12</v>
          </cell>
          <cell r="CU477">
            <v>13.090909090909092</v>
          </cell>
          <cell r="CV477">
            <v>0</v>
          </cell>
          <cell r="CW477">
            <v>0</v>
          </cell>
          <cell r="CX477">
            <v>11.083333333333334</v>
          </cell>
          <cell r="CY477">
            <v>10</v>
          </cell>
          <cell r="CZ477">
            <v>10.90909090909091</v>
          </cell>
          <cell r="DA477">
            <v>0</v>
          </cell>
          <cell r="DB477">
            <v>0</v>
          </cell>
          <cell r="DC477">
            <v>9.0833333333333339</v>
          </cell>
          <cell r="DD477">
            <v>9</v>
          </cell>
          <cell r="DE477">
            <v>8.7272727272727284</v>
          </cell>
          <cell r="DF477">
            <v>0</v>
          </cell>
          <cell r="DG477">
            <v>0</v>
          </cell>
          <cell r="DH477">
            <v>8.0833333333333339</v>
          </cell>
          <cell r="DI477">
            <v>8</v>
          </cell>
          <cell r="DJ477">
            <v>9.6363636363636367</v>
          </cell>
          <cell r="DK477">
            <v>0</v>
          </cell>
          <cell r="DL477">
            <v>0</v>
          </cell>
          <cell r="DM477">
            <v>7.166666666666667</v>
          </cell>
          <cell r="DN477">
            <v>8</v>
          </cell>
          <cell r="DO477">
            <v>9.6363636363636367</v>
          </cell>
          <cell r="DP477">
            <v>0</v>
          </cell>
          <cell r="DQ477">
            <v>0</v>
          </cell>
          <cell r="DR477">
            <v>7.083333333333333</v>
          </cell>
          <cell r="DS477">
            <v>7.083333333333333</v>
          </cell>
          <cell r="DT477">
            <v>8.6363636363636367</v>
          </cell>
          <cell r="DU477">
            <v>0</v>
          </cell>
          <cell r="DV477">
            <v>0</v>
          </cell>
          <cell r="DW477">
            <v>6.1666666666666661</v>
          </cell>
          <cell r="DX477">
            <v>6.1666666666666661</v>
          </cell>
          <cell r="DY477">
            <v>7.6363636363636358</v>
          </cell>
          <cell r="DZ477">
            <v>0</v>
          </cell>
          <cell r="EA477">
            <v>0</v>
          </cell>
          <cell r="EB477">
            <v>5.2499999999999991</v>
          </cell>
          <cell r="EC477">
            <v>5.2499999999999991</v>
          </cell>
          <cell r="ED477">
            <v>6.6363636363636358</v>
          </cell>
          <cell r="EE477">
            <v>0</v>
          </cell>
          <cell r="EF477">
            <v>0</v>
          </cell>
          <cell r="EG477">
            <v>4.3333333333333321</v>
          </cell>
          <cell r="EH477">
            <v>4.3333333333333321</v>
          </cell>
          <cell r="EI477">
            <v>5.6363636363636349</v>
          </cell>
          <cell r="EJ477">
            <v>0</v>
          </cell>
          <cell r="EK477">
            <v>0</v>
          </cell>
          <cell r="EL477">
            <v>3.4166666666666656</v>
          </cell>
          <cell r="EM477">
            <v>3.4166666666666656</v>
          </cell>
          <cell r="EN477">
            <v>4.6363636363636349</v>
          </cell>
          <cell r="EO477">
            <v>0</v>
          </cell>
          <cell r="EP477">
            <v>0</v>
          </cell>
          <cell r="EQ477">
            <v>2.4999999999999991</v>
          </cell>
          <cell r="ER477">
            <v>2.4999999999999991</v>
          </cell>
          <cell r="ES477">
            <v>3.6363636363636354</v>
          </cell>
          <cell r="ET477">
            <v>0</v>
          </cell>
          <cell r="EU477">
            <v>0</v>
          </cell>
          <cell r="EV477">
            <v>1.5833333333333326</v>
          </cell>
          <cell r="EW477">
            <v>1.5833333333333326</v>
          </cell>
          <cell r="EX477">
            <v>2.6363636363636358</v>
          </cell>
          <cell r="EY477">
            <v>0</v>
          </cell>
          <cell r="EZ477">
            <v>0</v>
          </cell>
          <cell r="FA477">
            <v>0.66666666666666596</v>
          </cell>
          <cell r="FB477">
            <v>0.66666666666666596</v>
          </cell>
          <cell r="FC477">
            <v>1.6363636363636356</v>
          </cell>
          <cell r="FD477">
            <v>0.33333333333333404</v>
          </cell>
          <cell r="FE477">
            <v>0</v>
          </cell>
          <cell r="FF477">
            <v>-0.25000000000000067</v>
          </cell>
          <cell r="FG477">
            <v>-0.25000000000000067</v>
          </cell>
          <cell r="FH477">
            <v>0.63636363636363558</v>
          </cell>
          <cell r="FI477">
            <v>1.2500000000000007</v>
          </cell>
          <cell r="FJ477">
            <v>0</v>
          </cell>
          <cell r="FK477">
            <v>-1.1666666666666674</v>
          </cell>
          <cell r="FL477">
            <v>-1.1666666666666674</v>
          </cell>
          <cell r="FM477">
            <v>-0.36363636363636465</v>
          </cell>
          <cell r="FN477">
            <v>2.1666666666666674</v>
          </cell>
          <cell r="FO477">
            <v>0</v>
          </cell>
          <cell r="FP477">
            <v>-2.0833333333333339</v>
          </cell>
          <cell r="FQ477">
            <v>-2.0833333333333339</v>
          </cell>
          <cell r="FR477">
            <v>-1.3636363636363642</v>
          </cell>
          <cell r="FS477">
            <v>3.0833333333333339</v>
          </cell>
          <cell r="FT477">
            <v>1</v>
          </cell>
          <cell r="FU477">
            <v>1.0333333333333334</v>
          </cell>
          <cell r="FW477" t="str">
            <v>SOBRESTOCK</v>
          </cell>
          <cell r="FX477" t="str">
            <v>C</v>
          </cell>
          <cell r="FY477" t="str">
            <v>Si</v>
          </cell>
        </row>
        <row r="478">
          <cell r="B478" t="str">
            <v>REP-0495</v>
          </cell>
          <cell r="C478" t="str">
            <v>NAC</v>
          </cell>
          <cell r="D478">
            <v>0</v>
          </cell>
          <cell r="E478">
            <v>26</v>
          </cell>
          <cell r="F478">
            <v>0</v>
          </cell>
          <cell r="G478">
            <v>0</v>
          </cell>
          <cell r="H478">
            <v>7</v>
          </cell>
          <cell r="I478">
            <v>7</v>
          </cell>
          <cell r="J478">
            <v>0</v>
          </cell>
          <cell r="K478">
            <v>4</v>
          </cell>
          <cell r="L478">
            <v>4</v>
          </cell>
          <cell r="M478">
            <v>3</v>
          </cell>
          <cell r="N478">
            <v>1</v>
          </cell>
          <cell r="O478">
            <v>0</v>
          </cell>
          <cell r="P478">
            <v>0</v>
          </cell>
          <cell r="Q478">
            <v>1</v>
          </cell>
          <cell r="R478">
            <v>2</v>
          </cell>
          <cell r="S478">
            <v>2</v>
          </cell>
          <cell r="T478">
            <v>0</v>
          </cell>
          <cell r="U478">
            <v>2</v>
          </cell>
          <cell r="V478">
            <v>1</v>
          </cell>
          <cell r="W478">
            <v>1</v>
          </cell>
          <cell r="X478">
            <v>0</v>
          </cell>
          <cell r="Y478">
            <v>61</v>
          </cell>
          <cell r="AA478">
            <v>61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9.75</v>
          </cell>
          <cell r="AG478">
            <v>10.666666666666666</v>
          </cell>
          <cell r="AH478">
            <v>17.166666666666668</v>
          </cell>
          <cell r="AI478">
            <v>8.8333333333333339</v>
          </cell>
          <cell r="AJ478">
            <v>8.8333333333333339</v>
          </cell>
          <cell r="AK478">
            <v>17.166666666666668</v>
          </cell>
          <cell r="AL478">
            <v>3.5027766763589776</v>
          </cell>
          <cell r="AM478">
            <v>11.375000000000002</v>
          </cell>
          <cell r="AN478">
            <v>0.30793641110848152</v>
          </cell>
          <cell r="AO478">
            <v>0</v>
          </cell>
          <cell r="AP478">
            <v>89.166666666666671</v>
          </cell>
          <cell r="AQ478">
            <v>8.84375</v>
          </cell>
          <cell r="AR478">
            <v>0</v>
          </cell>
          <cell r="AS478">
            <v>85.5</v>
          </cell>
          <cell r="AT478">
            <v>91</v>
          </cell>
          <cell r="AU478">
            <v>8.53125</v>
          </cell>
          <cell r="AV478">
            <v>0</v>
          </cell>
          <cell r="AW478">
            <v>80.333333333333329</v>
          </cell>
          <cell r="AX478">
            <v>69</v>
          </cell>
          <cell r="AY478">
            <v>4.0194174757281553</v>
          </cell>
          <cell r="AZ478">
            <v>0</v>
          </cell>
          <cell r="BA478">
            <v>58.333333333333336</v>
          </cell>
          <cell r="BB478">
            <v>75</v>
          </cell>
          <cell r="BC478">
            <v>4.166666666666667</v>
          </cell>
          <cell r="BD478">
            <v>0</v>
          </cell>
          <cell r="BE478">
            <v>57</v>
          </cell>
          <cell r="BF478">
            <v>3.1666666666666665</v>
          </cell>
          <cell r="BG478">
            <v>0</v>
          </cell>
          <cell r="BH478">
            <v>39</v>
          </cell>
          <cell r="BI478">
            <v>61</v>
          </cell>
          <cell r="BJ478">
            <v>3.5533980582524269</v>
          </cell>
          <cell r="BK478">
            <v>0</v>
          </cell>
          <cell r="BL478">
            <v>186.5</v>
          </cell>
          <cell r="BM478">
            <v>186</v>
          </cell>
          <cell r="BN478">
            <v>12.681818181818182</v>
          </cell>
          <cell r="BO478">
            <v>0</v>
          </cell>
          <cell r="BP478">
            <v>171.33333333333334</v>
          </cell>
          <cell r="BQ478">
            <v>163</v>
          </cell>
          <cell r="BR478">
            <v>9.4951456310679614</v>
          </cell>
          <cell r="BS478">
            <v>0</v>
          </cell>
          <cell r="BT478">
            <v>146</v>
          </cell>
          <cell r="BU478">
            <v>152</v>
          </cell>
          <cell r="BV478">
            <v>9.6</v>
          </cell>
          <cell r="BW478">
            <v>0</v>
          </cell>
          <cell r="BX478">
            <v>0</v>
          </cell>
          <cell r="BY478">
            <v>136.16666666666666</v>
          </cell>
          <cell r="BZ478">
            <v>129</v>
          </cell>
          <cell r="CA478">
            <v>8.6</v>
          </cell>
          <cell r="CB478">
            <v>0</v>
          </cell>
          <cell r="CC478">
            <v>0</v>
          </cell>
          <cell r="CD478">
            <v>114</v>
          </cell>
          <cell r="CE478">
            <v>113</v>
          </cell>
          <cell r="CF478">
            <v>6.6470588235294121</v>
          </cell>
          <cell r="CG478">
            <v>0</v>
          </cell>
          <cell r="CH478">
            <v>0</v>
          </cell>
          <cell r="CI478">
            <v>97</v>
          </cell>
          <cell r="CJ478">
            <v>73</v>
          </cell>
          <cell r="CK478">
            <v>3.6198347107438016</v>
          </cell>
          <cell r="CL478">
            <v>7</v>
          </cell>
          <cell r="CM478">
            <v>0</v>
          </cell>
          <cell r="CN478">
            <v>52.833333333333329</v>
          </cell>
          <cell r="CO478">
            <v>61</v>
          </cell>
          <cell r="CP478">
            <v>3.0247933884297518</v>
          </cell>
          <cell r="CQ478">
            <v>27.166666666666671</v>
          </cell>
          <cell r="CR478">
            <v>0</v>
          </cell>
          <cell r="CS478">
            <v>40.833333333333329</v>
          </cell>
          <cell r="CT478">
            <v>54</v>
          </cell>
          <cell r="CU478">
            <v>3.145631067961165</v>
          </cell>
          <cell r="CV478">
            <v>0</v>
          </cell>
          <cell r="CW478">
            <v>0</v>
          </cell>
          <cell r="CX478">
            <v>36.833333333333329</v>
          </cell>
          <cell r="CY478">
            <v>48</v>
          </cell>
          <cell r="CZ478">
            <v>2.7961165048543686</v>
          </cell>
          <cell r="DA478">
            <v>1.1666666666666714</v>
          </cell>
          <cell r="DB478">
            <v>0</v>
          </cell>
          <cell r="DC478">
            <v>30.833333333333332</v>
          </cell>
          <cell r="DD478">
            <v>81</v>
          </cell>
          <cell r="DE478">
            <v>2.5048543689320386</v>
          </cell>
          <cell r="DF478">
            <v>0</v>
          </cell>
          <cell r="DG478">
            <v>0</v>
          </cell>
          <cell r="DH478">
            <v>63.833333333333329</v>
          </cell>
          <cell r="DI478">
            <v>68</v>
          </cell>
          <cell r="DJ478">
            <v>3.7475728155339807</v>
          </cell>
          <cell r="DK478">
            <v>0</v>
          </cell>
          <cell r="DL478">
            <v>0</v>
          </cell>
          <cell r="DM478">
            <v>46.666666666666657</v>
          </cell>
          <cell r="DN478">
            <v>61</v>
          </cell>
          <cell r="DO478">
            <v>3.3398058252427183</v>
          </cell>
          <cell r="DP478">
            <v>0</v>
          </cell>
          <cell r="DQ478">
            <v>0</v>
          </cell>
          <cell r="DR478">
            <v>43.833333333333329</v>
          </cell>
          <cell r="DS478">
            <v>43.833333333333329</v>
          </cell>
          <cell r="DT478">
            <v>2.3398058252427183</v>
          </cell>
          <cell r="DU478">
            <v>0</v>
          </cell>
          <cell r="DV478">
            <v>0</v>
          </cell>
          <cell r="DW478">
            <v>26.666666666666661</v>
          </cell>
          <cell r="DX478">
            <v>26.666666666666661</v>
          </cell>
          <cell r="DY478">
            <v>1.3398058252427183</v>
          </cell>
          <cell r="DZ478">
            <v>11.333333333333339</v>
          </cell>
          <cell r="EA478">
            <v>0</v>
          </cell>
          <cell r="EB478">
            <v>9.4999999999999929</v>
          </cell>
          <cell r="EC478">
            <v>9.4999999999999929</v>
          </cell>
          <cell r="ED478">
            <v>0.33980582524271807</v>
          </cell>
          <cell r="EE478">
            <v>28.500000000000007</v>
          </cell>
          <cell r="EF478">
            <v>0</v>
          </cell>
          <cell r="EG478">
            <v>-7.666666666666675</v>
          </cell>
          <cell r="EH478">
            <v>-7.666666666666675</v>
          </cell>
          <cell r="EI478">
            <v>-0.6601941747572817</v>
          </cell>
          <cell r="EJ478">
            <v>45.666666666666671</v>
          </cell>
          <cell r="EK478">
            <v>0</v>
          </cell>
          <cell r="EL478">
            <v>-24.833333333333343</v>
          </cell>
          <cell r="EM478">
            <v>-24.833333333333343</v>
          </cell>
          <cell r="EN478">
            <v>-1.6601941747572817</v>
          </cell>
          <cell r="EO478">
            <v>62.833333333333343</v>
          </cell>
          <cell r="EP478">
            <v>0</v>
          </cell>
          <cell r="EQ478">
            <v>-42.000000000000014</v>
          </cell>
          <cell r="ER478">
            <v>-42.000000000000014</v>
          </cell>
          <cell r="ES478">
            <v>-2.6601941747572821</v>
          </cell>
          <cell r="ET478">
            <v>80.000000000000014</v>
          </cell>
          <cell r="EU478">
            <v>0</v>
          </cell>
          <cell r="EV478">
            <v>-59.166666666666686</v>
          </cell>
          <cell r="EW478">
            <v>-59.166666666666686</v>
          </cell>
          <cell r="EX478">
            <v>-3.6601941747572821</v>
          </cell>
          <cell r="EY478">
            <v>97.166666666666686</v>
          </cell>
          <cell r="EZ478">
            <v>0</v>
          </cell>
          <cell r="FA478">
            <v>-76.333333333333357</v>
          </cell>
          <cell r="FB478">
            <v>-76.333333333333357</v>
          </cell>
          <cell r="FC478">
            <v>-4.6601941747572821</v>
          </cell>
          <cell r="FD478">
            <v>114.33333333333336</v>
          </cell>
          <cell r="FE478">
            <v>0</v>
          </cell>
          <cell r="FF478">
            <v>-93.500000000000028</v>
          </cell>
          <cell r="FG478">
            <v>-93.500000000000028</v>
          </cell>
          <cell r="FH478">
            <v>-5.660194174757283</v>
          </cell>
          <cell r="FI478">
            <v>131.50000000000003</v>
          </cell>
          <cell r="FJ478">
            <v>0</v>
          </cell>
          <cell r="FK478">
            <v>-110.6666666666667</v>
          </cell>
          <cell r="FL478">
            <v>-110.6666666666667</v>
          </cell>
          <cell r="FM478">
            <v>-6.6601941747572813</v>
          </cell>
          <cell r="FN478">
            <v>148.66666666666669</v>
          </cell>
          <cell r="FO478">
            <v>0</v>
          </cell>
          <cell r="FP478">
            <v>-127.83333333333337</v>
          </cell>
          <cell r="FQ478">
            <v>-127.83333333333337</v>
          </cell>
          <cell r="FR478">
            <v>-7.660194174757283</v>
          </cell>
          <cell r="FS478">
            <v>165.83333333333337</v>
          </cell>
          <cell r="FT478">
            <v>38</v>
          </cell>
          <cell r="FU478">
            <v>1.0333333333333334</v>
          </cell>
          <cell r="FW478" t="str">
            <v>STOCK OK</v>
          </cell>
          <cell r="FX478" t="str">
            <v>A</v>
          </cell>
          <cell r="FY478" t="str">
            <v>Si</v>
          </cell>
        </row>
        <row r="479">
          <cell r="B479" t="str">
            <v>REP-0496</v>
          </cell>
          <cell r="C479" t="str">
            <v>MIX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2</v>
          </cell>
          <cell r="I479">
            <v>2</v>
          </cell>
          <cell r="J479">
            <v>0</v>
          </cell>
          <cell r="K479">
            <v>2</v>
          </cell>
          <cell r="L479">
            <v>1</v>
          </cell>
          <cell r="M479">
            <v>1</v>
          </cell>
          <cell r="N479">
            <v>0</v>
          </cell>
          <cell r="O479">
            <v>0</v>
          </cell>
          <cell r="P479">
            <v>0</v>
          </cell>
          <cell r="Q479">
            <v>2</v>
          </cell>
          <cell r="R479">
            <v>0</v>
          </cell>
          <cell r="S479">
            <v>0</v>
          </cell>
          <cell r="T479">
            <v>3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13</v>
          </cell>
          <cell r="AA479">
            <v>13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2</v>
          </cell>
          <cell r="AG479">
            <v>1.5</v>
          </cell>
          <cell r="AH479">
            <v>1.6666666666666667</v>
          </cell>
          <cell r="AI479">
            <v>1.3333333333333333</v>
          </cell>
          <cell r="AJ479">
            <v>1.3333333333333333</v>
          </cell>
          <cell r="AK479">
            <v>1.6666666666666667</v>
          </cell>
          <cell r="AL479">
            <v>0.15957118462605641</v>
          </cell>
          <cell r="AM479">
            <v>1.4583333333333333</v>
          </cell>
          <cell r="AN479">
            <v>0.10942024088643869</v>
          </cell>
          <cell r="AO479">
            <v>0</v>
          </cell>
          <cell r="AP479">
            <v>29.5</v>
          </cell>
          <cell r="AQ479">
            <v>14.5</v>
          </cell>
          <cell r="AR479">
            <v>0</v>
          </cell>
          <cell r="AS479">
            <v>27</v>
          </cell>
          <cell r="AT479">
            <v>30</v>
          </cell>
          <cell r="AU479">
            <v>18</v>
          </cell>
          <cell r="AV479">
            <v>0</v>
          </cell>
          <cell r="AW479">
            <v>28.333333333333332</v>
          </cell>
          <cell r="AX479">
            <v>26</v>
          </cell>
          <cell r="AY479">
            <v>15.6</v>
          </cell>
          <cell r="AZ479">
            <v>0</v>
          </cell>
          <cell r="BA479">
            <v>24.5</v>
          </cell>
          <cell r="BB479">
            <v>26</v>
          </cell>
          <cell r="BC479">
            <v>15.6</v>
          </cell>
          <cell r="BD479">
            <v>0</v>
          </cell>
          <cell r="BE479">
            <v>24.333333333333332</v>
          </cell>
          <cell r="BF479">
            <v>14.599999999999998</v>
          </cell>
          <cell r="BG479">
            <v>0</v>
          </cell>
          <cell r="BH479">
            <v>22.666666666666664</v>
          </cell>
          <cell r="BI479">
            <v>13</v>
          </cell>
          <cell r="BJ479">
            <v>7.8</v>
          </cell>
          <cell r="BK479">
            <v>0</v>
          </cell>
          <cell r="BL479">
            <v>22.5</v>
          </cell>
          <cell r="BM479">
            <v>23</v>
          </cell>
          <cell r="BN479">
            <v>15.333333333333334</v>
          </cell>
          <cell r="BO479">
            <v>0</v>
          </cell>
          <cell r="BP479">
            <v>21.5</v>
          </cell>
          <cell r="BQ479">
            <v>20</v>
          </cell>
          <cell r="BR479">
            <v>12</v>
          </cell>
          <cell r="BS479">
            <v>0</v>
          </cell>
          <cell r="BT479">
            <v>18.5</v>
          </cell>
          <cell r="BU479">
            <v>20</v>
          </cell>
          <cell r="BV479">
            <v>13.333333333333334</v>
          </cell>
          <cell r="BW479">
            <v>18</v>
          </cell>
          <cell r="BX479">
            <v>0</v>
          </cell>
          <cell r="BY479">
            <v>18.5</v>
          </cell>
          <cell r="BZ479">
            <v>20</v>
          </cell>
          <cell r="CA479">
            <v>13.333333333333334</v>
          </cell>
          <cell r="CB479">
            <v>18</v>
          </cell>
          <cell r="CC479">
            <v>0</v>
          </cell>
          <cell r="CD479">
            <v>18.5</v>
          </cell>
          <cell r="CE479">
            <v>11</v>
          </cell>
          <cell r="CF479">
            <v>5.0769230769230775</v>
          </cell>
          <cell r="CG479">
            <v>27</v>
          </cell>
          <cell r="CH479">
            <v>0</v>
          </cell>
          <cell r="CI479">
            <v>43.333333333333336</v>
          </cell>
          <cell r="CJ479">
            <v>11</v>
          </cell>
          <cell r="CK479">
            <v>5.0769230769230775</v>
          </cell>
          <cell r="CL479">
            <v>27</v>
          </cell>
          <cell r="CM479">
            <v>0</v>
          </cell>
          <cell r="CN479">
            <v>8.8333333333333339</v>
          </cell>
          <cell r="CO479">
            <v>9</v>
          </cell>
          <cell r="CP479">
            <v>4.1538461538461542</v>
          </cell>
          <cell r="CQ479">
            <v>29.166666666666664</v>
          </cell>
          <cell r="CR479">
            <v>0</v>
          </cell>
          <cell r="CS479">
            <v>6.8333333333333339</v>
          </cell>
          <cell r="CT479">
            <v>9</v>
          </cell>
          <cell r="CU479">
            <v>4.9090909090909092</v>
          </cell>
          <cell r="CV479">
            <v>10</v>
          </cell>
          <cell r="CW479">
            <v>10</v>
          </cell>
          <cell r="CX479">
            <v>17.166666666666668</v>
          </cell>
          <cell r="CY479">
            <v>9</v>
          </cell>
          <cell r="CZ479">
            <v>3.8571428571428568</v>
          </cell>
          <cell r="DA479">
            <v>1.8333333333333321</v>
          </cell>
          <cell r="DB479">
            <v>10</v>
          </cell>
          <cell r="DC479">
            <v>16.666666666666668</v>
          </cell>
          <cell r="DD479">
            <v>12</v>
          </cell>
          <cell r="DE479">
            <v>-2.4705882352941173</v>
          </cell>
          <cell r="DF479">
            <v>2.3333333333333321</v>
          </cell>
          <cell r="DG479">
            <v>0</v>
          </cell>
          <cell r="DH479">
            <v>9.1666666666666661</v>
          </cell>
          <cell r="DI479">
            <v>11</v>
          </cell>
          <cell r="DJ479">
            <v>-2.8</v>
          </cell>
          <cell r="DK479">
            <v>9.8333333333333339</v>
          </cell>
          <cell r="DL479">
            <v>0</v>
          </cell>
          <cell r="DM479">
            <v>17.333333333333332</v>
          </cell>
          <cell r="DN479">
            <v>13</v>
          </cell>
          <cell r="DO479">
            <v>-1.5999999999999996</v>
          </cell>
          <cell r="DP479">
            <v>6</v>
          </cell>
          <cell r="DQ479">
            <v>0</v>
          </cell>
          <cell r="DR479">
            <v>11.333333333333334</v>
          </cell>
          <cell r="DS479">
            <v>11.333333333333334</v>
          </cell>
          <cell r="DT479">
            <v>-2.5999999999999996</v>
          </cell>
          <cell r="DU479">
            <v>7.6666666666666661</v>
          </cell>
          <cell r="DV479">
            <v>22</v>
          </cell>
          <cell r="DW479">
            <v>31.666666666666668</v>
          </cell>
          <cell r="DX479">
            <v>31.666666666666668</v>
          </cell>
          <cell r="DY479">
            <v>9.6000000000000014</v>
          </cell>
          <cell r="DZ479">
            <v>0</v>
          </cell>
          <cell r="EA479">
            <v>0</v>
          </cell>
          <cell r="EB479">
            <v>30</v>
          </cell>
          <cell r="EC479">
            <v>30</v>
          </cell>
          <cell r="ED479">
            <v>8.6</v>
          </cell>
          <cell r="EE479">
            <v>0</v>
          </cell>
          <cell r="EF479">
            <v>0</v>
          </cell>
          <cell r="EG479">
            <v>28.333333333333332</v>
          </cell>
          <cell r="EH479">
            <v>28.333333333333332</v>
          </cell>
          <cell r="EI479">
            <v>7.5999999999999988</v>
          </cell>
          <cell r="EJ479">
            <v>0</v>
          </cell>
          <cell r="EK479">
            <v>0</v>
          </cell>
          <cell r="EL479">
            <v>26.666666666666664</v>
          </cell>
          <cell r="EM479">
            <v>26.666666666666664</v>
          </cell>
          <cell r="EN479">
            <v>6.5999999999999988</v>
          </cell>
          <cell r="EO479">
            <v>0</v>
          </cell>
          <cell r="EP479">
            <v>0</v>
          </cell>
          <cell r="EQ479">
            <v>24.999999999999996</v>
          </cell>
          <cell r="ER479">
            <v>24.999999999999996</v>
          </cell>
          <cell r="ES479">
            <v>5.5999999999999979</v>
          </cell>
          <cell r="ET479">
            <v>0</v>
          </cell>
          <cell r="EU479">
            <v>0</v>
          </cell>
          <cell r="EV479">
            <v>23.333333333333329</v>
          </cell>
          <cell r="EW479">
            <v>23.333333333333329</v>
          </cell>
          <cell r="EX479">
            <v>4.599999999999997</v>
          </cell>
          <cell r="EY479">
            <v>0</v>
          </cell>
          <cell r="EZ479">
            <v>0</v>
          </cell>
          <cell r="FA479">
            <v>21.666666666666661</v>
          </cell>
          <cell r="FB479">
            <v>21.666666666666661</v>
          </cell>
          <cell r="FC479">
            <v>3.5999999999999961</v>
          </cell>
          <cell r="FD479">
            <v>0</v>
          </cell>
          <cell r="FE479">
            <v>8</v>
          </cell>
          <cell r="FF479">
            <v>27.999999999999993</v>
          </cell>
          <cell r="FG479">
            <v>27.999999999999993</v>
          </cell>
          <cell r="FH479">
            <v>7.3999999999999959</v>
          </cell>
          <cell r="FI479">
            <v>0</v>
          </cell>
          <cell r="FJ479">
            <v>0</v>
          </cell>
          <cell r="FK479">
            <v>26.333333333333325</v>
          </cell>
          <cell r="FL479">
            <v>26.333333333333325</v>
          </cell>
          <cell r="FM479">
            <v>6.399999999999995</v>
          </cell>
          <cell r="FN479">
            <v>0</v>
          </cell>
          <cell r="FO479">
            <v>0</v>
          </cell>
          <cell r="FP479">
            <v>24.666666666666657</v>
          </cell>
          <cell r="FQ479">
            <v>24.666666666666657</v>
          </cell>
          <cell r="FR479">
            <v>5.3999999999999941</v>
          </cell>
          <cell r="FS479">
            <v>0</v>
          </cell>
          <cell r="FT479">
            <v>19</v>
          </cell>
          <cell r="FU479">
            <v>2.0333333333333332</v>
          </cell>
          <cell r="FW479" t="str">
            <v>STOCK OK</v>
          </cell>
          <cell r="FX479" t="str">
            <v>B</v>
          </cell>
          <cell r="FY479" t="str">
            <v>Si</v>
          </cell>
        </row>
        <row r="480">
          <cell r="B480" t="str">
            <v>REP-0497</v>
          </cell>
          <cell r="C480" t="str">
            <v>NAC</v>
          </cell>
          <cell r="D480">
            <v>0</v>
          </cell>
          <cell r="E480">
            <v>65</v>
          </cell>
          <cell r="F480">
            <v>0</v>
          </cell>
          <cell r="G480">
            <v>0</v>
          </cell>
          <cell r="H480">
            <v>9</v>
          </cell>
          <cell r="I480">
            <v>9</v>
          </cell>
          <cell r="J480">
            <v>0</v>
          </cell>
          <cell r="K480">
            <v>16</v>
          </cell>
          <cell r="L480">
            <v>3</v>
          </cell>
          <cell r="M480">
            <v>2</v>
          </cell>
          <cell r="N480">
            <v>0</v>
          </cell>
          <cell r="O480">
            <v>2</v>
          </cell>
          <cell r="P480">
            <v>2</v>
          </cell>
          <cell r="Q480">
            <v>0</v>
          </cell>
          <cell r="R480">
            <v>1</v>
          </cell>
          <cell r="S480">
            <v>0</v>
          </cell>
          <cell r="T480">
            <v>0</v>
          </cell>
          <cell r="U480">
            <v>2</v>
          </cell>
          <cell r="V480">
            <v>1</v>
          </cell>
          <cell r="W480">
            <v>1</v>
          </cell>
          <cell r="X480">
            <v>2</v>
          </cell>
          <cell r="Y480">
            <v>115</v>
          </cell>
          <cell r="AA480">
            <v>115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12.083333333333334</v>
          </cell>
          <cell r="AG480">
            <v>12.333333333333334</v>
          </cell>
          <cell r="AH480">
            <v>15.75</v>
          </cell>
          <cell r="AI480">
            <v>16.833333333333332</v>
          </cell>
          <cell r="AJ480">
            <v>16.833333333333332</v>
          </cell>
          <cell r="AK480">
            <v>16.833333333333332</v>
          </cell>
          <cell r="AL480">
            <v>2.3785791743999032</v>
          </cell>
          <cell r="AM480">
            <v>15.4375</v>
          </cell>
          <cell r="AN480">
            <v>0.15407800319999373</v>
          </cell>
          <cell r="AO480">
            <v>0</v>
          </cell>
          <cell r="AP480">
            <v>147.83333333333334</v>
          </cell>
          <cell r="AQ480">
            <v>11.148148148148149</v>
          </cell>
          <cell r="AR480">
            <v>0</v>
          </cell>
          <cell r="AS480">
            <v>135</v>
          </cell>
          <cell r="AT480">
            <v>132</v>
          </cell>
          <cell r="AU480">
            <v>9.1034482758620694</v>
          </cell>
          <cell r="AV480">
            <v>0</v>
          </cell>
          <cell r="AW480">
            <v>117.5</v>
          </cell>
          <cell r="AX480">
            <v>114</v>
          </cell>
          <cell r="AY480">
            <v>6.772277227722773</v>
          </cell>
          <cell r="AZ480">
            <v>0</v>
          </cell>
          <cell r="BA480">
            <v>99.333333333333329</v>
          </cell>
          <cell r="BB480">
            <v>97</v>
          </cell>
          <cell r="BC480">
            <v>4.4090909090909092</v>
          </cell>
          <cell r="BD480">
            <v>0</v>
          </cell>
          <cell r="BE480">
            <v>75</v>
          </cell>
          <cell r="BF480">
            <v>3.4090909090909092</v>
          </cell>
          <cell r="BG480">
            <v>0</v>
          </cell>
          <cell r="BH480">
            <v>53</v>
          </cell>
          <cell r="BI480">
            <v>115</v>
          </cell>
          <cell r="BJ480">
            <v>6.8316831683168324</v>
          </cell>
          <cell r="BK480">
            <v>0</v>
          </cell>
          <cell r="BL480">
            <v>108.16666666666667</v>
          </cell>
          <cell r="BM480">
            <v>106</v>
          </cell>
          <cell r="BN480">
            <v>5.6283185840707972</v>
          </cell>
          <cell r="BO480">
            <v>0</v>
          </cell>
          <cell r="BP480">
            <v>87.166666666666671</v>
          </cell>
          <cell r="BQ480">
            <v>85</v>
          </cell>
          <cell r="BR480">
            <v>5.0495049504950495</v>
          </cell>
          <cell r="BS480">
            <v>0</v>
          </cell>
          <cell r="BT480">
            <v>67.333333333333329</v>
          </cell>
          <cell r="BU480">
            <v>76</v>
          </cell>
          <cell r="BV480">
            <v>4.7010309278350508</v>
          </cell>
          <cell r="BW480">
            <v>0</v>
          </cell>
          <cell r="BX480">
            <v>0</v>
          </cell>
          <cell r="BY480">
            <v>59.833333333333329</v>
          </cell>
          <cell r="BZ480">
            <v>68</v>
          </cell>
          <cell r="CA480">
            <v>4.4444444444444446</v>
          </cell>
          <cell r="CB480">
            <v>8</v>
          </cell>
          <cell r="CC480">
            <v>0</v>
          </cell>
          <cell r="CD480">
            <v>52.7</v>
          </cell>
          <cell r="CE480">
            <v>49</v>
          </cell>
          <cell r="CF480">
            <v>3.1156069364161851</v>
          </cell>
          <cell r="CG480">
            <v>27</v>
          </cell>
          <cell r="CH480">
            <v>0</v>
          </cell>
          <cell r="CI480">
            <v>63.972727272727276</v>
          </cell>
          <cell r="CJ480">
            <v>129</v>
          </cell>
          <cell r="CK480">
            <v>8.1904761904761898</v>
          </cell>
          <cell r="CL480">
            <v>0</v>
          </cell>
          <cell r="CM480">
            <v>0</v>
          </cell>
          <cell r="CN480">
            <v>113.25</v>
          </cell>
          <cell r="CO480">
            <v>104</v>
          </cell>
          <cell r="CP480">
            <v>4.16</v>
          </cell>
          <cell r="CQ480">
            <v>0</v>
          </cell>
          <cell r="CR480">
            <v>0</v>
          </cell>
          <cell r="CS480">
            <v>79</v>
          </cell>
          <cell r="CT480">
            <v>91</v>
          </cell>
          <cell r="CU480">
            <v>4.666666666666667</v>
          </cell>
          <cell r="CV480">
            <v>0</v>
          </cell>
          <cell r="CW480">
            <v>0</v>
          </cell>
          <cell r="CX480">
            <v>71.5</v>
          </cell>
          <cell r="CY480">
            <v>73</v>
          </cell>
          <cell r="CZ480">
            <v>4.0555555555555554</v>
          </cell>
          <cell r="DA480">
            <v>0</v>
          </cell>
          <cell r="DB480">
            <v>0</v>
          </cell>
          <cell r="DC480">
            <v>55.25</v>
          </cell>
          <cell r="DD480">
            <v>68</v>
          </cell>
          <cell r="DE480">
            <v>1.6901408450704225</v>
          </cell>
          <cell r="DF480">
            <v>0</v>
          </cell>
          <cell r="DG480">
            <v>0</v>
          </cell>
          <cell r="DH480">
            <v>50.25</v>
          </cell>
          <cell r="DI480">
            <v>50</v>
          </cell>
          <cell r="DJ480">
            <v>2.6818181818181817</v>
          </cell>
          <cell r="DK480">
            <v>0</v>
          </cell>
          <cell r="DL480">
            <v>0</v>
          </cell>
          <cell r="DM480">
            <v>32.65</v>
          </cell>
          <cell r="DN480">
            <v>115</v>
          </cell>
          <cell r="DO480">
            <v>6.5742574257425748</v>
          </cell>
          <cell r="DP480">
            <v>0</v>
          </cell>
          <cell r="DQ480">
            <v>0</v>
          </cell>
          <cell r="DR480">
            <v>98.166666666666671</v>
          </cell>
          <cell r="DS480">
            <v>98.166666666666671</v>
          </cell>
          <cell r="DT480">
            <v>5.5742574257425748</v>
          </cell>
          <cell r="DU480">
            <v>0</v>
          </cell>
          <cell r="DV480">
            <v>0</v>
          </cell>
          <cell r="DW480">
            <v>81.333333333333343</v>
          </cell>
          <cell r="DX480">
            <v>81.333333333333343</v>
          </cell>
          <cell r="DY480">
            <v>4.5742574257425748</v>
          </cell>
          <cell r="DZ480">
            <v>0</v>
          </cell>
          <cell r="EA480">
            <v>0</v>
          </cell>
          <cell r="EB480">
            <v>64.500000000000014</v>
          </cell>
          <cell r="EC480">
            <v>64.500000000000014</v>
          </cell>
          <cell r="ED480">
            <v>3.5742574257425752</v>
          </cell>
          <cell r="EE480">
            <v>0</v>
          </cell>
          <cell r="EF480">
            <v>0</v>
          </cell>
          <cell r="EG480">
            <v>47.666666666666686</v>
          </cell>
          <cell r="EH480">
            <v>47.666666666666686</v>
          </cell>
          <cell r="EI480">
            <v>2.5742574257425757</v>
          </cell>
          <cell r="EJ480">
            <v>0</v>
          </cell>
          <cell r="EK480">
            <v>0</v>
          </cell>
          <cell r="EL480">
            <v>30.833333333333353</v>
          </cell>
          <cell r="EM480">
            <v>30.833333333333353</v>
          </cell>
          <cell r="EN480">
            <v>1.5742574257425754</v>
          </cell>
          <cell r="EO480">
            <v>7.1666666666666465</v>
          </cell>
          <cell r="EP480">
            <v>0</v>
          </cell>
          <cell r="EQ480">
            <v>14.000000000000021</v>
          </cell>
          <cell r="ER480">
            <v>14.000000000000021</v>
          </cell>
          <cell r="ES480">
            <v>0.57425742574257543</v>
          </cell>
          <cell r="ET480">
            <v>23.999999999999979</v>
          </cell>
          <cell r="EU480">
            <v>0</v>
          </cell>
          <cell r="EV480">
            <v>-2.8333333333333108</v>
          </cell>
          <cell r="EW480">
            <v>-2.8333333333333108</v>
          </cell>
          <cell r="EX480">
            <v>-0.42574257425742479</v>
          </cell>
          <cell r="EY480">
            <v>40.833333333333314</v>
          </cell>
          <cell r="EZ480">
            <v>0</v>
          </cell>
          <cell r="FA480">
            <v>-19.666666666666643</v>
          </cell>
          <cell r="FB480">
            <v>-19.666666666666643</v>
          </cell>
          <cell r="FC480">
            <v>-1.4257425742574248</v>
          </cell>
          <cell r="FD480">
            <v>57.666666666666643</v>
          </cell>
          <cell r="FE480">
            <v>0</v>
          </cell>
          <cell r="FF480">
            <v>-36.499999999999972</v>
          </cell>
          <cell r="FG480">
            <v>-36.499999999999972</v>
          </cell>
          <cell r="FH480">
            <v>-2.4257425742574243</v>
          </cell>
          <cell r="FI480">
            <v>74.499999999999972</v>
          </cell>
          <cell r="FJ480">
            <v>0</v>
          </cell>
          <cell r="FK480">
            <v>-53.3333333333333</v>
          </cell>
          <cell r="FL480">
            <v>-53.3333333333333</v>
          </cell>
          <cell r="FM480">
            <v>-3.4257425742574243</v>
          </cell>
          <cell r="FN480">
            <v>91.3333333333333</v>
          </cell>
          <cell r="FO480">
            <v>0</v>
          </cell>
          <cell r="FP480">
            <v>-70.166666666666629</v>
          </cell>
          <cell r="FQ480">
            <v>-70.166666666666629</v>
          </cell>
          <cell r="FR480">
            <v>-4.4257425742574243</v>
          </cell>
          <cell r="FS480">
            <v>108.16666666666663</v>
          </cell>
          <cell r="FT480">
            <v>38</v>
          </cell>
          <cell r="FU480">
            <v>1.0333333333333334</v>
          </cell>
          <cell r="FW480" t="str">
            <v>SOBRESTOCK</v>
          </cell>
          <cell r="FX480" t="str">
            <v>A</v>
          </cell>
          <cell r="FY480" t="str">
            <v>Si</v>
          </cell>
        </row>
        <row r="481">
          <cell r="B481" t="str">
            <v>REP-0498</v>
          </cell>
          <cell r="C481" t="str">
            <v>MIX</v>
          </cell>
          <cell r="D481">
            <v>0</v>
          </cell>
          <cell r="E481">
            <v>5</v>
          </cell>
          <cell r="F481">
            <v>0</v>
          </cell>
          <cell r="G481">
            <v>0</v>
          </cell>
          <cell r="H481">
            <v>4</v>
          </cell>
          <cell r="I481">
            <v>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1</v>
          </cell>
          <cell r="O481">
            <v>0</v>
          </cell>
          <cell r="P481">
            <v>0</v>
          </cell>
          <cell r="Q481">
            <v>0</v>
          </cell>
          <cell r="R481">
            <v>1</v>
          </cell>
          <cell r="S481">
            <v>0</v>
          </cell>
          <cell r="T481">
            <v>1</v>
          </cell>
          <cell r="U481">
            <v>1</v>
          </cell>
          <cell r="V481">
            <v>3</v>
          </cell>
          <cell r="W481">
            <v>3</v>
          </cell>
          <cell r="X481">
            <v>0</v>
          </cell>
          <cell r="Y481">
            <v>23</v>
          </cell>
          <cell r="AA481">
            <v>23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0.33333333333333331</v>
          </cell>
          <cell r="AG481">
            <v>0.41666666666666669</v>
          </cell>
          <cell r="AH481">
            <v>0.58333333333333337</v>
          </cell>
          <cell r="AI481">
            <v>0</v>
          </cell>
          <cell r="AJ481">
            <v>0</v>
          </cell>
          <cell r="AK481">
            <v>0.58333333333333337</v>
          </cell>
          <cell r="AL481">
            <v>0.29658550700086977</v>
          </cell>
          <cell r="AM481">
            <v>0.25</v>
          </cell>
          <cell r="AN481">
            <v>1.1863420280034791</v>
          </cell>
          <cell r="AO481">
            <v>0</v>
          </cell>
          <cell r="AP481">
            <v>26.583333333333332</v>
          </cell>
          <cell r="AQ481">
            <v>63.8</v>
          </cell>
          <cell r="AR481">
            <v>0</v>
          </cell>
          <cell r="AS481">
            <v>26.333333333333336</v>
          </cell>
          <cell r="AT481">
            <v>27</v>
          </cell>
          <cell r="AU481">
            <v>64.8</v>
          </cell>
          <cell r="AV481">
            <v>0</v>
          </cell>
          <cell r="AW481">
            <v>26.583333333333332</v>
          </cell>
          <cell r="AX481">
            <v>26</v>
          </cell>
          <cell r="AY481">
            <v>44.571428571428569</v>
          </cell>
          <cell r="AZ481">
            <v>0</v>
          </cell>
          <cell r="BA481">
            <v>25.583333333333332</v>
          </cell>
          <cell r="BB481">
            <v>26</v>
          </cell>
          <cell r="BC481">
            <v>62.4</v>
          </cell>
          <cell r="BD481">
            <v>0</v>
          </cell>
          <cell r="BE481">
            <v>25.583333333333332</v>
          </cell>
          <cell r="BF481">
            <v>61.399999999999991</v>
          </cell>
          <cell r="BG481">
            <v>0</v>
          </cell>
          <cell r="BH481">
            <v>25.166666666666664</v>
          </cell>
          <cell r="BI481">
            <v>23</v>
          </cell>
          <cell r="BJ481">
            <v>39.428571428571423</v>
          </cell>
          <cell r="BK481">
            <v>0</v>
          </cell>
          <cell r="BL481">
            <v>24.583333333333332</v>
          </cell>
          <cell r="BM481">
            <v>24</v>
          </cell>
          <cell r="BN481">
            <v>48</v>
          </cell>
          <cell r="BO481">
            <v>0</v>
          </cell>
          <cell r="BP481">
            <v>23.5</v>
          </cell>
          <cell r="BQ481">
            <v>24</v>
          </cell>
          <cell r="BR481">
            <v>41.142857142857139</v>
          </cell>
          <cell r="BS481">
            <v>0</v>
          </cell>
          <cell r="BT481">
            <v>23.5</v>
          </cell>
          <cell r="BU481">
            <v>24</v>
          </cell>
          <cell r="BV481">
            <v>57.599999999999994</v>
          </cell>
          <cell r="BW481">
            <v>0</v>
          </cell>
          <cell r="BX481">
            <v>0</v>
          </cell>
          <cell r="BY481">
            <v>23.583333333333332</v>
          </cell>
          <cell r="BZ481">
            <v>24</v>
          </cell>
          <cell r="CA481">
            <v>57.599999999999994</v>
          </cell>
          <cell r="CB481">
            <v>0</v>
          </cell>
          <cell r="CC481">
            <v>0</v>
          </cell>
          <cell r="CD481">
            <v>23.583333333333332</v>
          </cell>
          <cell r="CE481">
            <v>22</v>
          </cell>
          <cell r="CF481">
            <v>44</v>
          </cell>
          <cell r="CG481">
            <v>0</v>
          </cell>
          <cell r="CH481">
            <v>0</v>
          </cell>
          <cell r="CI481">
            <v>23.083333333333332</v>
          </cell>
          <cell r="CJ481">
            <v>20</v>
          </cell>
          <cell r="CK481">
            <v>24</v>
          </cell>
          <cell r="CL481">
            <v>0</v>
          </cell>
          <cell r="CM481">
            <v>0</v>
          </cell>
          <cell r="CN481">
            <v>19.166666666666668</v>
          </cell>
          <cell r="CO481">
            <v>20</v>
          </cell>
          <cell r="CP481">
            <v>24</v>
          </cell>
          <cell r="CQ481">
            <v>0</v>
          </cell>
          <cell r="CR481">
            <v>0</v>
          </cell>
          <cell r="CS481">
            <v>19.166666666666668</v>
          </cell>
          <cell r="CT481">
            <v>19</v>
          </cell>
          <cell r="CU481">
            <v>28.5</v>
          </cell>
          <cell r="CV481">
            <v>0</v>
          </cell>
          <cell r="CW481">
            <v>0</v>
          </cell>
          <cell r="CX481">
            <v>18.333333333333332</v>
          </cell>
          <cell r="CY481">
            <v>19</v>
          </cell>
          <cell r="CZ481">
            <v>32.571428571428569</v>
          </cell>
          <cell r="DA481">
            <v>0</v>
          </cell>
          <cell r="DB481">
            <v>0</v>
          </cell>
          <cell r="DC481">
            <v>18.416666666666668</v>
          </cell>
          <cell r="DD481">
            <v>20</v>
          </cell>
          <cell r="DE481">
            <v>30.857142857142854</v>
          </cell>
          <cell r="DF481">
            <v>0</v>
          </cell>
          <cell r="DG481">
            <v>0</v>
          </cell>
          <cell r="DH481">
            <v>19.416666666666668</v>
          </cell>
          <cell r="DI481">
            <v>19</v>
          </cell>
          <cell r="DJ481">
            <v>31.142857142857142</v>
          </cell>
          <cell r="DK481">
            <v>0</v>
          </cell>
          <cell r="DL481">
            <v>0</v>
          </cell>
          <cell r="DM481">
            <v>18.833333333333336</v>
          </cell>
          <cell r="DN481">
            <v>23</v>
          </cell>
          <cell r="DO481">
            <v>38</v>
          </cell>
          <cell r="DP481">
            <v>0</v>
          </cell>
          <cell r="DQ481">
            <v>0</v>
          </cell>
          <cell r="DR481">
            <v>22.416666666666668</v>
          </cell>
          <cell r="DS481">
            <v>22.416666666666668</v>
          </cell>
          <cell r="DT481">
            <v>37</v>
          </cell>
          <cell r="DU481">
            <v>0</v>
          </cell>
          <cell r="DV481">
            <v>0</v>
          </cell>
          <cell r="DW481">
            <v>21.833333333333336</v>
          </cell>
          <cell r="DX481">
            <v>21.833333333333336</v>
          </cell>
          <cell r="DY481">
            <v>36</v>
          </cell>
          <cell r="DZ481">
            <v>0</v>
          </cell>
          <cell r="EA481">
            <v>0</v>
          </cell>
          <cell r="EB481">
            <v>21.250000000000004</v>
          </cell>
          <cell r="EC481">
            <v>21.250000000000004</v>
          </cell>
          <cell r="ED481">
            <v>35.000000000000007</v>
          </cell>
          <cell r="EE481">
            <v>0</v>
          </cell>
          <cell r="EF481">
            <v>0</v>
          </cell>
          <cell r="EG481">
            <v>20.666666666666671</v>
          </cell>
          <cell r="EH481">
            <v>20.666666666666671</v>
          </cell>
          <cell r="EI481">
            <v>34.000000000000007</v>
          </cell>
          <cell r="EJ481">
            <v>0</v>
          </cell>
          <cell r="EK481">
            <v>0</v>
          </cell>
          <cell r="EL481">
            <v>20.083333333333339</v>
          </cell>
          <cell r="EM481">
            <v>20.083333333333339</v>
          </cell>
          <cell r="EN481">
            <v>33.000000000000007</v>
          </cell>
          <cell r="EO481">
            <v>0</v>
          </cell>
          <cell r="EP481">
            <v>0</v>
          </cell>
          <cell r="EQ481">
            <v>19.500000000000007</v>
          </cell>
          <cell r="ER481">
            <v>19.500000000000007</v>
          </cell>
          <cell r="ES481">
            <v>32.000000000000014</v>
          </cell>
          <cell r="ET481">
            <v>0</v>
          </cell>
          <cell r="EU481">
            <v>0</v>
          </cell>
          <cell r="EV481">
            <v>18.916666666666675</v>
          </cell>
          <cell r="EW481">
            <v>18.916666666666675</v>
          </cell>
          <cell r="EX481">
            <v>31.000000000000011</v>
          </cell>
          <cell r="EY481">
            <v>0</v>
          </cell>
          <cell r="EZ481">
            <v>0</v>
          </cell>
          <cell r="FA481">
            <v>18.333333333333343</v>
          </cell>
          <cell r="FB481">
            <v>18.333333333333343</v>
          </cell>
          <cell r="FC481">
            <v>30.000000000000014</v>
          </cell>
          <cell r="FD481">
            <v>0</v>
          </cell>
          <cell r="FE481">
            <v>0</v>
          </cell>
          <cell r="FF481">
            <v>17.750000000000011</v>
          </cell>
          <cell r="FG481">
            <v>17.750000000000011</v>
          </cell>
          <cell r="FH481">
            <v>29.000000000000018</v>
          </cell>
          <cell r="FI481">
            <v>0</v>
          </cell>
          <cell r="FJ481">
            <v>0</v>
          </cell>
          <cell r="FK481">
            <v>17.166666666666679</v>
          </cell>
          <cell r="FL481">
            <v>17.166666666666679</v>
          </cell>
          <cell r="FM481">
            <v>28.000000000000018</v>
          </cell>
          <cell r="FN481">
            <v>0</v>
          </cell>
          <cell r="FO481">
            <v>0</v>
          </cell>
          <cell r="FP481">
            <v>16.583333333333346</v>
          </cell>
          <cell r="FQ481">
            <v>16.583333333333346</v>
          </cell>
          <cell r="FR481">
            <v>27.000000000000021</v>
          </cell>
          <cell r="FS481">
            <v>0</v>
          </cell>
          <cell r="FT481">
            <v>2</v>
          </cell>
          <cell r="FU481">
            <v>2.0333333333333332</v>
          </cell>
          <cell r="FV481" t="str">
            <v>SI</v>
          </cell>
          <cell r="FW481" t="str">
            <v>SIN ROTACIÓN</v>
          </cell>
          <cell r="FX481" t="str">
            <v>C</v>
          </cell>
          <cell r="FY481" t="str">
            <v>Si</v>
          </cell>
        </row>
        <row r="482">
          <cell r="B482" t="str">
            <v>REP-0499</v>
          </cell>
          <cell r="C482" t="str">
            <v>NACIONAL</v>
          </cell>
          <cell r="D482">
            <v>0</v>
          </cell>
          <cell r="E482">
            <v>16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1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17</v>
          </cell>
          <cell r="AA482">
            <v>17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1.25</v>
          </cell>
          <cell r="AG482">
            <v>1.1666666666666667</v>
          </cell>
          <cell r="AH482">
            <v>0.58333333333333337</v>
          </cell>
          <cell r="AI482">
            <v>0</v>
          </cell>
          <cell r="AJ482">
            <v>0</v>
          </cell>
          <cell r="AK482">
            <v>0.4375</v>
          </cell>
          <cell r="AL482">
            <v>0.55849914619119734</v>
          </cell>
          <cell r="AM482">
            <v>0.4375</v>
          </cell>
          <cell r="AN482">
            <v>1.276569477008451</v>
          </cell>
          <cell r="AO482">
            <v>0</v>
          </cell>
          <cell r="AP482">
            <v>18.833333333333332</v>
          </cell>
          <cell r="AQ482">
            <v>15</v>
          </cell>
          <cell r="AR482">
            <v>0</v>
          </cell>
          <cell r="AS482">
            <v>17.5</v>
          </cell>
          <cell r="AT482">
            <v>19</v>
          </cell>
          <cell r="AU482">
            <v>16.285714285714285</v>
          </cell>
          <cell r="AV482">
            <v>0</v>
          </cell>
          <cell r="AW482">
            <v>17.833333333333332</v>
          </cell>
          <cell r="AX482">
            <v>19</v>
          </cell>
          <cell r="AY482">
            <v>43.428571428571431</v>
          </cell>
          <cell r="AZ482">
            <v>0</v>
          </cell>
          <cell r="BA482">
            <v>17.833333333333332</v>
          </cell>
          <cell r="BB482">
            <v>19</v>
          </cell>
          <cell r="BC482">
            <v>16.285714285714285</v>
          </cell>
          <cell r="BD482">
            <v>0</v>
          </cell>
          <cell r="BE482">
            <v>17.833333333333332</v>
          </cell>
          <cell r="BF482">
            <v>15.285714285714283</v>
          </cell>
          <cell r="BG482">
            <v>0</v>
          </cell>
          <cell r="BH482">
            <v>16.666666666666664</v>
          </cell>
          <cell r="BI482">
            <v>17</v>
          </cell>
          <cell r="BJ482">
            <v>38.857142857142854</v>
          </cell>
          <cell r="BK482">
            <v>0</v>
          </cell>
          <cell r="BL482">
            <v>17.833333333333332</v>
          </cell>
          <cell r="BM482">
            <v>19</v>
          </cell>
          <cell r="BN482">
            <v>16.285714285714285</v>
          </cell>
          <cell r="BO482">
            <v>0</v>
          </cell>
          <cell r="BP482">
            <v>17.833333333333332</v>
          </cell>
          <cell r="BQ482">
            <v>19</v>
          </cell>
          <cell r="BR482">
            <v>43.428571428571431</v>
          </cell>
          <cell r="BS482">
            <v>0</v>
          </cell>
          <cell r="BT482">
            <v>17.833333333333332</v>
          </cell>
          <cell r="BU482">
            <v>18</v>
          </cell>
          <cell r="BV482">
            <v>15.428571428571427</v>
          </cell>
          <cell r="BW482">
            <v>0</v>
          </cell>
          <cell r="BX482">
            <v>0</v>
          </cell>
          <cell r="BY482">
            <v>16.833333333333332</v>
          </cell>
          <cell r="BZ482">
            <v>18</v>
          </cell>
          <cell r="CA482">
            <v>15.428571428571427</v>
          </cell>
          <cell r="CB482">
            <v>0</v>
          </cell>
          <cell r="CC482">
            <v>0</v>
          </cell>
          <cell r="CD482">
            <v>16.833333333333332</v>
          </cell>
          <cell r="CE482">
            <v>13</v>
          </cell>
          <cell r="CF482">
            <v>11.142857142857142</v>
          </cell>
          <cell r="CG482">
            <v>0</v>
          </cell>
          <cell r="CH482">
            <v>0</v>
          </cell>
          <cell r="CI482">
            <v>15.666666666666666</v>
          </cell>
          <cell r="CJ482">
            <v>17</v>
          </cell>
          <cell r="CK482">
            <v>14.571428571428571</v>
          </cell>
          <cell r="CL482">
            <v>0</v>
          </cell>
          <cell r="CM482">
            <v>0</v>
          </cell>
          <cell r="CN482">
            <v>15.833333333333334</v>
          </cell>
          <cell r="CO482">
            <v>17</v>
          </cell>
          <cell r="CP482">
            <v>14.571428571428571</v>
          </cell>
          <cell r="CQ482">
            <v>0</v>
          </cell>
          <cell r="CR482">
            <v>0</v>
          </cell>
          <cell r="CS482">
            <v>15.833333333333334</v>
          </cell>
          <cell r="CT482">
            <v>17</v>
          </cell>
          <cell r="CU482">
            <v>14.571428571428571</v>
          </cell>
          <cell r="CV482">
            <v>0</v>
          </cell>
          <cell r="CW482">
            <v>0</v>
          </cell>
          <cell r="CX482">
            <v>15.833333333333334</v>
          </cell>
          <cell r="CY482">
            <v>17</v>
          </cell>
          <cell r="CZ482">
            <v>14.571428571428571</v>
          </cell>
          <cell r="DA482">
            <v>0</v>
          </cell>
          <cell r="DB482">
            <v>0</v>
          </cell>
          <cell r="DC482">
            <v>16.5625</v>
          </cell>
          <cell r="DD482">
            <v>17</v>
          </cell>
          <cell r="DE482">
            <v>36.571428571428569</v>
          </cell>
          <cell r="DF482">
            <v>0</v>
          </cell>
          <cell r="DG482">
            <v>0</v>
          </cell>
          <cell r="DH482">
            <v>16.5625</v>
          </cell>
          <cell r="DI482">
            <v>17</v>
          </cell>
          <cell r="DJ482">
            <v>38.571428571428569</v>
          </cell>
          <cell r="DK482">
            <v>0</v>
          </cell>
          <cell r="DL482">
            <v>0</v>
          </cell>
          <cell r="DM482">
            <v>16.125</v>
          </cell>
          <cell r="DN482">
            <v>17</v>
          </cell>
          <cell r="DO482">
            <v>38.571428571428569</v>
          </cell>
          <cell r="DP482">
            <v>0</v>
          </cell>
          <cell r="DQ482">
            <v>0</v>
          </cell>
          <cell r="DR482">
            <v>16.5625</v>
          </cell>
          <cell r="DS482">
            <v>16.5625</v>
          </cell>
          <cell r="DT482">
            <v>37.571428571428569</v>
          </cell>
          <cell r="DU482">
            <v>0</v>
          </cell>
          <cell r="DV482">
            <v>0</v>
          </cell>
          <cell r="DW482">
            <v>16.125</v>
          </cell>
          <cell r="DX482">
            <v>16.125</v>
          </cell>
          <cell r="DY482">
            <v>36.571428571428569</v>
          </cell>
          <cell r="DZ482">
            <v>0</v>
          </cell>
          <cell r="EA482">
            <v>0</v>
          </cell>
          <cell r="EB482">
            <v>15.6875</v>
          </cell>
          <cell r="EC482">
            <v>15.6875</v>
          </cell>
          <cell r="ED482">
            <v>35.571428571428569</v>
          </cell>
          <cell r="EE482">
            <v>0</v>
          </cell>
          <cell r="EF482">
            <v>0</v>
          </cell>
          <cell r="EG482">
            <v>15.25</v>
          </cell>
          <cell r="EH482">
            <v>15.25</v>
          </cell>
          <cell r="EI482">
            <v>34.571428571428569</v>
          </cell>
          <cell r="EJ482">
            <v>0</v>
          </cell>
          <cell r="EK482">
            <v>0</v>
          </cell>
          <cell r="EL482">
            <v>14.8125</v>
          </cell>
          <cell r="EM482">
            <v>14.8125</v>
          </cell>
          <cell r="EN482">
            <v>33.571428571428569</v>
          </cell>
          <cell r="EO482">
            <v>0</v>
          </cell>
          <cell r="EP482">
            <v>0</v>
          </cell>
          <cell r="EQ482">
            <v>14.375</v>
          </cell>
          <cell r="ER482">
            <v>14.375</v>
          </cell>
          <cell r="ES482">
            <v>32.571428571428569</v>
          </cell>
          <cell r="ET482">
            <v>0</v>
          </cell>
          <cell r="EU482">
            <v>0</v>
          </cell>
          <cell r="EV482">
            <v>13.9375</v>
          </cell>
          <cell r="EW482">
            <v>13.9375</v>
          </cell>
          <cell r="EX482">
            <v>31.571428571428573</v>
          </cell>
          <cell r="EY482">
            <v>0</v>
          </cell>
          <cell r="EZ482">
            <v>0</v>
          </cell>
          <cell r="FA482">
            <v>13.5</v>
          </cell>
          <cell r="FB482">
            <v>13.5</v>
          </cell>
          <cell r="FC482">
            <v>30.571428571428573</v>
          </cell>
          <cell r="FD482">
            <v>0</v>
          </cell>
          <cell r="FE482">
            <v>0</v>
          </cell>
          <cell r="FF482">
            <v>13.0625</v>
          </cell>
          <cell r="FG482">
            <v>13.0625</v>
          </cell>
          <cell r="FH482">
            <v>29.571428571428573</v>
          </cell>
          <cell r="FI482">
            <v>0</v>
          </cell>
          <cell r="FJ482">
            <v>0</v>
          </cell>
          <cell r="FK482">
            <v>12.625</v>
          </cell>
          <cell r="FL482">
            <v>12.625</v>
          </cell>
          <cell r="FM482">
            <v>28.571428571428573</v>
          </cell>
          <cell r="FN482">
            <v>0</v>
          </cell>
          <cell r="FO482">
            <v>0</v>
          </cell>
          <cell r="FP482">
            <v>12.1875</v>
          </cell>
          <cell r="FQ482">
            <v>12.1875</v>
          </cell>
          <cell r="FR482">
            <v>27.571428571428573</v>
          </cell>
          <cell r="FS482">
            <v>0</v>
          </cell>
          <cell r="FT482">
            <v>1</v>
          </cell>
          <cell r="FU482">
            <v>1.0333333333333334</v>
          </cell>
          <cell r="FW482" t="str">
            <v>SIN ROTACIÓN</v>
          </cell>
          <cell r="FX482" t="str">
            <v>B</v>
          </cell>
          <cell r="FY482" t="str">
            <v>Si</v>
          </cell>
        </row>
        <row r="483">
          <cell r="B483" t="str">
            <v>REP-0500</v>
          </cell>
          <cell r="C483" t="str">
            <v>R+M</v>
          </cell>
          <cell r="D483">
            <v>0</v>
          </cell>
          <cell r="E483">
            <v>115</v>
          </cell>
          <cell r="F483">
            <v>0</v>
          </cell>
          <cell r="G483">
            <v>0</v>
          </cell>
          <cell r="H483">
            <v>23</v>
          </cell>
          <cell r="I483">
            <v>23</v>
          </cell>
          <cell r="J483">
            <v>0</v>
          </cell>
          <cell r="K483">
            <v>4</v>
          </cell>
          <cell r="L483">
            <v>4</v>
          </cell>
          <cell r="M483">
            <v>4</v>
          </cell>
          <cell r="N483">
            <v>2</v>
          </cell>
          <cell r="O483">
            <v>3</v>
          </cell>
          <cell r="P483">
            <v>2</v>
          </cell>
          <cell r="Q483">
            <v>1</v>
          </cell>
          <cell r="R483">
            <v>0</v>
          </cell>
          <cell r="S483">
            <v>0</v>
          </cell>
          <cell r="T483">
            <v>0</v>
          </cell>
          <cell r="U483">
            <v>2</v>
          </cell>
          <cell r="V483">
            <v>2</v>
          </cell>
          <cell r="W483">
            <v>2</v>
          </cell>
          <cell r="X483">
            <v>2</v>
          </cell>
          <cell r="Y483">
            <v>189</v>
          </cell>
          <cell r="AA483">
            <v>189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0.33333333333333331</v>
          </cell>
          <cell r="AG483">
            <v>0.91666666666666663</v>
          </cell>
          <cell r="AH483">
            <v>0.91666666666666663</v>
          </cell>
          <cell r="AI483">
            <v>0.66666666666666663</v>
          </cell>
          <cell r="AJ483">
            <v>0.66666666666666663</v>
          </cell>
          <cell r="AK483">
            <v>0.79166666666666663</v>
          </cell>
          <cell r="AL483">
            <v>0.14433756729740696</v>
          </cell>
          <cell r="AM483">
            <v>0.79166666666666663</v>
          </cell>
          <cell r="AN483">
            <v>0.18232113763882984</v>
          </cell>
          <cell r="AO483">
            <v>0</v>
          </cell>
          <cell r="AP483">
            <v>132</v>
          </cell>
          <cell r="AQ483">
            <v>87.666666666666671</v>
          </cell>
          <cell r="AR483">
            <v>0</v>
          </cell>
          <cell r="AS483">
            <v>130.66666666666669</v>
          </cell>
          <cell r="AT483">
            <v>130</v>
          </cell>
          <cell r="AU483">
            <v>111.42857142857142</v>
          </cell>
          <cell r="AV483">
            <v>0</v>
          </cell>
          <cell r="AW483">
            <v>128.83333333333334</v>
          </cell>
          <cell r="AX483">
            <v>133</v>
          </cell>
          <cell r="AY483">
            <v>168</v>
          </cell>
          <cell r="AZ483">
            <v>0</v>
          </cell>
          <cell r="BA483">
            <v>132</v>
          </cell>
          <cell r="BB483">
            <v>130</v>
          </cell>
          <cell r="BC483">
            <v>130</v>
          </cell>
          <cell r="BD483">
            <v>0</v>
          </cell>
          <cell r="BE483">
            <v>129</v>
          </cell>
          <cell r="BF483">
            <v>129</v>
          </cell>
          <cell r="BG483">
            <v>0</v>
          </cell>
          <cell r="BH483">
            <v>128</v>
          </cell>
          <cell r="BI483">
            <v>189</v>
          </cell>
          <cell r="BJ483">
            <v>238.73684210526318</v>
          </cell>
          <cell r="BK483">
            <v>0</v>
          </cell>
          <cell r="BL483">
            <v>124.08333333333333</v>
          </cell>
          <cell r="BM483">
            <v>127</v>
          </cell>
          <cell r="BN483">
            <v>138.54545454545456</v>
          </cell>
          <cell r="BO483">
            <v>0</v>
          </cell>
          <cell r="BP483">
            <v>126.08333333333333</v>
          </cell>
          <cell r="BQ483">
            <v>127</v>
          </cell>
          <cell r="BR483">
            <v>160.42105263157896</v>
          </cell>
          <cell r="BS483">
            <v>0</v>
          </cell>
          <cell r="BT483">
            <v>126.08333333333333</v>
          </cell>
          <cell r="BU483">
            <v>124</v>
          </cell>
          <cell r="BV483">
            <v>124</v>
          </cell>
          <cell r="BW483">
            <v>0</v>
          </cell>
          <cell r="BX483">
            <v>0</v>
          </cell>
          <cell r="BY483">
            <v>123</v>
          </cell>
          <cell r="BZ483">
            <v>123</v>
          </cell>
          <cell r="CA483">
            <v>105.42857142857142</v>
          </cell>
          <cell r="CB483">
            <v>0</v>
          </cell>
          <cell r="CC483">
            <v>0</v>
          </cell>
          <cell r="CD483">
            <v>121.83333333333333</v>
          </cell>
          <cell r="CE483">
            <v>122</v>
          </cell>
          <cell r="CF483">
            <v>122</v>
          </cell>
          <cell r="CG483">
            <v>0</v>
          </cell>
          <cell r="CH483">
            <v>0</v>
          </cell>
          <cell r="CI483">
            <v>120.83333333333333</v>
          </cell>
          <cell r="CJ483">
            <v>127</v>
          </cell>
          <cell r="CK483">
            <v>127</v>
          </cell>
          <cell r="CL483">
            <v>0</v>
          </cell>
          <cell r="CM483">
            <v>0</v>
          </cell>
          <cell r="CN483">
            <v>126</v>
          </cell>
          <cell r="CO483">
            <v>129</v>
          </cell>
          <cell r="CP483">
            <v>129</v>
          </cell>
          <cell r="CQ483">
            <v>0</v>
          </cell>
          <cell r="CR483">
            <v>0</v>
          </cell>
          <cell r="CS483">
            <v>128</v>
          </cell>
          <cell r="CT483">
            <v>134</v>
          </cell>
          <cell r="CU483">
            <v>146.18181818181819</v>
          </cell>
          <cell r="CV483">
            <v>0</v>
          </cell>
          <cell r="CW483">
            <v>0</v>
          </cell>
          <cell r="CX483">
            <v>133.08333333333334</v>
          </cell>
          <cell r="CY483">
            <v>135</v>
          </cell>
          <cell r="CZ483">
            <v>147.27272727272728</v>
          </cell>
          <cell r="DA483">
            <v>0</v>
          </cell>
          <cell r="DB483">
            <v>0</v>
          </cell>
          <cell r="DC483">
            <v>134.4375</v>
          </cell>
          <cell r="DD483">
            <v>169</v>
          </cell>
          <cell r="DE483">
            <v>250.5</v>
          </cell>
          <cell r="DF483">
            <v>0</v>
          </cell>
          <cell r="DG483">
            <v>0</v>
          </cell>
          <cell r="DH483">
            <v>168.33333333333334</v>
          </cell>
          <cell r="DI483">
            <v>166</v>
          </cell>
          <cell r="DJ483">
            <v>200.78787878787881</v>
          </cell>
          <cell r="DK483">
            <v>0</v>
          </cell>
          <cell r="DL483">
            <v>0</v>
          </cell>
          <cell r="DM483">
            <v>167.50833333333335</v>
          </cell>
          <cell r="DN483">
            <v>189</v>
          </cell>
          <cell r="DO483">
            <v>238.21052631578948</v>
          </cell>
          <cell r="DP483">
            <v>0</v>
          </cell>
          <cell r="DQ483">
            <v>0</v>
          </cell>
          <cell r="DR483">
            <v>188.20833333333334</v>
          </cell>
          <cell r="DS483">
            <v>188.20833333333334</v>
          </cell>
          <cell r="DT483">
            <v>237.21052631578951</v>
          </cell>
          <cell r="DU483">
            <v>0</v>
          </cell>
          <cell r="DV483">
            <v>0</v>
          </cell>
          <cell r="DW483">
            <v>187.41666666666669</v>
          </cell>
          <cell r="DX483">
            <v>187.41666666666669</v>
          </cell>
          <cell r="DY483">
            <v>236.21052631578951</v>
          </cell>
          <cell r="DZ483">
            <v>0</v>
          </cell>
          <cell r="EA483">
            <v>0</v>
          </cell>
          <cell r="EB483">
            <v>186.62500000000003</v>
          </cell>
          <cell r="EC483">
            <v>186.62500000000003</v>
          </cell>
          <cell r="ED483">
            <v>235.21052631578951</v>
          </cell>
          <cell r="EE483">
            <v>0</v>
          </cell>
          <cell r="EF483">
            <v>0</v>
          </cell>
          <cell r="EG483">
            <v>185.83333333333337</v>
          </cell>
          <cell r="EH483">
            <v>185.83333333333337</v>
          </cell>
          <cell r="EI483">
            <v>234.21052631578954</v>
          </cell>
          <cell r="EJ483">
            <v>0</v>
          </cell>
          <cell r="EK483">
            <v>0</v>
          </cell>
          <cell r="EL483">
            <v>185.04166666666671</v>
          </cell>
          <cell r="EM483">
            <v>185.04166666666671</v>
          </cell>
          <cell r="EN483">
            <v>233.21052631578954</v>
          </cell>
          <cell r="EO483">
            <v>0</v>
          </cell>
          <cell r="EP483">
            <v>0</v>
          </cell>
          <cell r="EQ483">
            <v>184.25000000000006</v>
          </cell>
          <cell r="ER483">
            <v>184.25000000000006</v>
          </cell>
          <cell r="ES483">
            <v>232.21052631578956</v>
          </cell>
          <cell r="ET483">
            <v>0</v>
          </cell>
          <cell r="EU483">
            <v>0</v>
          </cell>
          <cell r="EV483">
            <v>183.4583333333334</v>
          </cell>
          <cell r="EW483">
            <v>183.4583333333334</v>
          </cell>
          <cell r="EX483">
            <v>231.21052631578956</v>
          </cell>
          <cell r="EY483">
            <v>0</v>
          </cell>
          <cell r="EZ483">
            <v>0</v>
          </cell>
          <cell r="FA483">
            <v>182.66666666666674</v>
          </cell>
          <cell r="FB483">
            <v>182.66666666666674</v>
          </cell>
          <cell r="FC483">
            <v>230.21052631578959</v>
          </cell>
          <cell r="FD483">
            <v>0</v>
          </cell>
          <cell r="FE483">
            <v>0</v>
          </cell>
          <cell r="FF483">
            <v>181.87500000000009</v>
          </cell>
          <cell r="FG483">
            <v>181.87500000000009</v>
          </cell>
          <cell r="FH483">
            <v>229.21052631578959</v>
          </cell>
          <cell r="FI483">
            <v>0</v>
          </cell>
          <cell r="FJ483">
            <v>0</v>
          </cell>
          <cell r="FK483">
            <v>181.08333333333343</v>
          </cell>
          <cell r="FL483">
            <v>181.08333333333343</v>
          </cell>
          <cell r="FM483">
            <v>228.21052631578959</v>
          </cell>
          <cell r="FN483">
            <v>0</v>
          </cell>
          <cell r="FO483">
            <v>0</v>
          </cell>
          <cell r="FP483">
            <v>180.29166666666677</v>
          </cell>
          <cell r="FQ483">
            <v>180.29166666666677</v>
          </cell>
          <cell r="FR483">
            <v>227.21052631578962</v>
          </cell>
          <cell r="FS483">
            <v>0</v>
          </cell>
          <cell r="FT483">
            <v>2</v>
          </cell>
          <cell r="FU483">
            <v>2.0333333333333332</v>
          </cell>
          <cell r="FW483" t="str">
            <v>SOBRESTOCK</v>
          </cell>
          <cell r="FX483" t="str">
            <v>C</v>
          </cell>
          <cell r="FY483" t="str">
            <v>Si</v>
          </cell>
        </row>
        <row r="484">
          <cell r="B484" t="str">
            <v>REP-0501</v>
          </cell>
          <cell r="C484" t="str">
            <v>R+M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4</v>
          </cell>
          <cell r="L484">
            <v>4</v>
          </cell>
          <cell r="M484">
            <v>4</v>
          </cell>
          <cell r="N484">
            <v>0</v>
          </cell>
          <cell r="O484">
            <v>1</v>
          </cell>
          <cell r="P484">
            <v>0</v>
          </cell>
          <cell r="Q484">
            <v>1</v>
          </cell>
          <cell r="R484">
            <v>0</v>
          </cell>
          <cell r="S484">
            <v>1</v>
          </cell>
          <cell r="T484">
            <v>2</v>
          </cell>
          <cell r="U484">
            <v>1</v>
          </cell>
          <cell r="V484">
            <v>0</v>
          </cell>
          <cell r="W484">
            <v>0</v>
          </cell>
          <cell r="X484">
            <v>1</v>
          </cell>
          <cell r="Y484">
            <v>19</v>
          </cell>
          <cell r="AA484">
            <v>19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1.0833333333333333</v>
          </cell>
          <cell r="AG484">
            <v>2.75</v>
          </cell>
          <cell r="AH484">
            <v>2.25</v>
          </cell>
          <cell r="AI484">
            <v>2.1666666666666665</v>
          </cell>
          <cell r="AJ484">
            <v>2.1666666666666665</v>
          </cell>
          <cell r="AK484">
            <v>2.75</v>
          </cell>
          <cell r="AL484">
            <v>0.60953078493032464</v>
          </cell>
          <cell r="AM484">
            <v>2.333333333333333</v>
          </cell>
          <cell r="AN484">
            <v>0.26122747925585343</v>
          </cell>
          <cell r="AO484">
            <v>0</v>
          </cell>
          <cell r="AP484">
            <v>3.25</v>
          </cell>
          <cell r="AQ484">
            <v>15</v>
          </cell>
          <cell r="AR484">
            <v>0</v>
          </cell>
          <cell r="AS484">
            <v>49</v>
          </cell>
          <cell r="AT484">
            <v>1</v>
          </cell>
          <cell r="AU484">
            <v>0.2857142857142857</v>
          </cell>
          <cell r="AV484">
            <v>0</v>
          </cell>
          <cell r="AW484">
            <v>-2.5</v>
          </cell>
          <cell r="AX484">
            <v>0</v>
          </cell>
          <cell r="AY484">
            <v>0</v>
          </cell>
          <cell r="AZ484">
            <v>0</v>
          </cell>
          <cell r="BA484">
            <v>46.666666666666664</v>
          </cell>
          <cell r="BB484">
            <v>50</v>
          </cell>
          <cell r="BC484">
            <v>16.666666666666668</v>
          </cell>
          <cell r="BD484">
            <v>0</v>
          </cell>
          <cell r="BE484">
            <v>47</v>
          </cell>
          <cell r="BF484">
            <v>15.666666666666666</v>
          </cell>
          <cell r="BG484">
            <v>0</v>
          </cell>
          <cell r="BH484">
            <v>44</v>
          </cell>
          <cell r="BI484">
            <v>19</v>
          </cell>
          <cell r="BJ484">
            <v>6.9090909090909092</v>
          </cell>
          <cell r="BK484">
            <v>0</v>
          </cell>
          <cell r="BL484">
            <v>41.25</v>
          </cell>
          <cell r="BM484">
            <v>44</v>
          </cell>
          <cell r="BN484">
            <v>16</v>
          </cell>
          <cell r="BO484">
            <v>0</v>
          </cell>
          <cell r="BP484">
            <v>41.25</v>
          </cell>
          <cell r="BQ484">
            <v>42</v>
          </cell>
          <cell r="BR484">
            <v>15.272727272727273</v>
          </cell>
          <cell r="BS484">
            <v>0</v>
          </cell>
          <cell r="BT484">
            <v>39.25</v>
          </cell>
          <cell r="BU484">
            <v>39</v>
          </cell>
          <cell r="BV484">
            <v>14.181818181818182</v>
          </cell>
          <cell r="BW484">
            <v>37</v>
          </cell>
          <cell r="BX484">
            <v>0</v>
          </cell>
          <cell r="BY484">
            <v>36.25</v>
          </cell>
          <cell r="BZ484">
            <v>38</v>
          </cell>
          <cell r="CA484">
            <v>13.818181818181818</v>
          </cell>
          <cell r="CB484">
            <v>38</v>
          </cell>
          <cell r="CC484">
            <v>0</v>
          </cell>
          <cell r="CD484">
            <v>35.25</v>
          </cell>
          <cell r="CE484">
            <v>36</v>
          </cell>
          <cell r="CF484">
            <v>13.090909090909092</v>
          </cell>
          <cell r="CG484">
            <v>40</v>
          </cell>
          <cell r="CH484">
            <v>0</v>
          </cell>
          <cell r="CI484">
            <v>72.5</v>
          </cell>
          <cell r="CJ484">
            <v>35</v>
          </cell>
          <cell r="CK484">
            <v>12.727272727272727</v>
          </cell>
          <cell r="CL484">
            <v>41</v>
          </cell>
          <cell r="CM484">
            <v>0</v>
          </cell>
          <cell r="CN484">
            <v>32.25</v>
          </cell>
          <cell r="CO484">
            <v>27</v>
          </cell>
          <cell r="CP484">
            <v>5.4</v>
          </cell>
          <cell r="CQ484">
            <v>43.75</v>
          </cell>
          <cell r="CR484">
            <v>0</v>
          </cell>
          <cell r="CS484">
            <v>22</v>
          </cell>
          <cell r="CT484">
            <v>24</v>
          </cell>
          <cell r="CU484">
            <v>6</v>
          </cell>
          <cell r="CV484">
            <v>0</v>
          </cell>
          <cell r="CW484">
            <v>0</v>
          </cell>
          <cell r="CX484">
            <v>20</v>
          </cell>
          <cell r="CY484">
            <v>20</v>
          </cell>
          <cell r="CZ484">
            <v>5.454545454545455</v>
          </cell>
          <cell r="DA484">
            <v>0</v>
          </cell>
          <cell r="DB484">
            <v>0</v>
          </cell>
          <cell r="DC484">
            <v>17</v>
          </cell>
          <cell r="DD484">
            <v>20</v>
          </cell>
          <cell r="DE484">
            <v>4.666666666666667</v>
          </cell>
          <cell r="DF484">
            <v>0</v>
          </cell>
          <cell r="DG484">
            <v>0</v>
          </cell>
          <cell r="DH484">
            <v>17</v>
          </cell>
          <cell r="DI484">
            <v>20</v>
          </cell>
          <cell r="DJ484">
            <v>7.0909090909090908</v>
          </cell>
          <cell r="DK484">
            <v>0</v>
          </cell>
          <cell r="DL484">
            <v>50</v>
          </cell>
          <cell r="DM484">
            <v>14.25</v>
          </cell>
          <cell r="DN484">
            <v>19</v>
          </cell>
          <cell r="DO484">
            <v>6.7272727272727275</v>
          </cell>
          <cell r="DP484">
            <v>0</v>
          </cell>
          <cell r="DQ484">
            <v>50</v>
          </cell>
          <cell r="DR484">
            <v>66.25</v>
          </cell>
          <cell r="DS484">
            <v>66.25</v>
          </cell>
          <cell r="DT484">
            <v>23.90909090909091</v>
          </cell>
          <cell r="DU484">
            <v>0</v>
          </cell>
          <cell r="DV484">
            <v>0</v>
          </cell>
          <cell r="DW484">
            <v>63.5</v>
          </cell>
          <cell r="DX484">
            <v>63.5</v>
          </cell>
          <cell r="DY484">
            <v>22.90909090909091</v>
          </cell>
          <cell r="DZ484">
            <v>0</v>
          </cell>
          <cell r="EA484">
            <v>0</v>
          </cell>
          <cell r="EB484">
            <v>60.75</v>
          </cell>
          <cell r="EC484">
            <v>60.75</v>
          </cell>
          <cell r="ED484">
            <v>21.90909090909091</v>
          </cell>
          <cell r="EE484">
            <v>0</v>
          </cell>
          <cell r="EF484">
            <v>0</v>
          </cell>
          <cell r="EG484">
            <v>58</v>
          </cell>
          <cell r="EH484">
            <v>58</v>
          </cell>
          <cell r="EI484">
            <v>20.90909090909091</v>
          </cell>
          <cell r="EJ484">
            <v>0</v>
          </cell>
          <cell r="EK484">
            <v>0</v>
          </cell>
          <cell r="EL484">
            <v>55.25</v>
          </cell>
          <cell r="EM484">
            <v>55.25</v>
          </cell>
          <cell r="EN484">
            <v>19.90909090909091</v>
          </cell>
          <cell r="EO484">
            <v>0</v>
          </cell>
          <cell r="EP484">
            <v>0</v>
          </cell>
          <cell r="EQ484">
            <v>52.5</v>
          </cell>
          <cell r="ER484">
            <v>52.5</v>
          </cell>
          <cell r="ES484">
            <v>18.90909090909091</v>
          </cell>
          <cell r="ET484">
            <v>0</v>
          </cell>
          <cell r="EU484">
            <v>0</v>
          </cell>
          <cell r="EV484">
            <v>49.75</v>
          </cell>
          <cell r="EW484">
            <v>49.75</v>
          </cell>
          <cell r="EX484">
            <v>17.909090909090907</v>
          </cell>
          <cell r="EY484">
            <v>0</v>
          </cell>
          <cell r="EZ484">
            <v>0</v>
          </cell>
          <cell r="FA484">
            <v>47</v>
          </cell>
          <cell r="FB484">
            <v>47</v>
          </cell>
          <cell r="FC484">
            <v>16.909090909090907</v>
          </cell>
          <cell r="FD484">
            <v>0</v>
          </cell>
          <cell r="FE484">
            <v>0</v>
          </cell>
          <cell r="FF484">
            <v>44.25</v>
          </cell>
          <cell r="FG484">
            <v>44.25</v>
          </cell>
          <cell r="FH484">
            <v>15.909090909090908</v>
          </cell>
          <cell r="FI484">
            <v>0</v>
          </cell>
          <cell r="FJ484">
            <v>0</v>
          </cell>
          <cell r="FK484">
            <v>41.5</v>
          </cell>
          <cell r="FL484">
            <v>41.5</v>
          </cell>
          <cell r="FM484">
            <v>14.909090909090908</v>
          </cell>
          <cell r="FN484">
            <v>0</v>
          </cell>
          <cell r="FO484">
            <v>0</v>
          </cell>
          <cell r="FP484">
            <v>38.75</v>
          </cell>
          <cell r="FQ484">
            <v>38.75</v>
          </cell>
          <cell r="FR484">
            <v>13.909090909090908</v>
          </cell>
          <cell r="FS484">
            <v>0</v>
          </cell>
          <cell r="FT484">
            <v>6</v>
          </cell>
          <cell r="FU484">
            <v>2.0333333333333332</v>
          </cell>
          <cell r="FW484" t="str">
            <v>SOBRESTOCK</v>
          </cell>
          <cell r="FX484" t="str">
            <v>B</v>
          </cell>
          <cell r="FY484" t="str">
            <v>Si</v>
          </cell>
        </row>
        <row r="485">
          <cell r="B485" t="str">
            <v>REP-0502</v>
          </cell>
          <cell r="C485" t="str">
            <v>TROTTER</v>
          </cell>
          <cell r="D485">
            <v>0</v>
          </cell>
          <cell r="E485">
            <v>1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1</v>
          </cell>
          <cell r="AA485">
            <v>1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8.3333333333333329E-2</v>
          </cell>
          <cell r="AG485">
            <v>0</v>
          </cell>
          <cell r="AH485">
            <v>8.3333333333333329E-2</v>
          </cell>
          <cell r="AI485">
            <v>0.5</v>
          </cell>
          <cell r="AJ485">
            <v>0.5</v>
          </cell>
          <cell r="AK485">
            <v>0.5</v>
          </cell>
          <cell r="AL485">
            <v>0.26679684322636865</v>
          </cell>
          <cell r="AM485">
            <v>0.27083333333333337</v>
          </cell>
          <cell r="AN485">
            <v>0.98509603652813027</v>
          </cell>
          <cell r="AO485">
            <v>0</v>
          </cell>
          <cell r="AP485">
            <v>-0.16666666666666666</v>
          </cell>
          <cell r="AQ485">
            <v>-1</v>
          </cell>
          <cell r="AR485">
            <v>0</v>
          </cell>
          <cell r="AS485">
            <v>-0.16666666666666666</v>
          </cell>
          <cell r="AT485">
            <v>2</v>
          </cell>
          <cell r="AU485" t="str">
            <v/>
          </cell>
          <cell r="AV485">
            <v>0</v>
          </cell>
          <cell r="AW485">
            <v>2</v>
          </cell>
          <cell r="AX485">
            <v>2</v>
          </cell>
          <cell r="AY485">
            <v>4</v>
          </cell>
          <cell r="AZ485">
            <v>0</v>
          </cell>
          <cell r="BA485">
            <v>2</v>
          </cell>
          <cell r="BB485">
            <v>2</v>
          </cell>
          <cell r="BC485" t="str">
            <v/>
          </cell>
          <cell r="BD485">
            <v>0</v>
          </cell>
          <cell r="BE485">
            <v>2</v>
          </cell>
          <cell r="BF485" t="str">
            <v/>
          </cell>
          <cell r="BG485">
            <v>0</v>
          </cell>
          <cell r="BH485">
            <v>2</v>
          </cell>
          <cell r="BI485">
            <v>1</v>
          </cell>
          <cell r="BJ485">
            <v>2</v>
          </cell>
          <cell r="BK485">
            <v>0</v>
          </cell>
          <cell r="BL485">
            <v>2</v>
          </cell>
          <cell r="BM485">
            <v>2</v>
          </cell>
          <cell r="BN485" t="str">
            <v/>
          </cell>
          <cell r="BO485">
            <v>0</v>
          </cell>
          <cell r="BP485">
            <v>2</v>
          </cell>
          <cell r="BQ485">
            <v>2</v>
          </cell>
          <cell r="BR485">
            <v>4</v>
          </cell>
          <cell r="BS485">
            <v>0</v>
          </cell>
          <cell r="BT485">
            <v>2</v>
          </cell>
          <cell r="BU485">
            <v>1</v>
          </cell>
          <cell r="BV485">
            <v>6</v>
          </cell>
          <cell r="BW485">
            <v>1</v>
          </cell>
          <cell r="BX485">
            <v>0</v>
          </cell>
          <cell r="BY485">
            <v>0.83333333333333337</v>
          </cell>
          <cell r="BZ485">
            <v>1</v>
          </cell>
          <cell r="CA485">
            <v>6</v>
          </cell>
          <cell r="CB485">
            <v>1</v>
          </cell>
          <cell r="CC485">
            <v>0</v>
          </cell>
          <cell r="CD485">
            <v>0.83333333333333337</v>
          </cell>
          <cell r="CE485">
            <v>1</v>
          </cell>
          <cell r="CF485">
            <v>6</v>
          </cell>
          <cell r="CG485">
            <v>1</v>
          </cell>
          <cell r="CH485">
            <v>0</v>
          </cell>
          <cell r="CI485">
            <v>1.6666666666666667</v>
          </cell>
          <cell r="CJ485">
            <v>2</v>
          </cell>
          <cell r="CK485">
            <v>12</v>
          </cell>
          <cell r="CL485">
            <v>0</v>
          </cell>
          <cell r="CM485">
            <v>0</v>
          </cell>
          <cell r="CN485">
            <v>1.8333333333333333</v>
          </cell>
          <cell r="CO485">
            <v>2</v>
          </cell>
          <cell r="CP485">
            <v>12</v>
          </cell>
          <cell r="CQ485">
            <v>0.16666666666666674</v>
          </cell>
          <cell r="CR485">
            <v>0</v>
          </cell>
          <cell r="CS485">
            <v>1.8333333333333333</v>
          </cell>
          <cell r="CT485">
            <v>2</v>
          </cell>
          <cell r="CU485">
            <v>12</v>
          </cell>
          <cell r="CV485">
            <v>0</v>
          </cell>
          <cell r="CW485">
            <v>0</v>
          </cell>
          <cell r="CX485">
            <v>1.8333333333333333</v>
          </cell>
          <cell r="CY485">
            <v>2</v>
          </cell>
          <cell r="CZ485">
            <v>6</v>
          </cell>
          <cell r="DA485">
            <v>0</v>
          </cell>
          <cell r="DB485">
            <v>0</v>
          </cell>
          <cell r="DC485">
            <v>1.75</v>
          </cell>
          <cell r="DD485">
            <v>0</v>
          </cell>
          <cell r="DE485">
            <v>-2.6666666666666665</v>
          </cell>
          <cell r="DF485">
            <v>0.25</v>
          </cell>
          <cell r="DG485">
            <v>0</v>
          </cell>
          <cell r="DH485">
            <v>-0.75</v>
          </cell>
          <cell r="DI485">
            <v>1</v>
          </cell>
          <cell r="DJ485">
            <v>0.33333333333333326</v>
          </cell>
          <cell r="DK485">
            <v>2.75</v>
          </cell>
          <cell r="DL485">
            <v>0</v>
          </cell>
          <cell r="DM485">
            <v>1.4</v>
          </cell>
          <cell r="DN485">
            <v>1</v>
          </cell>
          <cell r="DO485">
            <v>0</v>
          </cell>
          <cell r="DP485">
            <v>1</v>
          </cell>
          <cell r="DQ485">
            <v>0</v>
          </cell>
          <cell r="DR485">
            <v>0.5</v>
          </cell>
          <cell r="DS485">
            <v>0.5</v>
          </cell>
          <cell r="DT485">
            <v>-1</v>
          </cell>
          <cell r="DU485">
            <v>1.5</v>
          </cell>
          <cell r="DV485">
            <v>0</v>
          </cell>
          <cell r="DW485">
            <v>0</v>
          </cell>
          <cell r="DX485">
            <v>0</v>
          </cell>
          <cell r="DY485">
            <v>-2</v>
          </cell>
          <cell r="DZ485">
            <v>2</v>
          </cell>
          <cell r="EA485">
            <v>0</v>
          </cell>
          <cell r="EB485">
            <v>-0.5</v>
          </cell>
          <cell r="EC485">
            <v>-0.5</v>
          </cell>
          <cell r="ED485">
            <v>-3</v>
          </cell>
          <cell r="EE485">
            <v>2.5</v>
          </cell>
          <cell r="EF485">
            <v>0</v>
          </cell>
          <cell r="EG485">
            <v>-1</v>
          </cell>
          <cell r="EH485">
            <v>-1</v>
          </cell>
          <cell r="EI485">
            <v>-4</v>
          </cell>
          <cell r="EJ485">
            <v>3</v>
          </cell>
          <cell r="EK485">
            <v>0</v>
          </cell>
          <cell r="EL485">
            <v>-1.5</v>
          </cell>
          <cell r="EM485">
            <v>-1.5</v>
          </cell>
          <cell r="EN485">
            <v>-5</v>
          </cell>
          <cell r="EO485">
            <v>3.5</v>
          </cell>
          <cell r="EP485">
            <v>0</v>
          </cell>
          <cell r="EQ485">
            <v>-2</v>
          </cell>
          <cell r="ER485">
            <v>-2</v>
          </cell>
          <cell r="ES485">
            <v>-6</v>
          </cell>
          <cell r="ET485">
            <v>4</v>
          </cell>
          <cell r="EU485">
            <v>0</v>
          </cell>
          <cell r="EV485">
            <v>-2.5</v>
          </cell>
          <cell r="EW485">
            <v>-2.5</v>
          </cell>
          <cell r="EX485">
            <v>-7</v>
          </cell>
          <cell r="EY485">
            <v>4.5</v>
          </cell>
          <cell r="EZ485">
            <v>0</v>
          </cell>
          <cell r="FA485">
            <v>-3</v>
          </cell>
          <cell r="FB485">
            <v>-3</v>
          </cell>
          <cell r="FC485">
            <v>-8</v>
          </cell>
          <cell r="FD485">
            <v>5</v>
          </cell>
          <cell r="FE485">
            <v>0</v>
          </cell>
          <cell r="FF485">
            <v>-3.5</v>
          </cell>
          <cell r="FG485">
            <v>-3.5</v>
          </cell>
          <cell r="FH485">
            <v>-9</v>
          </cell>
          <cell r="FI485">
            <v>5.5</v>
          </cell>
          <cell r="FJ485">
            <v>0</v>
          </cell>
          <cell r="FK485">
            <v>-4</v>
          </cell>
          <cell r="FL485">
            <v>-4</v>
          </cell>
          <cell r="FM485">
            <v>-10</v>
          </cell>
          <cell r="FN485">
            <v>6</v>
          </cell>
          <cell r="FO485">
            <v>0</v>
          </cell>
          <cell r="FP485">
            <v>-4.5</v>
          </cell>
          <cell r="FQ485">
            <v>-4.5</v>
          </cell>
          <cell r="FR485">
            <v>-11</v>
          </cell>
          <cell r="FS485">
            <v>6.5</v>
          </cell>
          <cell r="FT485">
            <v>2</v>
          </cell>
          <cell r="FU485">
            <v>3</v>
          </cell>
          <cell r="FW485" t="str">
            <v>STOCK OK</v>
          </cell>
          <cell r="FX485" t="str">
            <v>C</v>
          </cell>
          <cell r="FY485" t="str">
            <v>Si</v>
          </cell>
        </row>
        <row r="486">
          <cell r="B486" t="str">
            <v>REP-0503</v>
          </cell>
          <cell r="C486" t="str">
            <v>NACIONAL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2</v>
          </cell>
          <cell r="I486">
            <v>2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2</v>
          </cell>
          <cell r="O486">
            <v>0</v>
          </cell>
          <cell r="P486">
            <v>2</v>
          </cell>
          <cell r="Q486">
            <v>1</v>
          </cell>
          <cell r="R486">
            <v>3</v>
          </cell>
          <cell r="S486">
            <v>0</v>
          </cell>
          <cell r="T486">
            <v>1</v>
          </cell>
          <cell r="U486">
            <v>3</v>
          </cell>
          <cell r="V486">
            <v>1</v>
          </cell>
          <cell r="W486">
            <v>0</v>
          </cell>
          <cell r="X486">
            <v>1</v>
          </cell>
          <cell r="Y486">
            <v>18</v>
          </cell>
          <cell r="AA486">
            <v>18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0.16666666666666666</v>
          </cell>
          <cell r="AG486">
            <v>1.0833333333333333</v>
          </cell>
          <cell r="AH486">
            <v>2.8333333333333335</v>
          </cell>
          <cell r="AI486">
            <v>2</v>
          </cell>
          <cell r="AJ486">
            <v>2</v>
          </cell>
          <cell r="AK486">
            <v>2.8333333333333335</v>
          </cell>
          <cell r="AL486">
            <v>0.71483940180320937</v>
          </cell>
          <cell r="AM486">
            <v>1.9791666666666667</v>
          </cell>
          <cell r="AN486">
            <v>0.36118201354267421</v>
          </cell>
          <cell r="AO486">
            <v>0</v>
          </cell>
          <cell r="AP486">
            <v>59.666666666666664</v>
          </cell>
          <cell r="AQ486">
            <v>30.5</v>
          </cell>
          <cell r="AR486">
            <v>0</v>
          </cell>
          <cell r="AS486">
            <v>58.666666666666671</v>
          </cell>
          <cell r="AT486">
            <v>59</v>
          </cell>
          <cell r="AU486">
            <v>27.230769230769234</v>
          </cell>
          <cell r="AV486">
            <v>0</v>
          </cell>
          <cell r="AW486">
            <v>56.833333333333336</v>
          </cell>
          <cell r="AX486">
            <v>55</v>
          </cell>
          <cell r="AY486">
            <v>19.411764705882351</v>
          </cell>
          <cell r="AZ486">
            <v>0</v>
          </cell>
          <cell r="BA486">
            <v>52.333333333333336</v>
          </cell>
          <cell r="BB486">
            <v>54</v>
          </cell>
          <cell r="BC486">
            <v>18</v>
          </cell>
          <cell r="BD486">
            <v>0</v>
          </cell>
          <cell r="BE486">
            <v>51</v>
          </cell>
          <cell r="BF486">
            <v>17</v>
          </cell>
          <cell r="BG486">
            <v>0</v>
          </cell>
          <cell r="BH486">
            <v>48</v>
          </cell>
          <cell r="BI486">
            <v>18</v>
          </cell>
          <cell r="BJ486">
            <v>6.3529411764705879</v>
          </cell>
          <cell r="BK486">
            <v>0</v>
          </cell>
          <cell r="BL486">
            <v>40.833333333333336</v>
          </cell>
          <cell r="BM486">
            <v>39</v>
          </cell>
          <cell r="BN486">
            <v>11.375</v>
          </cell>
          <cell r="BO486">
            <v>0</v>
          </cell>
          <cell r="BP486">
            <v>35.571428571428569</v>
          </cell>
          <cell r="BQ486">
            <v>37</v>
          </cell>
          <cell r="BR486">
            <v>13.058823529411764</v>
          </cell>
          <cell r="BS486">
            <v>0</v>
          </cell>
          <cell r="BT486">
            <v>33.333333333333336</v>
          </cell>
          <cell r="BU486">
            <v>35</v>
          </cell>
          <cell r="BV486">
            <v>10.5</v>
          </cell>
          <cell r="BW486">
            <v>41</v>
          </cell>
          <cell r="BX486">
            <v>0</v>
          </cell>
          <cell r="BY486">
            <v>31.666666666666668</v>
          </cell>
          <cell r="BZ486">
            <v>33</v>
          </cell>
          <cell r="CA486">
            <v>9.4285714285714288</v>
          </cell>
          <cell r="CB486">
            <v>43</v>
          </cell>
          <cell r="CC486">
            <v>0</v>
          </cell>
          <cell r="CD486">
            <v>29.5</v>
          </cell>
          <cell r="CE486">
            <v>30</v>
          </cell>
          <cell r="CF486">
            <v>10</v>
          </cell>
          <cell r="CG486">
            <v>46</v>
          </cell>
          <cell r="CH486">
            <v>0</v>
          </cell>
          <cell r="CI486">
            <v>72.5</v>
          </cell>
          <cell r="CJ486">
            <v>30</v>
          </cell>
          <cell r="CK486">
            <v>10.588235294117647</v>
          </cell>
          <cell r="CL486">
            <v>46</v>
          </cell>
          <cell r="CM486">
            <v>0</v>
          </cell>
          <cell r="CN486">
            <v>27.166666666666668</v>
          </cell>
          <cell r="CO486">
            <v>28</v>
          </cell>
          <cell r="CP486">
            <v>9.8823529411764692</v>
          </cell>
          <cell r="CQ486">
            <v>48.833333333333329</v>
          </cell>
          <cell r="CR486">
            <v>0</v>
          </cell>
          <cell r="CS486">
            <v>25.166666666666668</v>
          </cell>
          <cell r="CT486">
            <v>27</v>
          </cell>
          <cell r="CU486">
            <v>9.5294117647058822</v>
          </cell>
          <cell r="CV486">
            <v>11</v>
          </cell>
          <cell r="CW486">
            <v>0</v>
          </cell>
          <cell r="CX486">
            <v>24.166666666666668</v>
          </cell>
          <cell r="CY486">
            <v>24</v>
          </cell>
          <cell r="CZ486">
            <v>8.4705882352941178</v>
          </cell>
          <cell r="DA486">
            <v>13.833333333333332</v>
          </cell>
          <cell r="DB486">
            <v>0</v>
          </cell>
          <cell r="DC486">
            <v>21.166666666666668</v>
          </cell>
          <cell r="DD486">
            <v>19</v>
          </cell>
          <cell r="DE486">
            <v>-6.7058823529411757</v>
          </cell>
          <cell r="DF486">
            <v>16.833333333333332</v>
          </cell>
          <cell r="DG486">
            <v>0</v>
          </cell>
          <cell r="DH486">
            <v>16.166666666666668</v>
          </cell>
          <cell r="DI486">
            <v>18</v>
          </cell>
          <cell r="DJ486">
            <v>-5.0588235294117645</v>
          </cell>
          <cell r="DK486">
            <v>21.833333333333332</v>
          </cell>
          <cell r="DL486">
            <v>0</v>
          </cell>
          <cell r="DM486">
            <v>35.166666666666664</v>
          </cell>
          <cell r="DN486">
            <v>18</v>
          </cell>
          <cell r="DO486">
            <v>-5.0588235294117645</v>
          </cell>
          <cell r="DP486">
            <v>20</v>
          </cell>
          <cell r="DQ486">
            <v>0</v>
          </cell>
          <cell r="DR486">
            <v>15.166666666666666</v>
          </cell>
          <cell r="DS486">
            <v>15.166666666666666</v>
          </cell>
          <cell r="DT486">
            <v>-6.0588235294117645</v>
          </cell>
          <cell r="DU486">
            <v>22.833333333333336</v>
          </cell>
          <cell r="DV486">
            <v>0</v>
          </cell>
          <cell r="DW486">
            <v>12.333333333333332</v>
          </cell>
          <cell r="DX486">
            <v>12.333333333333332</v>
          </cell>
          <cell r="DY486">
            <v>-7.0588235294117645</v>
          </cell>
          <cell r="DZ486">
            <v>25.666666666666668</v>
          </cell>
          <cell r="EA486">
            <v>0</v>
          </cell>
          <cell r="EB486">
            <v>9.4999999999999982</v>
          </cell>
          <cell r="EC486">
            <v>9.4999999999999982</v>
          </cell>
          <cell r="ED486">
            <v>-8.0588235294117645</v>
          </cell>
          <cell r="EE486">
            <v>28.5</v>
          </cell>
          <cell r="EF486">
            <v>0</v>
          </cell>
          <cell r="EG486">
            <v>6.6666666666666643</v>
          </cell>
          <cell r="EH486">
            <v>6.6666666666666643</v>
          </cell>
          <cell r="EI486">
            <v>-9.0588235294117645</v>
          </cell>
          <cell r="EJ486">
            <v>31.333333333333336</v>
          </cell>
          <cell r="EK486">
            <v>0</v>
          </cell>
          <cell r="EL486">
            <v>3.8333333333333308</v>
          </cell>
          <cell r="EM486">
            <v>3.8333333333333308</v>
          </cell>
          <cell r="EN486">
            <v>-10.058823529411766</v>
          </cell>
          <cell r="EO486">
            <v>34.166666666666671</v>
          </cell>
          <cell r="EP486">
            <v>0</v>
          </cell>
          <cell r="EQ486">
            <v>0.99999999999999734</v>
          </cell>
          <cell r="ER486">
            <v>0.99999999999999734</v>
          </cell>
          <cell r="ES486">
            <v>-11.058823529411764</v>
          </cell>
          <cell r="ET486">
            <v>37</v>
          </cell>
          <cell r="EU486">
            <v>0</v>
          </cell>
          <cell r="EV486">
            <v>-1.8333333333333361</v>
          </cell>
          <cell r="EW486">
            <v>-1.8333333333333361</v>
          </cell>
          <cell r="EX486">
            <v>-12.058823529411764</v>
          </cell>
          <cell r="EY486">
            <v>39.833333333333336</v>
          </cell>
          <cell r="EZ486">
            <v>0</v>
          </cell>
          <cell r="FA486">
            <v>-4.6666666666666696</v>
          </cell>
          <cell r="FB486">
            <v>-4.6666666666666696</v>
          </cell>
          <cell r="FC486">
            <v>-13.058823529411766</v>
          </cell>
          <cell r="FD486">
            <v>42.666666666666671</v>
          </cell>
          <cell r="FE486">
            <v>0</v>
          </cell>
          <cell r="FF486">
            <v>-7.5000000000000036</v>
          </cell>
          <cell r="FG486">
            <v>-7.5000000000000036</v>
          </cell>
          <cell r="FH486">
            <v>-14.058823529411764</v>
          </cell>
          <cell r="FI486">
            <v>45.5</v>
          </cell>
          <cell r="FJ486">
            <v>0</v>
          </cell>
          <cell r="FK486">
            <v>-10.333333333333337</v>
          </cell>
          <cell r="FL486">
            <v>-10.333333333333337</v>
          </cell>
          <cell r="FM486">
            <v>-15.058823529411764</v>
          </cell>
          <cell r="FN486">
            <v>48.333333333333336</v>
          </cell>
          <cell r="FO486">
            <v>0</v>
          </cell>
          <cell r="FP486">
            <v>-13.166666666666671</v>
          </cell>
          <cell r="FQ486">
            <v>-13.166666666666671</v>
          </cell>
          <cell r="FR486">
            <v>-16.058823529411764</v>
          </cell>
          <cell r="FS486">
            <v>51.166666666666671</v>
          </cell>
          <cell r="FT486">
            <v>38</v>
          </cell>
          <cell r="FU486">
            <v>1.0333333333333334</v>
          </cell>
          <cell r="FW486" t="str">
            <v>BAJO STOCK</v>
          </cell>
          <cell r="FX486" t="str">
            <v>B</v>
          </cell>
          <cell r="FY486" t="str">
            <v>Si</v>
          </cell>
        </row>
        <row r="487">
          <cell r="B487" t="str">
            <v>REP-0504</v>
          </cell>
          <cell r="C487" t="str">
            <v>NACIONAL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1</v>
          </cell>
          <cell r="I487">
            <v>1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3</v>
          </cell>
          <cell r="P487">
            <v>3</v>
          </cell>
          <cell r="Q487">
            <v>1</v>
          </cell>
          <cell r="R487">
            <v>0</v>
          </cell>
          <cell r="S487">
            <v>0</v>
          </cell>
          <cell r="T487">
            <v>3</v>
          </cell>
          <cell r="U487">
            <v>0</v>
          </cell>
          <cell r="V487">
            <v>2</v>
          </cell>
          <cell r="W487">
            <v>0</v>
          </cell>
          <cell r="X487">
            <v>2</v>
          </cell>
          <cell r="Y487">
            <v>16</v>
          </cell>
          <cell r="AA487">
            <v>16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8.3333333333333329E-2</v>
          </cell>
          <cell r="AH487">
            <v>0.75</v>
          </cell>
          <cell r="AI487">
            <v>0.66666666666666663</v>
          </cell>
          <cell r="AJ487">
            <v>0.66666666666666663</v>
          </cell>
          <cell r="AK487">
            <v>0.75</v>
          </cell>
          <cell r="AL487">
            <v>0.30807045851137277</v>
          </cell>
          <cell r="AM487">
            <v>0.54166666666666663</v>
          </cell>
          <cell r="AN487">
            <v>0.5687454618671498</v>
          </cell>
          <cell r="AO487">
            <v>0</v>
          </cell>
          <cell r="AP487">
            <v>18.166666666666668</v>
          </cell>
          <cell r="AQ487">
            <v>227.00000000000003</v>
          </cell>
          <cell r="AR487">
            <v>0</v>
          </cell>
          <cell r="AS487">
            <v>18</v>
          </cell>
          <cell r="AT487">
            <v>18</v>
          </cell>
          <cell r="AU487">
            <v>36</v>
          </cell>
          <cell r="AV487">
            <v>0</v>
          </cell>
          <cell r="AW487">
            <v>17.5</v>
          </cell>
          <cell r="AX487">
            <v>17</v>
          </cell>
          <cell r="AY487">
            <v>22.666666666666668</v>
          </cell>
          <cell r="AZ487">
            <v>0</v>
          </cell>
          <cell r="BA487">
            <v>16.666666666666668</v>
          </cell>
          <cell r="BB487">
            <v>17</v>
          </cell>
          <cell r="BC487">
            <v>25.5</v>
          </cell>
          <cell r="BD487">
            <v>0</v>
          </cell>
          <cell r="BE487">
            <v>16.333333333333332</v>
          </cell>
          <cell r="BF487">
            <v>24.5</v>
          </cell>
          <cell r="BG487">
            <v>0</v>
          </cell>
          <cell r="BH487">
            <v>15.666666666666666</v>
          </cell>
          <cell r="BI487">
            <v>16</v>
          </cell>
          <cell r="BJ487">
            <v>21.333333333333332</v>
          </cell>
          <cell r="BK487">
            <v>0</v>
          </cell>
          <cell r="BL487">
            <v>14.333333333333334</v>
          </cell>
          <cell r="BM487">
            <v>33</v>
          </cell>
          <cell r="BN487">
            <v>33</v>
          </cell>
          <cell r="BO487">
            <v>0</v>
          </cell>
          <cell r="BP487">
            <v>32</v>
          </cell>
          <cell r="BQ487">
            <v>33</v>
          </cell>
          <cell r="BR487">
            <v>44</v>
          </cell>
          <cell r="BS487">
            <v>0</v>
          </cell>
          <cell r="BT487">
            <v>32.166666666666664</v>
          </cell>
          <cell r="BU487">
            <v>32</v>
          </cell>
          <cell r="BV487">
            <v>38.4</v>
          </cell>
          <cell r="BW487">
            <v>6</v>
          </cell>
          <cell r="BX487">
            <v>0</v>
          </cell>
          <cell r="BY487">
            <v>31.166666666666668</v>
          </cell>
          <cell r="BZ487">
            <v>32</v>
          </cell>
          <cell r="CA487">
            <v>38.4</v>
          </cell>
          <cell r="CB487">
            <v>6</v>
          </cell>
          <cell r="CD487">
            <v>31.166666666666668</v>
          </cell>
          <cell r="CE487">
            <v>32</v>
          </cell>
          <cell r="CF487">
            <v>38.4</v>
          </cell>
          <cell r="CG487">
            <v>6</v>
          </cell>
          <cell r="CH487">
            <v>0</v>
          </cell>
          <cell r="CI487">
            <v>36.333333333333336</v>
          </cell>
          <cell r="CJ487">
            <v>30</v>
          </cell>
          <cell r="CK487">
            <v>36</v>
          </cell>
          <cell r="CL487">
            <v>8</v>
          </cell>
          <cell r="CM487">
            <v>0</v>
          </cell>
          <cell r="CN487">
            <v>29.166666666666668</v>
          </cell>
          <cell r="CO487">
            <v>32</v>
          </cell>
          <cell r="CP487">
            <v>38.4</v>
          </cell>
          <cell r="CQ487">
            <v>8.8333333333333321</v>
          </cell>
          <cell r="CR487">
            <v>0</v>
          </cell>
          <cell r="CS487">
            <v>31.166666666666668</v>
          </cell>
          <cell r="CT487">
            <v>19</v>
          </cell>
          <cell r="CU487">
            <v>25.333333333333332</v>
          </cell>
          <cell r="CV487">
            <v>0</v>
          </cell>
          <cell r="CW487">
            <v>0</v>
          </cell>
          <cell r="CX487">
            <v>18.25</v>
          </cell>
          <cell r="CY487">
            <v>19</v>
          </cell>
          <cell r="CZ487">
            <v>25.333333333333332</v>
          </cell>
          <cell r="DA487">
            <v>0.75</v>
          </cell>
          <cell r="DB487">
            <v>0</v>
          </cell>
          <cell r="DC487">
            <v>18.25</v>
          </cell>
          <cell r="DD487">
            <v>19</v>
          </cell>
          <cell r="DE487">
            <v>0</v>
          </cell>
          <cell r="DF487">
            <v>0</v>
          </cell>
          <cell r="DG487">
            <v>0</v>
          </cell>
          <cell r="DH487">
            <v>18.25</v>
          </cell>
          <cell r="DI487">
            <v>15</v>
          </cell>
          <cell r="DJ487">
            <v>-3</v>
          </cell>
          <cell r="DK487">
            <v>0.75</v>
          </cell>
          <cell r="DL487">
            <v>0</v>
          </cell>
          <cell r="DM487">
            <v>18.2</v>
          </cell>
          <cell r="DN487">
            <v>16</v>
          </cell>
          <cell r="DO487">
            <v>-2</v>
          </cell>
          <cell r="DP487">
            <v>3</v>
          </cell>
          <cell r="DQ487">
            <v>0</v>
          </cell>
          <cell r="DR487">
            <v>15.25</v>
          </cell>
          <cell r="DS487">
            <v>15.25</v>
          </cell>
          <cell r="DT487">
            <v>-3</v>
          </cell>
          <cell r="DU487">
            <v>3.75</v>
          </cell>
          <cell r="DV487">
            <v>0</v>
          </cell>
          <cell r="DW487">
            <v>14.5</v>
          </cell>
          <cell r="DX487">
            <v>14.5</v>
          </cell>
          <cell r="DY487">
            <v>-4</v>
          </cell>
          <cell r="DZ487">
            <v>4.5</v>
          </cell>
          <cell r="EA487">
            <v>0</v>
          </cell>
          <cell r="EB487">
            <v>13.75</v>
          </cell>
          <cell r="EC487">
            <v>13.75</v>
          </cell>
          <cell r="ED487">
            <v>-5</v>
          </cell>
          <cell r="EE487">
            <v>5.25</v>
          </cell>
          <cell r="EF487">
            <v>0</v>
          </cell>
          <cell r="EG487">
            <v>13</v>
          </cell>
          <cell r="EH487">
            <v>13</v>
          </cell>
          <cell r="EI487">
            <v>-6</v>
          </cell>
          <cell r="EJ487">
            <v>6</v>
          </cell>
          <cell r="EK487">
            <v>0</v>
          </cell>
          <cell r="EL487">
            <v>12.25</v>
          </cell>
          <cell r="EM487">
            <v>12.25</v>
          </cell>
          <cell r="EN487">
            <v>-7</v>
          </cell>
          <cell r="EO487">
            <v>6.75</v>
          </cell>
          <cell r="EP487">
            <v>0</v>
          </cell>
          <cell r="EQ487">
            <v>11.5</v>
          </cell>
          <cell r="ER487">
            <v>11.5</v>
          </cell>
          <cell r="ES487">
            <v>-8</v>
          </cell>
          <cell r="ET487">
            <v>7.5</v>
          </cell>
          <cell r="EU487">
            <v>0</v>
          </cell>
          <cell r="EV487">
            <v>10.75</v>
          </cell>
          <cell r="EW487">
            <v>10.75</v>
          </cell>
          <cell r="EX487">
            <v>-9</v>
          </cell>
          <cell r="EY487">
            <v>8.25</v>
          </cell>
          <cell r="EZ487">
            <v>0</v>
          </cell>
          <cell r="FA487">
            <v>10</v>
          </cell>
          <cell r="FB487">
            <v>10</v>
          </cell>
          <cell r="FC487">
            <v>-10</v>
          </cell>
          <cell r="FD487">
            <v>9</v>
          </cell>
          <cell r="FE487">
            <v>0</v>
          </cell>
          <cell r="FF487">
            <v>9.25</v>
          </cell>
          <cell r="FG487">
            <v>9.25</v>
          </cell>
          <cell r="FH487">
            <v>-11</v>
          </cell>
          <cell r="FI487">
            <v>9.75</v>
          </cell>
          <cell r="FJ487">
            <v>0</v>
          </cell>
          <cell r="FK487">
            <v>8.5</v>
          </cell>
          <cell r="FL487">
            <v>8.5</v>
          </cell>
          <cell r="FM487">
            <v>-12</v>
          </cell>
          <cell r="FN487">
            <v>10.5</v>
          </cell>
          <cell r="FO487">
            <v>0</v>
          </cell>
          <cell r="FP487">
            <v>7.75</v>
          </cell>
          <cell r="FQ487">
            <v>7.75</v>
          </cell>
          <cell r="FR487">
            <v>-13</v>
          </cell>
          <cell r="FS487">
            <v>11.25</v>
          </cell>
          <cell r="FT487">
            <v>19</v>
          </cell>
          <cell r="FU487">
            <v>1.0333333333333334</v>
          </cell>
          <cell r="FW487" t="str">
            <v>STOCK OK</v>
          </cell>
          <cell r="FX487" t="str">
            <v>C</v>
          </cell>
          <cell r="FY487" t="str">
            <v>Si</v>
          </cell>
        </row>
        <row r="488">
          <cell r="B488" t="str">
            <v>REP-0505</v>
          </cell>
          <cell r="C488" t="str">
            <v>NACIONAL</v>
          </cell>
          <cell r="D488">
            <v>0</v>
          </cell>
          <cell r="E488">
            <v>250</v>
          </cell>
          <cell r="F488">
            <v>0</v>
          </cell>
          <cell r="G488">
            <v>0</v>
          </cell>
          <cell r="H488">
            <v>3</v>
          </cell>
          <cell r="I488">
            <v>3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5</v>
          </cell>
          <cell r="O488">
            <v>7</v>
          </cell>
          <cell r="P488">
            <v>0</v>
          </cell>
          <cell r="Q488">
            <v>8</v>
          </cell>
          <cell r="R488">
            <v>0</v>
          </cell>
          <cell r="S488">
            <v>10</v>
          </cell>
          <cell r="T488">
            <v>0</v>
          </cell>
          <cell r="U488">
            <v>5</v>
          </cell>
          <cell r="V488">
            <v>12</v>
          </cell>
          <cell r="W488">
            <v>9</v>
          </cell>
          <cell r="X488">
            <v>10</v>
          </cell>
          <cell r="Y488">
            <v>322</v>
          </cell>
          <cell r="AA488">
            <v>322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2.75</v>
          </cell>
          <cell r="AH488">
            <v>10.416666666666666</v>
          </cell>
          <cell r="AI488">
            <v>6</v>
          </cell>
          <cell r="AJ488">
            <v>6</v>
          </cell>
          <cell r="AK488">
            <v>6.2916666666666661</v>
          </cell>
          <cell r="AL488">
            <v>3.1479711279206848</v>
          </cell>
          <cell r="AM488">
            <v>6.2916666666666661</v>
          </cell>
          <cell r="AN488">
            <v>0.50033978192116846</v>
          </cell>
          <cell r="AO488">
            <v>0</v>
          </cell>
          <cell r="AP488">
            <v>19.5</v>
          </cell>
          <cell r="AQ488">
            <v>8.882352941176471</v>
          </cell>
          <cell r="AR488">
            <v>0</v>
          </cell>
          <cell r="AS488">
            <v>19</v>
          </cell>
          <cell r="AT488">
            <v>229</v>
          </cell>
          <cell r="AU488">
            <v>50.888888888888886</v>
          </cell>
          <cell r="AV488">
            <v>0</v>
          </cell>
          <cell r="AW488">
            <v>224.5</v>
          </cell>
          <cell r="AX488">
            <v>216</v>
          </cell>
          <cell r="AY488">
            <v>34.331125827814574</v>
          </cell>
          <cell r="AZ488">
            <v>0</v>
          </cell>
          <cell r="BA488">
            <v>211.33333333333334</v>
          </cell>
          <cell r="BB488">
            <v>213</v>
          </cell>
          <cell r="BC488">
            <v>18.521739130434781</v>
          </cell>
          <cell r="BD488">
            <v>0</v>
          </cell>
          <cell r="BE488">
            <v>201.5</v>
          </cell>
          <cell r="BF488">
            <v>17.521739130434781</v>
          </cell>
          <cell r="BG488">
            <v>0</v>
          </cell>
          <cell r="BH488">
            <v>190</v>
          </cell>
          <cell r="BI488">
            <v>322</v>
          </cell>
          <cell r="BJ488">
            <v>51.17880794701987</v>
          </cell>
          <cell r="BK488">
            <v>0</v>
          </cell>
          <cell r="BL488">
            <v>183.5</v>
          </cell>
          <cell r="BM488">
            <v>191</v>
          </cell>
          <cell r="BN488">
            <v>28.446808510638299</v>
          </cell>
          <cell r="BO488">
            <v>0</v>
          </cell>
          <cell r="BP488">
            <v>184.28571428571428</v>
          </cell>
          <cell r="BQ488">
            <v>185</v>
          </cell>
          <cell r="BR488">
            <v>29.403973509933778</v>
          </cell>
          <cell r="BS488">
            <v>0</v>
          </cell>
          <cell r="BT488">
            <v>177.66666666666666</v>
          </cell>
          <cell r="BU488">
            <v>173</v>
          </cell>
          <cell r="BV488">
            <v>20.352941176470587</v>
          </cell>
          <cell r="BW488">
            <v>17</v>
          </cell>
          <cell r="BX488">
            <v>0</v>
          </cell>
          <cell r="BY488">
            <v>164.5</v>
          </cell>
          <cell r="BZ488">
            <v>168</v>
          </cell>
          <cell r="CA488">
            <v>22.4</v>
          </cell>
          <cell r="CB488">
            <v>22</v>
          </cell>
          <cell r="CD488">
            <v>160.5</v>
          </cell>
          <cell r="CE488">
            <v>144</v>
          </cell>
          <cell r="CF488">
            <v>15.157894736842104</v>
          </cell>
          <cell r="CG488">
            <v>46</v>
          </cell>
          <cell r="CH488">
            <v>0</v>
          </cell>
          <cell r="CI488">
            <v>197</v>
          </cell>
          <cell r="CJ488">
            <v>108</v>
          </cell>
          <cell r="CK488">
            <v>7.9024390243902438</v>
          </cell>
          <cell r="CL488">
            <v>82</v>
          </cell>
          <cell r="CM488">
            <v>0</v>
          </cell>
          <cell r="CN488">
            <v>94.333333333333329</v>
          </cell>
          <cell r="CO488">
            <v>99</v>
          </cell>
          <cell r="CP488">
            <v>7.2439024390243905</v>
          </cell>
          <cell r="CQ488">
            <v>95.666666666666671</v>
          </cell>
          <cell r="CR488">
            <v>0</v>
          </cell>
          <cell r="CS488">
            <v>85.333333333333329</v>
          </cell>
          <cell r="CT488">
            <v>72</v>
          </cell>
          <cell r="CU488">
            <v>4.9655172413793105</v>
          </cell>
          <cell r="CV488">
            <v>23</v>
          </cell>
          <cell r="CW488">
            <v>0</v>
          </cell>
          <cell r="CX488">
            <v>57.5</v>
          </cell>
          <cell r="CY488">
            <v>60</v>
          </cell>
          <cell r="CZ488">
            <v>5.7600000000000007</v>
          </cell>
          <cell r="DA488">
            <v>37.5</v>
          </cell>
          <cell r="DB488">
            <v>0</v>
          </cell>
          <cell r="DC488">
            <v>53.979166666666664</v>
          </cell>
          <cell r="DD488">
            <v>49</v>
          </cell>
          <cell r="DE488">
            <v>-7.5102040816326534</v>
          </cell>
          <cell r="DF488">
            <v>41.020833333333336</v>
          </cell>
          <cell r="DG488">
            <v>0</v>
          </cell>
          <cell r="DH488">
            <v>42.875</v>
          </cell>
          <cell r="DI488">
            <v>340</v>
          </cell>
          <cell r="DJ488">
            <v>41.676113360323889</v>
          </cell>
          <cell r="DK488">
            <v>0</v>
          </cell>
          <cell r="DL488">
            <v>0</v>
          </cell>
          <cell r="DM488">
            <v>36.700000000000003</v>
          </cell>
          <cell r="DN488">
            <v>322</v>
          </cell>
          <cell r="DO488">
            <v>38.079470198675502</v>
          </cell>
          <cell r="DP488">
            <v>0</v>
          </cell>
          <cell r="DQ488">
            <v>0</v>
          </cell>
          <cell r="DR488">
            <v>315.70833333333331</v>
          </cell>
          <cell r="DS488">
            <v>315.70833333333331</v>
          </cell>
          <cell r="DT488">
            <v>37.079470198675494</v>
          </cell>
          <cell r="DU488">
            <v>0</v>
          </cell>
          <cell r="DV488">
            <v>0</v>
          </cell>
          <cell r="DW488">
            <v>309.41666666666663</v>
          </cell>
          <cell r="DX488">
            <v>309.41666666666663</v>
          </cell>
          <cell r="DY488">
            <v>36.079470198675494</v>
          </cell>
          <cell r="DZ488">
            <v>0</v>
          </cell>
          <cell r="EA488">
            <v>0</v>
          </cell>
          <cell r="EB488">
            <v>303.12499999999994</v>
          </cell>
          <cell r="EC488">
            <v>303.12499999999994</v>
          </cell>
          <cell r="ED488">
            <v>35.079470198675487</v>
          </cell>
          <cell r="EE488">
            <v>0</v>
          </cell>
          <cell r="EF488">
            <v>0</v>
          </cell>
          <cell r="EG488">
            <v>296.83333333333326</v>
          </cell>
          <cell r="EH488">
            <v>296.83333333333326</v>
          </cell>
          <cell r="EI488">
            <v>34.079470198675487</v>
          </cell>
          <cell r="EJ488">
            <v>0</v>
          </cell>
          <cell r="EK488">
            <v>0</v>
          </cell>
          <cell r="EL488">
            <v>290.54166666666657</v>
          </cell>
          <cell r="EM488">
            <v>290.54166666666657</v>
          </cell>
          <cell r="EN488">
            <v>33.07947019867548</v>
          </cell>
          <cell r="EO488">
            <v>0</v>
          </cell>
          <cell r="EP488">
            <v>0</v>
          </cell>
          <cell r="EQ488">
            <v>284.24999999999989</v>
          </cell>
          <cell r="ER488">
            <v>284.24999999999989</v>
          </cell>
          <cell r="ES488">
            <v>32.07947019867548</v>
          </cell>
          <cell r="ET488">
            <v>0</v>
          </cell>
          <cell r="EU488">
            <v>0</v>
          </cell>
          <cell r="EV488">
            <v>277.9583333333332</v>
          </cell>
          <cell r="EW488">
            <v>277.9583333333332</v>
          </cell>
          <cell r="EX488">
            <v>31.079470198675477</v>
          </cell>
          <cell r="EY488">
            <v>0</v>
          </cell>
          <cell r="EZ488">
            <v>0</v>
          </cell>
          <cell r="FA488">
            <v>271.66666666666652</v>
          </cell>
          <cell r="FB488">
            <v>271.66666666666652</v>
          </cell>
          <cell r="FC488">
            <v>30.079470198675477</v>
          </cell>
          <cell r="FD488">
            <v>0</v>
          </cell>
          <cell r="FE488">
            <v>0</v>
          </cell>
          <cell r="FF488">
            <v>265.37499999999983</v>
          </cell>
          <cell r="FG488">
            <v>265.37499999999983</v>
          </cell>
          <cell r="FH488">
            <v>29.079470198675473</v>
          </cell>
          <cell r="FI488">
            <v>0</v>
          </cell>
          <cell r="FJ488">
            <v>0</v>
          </cell>
          <cell r="FK488">
            <v>259.08333333333314</v>
          </cell>
          <cell r="FL488">
            <v>259.08333333333314</v>
          </cell>
          <cell r="FM488">
            <v>28.07947019867547</v>
          </cell>
          <cell r="FN488">
            <v>0</v>
          </cell>
          <cell r="FO488">
            <v>0</v>
          </cell>
          <cell r="FP488">
            <v>252.79166666666649</v>
          </cell>
          <cell r="FQ488">
            <v>252.79166666666649</v>
          </cell>
          <cell r="FR488">
            <v>27.07947019867547</v>
          </cell>
          <cell r="FS488">
            <v>0</v>
          </cell>
          <cell r="FT488">
            <v>95</v>
          </cell>
          <cell r="FU488">
            <v>1.0333333333333334</v>
          </cell>
          <cell r="FW488" t="str">
            <v>SOBRESTOCK</v>
          </cell>
          <cell r="FX488" t="str">
            <v>B</v>
          </cell>
          <cell r="FY488" t="str">
            <v>Si</v>
          </cell>
        </row>
        <row r="489">
          <cell r="B489" t="str">
            <v>REP-0506</v>
          </cell>
          <cell r="C489" t="str">
            <v>MIX</v>
          </cell>
          <cell r="D489">
            <v>0</v>
          </cell>
          <cell r="E489">
            <v>21</v>
          </cell>
          <cell r="F489">
            <v>0</v>
          </cell>
          <cell r="G489">
            <v>0</v>
          </cell>
          <cell r="H489">
            <v>5</v>
          </cell>
          <cell r="I489">
            <v>5</v>
          </cell>
          <cell r="J489">
            <v>0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2</v>
          </cell>
          <cell r="P489">
            <v>1</v>
          </cell>
          <cell r="Q489">
            <v>0</v>
          </cell>
          <cell r="R489">
            <v>1</v>
          </cell>
          <cell r="S489">
            <v>3</v>
          </cell>
          <cell r="T489">
            <v>0</v>
          </cell>
          <cell r="U489">
            <v>1</v>
          </cell>
          <cell r="V489">
            <v>1</v>
          </cell>
          <cell r="W489">
            <v>1</v>
          </cell>
          <cell r="X489">
            <v>1</v>
          </cell>
          <cell r="Y489">
            <v>46</v>
          </cell>
          <cell r="AA489">
            <v>46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8.3333333333333329E-2</v>
          </cell>
          <cell r="AH489">
            <v>0.75</v>
          </cell>
          <cell r="AI489">
            <v>0.16666666666666666</v>
          </cell>
          <cell r="AJ489">
            <v>0.16666666666666666</v>
          </cell>
          <cell r="AK489">
            <v>0.75</v>
          </cell>
          <cell r="AL489">
            <v>0.30807045851137266</v>
          </cell>
          <cell r="AM489">
            <v>0.29166666666666669</v>
          </cell>
          <cell r="AN489">
            <v>1.0562415720389919</v>
          </cell>
          <cell r="AO489">
            <v>0</v>
          </cell>
          <cell r="AP489">
            <v>26</v>
          </cell>
          <cell r="AQ489">
            <v>323.00000000000006</v>
          </cell>
          <cell r="AR489">
            <v>0</v>
          </cell>
          <cell r="AS489">
            <v>26</v>
          </cell>
          <cell r="AT489">
            <v>26</v>
          </cell>
          <cell r="AU489">
            <v>52</v>
          </cell>
          <cell r="AV489">
            <v>0</v>
          </cell>
          <cell r="AW489">
            <v>25.5</v>
          </cell>
          <cell r="AX489">
            <v>26</v>
          </cell>
          <cell r="AY489">
            <v>34.666666666666664</v>
          </cell>
          <cell r="AZ489">
            <v>0</v>
          </cell>
          <cell r="BA489">
            <v>25.666666666666668</v>
          </cell>
          <cell r="BB489">
            <v>24</v>
          </cell>
          <cell r="BC489">
            <v>24</v>
          </cell>
          <cell r="BD489">
            <v>0</v>
          </cell>
          <cell r="BE489">
            <v>23</v>
          </cell>
          <cell r="BF489">
            <v>23</v>
          </cell>
          <cell r="BG489">
            <v>0</v>
          </cell>
          <cell r="BH489">
            <v>22</v>
          </cell>
          <cell r="BI489">
            <v>46</v>
          </cell>
          <cell r="BJ489">
            <v>61.333333333333336</v>
          </cell>
          <cell r="BK489">
            <v>0</v>
          </cell>
          <cell r="BL489">
            <v>21.333333333333332</v>
          </cell>
          <cell r="BM489">
            <v>21</v>
          </cell>
          <cell r="BN489">
            <v>21</v>
          </cell>
          <cell r="BO489">
            <v>0</v>
          </cell>
          <cell r="BP489">
            <v>20</v>
          </cell>
          <cell r="BQ489">
            <v>21</v>
          </cell>
          <cell r="BR489">
            <v>28</v>
          </cell>
          <cell r="BS489">
            <v>0</v>
          </cell>
          <cell r="BT489">
            <v>20.166666666666668</v>
          </cell>
          <cell r="BU489">
            <v>20</v>
          </cell>
          <cell r="BV489">
            <v>20</v>
          </cell>
          <cell r="BW489">
            <v>18</v>
          </cell>
          <cell r="BX489">
            <v>0</v>
          </cell>
          <cell r="BY489">
            <v>19</v>
          </cell>
          <cell r="BZ489">
            <v>20</v>
          </cell>
          <cell r="CA489">
            <v>28.571428571428573</v>
          </cell>
          <cell r="CB489">
            <v>18</v>
          </cell>
          <cell r="CC489">
            <v>0</v>
          </cell>
          <cell r="CD489">
            <v>19.3</v>
          </cell>
          <cell r="CE489">
            <v>18</v>
          </cell>
          <cell r="CF489">
            <v>21.599999999999998</v>
          </cell>
          <cell r="CG489">
            <v>20</v>
          </cell>
          <cell r="CH489">
            <v>0</v>
          </cell>
          <cell r="CI489">
            <v>38.466666666666661</v>
          </cell>
          <cell r="CJ489">
            <v>22</v>
          </cell>
          <cell r="CK489">
            <v>26.4</v>
          </cell>
          <cell r="CL489">
            <v>16</v>
          </cell>
          <cell r="CM489">
            <v>25</v>
          </cell>
          <cell r="CN489">
            <v>46.166666666666664</v>
          </cell>
          <cell r="CO489">
            <v>47</v>
          </cell>
          <cell r="CP489">
            <v>56.4</v>
          </cell>
          <cell r="CQ489">
            <v>0</v>
          </cell>
          <cell r="CR489">
            <v>0</v>
          </cell>
          <cell r="CS489">
            <v>46.166666666666664</v>
          </cell>
          <cell r="CT489">
            <v>46</v>
          </cell>
          <cell r="CU489">
            <v>61.333333333333336</v>
          </cell>
          <cell r="CV489">
            <v>0</v>
          </cell>
          <cell r="CW489">
            <v>0</v>
          </cell>
          <cell r="CX489">
            <v>45.25</v>
          </cell>
          <cell r="CY489">
            <v>46</v>
          </cell>
          <cell r="CZ489">
            <v>61.333333333333336</v>
          </cell>
          <cell r="DA489">
            <v>0</v>
          </cell>
          <cell r="DB489">
            <v>0</v>
          </cell>
          <cell r="DC489">
            <v>45.25</v>
          </cell>
          <cell r="DD489">
            <v>45</v>
          </cell>
          <cell r="DE489">
            <v>34.666666666666664</v>
          </cell>
          <cell r="DF489">
            <v>0</v>
          </cell>
          <cell r="DG489">
            <v>0</v>
          </cell>
          <cell r="DH489">
            <v>44.25</v>
          </cell>
          <cell r="DI489">
            <v>45</v>
          </cell>
          <cell r="DJ489">
            <v>36.666666666666664</v>
          </cell>
          <cell r="DK489">
            <v>0</v>
          </cell>
          <cell r="DL489">
            <v>0</v>
          </cell>
          <cell r="DM489">
            <v>43.5</v>
          </cell>
          <cell r="DN489">
            <v>46</v>
          </cell>
          <cell r="DO489">
            <v>38</v>
          </cell>
          <cell r="DP489">
            <v>0</v>
          </cell>
          <cell r="DQ489">
            <v>0</v>
          </cell>
          <cell r="DR489">
            <v>45.25</v>
          </cell>
          <cell r="DS489">
            <v>45.25</v>
          </cell>
          <cell r="DT489">
            <v>37</v>
          </cell>
          <cell r="DU489">
            <v>0</v>
          </cell>
          <cell r="DV489">
            <v>0</v>
          </cell>
          <cell r="DW489">
            <v>44.5</v>
          </cell>
          <cell r="DX489">
            <v>44.5</v>
          </cell>
          <cell r="DY489">
            <v>36</v>
          </cell>
          <cell r="DZ489">
            <v>0</v>
          </cell>
          <cell r="EA489">
            <v>0</v>
          </cell>
          <cell r="EB489">
            <v>43.75</v>
          </cell>
          <cell r="EC489">
            <v>43.75</v>
          </cell>
          <cell r="ED489">
            <v>35</v>
          </cell>
          <cell r="EE489">
            <v>0</v>
          </cell>
          <cell r="EF489">
            <v>0</v>
          </cell>
          <cell r="EG489">
            <v>43</v>
          </cell>
          <cell r="EH489">
            <v>43</v>
          </cell>
          <cell r="EI489">
            <v>34</v>
          </cell>
          <cell r="EJ489">
            <v>0</v>
          </cell>
          <cell r="EK489">
            <v>0</v>
          </cell>
          <cell r="EL489">
            <v>42.25</v>
          </cell>
          <cell r="EM489">
            <v>42.25</v>
          </cell>
          <cell r="EN489">
            <v>33</v>
          </cell>
          <cell r="EO489">
            <v>0</v>
          </cell>
          <cell r="EP489">
            <v>0</v>
          </cell>
          <cell r="EQ489">
            <v>41.5</v>
          </cell>
          <cell r="ER489">
            <v>41.5</v>
          </cell>
          <cell r="ES489">
            <v>32</v>
          </cell>
          <cell r="ET489">
            <v>0</v>
          </cell>
          <cell r="EU489">
            <v>0</v>
          </cell>
          <cell r="EV489">
            <v>40.75</v>
          </cell>
          <cell r="EW489">
            <v>40.75</v>
          </cell>
          <cell r="EX489">
            <v>31</v>
          </cell>
          <cell r="EY489">
            <v>0</v>
          </cell>
          <cell r="EZ489">
            <v>0</v>
          </cell>
          <cell r="FA489">
            <v>40</v>
          </cell>
          <cell r="FB489">
            <v>40</v>
          </cell>
          <cell r="FC489">
            <v>30</v>
          </cell>
          <cell r="FD489">
            <v>0</v>
          </cell>
          <cell r="FE489">
            <v>0</v>
          </cell>
          <cell r="FF489">
            <v>39.25</v>
          </cell>
          <cell r="FG489">
            <v>39.25</v>
          </cell>
          <cell r="FH489">
            <v>29</v>
          </cell>
          <cell r="FI489">
            <v>0</v>
          </cell>
          <cell r="FJ489">
            <v>0</v>
          </cell>
          <cell r="FK489">
            <v>38.5</v>
          </cell>
          <cell r="FL489">
            <v>38.5</v>
          </cell>
          <cell r="FM489">
            <v>28</v>
          </cell>
          <cell r="FN489">
            <v>0</v>
          </cell>
          <cell r="FO489">
            <v>0</v>
          </cell>
          <cell r="FP489">
            <v>37.75</v>
          </cell>
          <cell r="FQ489">
            <v>37.75</v>
          </cell>
          <cell r="FR489">
            <v>27</v>
          </cell>
          <cell r="FS489">
            <v>0</v>
          </cell>
          <cell r="FT489">
            <v>19</v>
          </cell>
          <cell r="FU489">
            <v>2.0333333333333332</v>
          </cell>
          <cell r="FW489" t="str">
            <v>SOBRESTOCK</v>
          </cell>
          <cell r="FX489" t="str">
            <v>C</v>
          </cell>
          <cell r="FY489" t="str">
            <v>Si</v>
          </cell>
        </row>
        <row r="490">
          <cell r="B490" t="str">
            <v>REP-0507</v>
          </cell>
          <cell r="C490" t="str">
            <v>MIX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15.25</v>
          </cell>
          <cell r="AH490">
            <v>0</v>
          </cell>
          <cell r="AI490">
            <v>0</v>
          </cell>
          <cell r="AJ490">
            <v>0</v>
          </cell>
          <cell r="AK490">
            <v>15.25</v>
          </cell>
          <cell r="AM490">
            <v>3.8125</v>
          </cell>
          <cell r="AO490">
            <v>0</v>
          </cell>
          <cell r="AP490">
            <v>-15.25</v>
          </cell>
          <cell r="AQ490">
            <v>-1</v>
          </cell>
          <cell r="AR490">
            <v>0</v>
          </cell>
          <cell r="AS490">
            <v>-3.3333333333333335</v>
          </cell>
          <cell r="AT490">
            <v>0</v>
          </cell>
          <cell r="AU490">
            <v>0</v>
          </cell>
          <cell r="AV490">
            <v>0</v>
          </cell>
          <cell r="AW490">
            <v>-15.25</v>
          </cell>
          <cell r="AX490">
            <v>0</v>
          </cell>
          <cell r="AY490">
            <v>0</v>
          </cell>
          <cell r="AZ490">
            <v>0</v>
          </cell>
          <cell r="BA490">
            <v>-15.25</v>
          </cell>
          <cell r="BB490">
            <v>0</v>
          </cell>
          <cell r="BC490">
            <v>0</v>
          </cell>
          <cell r="BD490">
            <v>0</v>
          </cell>
          <cell r="BE490">
            <v>-15.25</v>
          </cell>
          <cell r="BF490">
            <v>-1</v>
          </cell>
          <cell r="BG490">
            <v>0</v>
          </cell>
          <cell r="BH490">
            <v>-30.5</v>
          </cell>
          <cell r="BI490">
            <v>0</v>
          </cell>
          <cell r="BJ490">
            <v>0</v>
          </cell>
          <cell r="BK490">
            <v>0</v>
          </cell>
          <cell r="BL490">
            <v>-15.25</v>
          </cell>
          <cell r="BM490">
            <v>0</v>
          </cell>
          <cell r="BN490">
            <v>0</v>
          </cell>
          <cell r="BO490">
            <v>0</v>
          </cell>
          <cell r="BP490">
            <v>-15.25</v>
          </cell>
          <cell r="BQ490">
            <v>0</v>
          </cell>
          <cell r="BR490">
            <v>0</v>
          </cell>
          <cell r="BS490">
            <v>0</v>
          </cell>
          <cell r="BT490">
            <v>-15.25</v>
          </cell>
          <cell r="BU490">
            <v>0</v>
          </cell>
          <cell r="BV490">
            <v>0</v>
          </cell>
          <cell r="BW490" t="e">
            <v>#N/A</v>
          </cell>
          <cell r="BX490">
            <v>0</v>
          </cell>
          <cell r="BY490">
            <v>-15.25</v>
          </cell>
          <cell r="BZ490">
            <v>0</v>
          </cell>
          <cell r="CA490">
            <v>0</v>
          </cell>
          <cell r="CB490" t="e">
            <v>#N/A</v>
          </cell>
          <cell r="CD490">
            <v>-15.25</v>
          </cell>
          <cell r="CE490">
            <v>0</v>
          </cell>
          <cell r="CF490">
            <v>0</v>
          </cell>
          <cell r="CG490" t="e">
            <v>#N/A</v>
          </cell>
          <cell r="CH490">
            <v>0</v>
          </cell>
          <cell r="CI490" t="e">
            <v>#N/A</v>
          </cell>
          <cell r="CJ490">
            <v>0</v>
          </cell>
          <cell r="CK490">
            <v>0</v>
          </cell>
          <cell r="CL490" t="e">
            <v>#N/A</v>
          </cell>
          <cell r="CM490">
            <v>50</v>
          </cell>
          <cell r="CN490">
            <v>34.75</v>
          </cell>
          <cell r="CO490">
            <v>0</v>
          </cell>
          <cell r="CP490">
            <v>0</v>
          </cell>
          <cell r="CQ490" t="e">
            <v>#N/A</v>
          </cell>
          <cell r="CS490">
            <v>-15.25</v>
          </cell>
          <cell r="CT490">
            <v>0</v>
          </cell>
          <cell r="CU490">
            <v>0</v>
          </cell>
          <cell r="CV490">
            <v>1017</v>
          </cell>
          <cell r="CX490">
            <v>-15.25</v>
          </cell>
          <cell r="CY490">
            <v>0</v>
          </cell>
          <cell r="CZ490">
            <v>0</v>
          </cell>
          <cell r="DA490">
            <v>1032.25</v>
          </cell>
          <cell r="DB490">
            <v>7</v>
          </cell>
          <cell r="DC490">
            <v>-8.25</v>
          </cell>
          <cell r="DD490">
            <v>0</v>
          </cell>
          <cell r="DE490">
            <v>-66.688524590163937</v>
          </cell>
          <cell r="DF490">
            <v>1025.25</v>
          </cell>
          <cell r="DG490">
            <v>0</v>
          </cell>
          <cell r="DH490">
            <v>-15.25</v>
          </cell>
          <cell r="DI490">
            <v>0</v>
          </cell>
          <cell r="DJ490">
            <v>-64.688524590163937</v>
          </cell>
          <cell r="DK490">
            <v>1032.25</v>
          </cell>
          <cell r="DL490">
            <v>0</v>
          </cell>
          <cell r="DM490">
            <v>1001.75</v>
          </cell>
          <cell r="DN490">
            <v>0</v>
          </cell>
          <cell r="DO490">
            <v>-64.688524590163937</v>
          </cell>
          <cell r="DP490">
            <v>1017</v>
          </cell>
          <cell r="DQ490">
            <v>0</v>
          </cell>
          <cell r="DR490">
            <v>-15.25</v>
          </cell>
          <cell r="DS490">
            <v>-15.25</v>
          </cell>
          <cell r="DT490">
            <v>-65.688524590163937</v>
          </cell>
          <cell r="DU490">
            <v>1032.25</v>
          </cell>
          <cell r="DV490">
            <v>0</v>
          </cell>
          <cell r="DW490">
            <v>-30.5</v>
          </cell>
          <cell r="DX490">
            <v>-30.5</v>
          </cell>
          <cell r="DY490">
            <v>-66.688524590163937</v>
          </cell>
          <cell r="DZ490">
            <v>1047.5</v>
          </cell>
          <cell r="EA490">
            <v>0</v>
          </cell>
          <cell r="EB490">
            <v>-45.75</v>
          </cell>
          <cell r="EC490">
            <v>-45.75</v>
          </cell>
          <cell r="ED490">
            <v>-67.688524590163937</v>
          </cell>
          <cell r="EE490">
            <v>1062.75</v>
          </cell>
          <cell r="EF490">
            <v>0</v>
          </cell>
          <cell r="EG490">
            <v>-61</v>
          </cell>
          <cell r="EH490">
            <v>-61</v>
          </cell>
          <cell r="EI490">
            <v>-68.688524590163937</v>
          </cell>
          <cell r="EJ490">
            <v>1078</v>
          </cell>
          <cell r="EK490">
            <v>0</v>
          </cell>
          <cell r="EL490">
            <v>-76.25</v>
          </cell>
          <cell r="EM490">
            <v>-76.25</v>
          </cell>
          <cell r="EN490">
            <v>-69.688524590163937</v>
          </cell>
          <cell r="EO490">
            <v>1093.25</v>
          </cell>
          <cell r="EP490">
            <v>0</v>
          </cell>
          <cell r="EQ490">
            <v>-91.5</v>
          </cell>
          <cell r="ER490">
            <v>-91.5</v>
          </cell>
          <cell r="ES490">
            <v>-70.688524590163937</v>
          </cell>
          <cell r="ET490">
            <v>1108.5</v>
          </cell>
          <cell r="EU490">
            <v>0</v>
          </cell>
          <cell r="EV490">
            <v>-106.75</v>
          </cell>
          <cell r="EW490">
            <v>-106.75</v>
          </cell>
          <cell r="EX490">
            <v>-71.688524590163937</v>
          </cell>
          <cell r="EY490">
            <v>1123.75</v>
          </cell>
          <cell r="EZ490">
            <v>0</v>
          </cell>
          <cell r="FA490">
            <v>-122</v>
          </cell>
          <cell r="FB490">
            <v>-122</v>
          </cell>
          <cell r="FC490">
            <v>-72.688524590163937</v>
          </cell>
          <cell r="FD490">
            <v>1139</v>
          </cell>
          <cell r="FE490">
            <v>0</v>
          </cell>
          <cell r="FF490">
            <v>-137.25</v>
          </cell>
          <cell r="FG490">
            <v>-137.25</v>
          </cell>
          <cell r="FH490">
            <v>-73.688524590163937</v>
          </cell>
          <cell r="FI490">
            <v>1154.25</v>
          </cell>
          <cell r="FJ490">
            <v>0</v>
          </cell>
          <cell r="FK490">
            <v>-152.5</v>
          </cell>
          <cell r="FL490">
            <v>-152.5</v>
          </cell>
          <cell r="FM490">
            <v>-74.688524590163937</v>
          </cell>
          <cell r="FN490">
            <v>1169.5</v>
          </cell>
          <cell r="FO490">
            <v>0</v>
          </cell>
          <cell r="FP490">
            <v>-167.75</v>
          </cell>
          <cell r="FQ490">
            <v>-167.75</v>
          </cell>
          <cell r="FR490">
            <v>-75.688524590163937</v>
          </cell>
          <cell r="FS490">
            <v>1184.75</v>
          </cell>
          <cell r="FT490">
            <v>1017</v>
          </cell>
          <cell r="FU490">
            <v>66.666666666666671</v>
          </cell>
          <cell r="FV490" t="str">
            <v>DESCONTINURA</v>
          </cell>
          <cell r="FW490" t="str">
            <v>SIN ROTACIÓN</v>
          </cell>
          <cell r="FX490" t="str">
            <v/>
          </cell>
          <cell r="FY490" t="str">
            <v>No</v>
          </cell>
        </row>
        <row r="491">
          <cell r="B491" t="str">
            <v>REP-0508</v>
          </cell>
          <cell r="C491" t="str">
            <v>MIX</v>
          </cell>
          <cell r="D491">
            <v>0</v>
          </cell>
          <cell r="E491">
            <v>80</v>
          </cell>
          <cell r="F491">
            <v>0</v>
          </cell>
          <cell r="G491">
            <v>0</v>
          </cell>
          <cell r="H491">
            <v>9</v>
          </cell>
          <cell r="I491">
            <v>10</v>
          </cell>
          <cell r="J491">
            <v>0</v>
          </cell>
          <cell r="K491">
            <v>14</v>
          </cell>
          <cell r="L491">
            <v>0</v>
          </cell>
          <cell r="M491">
            <v>1</v>
          </cell>
          <cell r="N491">
            <v>1</v>
          </cell>
          <cell r="O491">
            <v>2</v>
          </cell>
          <cell r="P491">
            <v>3</v>
          </cell>
          <cell r="Q491">
            <v>1</v>
          </cell>
          <cell r="R491">
            <v>1</v>
          </cell>
          <cell r="S491">
            <v>1</v>
          </cell>
          <cell r="T491">
            <v>0</v>
          </cell>
          <cell r="U491">
            <v>2</v>
          </cell>
          <cell r="V491">
            <v>2</v>
          </cell>
          <cell r="W491">
            <v>1</v>
          </cell>
          <cell r="X491">
            <v>2</v>
          </cell>
          <cell r="Y491">
            <v>130</v>
          </cell>
          <cell r="AA491">
            <v>130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3</v>
          </cell>
          <cell r="AH491">
            <v>11.416666666666666</v>
          </cell>
          <cell r="AI491">
            <v>17.5</v>
          </cell>
          <cell r="AJ491">
            <v>17.5</v>
          </cell>
          <cell r="AK491">
            <v>17.5</v>
          </cell>
          <cell r="AL491">
            <v>6.8638798956728726</v>
          </cell>
          <cell r="AM491">
            <v>12.354166666666666</v>
          </cell>
          <cell r="AN491">
            <v>0.55559230184198638</v>
          </cell>
          <cell r="AO491">
            <v>0</v>
          </cell>
          <cell r="AP491">
            <v>22</v>
          </cell>
          <cell r="AQ491">
            <v>3.0851063829787231</v>
          </cell>
          <cell r="AR491">
            <v>0</v>
          </cell>
          <cell r="AS491">
            <v>94.666666666666671</v>
          </cell>
          <cell r="AT491">
            <v>87</v>
          </cell>
          <cell r="AU491">
            <v>9.6666666666666661</v>
          </cell>
          <cell r="AV491">
            <v>0</v>
          </cell>
          <cell r="AW491">
            <v>78</v>
          </cell>
          <cell r="AX491">
            <v>79</v>
          </cell>
          <cell r="AY491">
            <v>4.5142857142857142</v>
          </cell>
          <cell r="AZ491">
            <v>0</v>
          </cell>
          <cell r="BA491">
            <v>120.33333333333333</v>
          </cell>
          <cell r="BB491">
            <v>76</v>
          </cell>
          <cell r="BC491">
            <v>7.862068965517242</v>
          </cell>
          <cell r="BD491">
            <v>0</v>
          </cell>
          <cell r="BE491">
            <v>66.333333333333329</v>
          </cell>
          <cell r="BF491">
            <v>6.8620689655172411</v>
          </cell>
          <cell r="BG491">
            <v>10</v>
          </cell>
          <cell r="BH491">
            <v>66.666666666666657</v>
          </cell>
          <cell r="BI491">
            <v>130</v>
          </cell>
          <cell r="BJ491">
            <v>7.4285714285714288</v>
          </cell>
          <cell r="BK491">
            <v>0</v>
          </cell>
          <cell r="BL491">
            <v>107.66666666666667</v>
          </cell>
          <cell r="BM491">
            <v>108</v>
          </cell>
          <cell r="BN491">
            <v>14.264150943396228</v>
          </cell>
          <cell r="BO491">
            <v>0</v>
          </cell>
          <cell r="BP491">
            <v>100.42857142857143</v>
          </cell>
          <cell r="BQ491">
            <v>87</v>
          </cell>
          <cell r="BR491">
            <v>4.9714285714285715</v>
          </cell>
          <cell r="BS491">
            <v>0</v>
          </cell>
          <cell r="BT491">
            <v>78.375</v>
          </cell>
          <cell r="BU491">
            <v>70</v>
          </cell>
          <cell r="BV491">
            <v>7</v>
          </cell>
          <cell r="BW491">
            <v>10</v>
          </cell>
          <cell r="BX491">
            <v>0</v>
          </cell>
          <cell r="BY491">
            <v>60</v>
          </cell>
          <cell r="BZ491">
            <v>55</v>
          </cell>
          <cell r="CA491">
            <v>4.583333333333333</v>
          </cell>
          <cell r="CB491">
            <v>41</v>
          </cell>
          <cell r="CC491">
            <v>0</v>
          </cell>
          <cell r="CD491">
            <v>43</v>
          </cell>
          <cell r="CE491">
            <v>58</v>
          </cell>
          <cell r="CF491">
            <v>4.1428571428571432</v>
          </cell>
          <cell r="CG491">
            <v>54</v>
          </cell>
          <cell r="CH491">
            <v>0</v>
          </cell>
          <cell r="CI491">
            <v>83</v>
          </cell>
          <cell r="CJ491">
            <v>42</v>
          </cell>
          <cell r="CK491">
            <v>2.6526315789473682</v>
          </cell>
          <cell r="CL491">
            <v>84</v>
          </cell>
          <cell r="CM491">
            <v>0</v>
          </cell>
          <cell r="CN491">
            <v>26.166666666666664</v>
          </cell>
          <cell r="CO491">
            <v>71</v>
          </cell>
          <cell r="CP491">
            <v>4.1764705882352944</v>
          </cell>
          <cell r="CQ491">
            <v>99.833333333333343</v>
          </cell>
          <cell r="CR491">
            <v>0</v>
          </cell>
          <cell r="CS491">
            <v>54</v>
          </cell>
          <cell r="CT491">
            <v>34</v>
          </cell>
          <cell r="CU491">
            <v>1.4166666666666667</v>
          </cell>
          <cell r="CV491">
            <v>15</v>
          </cell>
          <cell r="CW491">
            <v>50</v>
          </cell>
          <cell r="CX491">
            <v>60</v>
          </cell>
          <cell r="CY491">
            <v>13</v>
          </cell>
          <cell r="CZ491">
            <v>0.56521739130434778</v>
          </cell>
          <cell r="DA491">
            <v>0</v>
          </cell>
          <cell r="DB491">
            <v>50</v>
          </cell>
          <cell r="DC491">
            <v>41.5</v>
          </cell>
          <cell r="DD491">
            <v>147</v>
          </cell>
          <cell r="DE491">
            <v>5.5384615384615383</v>
          </cell>
          <cell r="DF491">
            <v>0</v>
          </cell>
          <cell r="DG491">
            <v>0</v>
          </cell>
          <cell r="DH491">
            <v>127.5</v>
          </cell>
          <cell r="DI491">
            <v>131</v>
          </cell>
          <cell r="DJ491">
            <v>6.8</v>
          </cell>
          <cell r="DK491">
            <v>0</v>
          </cell>
          <cell r="DL491">
            <v>0</v>
          </cell>
          <cell r="DM491">
            <v>108.33333333333333</v>
          </cell>
          <cell r="DN491">
            <v>130</v>
          </cell>
          <cell r="DO491">
            <v>7.2571428571428571</v>
          </cell>
          <cell r="DP491">
            <v>0</v>
          </cell>
          <cell r="DQ491">
            <v>0</v>
          </cell>
          <cell r="DR491">
            <v>112.5</v>
          </cell>
          <cell r="DS491">
            <v>112.5</v>
          </cell>
          <cell r="DT491">
            <v>6.2571428571428571</v>
          </cell>
          <cell r="DU491">
            <v>0</v>
          </cell>
          <cell r="DV491">
            <v>0</v>
          </cell>
          <cell r="DW491">
            <v>95</v>
          </cell>
          <cell r="DX491">
            <v>95</v>
          </cell>
          <cell r="DY491">
            <v>5.2571428571428571</v>
          </cell>
          <cell r="DZ491">
            <v>0</v>
          </cell>
          <cell r="EA491">
            <v>0</v>
          </cell>
          <cell r="EB491">
            <v>77.5</v>
          </cell>
          <cell r="EC491">
            <v>77.5</v>
          </cell>
          <cell r="ED491">
            <v>4.2571428571428571</v>
          </cell>
          <cell r="EE491">
            <v>0</v>
          </cell>
          <cell r="EF491">
            <v>0</v>
          </cell>
          <cell r="EG491">
            <v>60</v>
          </cell>
          <cell r="EH491">
            <v>60</v>
          </cell>
          <cell r="EI491">
            <v>3.2571428571428571</v>
          </cell>
          <cell r="EJ491">
            <v>0</v>
          </cell>
          <cell r="EK491">
            <v>70</v>
          </cell>
          <cell r="EL491">
            <v>112.5</v>
          </cell>
          <cell r="EM491">
            <v>112.5</v>
          </cell>
          <cell r="EN491">
            <v>6.2571428571428571</v>
          </cell>
          <cell r="EO491">
            <v>0</v>
          </cell>
          <cell r="EP491">
            <v>0</v>
          </cell>
          <cell r="EQ491">
            <v>95</v>
          </cell>
          <cell r="ER491">
            <v>95</v>
          </cell>
          <cell r="ES491">
            <v>5.2571428571428571</v>
          </cell>
          <cell r="ET491">
            <v>0</v>
          </cell>
          <cell r="EU491">
            <v>0</v>
          </cell>
          <cell r="EV491">
            <v>77.5</v>
          </cell>
          <cell r="EW491">
            <v>77.5</v>
          </cell>
          <cell r="EX491">
            <v>4.2571428571428571</v>
          </cell>
          <cell r="EY491">
            <v>0</v>
          </cell>
          <cell r="EZ491">
            <v>0</v>
          </cell>
          <cell r="FA491">
            <v>60</v>
          </cell>
          <cell r="FB491">
            <v>60</v>
          </cell>
          <cell r="FC491">
            <v>3.2571428571428571</v>
          </cell>
          <cell r="FD491">
            <v>0</v>
          </cell>
          <cell r="FE491">
            <v>80</v>
          </cell>
          <cell r="FF491">
            <v>122.5</v>
          </cell>
          <cell r="FG491">
            <v>122.5</v>
          </cell>
          <cell r="FH491">
            <v>6.8285714285714283</v>
          </cell>
          <cell r="FI491">
            <v>0</v>
          </cell>
          <cell r="FJ491">
            <v>0</v>
          </cell>
          <cell r="FK491">
            <v>105</v>
          </cell>
          <cell r="FL491">
            <v>105</v>
          </cell>
          <cell r="FM491">
            <v>5.8285714285714292</v>
          </cell>
          <cell r="FN491">
            <v>0</v>
          </cell>
          <cell r="FO491">
            <v>0</v>
          </cell>
          <cell r="FP491">
            <v>87.5</v>
          </cell>
          <cell r="FQ491">
            <v>87.5</v>
          </cell>
          <cell r="FR491">
            <v>4.8285714285714292</v>
          </cell>
          <cell r="FS491">
            <v>0</v>
          </cell>
          <cell r="FT491">
            <v>38</v>
          </cell>
          <cell r="FU491">
            <v>2.0333333333333332</v>
          </cell>
          <cell r="FW491" t="str">
            <v>SOBRESTOCK</v>
          </cell>
          <cell r="FX491" t="str">
            <v>A</v>
          </cell>
          <cell r="FY491" t="str">
            <v>Si</v>
          </cell>
        </row>
        <row r="492">
          <cell r="B492" t="str">
            <v>REP-0509</v>
          </cell>
          <cell r="C492" t="str">
            <v>INTERNACIONAL</v>
          </cell>
          <cell r="D492">
            <v>0</v>
          </cell>
          <cell r="E492">
            <v>30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2</v>
          </cell>
          <cell r="O492">
            <v>1</v>
          </cell>
          <cell r="P492">
            <v>0</v>
          </cell>
          <cell r="Q492">
            <v>0</v>
          </cell>
          <cell r="R492">
            <v>1</v>
          </cell>
          <cell r="S492">
            <v>3</v>
          </cell>
          <cell r="T492">
            <v>1</v>
          </cell>
          <cell r="U492">
            <v>2</v>
          </cell>
          <cell r="V492">
            <v>1</v>
          </cell>
          <cell r="W492">
            <v>0</v>
          </cell>
          <cell r="X492">
            <v>2</v>
          </cell>
          <cell r="Y492">
            <v>43</v>
          </cell>
          <cell r="AA492">
            <v>43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0.16666666666666666</v>
          </cell>
          <cell r="AI492">
            <v>1</v>
          </cell>
          <cell r="AJ492">
            <v>1</v>
          </cell>
          <cell r="AK492">
            <v>1</v>
          </cell>
          <cell r="AL492">
            <v>0.5335936864527373</v>
          </cell>
          <cell r="AM492">
            <v>0.54166666666666674</v>
          </cell>
          <cell r="AN492">
            <v>0.98509603652813027</v>
          </cell>
          <cell r="AO492">
            <v>0</v>
          </cell>
          <cell r="AP492">
            <v>49.777777777777779</v>
          </cell>
          <cell r="AQ492" t="str">
            <v/>
          </cell>
          <cell r="AR492">
            <v>0</v>
          </cell>
          <cell r="AS492">
            <v>49</v>
          </cell>
          <cell r="AT492">
            <v>49</v>
          </cell>
          <cell r="AU492">
            <v>98</v>
          </cell>
          <cell r="AV492">
            <v>0</v>
          </cell>
          <cell r="AW492">
            <v>48.5</v>
          </cell>
          <cell r="AX492">
            <v>48</v>
          </cell>
          <cell r="AY492">
            <v>48</v>
          </cell>
          <cell r="AZ492">
            <v>0</v>
          </cell>
          <cell r="BA492">
            <v>47.333333333333336</v>
          </cell>
          <cell r="BB492">
            <v>48</v>
          </cell>
          <cell r="BC492">
            <v>72</v>
          </cell>
          <cell r="BD492">
            <v>0</v>
          </cell>
          <cell r="BE492">
            <v>47.333333333333336</v>
          </cell>
          <cell r="BF492">
            <v>71.000000000000014</v>
          </cell>
          <cell r="BG492">
            <v>0</v>
          </cell>
          <cell r="BH492">
            <v>46.666666666666671</v>
          </cell>
          <cell r="BI492">
            <v>43</v>
          </cell>
          <cell r="BJ492">
            <v>43</v>
          </cell>
          <cell r="BK492">
            <v>0</v>
          </cell>
          <cell r="BL492">
            <v>47.666666666666664</v>
          </cell>
          <cell r="BM492">
            <v>48</v>
          </cell>
          <cell r="BN492">
            <v>168</v>
          </cell>
          <cell r="BO492">
            <v>0</v>
          </cell>
          <cell r="BP492">
            <v>47.714285714285715</v>
          </cell>
          <cell r="BQ492">
            <v>48</v>
          </cell>
          <cell r="BR492">
            <v>48</v>
          </cell>
          <cell r="BS492">
            <v>0</v>
          </cell>
          <cell r="BT492">
            <v>47.75</v>
          </cell>
          <cell r="BU492">
            <v>48</v>
          </cell>
          <cell r="BV492">
            <v>216</v>
          </cell>
          <cell r="BW492">
            <v>28</v>
          </cell>
          <cell r="BX492">
            <v>0</v>
          </cell>
          <cell r="BY492">
            <v>47.777777777777779</v>
          </cell>
          <cell r="BZ492">
            <v>48</v>
          </cell>
          <cell r="CA492">
            <v>240</v>
          </cell>
          <cell r="CB492">
            <v>28</v>
          </cell>
          <cell r="CD492">
            <v>47.8</v>
          </cell>
          <cell r="CE492">
            <v>48</v>
          </cell>
          <cell r="CF492">
            <v>264</v>
          </cell>
          <cell r="CG492">
            <v>28</v>
          </cell>
          <cell r="CH492">
            <v>0</v>
          </cell>
          <cell r="CI492">
            <v>75.61818181818181</v>
          </cell>
          <cell r="CJ492">
            <v>48</v>
          </cell>
          <cell r="CK492">
            <v>288</v>
          </cell>
          <cell r="CL492">
            <v>28</v>
          </cell>
          <cell r="CM492">
            <v>0</v>
          </cell>
          <cell r="CN492">
            <v>47.833333333333336</v>
          </cell>
          <cell r="CO492">
            <v>49</v>
          </cell>
          <cell r="CP492">
            <v>294</v>
          </cell>
          <cell r="CQ492">
            <v>28.166666666666664</v>
          </cell>
          <cell r="CR492">
            <v>0</v>
          </cell>
          <cell r="CS492">
            <v>48.833333333333336</v>
          </cell>
          <cell r="CT492">
            <v>47</v>
          </cell>
          <cell r="CU492">
            <v>47</v>
          </cell>
          <cell r="CV492">
            <v>0</v>
          </cell>
          <cell r="CW492">
            <v>0</v>
          </cell>
          <cell r="CX492">
            <v>46</v>
          </cell>
          <cell r="CY492">
            <v>47</v>
          </cell>
          <cell r="CZ492">
            <v>47</v>
          </cell>
          <cell r="DA492">
            <v>0</v>
          </cell>
          <cell r="DB492">
            <v>0</v>
          </cell>
          <cell r="DC492">
            <v>46.25</v>
          </cell>
          <cell r="DD492">
            <v>46</v>
          </cell>
          <cell r="DE492">
            <v>60</v>
          </cell>
          <cell r="DF492">
            <v>0</v>
          </cell>
          <cell r="DG492">
            <v>0</v>
          </cell>
          <cell r="DH492">
            <v>45.25</v>
          </cell>
          <cell r="DI492">
            <v>46</v>
          </cell>
          <cell r="DJ492">
            <v>77</v>
          </cell>
          <cell r="DK492">
            <v>0</v>
          </cell>
          <cell r="DL492">
            <v>0</v>
          </cell>
          <cell r="DM492">
            <v>44.65</v>
          </cell>
          <cell r="DN492">
            <v>43</v>
          </cell>
          <cell r="DO492">
            <v>43</v>
          </cell>
          <cell r="DP492">
            <v>0</v>
          </cell>
          <cell r="DQ492">
            <v>0</v>
          </cell>
          <cell r="DR492">
            <v>42</v>
          </cell>
          <cell r="DS492">
            <v>42</v>
          </cell>
          <cell r="DT492">
            <v>42</v>
          </cell>
          <cell r="DU492">
            <v>0</v>
          </cell>
          <cell r="DV492">
            <v>0</v>
          </cell>
          <cell r="DW492">
            <v>41</v>
          </cell>
          <cell r="DX492">
            <v>41</v>
          </cell>
          <cell r="DY492">
            <v>41</v>
          </cell>
          <cell r="DZ492">
            <v>0</v>
          </cell>
          <cell r="EA492">
            <v>0</v>
          </cell>
          <cell r="EB492">
            <v>40</v>
          </cell>
          <cell r="EC492">
            <v>40</v>
          </cell>
          <cell r="ED492">
            <v>40</v>
          </cell>
          <cell r="EE492">
            <v>0</v>
          </cell>
          <cell r="EF492">
            <v>0</v>
          </cell>
          <cell r="EG492">
            <v>39</v>
          </cell>
          <cell r="EH492">
            <v>39</v>
          </cell>
          <cell r="EI492">
            <v>39</v>
          </cell>
          <cell r="EJ492">
            <v>0</v>
          </cell>
          <cell r="EK492">
            <v>0</v>
          </cell>
          <cell r="EL492">
            <v>38</v>
          </cell>
          <cell r="EM492">
            <v>38</v>
          </cell>
          <cell r="EN492">
            <v>38</v>
          </cell>
          <cell r="EO492">
            <v>0</v>
          </cell>
          <cell r="EP492">
            <v>0</v>
          </cell>
          <cell r="EQ492">
            <v>37</v>
          </cell>
          <cell r="ER492">
            <v>37</v>
          </cell>
          <cell r="ES492">
            <v>37</v>
          </cell>
          <cell r="ET492">
            <v>0</v>
          </cell>
          <cell r="EU492">
            <v>0</v>
          </cell>
          <cell r="EV492">
            <v>36</v>
          </cell>
          <cell r="EW492">
            <v>36</v>
          </cell>
          <cell r="EX492">
            <v>36</v>
          </cell>
          <cell r="EY492">
            <v>0</v>
          </cell>
          <cell r="EZ492">
            <v>0</v>
          </cell>
          <cell r="FA492">
            <v>35</v>
          </cell>
          <cell r="FB492">
            <v>35</v>
          </cell>
          <cell r="FC492">
            <v>35</v>
          </cell>
          <cell r="FD492">
            <v>0</v>
          </cell>
          <cell r="FE492">
            <v>0</v>
          </cell>
          <cell r="FF492">
            <v>34</v>
          </cell>
          <cell r="FG492">
            <v>34</v>
          </cell>
          <cell r="FH492">
            <v>34</v>
          </cell>
          <cell r="FI492">
            <v>0</v>
          </cell>
          <cell r="FJ492">
            <v>0</v>
          </cell>
          <cell r="FK492">
            <v>33</v>
          </cell>
          <cell r="FL492">
            <v>33</v>
          </cell>
          <cell r="FM492">
            <v>33</v>
          </cell>
          <cell r="FN492">
            <v>0</v>
          </cell>
          <cell r="FO492">
            <v>0</v>
          </cell>
          <cell r="FP492">
            <v>32</v>
          </cell>
          <cell r="FQ492">
            <v>32</v>
          </cell>
          <cell r="FR492">
            <v>32</v>
          </cell>
          <cell r="FS492">
            <v>0</v>
          </cell>
          <cell r="FT492">
            <v>2</v>
          </cell>
          <cell r="FU492">
            <v>1.0333333333333334</v>
          </cell>
          <cell r="FW492" t="str">
            <v>SOBRESTOCK</v>
          </cell>
          <cell r="FX492" t="str">
            <v>C</v>
          </cell>
          <cell r="FY492" t="str">
            <v>Si</v>
          </cell>
        </row>
        <row r="493">
          <cell r="B493" t="str">
            <v>REP-0510</v>
          </cell>
          <cell r="C493" t="str">
            <v>VIGAFLOW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AA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8.3333333333333329E-2</v>
          </cell>
          <cell r="AH493">
            <v>8.3333333333333329E-2</v>
          </cell>
          <cell r="AI493">
            <v>0.16666666666666666</v>
          </cell>
          <cell r="AJ493">
            <v>0.16666666666666666</v>
          </cell>
          <cell r="AK493">
            <v>0.16666666666666666</v>
          </cell>
          <cell r="AL493">
            <v>4.8112522432468822E-2</v>
          </cell>
          <cell r="AM493">
            <v>0.125</v>
          </cell>
          <cell r="AN493">
            <v>0.38490017945975058</v>
          </cell>
          <cell r="AO493">
            <v>0</v>
          </cell>
          <cell r="AP493">
            <v>-0.16666666666666666</v>
          </cell>
          <cell r="AQ493">
            <v>-1</v>
          </cell>
          <cell r="AR493">
            <v>0</v>
          </cell>
          <cell r="AS493">
            <v>-0.33333333333333331</v>
          </cell>
          <cell r="AT493">
            <v>1</v>
          </cell>
          <cell r="AU493">
            <v>6</v>
          </cell>
          <cell r="AV493">
            <v>0</v>
          </cell>
          <cell r="AW493">
            <v>0.83333333333333337</v>
          </cell>
          <cell r="AX493">
            <v>1</v>
          </cell>
          <cell r="AY493">
            <v>6</v>
          </cell>
          <cell r="AZ493">
            <v>0</v>
          </cell>
          <cell r="BA493">
            <v>0.83333333333333337</v>
          </cell>
          <cell r="BB493">
            <v>1</v>
          </cell>
          <cell r="BC493">
            <v>12</v>
          </cell>
          <cell r="BD493">
            <v>0</v>
          </cell>
          <cell r="BE493">
            <v>0.91666666666666663</v>
          </cell>
          <cell r="BF493">
            <v>11</v>
          </cell>
          <cell r="BG493">
            <v>0</v>
          </cell>
          <cell r="BH493">
            <v>0.83333333333333326</v>
          </cell>
          <cell r="BI493">
            <v>0</v>
          </cell>
          <cell r="BJ493">
            <v>0</v>
          </cell>
          <cell r="BK493">
            <v>0</v>
          </cell>
          <cell r="BL493">
            <v>0.91666666666666663</v>
          </cell>
          <cell r="BM493">
            <v>1</v>
          </cell>
          <cell r="BN493">
            <v>12</v>
          </cell>
          <cell r="BO493">
            <v>0</v>
          </cell>
          <cell r="BP493">
            <v>0.91666666666666663</v>
          </cell>
          <cell r="BQ493">
            <v>1</v>
          </cell>
          <cell r="BR493">
            <v>6</v>
          </cell>
          <cell r="BS493">
            <v>0</v>
          </cell>
          <cell r="BT493">
            <v>0.91666666666666663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-0.16666666666666666</v>
          </cell>
          <cell r="BZ493">
            <v>0</v>
          </cell>
          <cell r="CA493">
            <v>0</v>
          </cell>
          <cell r="CB493">
            <v>0</v>
          </cell>
          <cell r="CD493">
            <v>-0.16666666666666666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-0.33333333333333331</v>
          </cell>
          <cell r="CJ493">
            <v>1</v>
          </cell>
          <cell r="CK493">
            <v>6</v>
          </cell>
          <cell r="CL493">
            <v>0</v>
          </cell>
          <cell r="CM493">
            <v>0</v>
          </cell>
          <cell r="CN493">
            <v>0.83333333333333337</v>
          </cell>
          <cell r="CO493">
            <v>1</v>
          </cell>
          <cell r="CP493">
            <v>6</v>
          </cell>
          <cell r="CQ493">
            <v>0</v>
          </cell>
          <cell r="CR493">
            <v>0</v>
          </cell>
          <cell r="CS493">
            <v>0.83333333333333337</v>
          </cell>
          <cell r="CT493">
            <v>1</v>
          </cell>
          <cell r="CU493">
            <v>6</v>
          </cell>
          <cell r="CV493">
            <v>0</v>
          </cell>
          <cell r="CW493">
            <v>0</v>
          </cell>
          <cell r="CX493">
            <v>0.83333333333333337</v>
          </cell>
          <cell r="CY493">
            <v>1</v>
          </cell>
          <cell r="CZ493">
            <v>12</v>
          </cell>
          <cell r="DA493">
            <v>0.16666666666666663</v>
          </cell>
          <cell r="DB493">
            <v>0</v>
          </cell>
          <cell r="DC493">
            <v>0.91666666666666663</v>
          </cell>
          <cell r="DD493">
            <v>0</v>
          </cell>
          <cell r="DE493">
            <v>-4</v>
          </cell>
          <cell r="DF493">
            <v>8.333333333333337E-2</v>
          </cell>
          <cell r="DG493">
            <v>0</v>
          </cell>
          <cell r="DH493">
            <v>-0.25</v>
          </cell>
          <cell r="DI493">
            <v>0</v>
          </cell>
          <cell r="DJ493">
            <v>-3</v>
          </cell>
          <cell r="DK493">
            <v>1.25</v>
          </cell>
          <cell r="DL493">
            <v>0</v>
          </cell>
          <cell r="DM493">
            <v>0.8</v>
          </cell>
          <cell r="DN493">
            <v>0</v>
          </cell>
          <cell r="DO493">
            <v>-4</v>
          </cell>
          <cell r="DP493">
            <v>1</v>
          </cell>
          <cell r="DQ493">
            <v>0</v>
          </cell>
          <cell r="DR493">
            <v>-0.16666666666666666</v>
          </cell>
          <cell r="DS493">
            <v>-0.16666666666666666</v>
          </cell>
          <cell r="DT493">
            <v>-5.0000000000000009</v>
          </cell>
          <cell r="DU493">
            <v>1.1666666666666667</v>
          </cell>
          <cell r="DV493">
            <v>0</v>
          </cell>
          <cell r="DW493">
            <v>-0.33333333333333331</v>
          </cell>
          <cell r="DX493">
            <v>-0.33333333333333331</v>
          </cell>
          <cell r="DY493">
            <v>-6</v>
          </cell>
          <cell r="DZ493">
            <v>1.3333333333333333</v>
          </cell>
          <cell r="EA493">
            <v>0</v>
          </cell>
          <cell r="EB493">
            <v>-0.5</v>
          </cell>
          <cell r="EC493">
            <v>-0.5</v>
          </cell>
          <cell r="ED493">
            <v>-7</v>
          </cell>
          <cell r="EE493">
            <v>1.5</v>
          </cell>
          <cell r="EF493">
            <v>0</v>
          </cell>
          <cell r="EG493">
            <v>-0.66666666666666663</v>
          </cell>
          <cell r="EH493">
            <v>-0.66666666666666663</v>
          </cell>
          <cell r="EI493">
            <v>-8</v>
          </cell>
          <cell r="EJ493">
            <v>1.6666666666666665</v>
          </cell>
          <cell r="EK493">
            <v>0</v>
          </cell>
          <cell r="EL493">
            <v>-0.83333333333333326</v>
          </cell>
          <cell r="EM493">
            <v>-0.83333333333333326</v>
          </cell>
          <cell r="EN493">
            <v>-9</v>
          </cell>
          <cell r="EO493">
            <v>1.8333333333333333</v>
          </cell>
          <cell r="EP493">
            <v>0</v>
          </cell>
          <cell r="EQ493">
            <v>-0.99999999999999989</v>
          </cell>
          <cell r="ER493">
            <v>-0.99999999999999989</v>
          </cell>
          <cell r="ES493">
            <v>-10</v>
          </cell>
          <cell r="ET493">
            <v>2</v>
          </cell>
          <cell r="EU493">
            <v>0</v>
          </cell>
          <cell r="EV493">
            <v>-1.1666666666666665</v>
          </cell>
          <cell r="EW493">
            <v>-1.1666666666666665</v>
          </cell>
          <cell r="EX493">
            <v>-11</v>
          </cell>
          <cell r="EY493">
            <v>2.1666666666666665</v>
          </cell>
          <cell r="EZ493">
            <v>0</v>
          </cell>
          <cell r="FA493">
            <v>-1.3333333333333333</v>
          </cell>
          <cell r="FB493">
            <v>-1.3333333333333333</v>
          </cell>
          <cell r="FC493">
            <v>-11.999999999999998</v>
          </cell>
          <cell r="FD493">
            <v>2.333333333333333</v>
          </cell>
          <cell r="FE493">
            <v>0</v>
          </cell>
          <cell r="FF493">
            <v>-1.5</v>
          </cell>
          <cell r="FG493">
            <v>-1.5</v>
          </cell>
          <cell r="FH493">
            <v>-13</v>
          </cell>
          <cell r="FI493">
            <v>2.5</v>
          </cell>
          <cell r="FJ493">
            <v>0</v>
          </cell>
          <cell r="FK493">
            <v>-1.6666666666666667</v>
          </cell>
          <cell r="FL493">
            <v>-1.6666666666666667</v>
          </cell>
          <cell r="FM493">
            <v>-14.000000000000004</v>
          </cell>
          <cell r="FN493">
            <v>2.666666666666667</v>
          </cell>
          <cell r="FO493">
            <v>0</v>
          </cell>
          <cell r="FP493">
            <v>-1.8333333333333335</v>
          </cell>
          <cell r="FQ493">
            <v>-1.8333333333333335</v>
          </cell>
          <cell r="FR493">
            <v>-15.000000000000004</v>
          </cell>
          <cell r="FS493">
            <v>2.8333333333333335</v>
          </cell>
          <cell r="FT493">
            <v>1</v>
          </cell>
          <cell r="FU493">
            <v>1.0333333333333334</v>
          </cell>
          <cell r="FW493" t="str">
            <v>QUIEBRE STOCK</v>
          </cell>
          <cell r="FX493" t="str">
            <v>C</v>
          </cell>
          <cell r="FY493" t="str">
            <v>Si</v>
          </cell>
        </row>
        <row r="494">
          <cell r="B494" t="str">
            <v>REP-0511</v>
          </cell>
          <cell r="C494" t="str">
            <v>VIGAFLOW</v>
          </cell>
          <cell r="D494">
            <v>0</v>
          </cell>
          <cell r="E494">
            <v>5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5</v>
          </cell>
          <cell r="AA494">
            <v>5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5</v>
          </cell>
          <cell r="AQ494" t="str">
            <v/>
          </cell>
          <cell r="AR494">
            <v>0</v>
          </cell>
          <cell r="AS494">
            <v>5</v>
          </cell>
          <cell r="AT494">
            <v>5</v>
          </cell>
          <cell r="AU494" t="str">
            <v/>
          </cell>
          <cell r="AV494">
            <v>0</v>
          </cell>
          <cell r="AW494">
            <v>5</v>
          </cell>
          <cell r="AX494">
            <v>5</v>
          </cell>
          <cell r="AY494" t="str">
            <v/>
          </cell>
          <cell r="AZ494">
            <v>0</v>
          </cell>
          <cell r="BA494">
            <v>5</v>
          </cell>
          <cell r="BB494">
            <v>5</v>
          </cell>
          <cell r="BC494" t="str">
            <v/>
          </cell>
          <cell r="BD494">
            <v>0</v>
          </cell>
          <cell r="BE494">
            <v>5</v>
          </cell>
          <cell r="BF494" t="str">
            <v/>
          </cell>
          <cell r="BG494">
            <v>0</v>
          </cell>
          <cell r="BH494">
            <v>5</v>
          </cell>
          <cell r="BI494">
            <v>5</v>
          </cell>
          <cell r="BJ494" t="str">
            <v/>
          </cell>
          <cell r="BK494">
            <v>0</v>
          </cell>
          <cell r="BL494">
            <v>5</v>
          </cell>
          <cell r="BM494">
            <v>5</v>
          </cell>
          <cell r="BN494" t="str">
            <v/>
          </cell>
          <cell r="BO494">
            <v>0</v>
          </cell>
          <cell r="BP494">
            <v>5</v>
          </cell>
          <cell r="BQ494">
            <v>5</v>
          </cell>
          <cell r="BR494" t="str">
            <v/>
          </cell>
          <cell r="BS494">
            <v>0</v>
          </cell>
          <cell r="BT494">
            <v>5</v>
          </cell>
          <cell r="BU494">
            <v>5</v>
          </cell>
          <cell r="BV494" t="str">
            <v/>
          </cell>
          <cell r="BW494">
            <v>0</v>
          </cell>
          <cell r="BX494">
            <v>0</v>
          </cell>
          <cell r="BY494">
            <v>5</v>
          </cell>
          <cell r="BZ494">
            <v>5</v>
          </cell>
          <cell r="CA494" t="str">
            <v/>
          </cell>
          <cell r="CB494">
            <v>0</v>
          </cell>
          <cell r="CD494">
            <v>5</v>
          </cell>
          <cell r="CE494">
            <v>5</v>
          </cell>
          <cell r="CF494" t="str">
            <v/>
          </cell>
          <cell r="CG494">
            <v>0</v>
          </cell>
          <cell r="CH494">
            <v>0</v>
          </cell>
          <cell r="CI494">
            <v>5</v>
          </cell>
          <cell r="CJ494">
            <v>5</v>
          </cell>
          <cell r="CK494" t="str">
            <v/>
          </cell>
          <cell r="CL494">
            <v>0</v>
          </cell>
          <cell r="CM494">
            <v>0</v>
          </cell>
          <cell r="CN494">
            <v>5</v>
          </cell>
          <cell r="CO494">
            <v>5</v>
          </cell>
          <cell r="CP494" t="str">
            <v/>
          </cell>
          <cell r="CQ494">
            <v>0</v>
          </cell>
          <cell r="CR494">
            <v>0</v>
          </cell>
          <cell r="CS494">
            <v>5</v>
          </cell>
          <cell r="CT494">
            <v>5</v>
          </cell>
          <cell r="CU494" t="str">
            <v/>
          </cell>
          <cell r="CV494">
            <v>0</v>
          </cell>
          <cell r="CW494">
            <v>0</v>
          </cell>
          <cell r="CX494">
            <v>5</v>
          </cell>
          <cell r="CY494">
            <v>5</v>
          </cell>
          <cell r="CZ494" t="str">
            <v/>
          </cell>
          <cell r="DA494">
            <v>0</v>
          </cell>
          <cell r="DB494">
            <v>0</v>
          </cell>
          <cell r="DC494">
            <v>5</v>
          </cell>
          <cell r="DD494">
            <v>5</v>
          </cell>
          <cell r="DE494" t="str">
            <v/>
          </cell>
          <cell r="DF494">
            <v>0</v>
          </cell>
          <cell r="DG494">
            <v>0</v>
          </cell>
          <cell r="DH494">
            <v>5</v>
          </cell>
          <cell r="DI494">
            <v>5</v>
          </cell>
          <cell r="DJ494" t="str">
            <v/>
          </cell>
          <cell r="DK494">
            <v>0</v>
          </cell>
          <cell r="DL494">
            <v>0</v>
          </cell>
          <cell r="DM494">
            <v>5</v>
          </cell>
          <cell r="DN494">
            <v>5</v>
          </cell>
          <cell r="DO494" t="str">
            <v/>
          </cell>
          <cell r="DP494">
            <v>0</v>
          </cell>
          <cell r="DQ494">
            <v>0</v>
          </cell>
          <cell r="DR494">
            <v>5</v>
          </cell>
          <cell r="DS494">
            <v>5</v>
          </cell>
          <cell r="DT494" t="str">
            <v/>
          </cell>
          <cell r="DU494">
            <v>0</v>
          </cell>
          <cell r="DV494">
            <v>0</v>
          </cell>
          <cell r="DW494">
            <v>5</v>
          </cell>
          <cell r="DX494">
            <v>5</v>
          </cell>
          <cell r="DY494" t="str">
            <v/>
          </cell>
          <cell r="DZ494">
            <v>0</v>
          </cell>
          <cell r="EA494">
            <v>0</v>
          </cell>
          <cell r="EB494">
            <v>5</v>
          </cell>
          <cell r="EC494">
            <v>5</v>
          </cell>
          <cell r="ED494" t="str">
            <v/>
          </cell>
          <cell r="EE494">
            <v>0</v>
          </cell>
          <cell r="EF494">
            <v>0</v>
          </cell>
          <cell r="EG494">
            <v>5</v>
          </cell>
          <cell r="EH494">
            <v>5</v>
          </cell>
          <cell r="EI494" t="str">
            <v/>
          </cell>
          <cell r="EJ494">
            <v>0</v>
          </cell>
          <cell r="EK494">
            <v>0</v>
          </cell>
          <cell r="EL494">
            <v>5</v>
          </cell>
          <cell r="EM494">
            <v>5</v>
          </cell>
          <cell r="EN494" t="str">
            <v/>
          </cell>
          <cell r="EO494">
            <v>0</v>
          </cell>
          <cell r="EP494">
            <v>0</v>
          </cell>
          <cell r="EQ494">
            <v>5</v>
          </cell>
          <cell r="ER494">
            <v>5</v>
          </cell>
          <cell r="ES494" t="str">
            <v/>
          </cell>
          <cell r="ET494">
            <v>0</v>
          </cell>
          <cell r="EU494">
            <v>0</v>
          </cell>
          <cell r="EV494">
            <v>5</v>
          </cell>
          <cell r="EW494">
            <v>5</v>
          </cell>
          <cell r="EX494" t="str">
            <v/>
          </cell>
          <cell r="EY494">
            <v>0</v>
          </cell>
          <cell r="EZ494">
            <v>0</v>
          </cell>
          <cell r="FA494">
            <v>5</v>
          </cell>
          <cell r="FB494">
            <v>5</v>
          </cell>
          <cell r="FC494" t="str">
            <v/>
          </cell>
          <cell r="FD494">
            <v>0</v>
          </cell>
          <cell r="FE494">
            <v>0</v>
          </cell>
          <cell r="FF494">
            <v>5</v>
          </cell>
          <cell r="FG494">
            <v>5</v>
          </cell>
          <cell r="FH494" t="str">
            <v/>
          </cell>
          <cell r="FI494">
            <v>0</v>
          </cell>
          <cell r="FJ494">
            <v>0</v>
          </cell>
          <cell r="FK494">
            <v>5</v>
          </cell>
          <cell r="FL494">
            <v>5</v>
          </cell>
          <cell r="FM494" t="str">
            <v/>
          </cell>
          <cell r="FN494">
            <v>0</v>
          </cell>
          <cell r="FO494">
            <v>0</v>
          </cell>
          <cell r="FP494">
            <v>5</v>
          </cell>
          <cell r="FQ494">
            <v>5</v>
          </cell>
          <cell r="FR494" t="str">
            <v/>
          </cell>
          <cell r="FS494">
            <v>0</v>
          </cell>
          <cell r="FT494">
            <v>0</v>
          </cell>
          <cell r="FU494">
            <v>1.0333333333333334</v>
          </cell>
          <cell r="FW494" t="str">
            <v>SIN ROTACIÓN</v>
          </cell>
          <cell r="FX494" t="str">
            <v>STOCK MUERTO</v>
          </cell>
          <cell r="FY494" t="str">
            <v>Si</v>
          </cell>
        </row>
        <row r="495">
          <cell r="B495" t="str">
            <v>REP-0512</v>
          </cell>
          <cell r="C495" t="str">
            <v>VIGAFLOW</v>
          </cell>
          <cell r="D495">
            <v>0</v>
          </cell>
          <cell r="E495">
            <v>11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2</v>
          </cell>
          <cell r="R495">
            <v>0</v>
          </cell>
          <cell r="S495">
            <v>0</v>
          </cell>
          <cell r="T495">
            <v>0</v>
          </cell>
          <cell r="U495">
            <v>1</v>
          </cell>
          <cell r="V495">
            <v>0</v>
          </cell>
          <cell r="W495">
            <v>1</v>
          </cell>
          <cell r="X495">
            <v>0</v>
          </cell>
          <cell r="Y495">
            <v>15</v>
          </cell>
          <cell r="AA495">
            <v>15</v>
          </cell>
          <cell r="AC495">
            <v>0</v>
          </cell>
          <cell r="AD495">
            <v>0</v>
          </cell>
          <cell r="AE495">
            <v>0</v>
          </cell>
          <cell r="AG495">
            <v>8.3333333333333329E-2</v>
          </cell>
          <cell r="AH495">
            <v>0.33333333333333331</v>
          </cell>
          <cell r="AI495">
            <v>0.5</v>
          </cell>
          <cell r="AJ495">
            <v>0.5</v>
          </cell>
          <cell r="AK495">
            <v>0.5</v>
          </cell>
          <cell r="AL495">
            <v>0.1969089844271921</v>
          </cell>
          <cell r="AM495">
            <v>0.35416666666666663</v>
          </cell>
          <cell r="AN495">
            <v>0.5559783089708954</v>
          </cell>
          <cell r="AO495">
            <v>0</v>
          </cell>
          <cell r="AP495">
            <v>3.6666666666666665</v>
          </cell>
          <cell r="AQ495">
            <v>23.000000000000004</v>
          </cell>
          <cell r="AR495">
            <v>0</v>
          </cell>
          <cell r="AS495">
            <v>3.666666666666667</v>
          </cell>
          <cell r="AT495">
            <v>4</v>
          </cell>
          <cell r="AU495">
            <v>24</v>
          </cell>
          <cell r="AV495">
            <v>0</v>
          </cell>
          <cell r="AW495">
            <v>3.8333333333333335</v>
          </cell>
          <cell r="AX495">
            <v>4</v>
          </cell>
          <cell r="AY495">
            <v>8</v>
          </cell>
          <cell r="AZ495">
            <v>0</v>
          </cell>
          <cell r="BA495">
            <v>3.8333333333333335</v>
          </cell>
          <cell r="BB495">
            <v>4</v>
          </cell>
          <cell r="BC495">
            <v>48</v>
          </cell>
          <cell r="BD495">
            <v>0</v>
          </cell>
          <cell r="BE495">
            <v>3.9166666666666665</v>
          </cell>
          <cell r="BF495">
            <v>47</v>
          </cell>
          <cell r="BG495">
            <v>0</v>
          </cell>
          <cell r="BH495">
            <v>3.833333333333333</v>
          </cell>
          <cell r="BI495">
            <v>15</v>
          </cell>
          <cell r="BJ495">
            <v>30</v>
          </cell>
          <cell r="BK495">
            <v>0</v>
          </cell>
          <cell r="BL495">
            <v>3.9166666666666665</v>
          </cell>
          <cell r="BM495">
            <v>3</v>
          </cell>
          <cell r="BN495">
            <v>18</v>
          </cell>
          <cell r="BO495">
            <v>0</v>
          </cell>
          <cell r="BP495">
            <v>2.8333333333333335</v>
          </cell>
          <cell r="BQ495">
            <v>2</v>
          </cell>
          <cell r="BR495">
            <v>4</v>
          </cell>
          <cell r="BS495">
            <v>0</v>
          </cell>
          <cell r="BT495">
            <v>1.6666666666666667</v>
          </cell>
          <cell r="BU495">
            <v>2</v>
          </cell>
          <cell r="BV495">
            <v>6</v>
          </cell>
          <cell r="BW495">
            <v>0</v>
          </cell>
          <cell r="BX495">
            <v>0</v>
          </cell>
          <cell r="BY495">
            <v>1.6666666666666667</v>
          </cell>
          <cell r="BZ495">
            <v>1</v>
          </cell>
          <cell r="CA495">
            <v>2</v>
          </cell>
          <cell r="CB495">
            <v>1</v>
          </cell>
          <cell r="CD495">
            <v>0.5</v>
          </cell>
          <cell r="CE495">
            <v>1</v>
          </cell>
          <cell r="CF495">
            <v>2</v>
          </cell>
          <cell r="CG495">
            <v>1</v>
          </cell>
          <cell r="CH495">
            <v>0</v>
          </cell>
          <cell r="CI495">
            <v>1</v>
          </cell>
          <cell r="CJ495">
            <v>2</v>
          </cell>
          <cell r="CK495">
            <v>3</v>
          </cell>
          <cell r="CL495">
            <v>0</v>
          </cell>
          <cell r="CM495">
            <v>0</v>
          </cell>
          <cell r="CN495">
            <v>1.3333333333333335</v>
          </cell>
          <cell r="CO495">
            <v>2</v>
          </cell>
          <cell r="CP495">
            <v>3</v>
          </cell>
          <cell r="CQ495">
            <v>0.66666666666666652</v>
          </cell>
          <cell r="CR495">
            <v>0</v>
          </cell>
          <cell r="CS495">
            <v>1.3333333333333335</v>
          </cell>
          <cell r="CT495">
            <v>14</v>
          </cell>
          <cell r="CU495">
            <v>9.3333333333333339</v>
          </cell>
          <cell r="CV495">
            <v>0</v>
          </cell>
          <cell r="CW495">
            <v>0</v>
          </cell>
          <cell r="CX495">
            <v>12.5</v>
          </cell>
          <cell r="CY495">
            <v>14</v>
          </cell>
          <cell r="CZ495">
            <v>42</v>
          </cell>
          <cell r="DA495">
            <v>0</v>
          </cell>
          <cell r="DB495">
            <v>0</v>
          </cell>
          <cell r="DC495">
            <v>13.666666666666666</v>
          </cell>
          <cell r="DD495">
            <v>14</v>
          </cell>
          <cell r="DE495">
            <v>17.333333333333332</v>
          </cell>
          <cell r="DF495">
            <v>0</v>
          </cell>
          <cell r="DG495">
            <v>0</v>
          </cell>
          <cell r="DH495">
            <v>13.25</v>
          </cell>
          <cell r="DI495">
            <v>14</v>
          </cell>
          <cell r="DJ495">
            <v>21.5</v>
          </cell>
          <cell r="DK495">
            <v>0</v>
          </cell>
          <cell r="DL495">
            <v>0</v>
          </cell>
          <cell r="DM495">
            <v>12.583333333333334</v>
          </cell>
          <cell r="DN495">
            <v>15</v>
          </cell>
          <cell r="DO495">
            <v>30</v>
          </cell>
          <cell r="DP495">
            <v>0</v>
          </cell>
          <cell r="DQ495">
            <v>0</v>
          </cell>
          <cell r="DR495">
            <v>14.5</v>
          </cell>
          <cell r="DS495">
            <v>14.5</v>
          </cell>
          <cell r="DT495">
            <v>29</v>
          </cell>
          <cell r="DU495">
            <v>0</v>
          </cell>
          <cell r="DV495">
            <v>0</v>
          </cell>
          <cell r="DW495">
            <v>14</v>
          </cell>
          <cell r="DX495">
            <v>14</v>
          </cell>
          <cell r="DY495">
            <v>28</v>
          </cell>
          <cell r="DZ495">
            <v>0</v>
          </cell>
          <cell r="EA495">
            <v>0</v>
          </cell>
          <cell r="EB495">
            <v>13.5</v>
          </cell>
          <cell r="EC495">
            <v>13.5</v>
          </cell>
          <cell r="ED495">
            <v>27</v>
          </cell>
          <cell r="EE495">
            <v>0</v>
          </cell>
          <cell r="EF495">
            <v>0</v>
          </cell>
          <cell r="EG495">
            <v>13</v>
          </cell>
          <cell r="EH495">
            <v>13</v>
          </cell>
          <cell r="EI495">
            <v>26</v>
          </cell>
          <cell r="EJ495">
            <v>0</v>
          </cell>
          <cell r="EK495">
            <v>0</v>
          </cell>
          <cell r="EL495">
            <v>12.5</v>
          </cell>
          <cell r="EM495">
            <v>12.5</v>
          </cell>
          <cell r="EN495">
            <v>25</v>
          </cell>
          <cell r="EO495">
            <v>0</v>
          </cell>
          <cell r="EP495">
            <v>0</v>
          </cell>
          <cell r="EQ495">
            <v>12</v>
          </cell>
          <cell r="ER495">
            <v>12</v>
          </cell>
          <cell r="ES495">
            <v>24</v>
          </cell>
          <cell r="ET495">
            <v>0</v>
          </cell>
          <cell r="EU495">
            <v>0</v>
          </cell>
          <cell r="EV495">
            <v>11.5</v>
          </cell>
          <cell r="EW495">
            <v>11.5</v>
          </cell>
          <cell r="EX495">
            <v>23</v>
          </cell>
          <cell r="EY495">
            <v>0</v>
          </cell>
          <cell r="EZ495">
            <v>0</v>
          </cell>
          <cell r="FA495">
            <v>11</v>
          </cell>
          <cell r="FB495">
            <v>11</v>
          </cell>
          <cell r="FC495">
            <v>22</v>
          </cell>
          <cell r="FD495">
            <v>0</v>
          </cell>
          <cell r="FE495">
            <v>0</v>
          </cell>
          <cell r="FF495">
            <v>10.5</v>
          </cell>
          <cell r="FG495">
            <v>10.5</v>
          </cell>
          <cell r="FH495">
            <v>21</v>
          </cell>
          <cell r="FI495">
            <v>0</v>
          </cell>
          <cell r="FJ495">
            <v>0</v>
          </cell>
          <cell r="FK495">
            <v>10</v>
          </cell>
          <cell r="FL495">
            <v>10</v>
          </cell>
          <cell r="FM495">
            <v>20</v>
          </cell>
          <cell r="FN495">
            <v>0</v>
          </cell>
          <cell r="FO495">
            <v>0</v>
          </cell>
          <cell r="FP495">
            <v>9.5</v>
          </cell>
          <cell r="FQ495">
            <v>9.5</v>
          </cell>
          <cell r="FR495">
            <v>19</v>
          </cell>
          <cell r="FS495">
            <v>0</v>
          </cell>
          <cell r="FT495">
            <v>1</v>
          </cell>
          <cell r="FU495">
            <v>1.0333333333333334</v>
          </cell>
          <cell r="FW495" t="str">
            <v>SOBRESTOCK</v>
          </cell>
          <cell r="FX495" t="str">
            <v>C</v>
          </cell>
          <cell r="FY495" t="str">
            <v>Si</v>
          </cell>
        </row>
        <row r="496">
          <cell r="B496" t="str">
            <v>REP-0513</v>
          </cell>
          <cell r="C496" t="str">
            <v>MIX</v>
          </cell>
          <cell r="D496">
            <v>0</v>
          </cell>
          <cell r="E496">
            <v>30</v>
          </cell>
          <cell r="F496">
            <v>0</v>
          </cell>
          <cell r="G496">
            <v>0</v>
          </cell>
          <cell r="H496">
            <v>6</v>
          </cell>
          <cell r="I496">
            <v>6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1</v>
          </cell>
          <cell r="P496">
            <v>1</v>
          </cell>
          <cell r="Q496">
            <v>1</v>
          </cell>
          <cell r="R496">
            <v>3</v>
          </cell>
          <cell r="S496">
            <v>0</v>
          </cell>
          <cell r="T496">
            <v>1</v>
          </cell>
          <cell r="U496">
            <v>1</v>
          </cell>
          <cell r="V496">
            <v>0</v>
          </cell>
          <cell r="W496">
            <v>0</v>
          </cell>
          <cell r="X496">
            <v>0</v>
          </cell>
          <cell r="Y496">
            <v>50</v>
          </cell>
          <cell r="AA496">
            <v>50</v>
          </cell>
          <cell r="AC496">
            <v>0</v>
          </cell>
          <cell r="AD496">
            <v>0</v>
          </cell>
          <cell r="AE496">
            <v>0</v>
          </cell>
          <cell r="AH496">
            <v>13.416666666666666</v>
          </cell>
          <cell r="AI496">
            <v>4.5</v>
          </cell>
          <cell r="AJ496">
            <v>4.5</v>
          </cell>
          <cell r="AK496">
            <v>5</v>
          </cell>
          <cell r="AL496">
            <v>5.1480399002741644</v>
          </cell>
          <cell r="AM496">
            <v>7.4722222222222214</v>
          </cell>
          <cell r="AN496">
            <v>0.68895701267609644</v>
          </cell>
          <cell r="AP496">
            <v>-1.833333333333333</v>
          </cell>
          <cell r="AT496">
            <v>0</v>
          </cell>
          <cell r="AU496">
            <v>0</v>
          </cell>
          <cell r="AV496">
            <v>0</v>
          </cell>
          <cell r="AW496">
            <v>-2.5</v>
          </cell>
          <cell r="AX496">
            <v>0</v>
          </cell>
          <cell r="AY496">
            <v>0</v>
          </cell>
          <cell r="AZ496">
            <v>0</v>
          </cell>
          <cell r="BA496">
            <v>-1.6666666666666667</v>
          </cell>
          <cell r="BB496">
            <v>0</v>
          </cell>
          <cell r="BC496">
            <v>0</v>
          </cell>
          <cell r="BD496">
            <v>55</v>
          </cell>
          <cell r="BE496">
            <v>53.333333333333336</v>
          </cell>
          <cell r="BF496">
            <v>32</v>
          </cell>
          <cell r="BG496">
            <v>0</v>
          </cell>
          <cell r="BH496">
            <v>51.666666666666671</v>
          </cell>
          <cell r="BI496">
            <v>50</v>
          </cell>
          <cell r="BJ496">
            <v>10</v>
          </cell>
          <cell r="BK496">
            <v>0</v>
          </cell>
          <cell r="BL496">
            <v>4.833333333333333</v>
          </cell>
          <cell r="BM496">
            <v>13</v>
          </cell>
          <cell r="BN496">
            <v>1.902439024390244</v>
          </cell>
          <cell r="BO496">
            <v>0</v>
          </cell>
          <cell r="BP496">
            <v>156.16666666666666</v>
          </cell>
          <cell r="BQ496">
            <v>163</v>
          </cell>
          <cell r="BR496">
            <v>32.6</v>
          </cell>
          <cell r="BS496">
            <v>0</v>
          </cell>
          <cell r="BT496">
            <v>156.16666666666666</v>
          </cell>
          <cell r="BU496">
            <v>163</v>
          </cell>
          <cell r="BV496">
            <v>23.853658536585368</v>
          </cell>
          <cell r="BW496">
            <v>0</v>
          </cell>
          <cell r="BX496">
            <v>0</v>
          </cell>
          <cell r="BY496">
            <v>156.16666666666666</v>
          </cell>
          <cell r="BZ496">
            <v>163</v>
          </cell>
          <cell r="CA496">
            <v>23.853658536585368</v>
          </cell>
          <cell r="CB496">
            <v>0</v>
          </cell>
          <cell r="CC496">
            <v>0</v>
          </cell>
          <cell r="CD496">
            <v>156.16666666666666</v>
          </cell>
          <cell r="CE496">
            <v>83</v>
          </cell>
          <cell r="CF496">
            <v>4.2203389830508469</v>
          </cell>
          <cell r="CG496">
            <v>75</v>
          </cell>
          <cell r="CH496">
            <v>0</v>
          </cell>
          <cell r="CI496">
            <v>211.5</v>
          </cell>
          <cell r="CJ496">
            <v>52</v>
          </cell>
          <cell r="CK496">
            <v>2.6440677966101696</v>
          </cell>
          <cell r="CL496">
            <v>106</v>
          </cell>
          <cell r="CM496">
            <v>0</v>
          </cell>
          <cell r="CN496">
            <v>32.333333333333329</v>
          </cell>
          <cell r="CO496">
            <v>29</v>
          </cell>
          <cell r="CP496">
            <v>5.8</v>
          </cell>
          <cell r="CQ496">
            <v>125.66666666666667</v>
          </cell>
          <cell r="CR496">
            <v>0</v>
          </cell>
          <cell r="CS496">
            <v>24</v>
          </cell>
          <cell r="CT496">
            <v>21</v>
          </cell>
          <cell r="CU496">
            <v>4.2</v>
          </cell>
          <cell r="CV496">
            <v>27</v>
          </cell>
          <cell r="CW496">
            <v>10</v>
          </cell>
          <cell r="CX496">
            <v>26</v>
          </cell>
          <cell r="CY496">
            <v>20</v>
          </cell>
          <cell r="CZ496">
            <v>4</v>
          </cell>
          <cell r="DA496">
            <v>21</v>
          </cell>
          <cell r="DB496">
            <v>10</v>
          </cell>
          <cell r="DC496">
            <v>25</v>
          </cell>
          <cell r="DD496">
            <v>50</v>
          </cell>
          <cell r="DE496">
            <v>7.8</v>
          </cell>
          <cell r="DF496">
            <v>0</v>
          </cell>
          <cell r="DG496">
            <v>0</v>
          </cell>
          <cell r="DH496">
            <v>45</v>
          </cell>
          <cell r="DI496">
            <v>49</v>
          </cell>
          <cell r="DJ496">
            <v>9.6</v>
          </cell>
          <cell r="DK496">
            <v>0</v>
          </cell>
          <cell r="DL496">
            <v>0</v>
          </cell>
          <cell r="DM496">
            <v>40</v>
          </cell>
          <cell r="DN496">
            <v>50</v>
          </cell>
          <cell r="DO496">
            <v>9.8000000000000007</v>
          </cell>
          <cell r="DP496">
            <v>0</v>
          </cell>
          <cell r="DQ496">
            <v>0</v>
          </cell>
          <cell r="DR496">
            <v>45</v>
          </cell>
          <cell r="DS496">
            <v>45</v>
          </cell>
          <cell r="DT496">
            <v>8.8000000000000007</v>
          </cell>
          <cell r="DU496">
            <v>0</v>
          </cell>
          <cell r="DV496">
            <v>0</v>
          </cell>
          <cell r="DW496">
            <v>40</v>
          </cell>
          <cell r="DX496">
            <v>40</v>
          </cell>
          <cell r="DY496">
            <v>7.8</v>
          </cell>
          <cell r="DZ496">
            <v>0</v>
          </cell>
          <cell r="EA496">
            <v>0</v>
          </cell>
          <cell r="EB496">
            <v>35</v>
          </cell>
          <cell r="EC496">
            <v>35</v>
          </cell>
          <cell r="ED496">
            <v>6.8</v>
          </cell>
          <cell r="EE496">
            <v>0</v>
          </cell>
          <cell r="EF496">
            <v>0</v>
          </cell>
          <cell r="EG496">
            <v>30</v>
          </cell>
          <cell r="EH496">
            <v>30</v>
          </cell>
          <cell r="EI496">
            <v>5.8</v>
          </cell>
          <cell r="EJ496">
            <v>0</v>
          </cell>
          <cell r="EK496">
            <v>0</v>
          </cell>
          <cell r="EL496">
            <v>25</v>
          </cell>
          <cell r="EM496">
            <v>25</v>
          </cell>
          <cell r="EN496">
            <v>4.8</v>
          </cell>
          <cell r="EO496">
            <v>0</v>
          </cell>
          <cell r="EP496">
            <v>0</v>
          </cell>
          <cell r="EQ496">
            <v>20</v>
          </cell>
          <cell r="ER496">
            <v>20</v>
          </cell>
          <cell r="ES496">
            <v>3.8</v>
          </cell>
          <cell r="ET496">
            <v>0</v>
          </cell>
          <cell r="EU496">
            <v>0</v>
          </cell>
          <cell r="EV496">
            <v>15</v>
          </cell>
          <cell r="EW496">
            <v>15</v>
          </cell>
          <cell r="EX496">
            <v>2.8</v>
          </cell>
          <cell r="EY496">
            <v>0</v>
          </cell>
          <cell r="EZ496">
            <v>0</v>
          </cell>
          <cell r="FA496">
            <v>10</v>
          </cell>
          <cell r="FB496">
            <v>10</v>
          </cell>
          <cell r="FC496">
            <v>1.8</v>
          </cell>
          <cell r="FD496">
            <v>1</v>
          </cell>
          <cell r="FE496">
            <v>20</v>
          </cell>
          <cell r="FF496">
            <v>25</v>
          </cell>
          <cell r="FG496">
            <v>25</v>
          </cell>
          <cell r="FH496">
            <v>4.8</v>
          </cell>
          <cell r="FI496">
            <v>0</v>
          </cell>
          <cell r="FJ496">
            <v>0</v>
          </cell>
          <cell r="FK496">
            <v>20</v>
          </cell>
          <cell r="FL496">
            <v>20</v>
          </cell>
          <cell r="FM496">
            <v>3.8</v>
          </cell>
          <cell r="FN496">
            <v>0</v>
          </cell>
          <cell r="FO496">
            <v>0</v>
          </cell>
          <cell r="FP496">
            <v>15</v>
          </cell>
          <cell r="FQ496">
            <v>15</v>
          </cell>
          <cell r="FR496">
            <v>2.8</v>
          </cell>
          <cell r="FS496">
            <v>0</v>
          </cell>
          <cell r="FT496">
            <v>11</v>
          </cell>
          <cell r="FU496">
            <v>2.0333333333333332</v>
          </cell>
          <cell r="FW496" t="str">
            <v>SOBRESTOCK</v>
          </cell>
          <cell r="FX496" t="str">
            <v>A</v>
          </cell>
          <cell r="FY496" t="str">
            <v>Si</v>
          </cell>
        </row>
        <row r="497">
          <cell r="B497" t="str">
            <v>REP-0514</v>
          </cell>
          <cell r="C497" t="str">
            <v>MIX</v>
          </cell>
          <cell r="D497">
            <v>0</v>
          </cell>
          <cell r="E497">
            <v>113</v>
          </cell>
          <cell r="F497">
            <v>0</v>
          </cell>
          <cell r="G497">
            <v>0</v>
          </cell>
          <cell r="H497">
            <v>5</v>
          </cell>
          <cell r="I497">
            <v>5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1</v>
          </cell>
          <cell r="P497">
            <v>1</v>
          </cell>
          <cell r="Q497">
            <v>0</v>
          </cell>
          <cell r="R497">
            <v>4</v>
          </cell>
          <cell r="S497">
            <v>2</v>
          </cell>
          <cell r="T497">
            <v>1</v>
          </cell>
          <cell r="U497">
            <v>1</v>
          </cell>
          <cell r="V497">
            <v>0</v>
          </cell>
          <cell r="W497">
            <v>0</v>
          </cell>
          <cell r="X497">
            <v>0</v>
          </cell>
          <cell r="Y497">
            <v>133</v>
          </cell>
          <cell r="AA497">
            <v>133</v>
          </cell>
          <cell r="AC497">
            <v>0</v>
          </cell>
          <cell r="AD497">
            <v>0</v>
          </cell>
          <cell r="AE497">
            <v>0</v>
          </cell>
          <cell r="AH497">
            <v>13.75</v>
          </cell>
          <cell r="AI497">
            <v>4.5</v>
          </cell>
          <cell r="AJ497">
            <v>4.5</v>
          </cell>
          <cell r="AK497">
            <v>5</v>
          </cell>
          <cell r="AL497">
            <v>5.3404899900040377</v>
          </cell>
          <cell r="AM497">
            <v>7.583333333333333</v>
          </cell>
          <cell r="AN497">
            <v>0.70424043824229066</v>
          </cell>
          <cell r="AP497">
            <v>-2.333333333333333</v>
          </cell>
          <cell r="AT497">
            <v>0</v>
          </cell>
          <cell r="AU497">
            <v>0</v>
          </cell>
          <cell r="AV497">
            <v>0</v>
          </cell>
          <cell r="AW497">
            <v>-2.5</v>
          </cell>
          <cell r="AX497">
            <v>0</v>
          </cell>
          <cell r="AY497">
            <v>0</v>
          </cell>
          <cell r="AZ497">
            <v>0</v>
          </cell>
          <cell r="BA497">
            <v>-1.6666666666666667</v>
          </cell>
          <cell r="BB497">
            <v>0</v>
          </cell>
          <cell r="BC497">
            <v>0</v>
          </cell>
          <cell r="BD497">
            <v>65</v>
          </cell>
          <cell r="BE497">
            <v>63.333333333333336</v>
          </cell>
          <cell r="BF497">
            <v>38</v>
          </cell>
          <cell r="BG497">
            <v>0</v>
          </cell>
          <cell r="BH497">
            <v>61.666666666666671</v>
          </cell>
          <cell r="BI497">
            <v>133</v>
          </cell>
          <cell r="BJ497">
            <v>26.6</v>
          </cell>
          <cell r="BK497">
            <v>0</v>
          </cell>
          <cell r="BL497">
            <v>13.666666666666668</v>
          </cell>
          <cell r="BM497">
            <v>21</v>
          </cell>
          <cell r="BN497">
            <v>3</v>
          </cell>
          <cell r="BO497">
            <v>0</v>
          </cell>
          <cell r="BP497">
            <v>164</v>
          </cell>
          <cell r="BQ497">
            <v>171</v>
          </cell>
          <cell r="BR497">
            <v>34.200000000000003</v>
          </cell>
          <cell r="BS497">
            <v>0</v>
          </cell>
          <cell r="BT497">
            <v>163.83333333333334</v>
          </cell>
          <cell r="BU497">
            <v>170</v>
          </cell>
          <cell r="BV497">
            <v>23.181818181818183</v>
          </cell>
          <cell r="BW497">
            <v>0</v>
          </cell>
          <cell r="BX497">
            <v>0</v>
          </cell>
          <cell r="BY497">
            <v>162.66666666666666</v>
          </cell>
          <cell r="BZ497">
            <v>170</v>
          </cell>
          <cell r="CA497">
            <v>23.181818181818183</v>
          </cell>
          <cell r="CB497">
            <v>0</v>
          </cell>
          <cell r="CC497">
            <v>0</v>
          </cell>
          <cell r="CD497">
            <v>162.66666666666666</v>
          </cell>
          <cell r="CE497">
            <v>91</v>
          </cell>
          <cell r="CF497">
            <v>4.5882352941176476</v>
          </cell>
          <cell r="CG497">
            <v>67</v>
          </cell>
          <cell r="CH497">
            <v>0</v>
          </cell>
          <cell r="CI497">
            <v>209.83333333333331</v>
          </cell>
          <cell r="CJ497">
            <v>52</v>
          </cell>
          <cell r="CK497">
            <v>2.5785123966942147</v>
          </cell>
          <cell r="CL497">
            <v>110</v>
          </cell>
          <cell r="CM497">
            <v>0</v>
          </cell>
          <cell r="CN497">
            <v>31.833333333333332</v>
          </cell>
          <cell r="CO497">
            <v>26</v>
          </cell>
          <cell r="CP497">
            <v>5.2</v>
          </cell>
          <cell r="CQ497">
            <v>130.16666666666666</v>
          </cell>
          <cell r="CR497">
            <v>0</v>
          </cell>
          <cell r="CS497">
            <v>21</v>
          </cell>
          <cell r="CT497">
            <v>22</v>
          </cell>
          <cell r="CU497">
            <v>4.4000000000000004</v>
          </cell>
          <cell r="CV497">
            <v>26</v>
          </cell>
          <cell r="CW497">
            <v>60</v>
          </cell>
          <cell r="CX497">
            <v>77</v>
          </cell>
          <cell r="CY497">
            <v>16</v>
          </cell>
          <cell r="CZ497">
            <v>3.2</v>
          </cell>
          <cell r="DA497">
            <v>0</v>
          </cell>
          <cell r="DB497">
            <v>60</v>
          </cell>
          <cell r="DC497">
            <v>71</v>
          </cell>
          <cell r="DD497">
            <v>131</v>
          </cell>
          <cell r="DE497">
            <v>24</v>
          </cell>
          <cell r="DF497">
            <v>0</v>
          </cell>
          <cell r="DG497">
            <v>0</v>
          </cell>
          <cell r="DH497">
            <v>126</v>
          </cell>
          <cell r="DI497">
            <v>131</v>
          </cell>
          <cell r="DJ497">
            <v>26</v>
          </cell>
          <cell r="DK497">
            <v>0</v>
          </cell>
          <cell r="DL497">
            <v>0</v>
          </cell>
          <cell r="DM497">
            <v>121</v>
          </cell>
          <cell r="DN497">
            <v>133</v>
          </cell>
          <cell r="DO497">
            <v>26.4</v>
          </cell>
          <cell r="DP497">
            <v>0</v>
          </cell>
          <cell r="DQ497">
            <v>0</v>
          </cell>
          <cell r="DR497">
            <v>128</v>
          </cell>
          <cell r="DS497">
            <v>128</v>
          </cell>
          <cell r="DT497">
            <v>25.4</v>
          </cell>
          <cell r="DU497">
            <v>0</v>
          </cell>
          <cell r="DV497">
            <v>0</v>
          </cell>
          <cell r="DW497">
            <v>123</v>
          </cell>
          <cell r="DX497">
            <v>123</v>
          </cell>
          <cell r="DY497">
            <v>24.4</v>
          </cell>
          <cell r="DZ497">
            <v>0</v>
          </cell>
          <cell r="EA497">
            <v>0</v>
          </cell>
          <cell r="EB497">
            <v>118</v>
          </cell>
          <cell r="EC497">
            <v>118</v>
          </cell>
          <cell r="ED497">
            <v>23.4</v>
          </cell>
          <cell r="EE497">
            <v>0</v>
          </cell>
          <cell r="EF497">
            <v>0</v>
          </cell>
          <cell r="EG497">
            <v>113</v>
          </cell>
          <cell r="EH497">
            <v>113</v>
          </cell>
          <cell r="EI497">
            <v>22.4</v>
          </cell>
          <cell r="EJ497">
            <v>0</v>
          </cell>
          <cell r="EK497">
            <v>0</v>
          </cell>
          <cell r="EL497">
            <v>108</v>
          </cell>
          <cell r="EM497">
            <v>108</v>
          </cell>
          <cell r="EN497">
            <v>21.4</v>
          </cell>
          <cell r="EO497">
            <v>0</v>
          </cell>
          <cell r="EP497">
            <v>0</v>
          </cell>
          <cell r="EQ497">
            <v>103</v>
          </cell>
          <cell r="ER497">
            <v>103</v>
          </cell>
          <cell r="ES497">
            <v>20.399999999999999</v>
          </cell>
          <cell r="ET497">
            <v>0</v>
          </cell>
          <cell r="EU497">
            <v>0</v>
          </cell>
          <cell r="EV497">
            <v>98</v>
          </cell>
          <cell r="EW497">
            <v>98</v>
          </cell>
          <cell r="EX497">
            <v>19.399999999999999</v>
          </cell>
          <cell r="EY497">
            <v>0</v>
          </cell>
          <cell r="EZ497">
            <v>0</v>
          </cell>
          <cell r="FA497">
            <v>93</v>
          </cell>
          <cell r="FB497">
            <v>93</v>
          </cell>
          <cell r="FC497">
            <v>18.399999999999999</v>
          </cell>
          <cell r="FD497">
            <v>0</v>
          </cell>
          <cell r="FE497">
            <v>0</v>
          </cell>
          <cell r="FF497">
            <v>88</v>
          </cell>
          <cell r="FG497">
            <v>88</v>
          </cell>
          <cell r="FH497">
            <v>17.399999999999999</v>
          </cell>
          <cell r="FI497">
            <v>0</v>
          </cell>
          <cell r="FJ497">
            <v>0</v>
          </cell>
          <cell r="FK497">
            <v>83</v>
          </cell>
          <cell r="FL497">
            <v>83</v>
          </cell>
          <cell r="FM497">
            <v>16.399999999999999</v>
          </cell>
          <cell r="FN497">
            <v>0</v>
          </cell>
          <cell r="FO497">
            <v>0</v>
          </cell>
          <cell r="FP497">
            <v>78</v>
          </cell>
          <cell r="FQ497">
            <v>78</v>
          </cell>
          <cell r="FR497">
            <v>15.4</v>
          </cell>
          <cell r="FS497">
            <v>0</v>
          </cell>
          <cell r="FT497">
            <v>11</v>
          </cell>
          <cell r="FU497">
            <v>2.0333333333333332</v>
          </cell>
          <cell r="FW497" t="str">
            <v>SOBRESTOCK</v>
          </cell>
          <cell r="FX497" t="str">
            <v>A</v>
          </cell>
          <cell r="FY497" t="str">
            <v>Si</v>
          </cell>
        </row>
        <row r="498">
          <cell r="B498" t="str">
            <v>REP-0515</v>
          </cell>
          <cell r="C498" t="str">
            <v>NACIONAL</v>
          </cell>
          <cell r="E498">
            <v>8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2</v>
          </cell>
          <cell r="O498">
            <v>0</v>
          </cell>
          <cell r="P498">
            <v>0</v>
          </cell>
          <cell r="Q498">
            <v>5</v>
          </cell>
          <cell r="R498">
            <v>0</v>
          </cell>
          <cell r="S498">
            <v>0</v>
          </cell>
          <cell r="T498">
            <v>2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17</v>
          </cell>
          <cell r="AA498">
            <v>17</v>
          </cell>
          <cell r="AC498">
            <v>0</v>
          </cell>
          <cell r="AD498">
            <v>0</v>
          </cell>
          <cell r="AE498">
            <v>0</v>
          </cell>
          <cell r="AH498">
            <v>6.333333333333333</v>
          </cell>
          <cell r="AI498">
            <v>1.1666666666666667</v>
          </cell>
          <cell r="AJ498">
            <v>1.1666666666666667</v>
          </cell>
          <cell r="AK498">
            <v>2.8888888888888888</v>
          </cell>
          <cell r="AL498">
            <v>2.9829763908130666</v>
          </cell>
          <cell r="AM498">
            <v>2.8888888888888888</v>
          </cell>
          <cell r="AN498">
            <v>1.0325687506660615</v>
          </cell>
          <cell r="AP498">
            <v>-6.333333333333333</v>
          </cell>
          <cell r="AT498">
            <v>93</v>
          </cell>
          <cell r="AU498">
            <v>23.25</v>
          </cell>
          <cell r="AV498">
            <v>0</v>
          </cell>
          <cell r="AW498">
            <v>89</v>
          </cell>
          <cell r="AX498">
            <v>84</v>
          </cell>
          <cell r="AY498">
            <v>29.076923076923077</v>
          </cell>
          <cell r="AZ498">
            <v>0</v>
          </cell>
          <cell r="BA498">
            <v>79</v>
          </cell>
          <cell r="BB498">
            <v>66</v>
          </cell>
          <cell r="BC498">
            <v>7.0714285714285712</v>
          </cell>
          <cell r="BD498">
            <v>0</v>
          </cell>
          <cell r="BE498">
            <v>56.666666666666664</v>
          </cell>
          <cell r="BF498">
            <v>6.0714285714285712</v>
          </cell>
          <cell r="BG498">
            <v>0</v>
          </cell>
          <cell r="BH498">
            <v>47.333333333333329</v>
          </cell>
          <cell r="BI498">
            <v>17</v>
          </cell>
          <cell r="BJ498">
            <v>5.884615384615385</v>
          </cell>
          <cell r="BK498">
            <v>0</v>
          </cell>
          <cell r="BL498">
            <v>51.166666666666664</v>
          </cell>
          <cell r="BM498">
            <v>54</v>
          </cell>
          <cell r="BN498">
            <v>7.5348837209302326</v>
          </cell>
          <cell r="BO498">
            <v>0</v>
          </cell>
          <cell r="BP498">
            <v>46.833333333333336</v>
          </cell>
          <cell r="BQ498">
            <v>51</v>
          </cell>
          <cell r="BR498">
            <v>17.653846153846153</v>
          </cell>
          <cell r="BS498">
            <v>0</v>
          </cell>
          <cell r="BT498">
            <v>44.166666666666664</v>
          </cell>
          <cell r="BU498">
            <v>47</v>
          </cell>
          <cell r="BV498">
            <v>7.4210526315789478</v>
          </cell>
          <cell r="BW498">
            <v>0</v>
          </cell>
          <cell r="BX498">
            <v>0</v>
          </cell>
          <cell r="BY498">
            <v>40.666666666666664</v>
          </cell>
          <cell r="BZ498">
            <v>44</v>
          </cell>
          <cell r="CA498">
            <v>7.8571428571428577</v>
          </cell>
          <cell r="CB498">
            <v>0</v>
          </cell>
          <cell r="CC498">
            <v>0</v>
          </cell>
          <cell r="CD498">
            <v>38.4</v>
          </cell>
          <cell r="CE498">
            <v>24</v>
          </cell>
          <cell r="CF498">
            <v>3.2727272727272729</v>
          </cell>
          <cell r="CG498">
            <v>6</v>
          </cell>
          <cell r="CH498">
            <v>0</v>
          </cell>
          <cell r="CI498">
            <v>37.066666666666663</v>
          </cell>
          <cell r="CJ498">
            <v>24</v>
          </cell>
          <cell r="CK498">
            <v>3.5121951219512195</v>
          </cell>
          <cell r="CL498">
            <v>4</v>
          </cell>
          <cell r="CM498">
            <v>0</v>
          </cell>
          <cell r="CN498">
            <v>17.166666666666668</v>
          </cell>
          <cell r="CO498">
            <v>22</v>
          </cell>
          <cell r="CP498">
            <v>3.2195121951219514</v>
          </cell>
          <cell r="CQ498">
            <v>10.833333333333332</v>
          </cell>
          <cell r="CR498">
            <v>0</v>
          </cell>
          <cell r="CS498">
            <v>15.166666666666668</v>
          </cell>
          <cell r="CT498">
            <v>22</v>
          </cell>
          <cell r="CU498">
            <v>3.4736842105263159</v>
          </cell>
          <cell r="CV498">
            <v>0</v>
          </cell>
          <cell r="CW498">
            <v>0</v>
          </cell>
          <cell r="CX498">
            <v>15.666666666666668</v>
          </cell>
          <cell r="CY498">
            <v>18</v>
          </cell>
          <cell r="CZ498">
            <v>2.8421052631578947</v>
          </cell>
          <cell r="DA498">
            <v>0</v>
          </cell>
          <cell r="DB498">
            <v>0</v>
          </cell>
          <cell r="DC498">
            <v>14.888888888888889</v>
          </cell>
          <cell r="DD498">
            <v>18</v>
          </cell>
          <cell r="DE498">
            <v>4.5000000000000009</v>
          </cell>
          <cell r="DF498">
            <v>0</v>
          </cell>
          <cell r="DG498">
            <v>0</v>
          </cell>
          <cell r="DH498">
            <v>14.888888888888889</v>
          </cell>
          <cell r="DI498">
            <v>17</v>
          </cell>
          <cell r="DJ498">
            <v>6.382022471910112</v>
          </cell>
          <cell r="DK498">
            <v>0</v>
          </cell>
          <cell r="DL498">
            <v>0</v>
          </cell>
          <cell r="DM498">
            <v>11.922222222222222</v>
          </cell>
          <cell r="DN498">
            <v>17</v>
          </cell>
          <cell r="DO498">
            <v>6.8461538461538458</v>
          </cell>
          <cell r="DP498">
            <v>0</v>
          </cell>
          <cell r="DQ498">
            <v>0</v>
          </cell>
          <cell r="DR498">
            <v>14.111111111111111</v>
          </cell>
          <cell r="DS498">
            <v>14.111111111111111</v>
          </cell>
          <cell r="DT498">
            <v>5.8461538461538467</v>
          </cell>
          <cell r="DU498">
            <v>0</v>
          </cell>
          <cell r="DV498">
            <v>0</v>
          </cell>
          <cell r="DW498">
            <v>11.222222222222221</v>
          </cell>
          <cell r="DX498">
            <v>11.222222222222221</v>
          </cell>
          <cell r="DY498">
            <v>4.8461538461538458</v>
          </cell>
          <cell r="DZ498">
            <v>0</v>
          </cell>
          <cell r="EA498">
            <v>0</v>
          </cell>
          <cell r="EB498">
            <v>8.3333333333333321</v>
          </cell>
          <cell r="EC498">
            <v>8.3333333333333321</v>
          </cell>
          <cell r="ED498">
            <v>3.8461538461538458</v>
          </cell>
          <cell r="EE498">
            <v>0</v>
          </cell>
          <cell r="EF498">
            <v>0</v>
          </cell>
          <cell r="EG498">
            <v>5.4444444444444429</v>
          </cell>
          <cell r="EH498">
            <v>5.4444444444444429</v>
          </cell>
          <cell r="EI498">
            <v>2.8461538461538458</v>
          </cell>
          <cell r="EJ498">
            <v>0</v>
          </cell>
          <cell r="EK498">
            <v>0</v>
          </cell>
          <cell r="EL498">
            <v>2.555555555555554</v>
          </cell>
          <cell r="EM498">
            <v>2.555555555555554</v>
          </cell>
          <cell r="EN498">
            <v>1.8461538461538456</v>
          </cell>
          <cell r="EO498">
            <v>0.44444444444444597</v>
          </cell>
          <cell r="EP498">
            <v>0</v>
          </cell>
          <cell r="EQ498">
            <v>-0.33333333333333481</v>
          </cell>
          <cell r="ER498">
            <v>-0.33333333333333481</v>
          </cell>
          <cell r="ES498">
            <v>0.84615384615384559</v>
          </cell>
          <cell r="ET498">
            <v>3.3333333333333348</v>
          </cell>
          <cell r="EU498">
            <v>0</v>
          </cell>
          <cell r="EV498">
            <v>-3.2222222222222237</v>
          </cell>
          <cell r="EW498">
            <v>-3.2222222222222237</v>
          </cell>
          <cell r="EX498">
            <v>-0.15384615384615419</v>
          </cell>
          <cell r="EY498">
            <v>6.2222222222222232</v>
          </cell>
          <cell r="EZ498">
            <v>0</v>
          </cell>
          <cell r="FA498">
            <v>-6.1111111111111125</v>
          </cell>
          <cell r="FB498">
            <v>-6.1111111111111125</v>
          </cell>
          <cell r="FC498">
            <v>-1.1538461538461542</v>
          </cell>
          <cell r="FD498">
            <v>9.1111111111111125</v>
          </cell>
          <cell r="FE498">
            <v>0</v>
          </cell>
          <cell r="FF498">
            <v>-9.0000000000000018</v>
          </cell>
          <cell r="FG498">
            <v>-9.0000000000000018</v>
          </cell>
          <cell r="FH498">
            <v>-2.1538461538461542</v>
          </cell>
          <cell r="FI498">
            <v>12.000000000000002</v>
          </cell>
          <cell r="FJ498">
            <v>0</v>
          </cell>
          <cell r="FK498">
            <v>-11.888888888888891</v>
          </cell>
          <cell r="FL498">
            <v>-11.888888888888891</v>
          </cell>
          <cell r="FM498">
            <v>-3.1538461538461551</v>
          </cell>
          <cell r="FN498">
            <v>14.888888888888891</v>
          </cell>
          <cell r="FO498">
            <v>0</v>
          </cell>
          <cell r="FP498">
            <v>-14.77777777777778</v>
          </cell>
          <cell r="FQ498">
            <v>-14.77777777777778</v>
          </cell>
          <cell r="FR498">
            <v>-4.1538461538461542</v>
          </cell>
          <cell r="FS498">
            <v>17.777777777777779</v>
          </cell>
          <cell r="FT498">
            <v>3</v>
          </cell>
          <cell r="FU498">
            <v>1.0333333333333334</v>
          </cell>
          <cell r="FW498" t="str">
            <v>SOBRESTOCK</v>
          </cell>
          <cell r="FX498" t="str">
            <v>C</v>
          </cell>
          <cell r="FY498" t="str">
            <v>Si</v>
          </cell>
        </row>
        <row r="499">
          <cell r="B499" t="str">
            <v>REP-0516</v>
          </cell>
          <cell r="C499" t="str">
            <v>MAX ELECTRONICA</v>
          </cell>
          <cell r="E499">
            <v>8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10</v>
          </cell>
          <cell r="AA499">
            <v>10</v>
          </cell>
          <cell r="AC499">
            <v>0</v>
          </cell>
          <cell r="AD499">
            <v>0</v>
          </cell>
          <cell r="AE499">
            <v>0</v>
          </cell>
          <cell r="AH499">
            <v>0.33333333333333331</v>
          </cell>
          <cell r="AI499">
            <v>0</v>
          </cell>
          <cell r="AJ499">
            <v>0</v>
          </cell>
          <cell r="AK499">
            <v>0.33333333333333331</v>
          </cell>
          <cell r="AL499">
            <v>0.19245008972987526</v>
          </cell>
          <cell r="AM499">
            <v>0.1111111111111111</v>
          </cell>
          <cell r="AN499">
            <v>1.7320508075688774</v>
          </cell>
          <cell r="AP499">
            <v>-0.44444444444444442</v>
          </cell>
          <cell r="AT499">
            <v>18</v>
          </cell>
          <cell r="AU499">
            <v>9</v>
          </cell>
          <cell r="AV499">
            <v>0</v>
          </cell>
          <cell r="AW499">
            <v>16</v>
          </cell>
          <cell r="AX499">
            <v>18</v>
          </cell>
          <cell r="AY499">
            <v>54</v>
          </cell>
          <cell r="AZ499">
            <v>0</v>
          </cell>
          <cell r="BA499">
            <v>16.666666666666668</v>
          </cell>
          <cell r="BB499">
            <v>16</v>
          </cell>
          <cell r="BC499">
            <v>12</v>
          </cell>
          <cell r="BD499">
            <v>0</v>
          </cell>
          <cell r="BE499">
            <v>14.666666666666666</v>
          </cell>
          <cell r="BF499">
            <v>11</v>
          </cell>
          <cell r="BG499">
            <v>0</v>
          </cell>
          <cell r="BH499">
            <v>13.333333333333332</v>
          </cell>
          <cell r="BI499">
            <v>10</v>
          </cell>
          <cell r="BJ499">
            <v>30</v>
          </cell>
          <cell r="BK499">
            <v>0</v>
          </cell>
          <cell r="BL499">
            <v>15.333333333333334</v>
          </cell>
          <cell r="BM499">
            <v>16</v>
          </cell>
          <cell r="BN499">
            <v>24</v>
          </cell>
          <cell r="BO499">
            <v>0</v>
          </cell>
          <cell r="BP499">
            <v>15.333333333333334</v>
          </cell>
          <cell r="BQ499">
            <v>16</v>
          </cell>
          <cell r="BR499">
            <v>48</v>
          </cell>
          <cell r="BS499">
            <v>0</v>
          </cell>
          <cell r="BT499">
            <v>15.5</v>
          </cell>
          <cell r="BU499">
            <v>16</v>
          </cell>
          <cell r="BV499">
            <v>36</v>
          </cell>
          <cell r="BW499">
            <v>0</v>
          </cell>
          <cell r="BX499">
            <v>0</v>
          </cell>
          <cell r="BY499">
            <v>15.555555555555555</v>
          </cell>
          <cell r="BZ499">
            <v>16</v>
          </cell>
          <cell r="CA499">
            <v>40</v>
          </cell>
          <cell r="CB499">
            <v>0</v>
          </cell>
          <cell r="CC499">
            <v>0</v>
          </cell>
          <cell r="CD499">
            <v>15.6</v>
          </cell>
          <cell r="CE499">
            <v>16</v>
          </cell>
          <cell r="CF499">
            <v>44</v>
          </cell>
          <cell r="CG499">
            <v>0</v>
          </cell>
          <cell r="CH499">
            <v>0</v>
          </cell>
          <cell r="CI499">
            <v>15.236363636363636</v>
          </cell>
          <cell r="CJ499">
            <v>16</v>
          </cell>
          <cell r="CK499">
            <v>48</v>
          </cell>
          <cell r="CL499">
            <v>0</v>
          </cell>
          <cell r="CM499">
            <v>0</v>
          </cell>
          <cell r="CN499">
            <v>15.666666666666666</v>
          </cell>
          <cell r="CO499">
            <v>16</v>
          </cell>
          <cell r="CP499">
            <v>48</v>
          </cell>
          <cell r="CQ499">
            <v>0</v>
          </cell>
          <cell r="CR499">
            <v>0</v>
          </cell>
          <cell r="CS499">
            <v>15.666666666666666</v>
          </cell>
          <cell r="CT499">
            <v>16</v>
          </cell>
          <cell r="CU499">
            <v>48</v>
          </cell>
          <cell r="CV499">
            <v>0</v>
          </cell>
          <cell r="CW499">
            <v>0</v>
          </cell>
          <cell r="CX499">
            <v>15.666666666666666</v>
          </cell>
          <cell r="CY499">
            <v>16</v>
          </cell>
          <cell r="CZ499">
            <v>48</v>
          </cell>
          <cell r="DA499">
            <v>0</v>
          </cell>
          <cell r="DB499">
            <v>0</v>
          </cell>
          <cell r="DC499">
            <v>15.666666666666666</v>
          </cell>
          <cell r="DD499">
            <v>16</v>
          </cell>
          <cell r="DE499">
            <v>45</v>
          </cell>
          <cell r="DF499">
            <v>0</v>
          </cell>
          <cell r="DG499">
            <v>0</v>
          </cell>
          <cell r="DH499">
            <v>15.666666666666666</v>
          </cell>
          <cell r="DI499">
            <v>16</v>
          </cell>
          <cell r="DJ499">
            <v>47</v>
          </cell>
          <cell r="DK499">
            <v>0</v>
          </cell>
          <cell r="DL499">
            <v>0</v>
          </cell>
          <cell r="DM499">
            <v>15.333333333333332</v>
          </cell>
          <cell r="DN499">
            <v>10</v>
          </cell>
          <cell r="DO499">
            <v>29</v>
          </cell>
          <cell r="DP499">
            <v>0</v>
          </cell>
          <cell r="DQ499">
            <v>0</v>
          </cell>
          <cell r="DR499">
            <v>9.6666666666666661</v>
          </cell>
          <cell r="DS499">
            <v>9.6666666666666661</v>
          </cell>
          <cell r="DT499">
            <v>28</v>
          </cell>
          <cell r="DU499">
            <v>0</v>
          </cell>
          <cell r="DV499">
            <v>0</v>
          </cell>
          <cell r="DW499">
            <v>9.3333333333333321</v>
          </cell>
          <cell r="DX499">
            <v>9.3333333333333321</v>
          </cell>
          <cell r="DY499">
            <v>26.999999999999996</v>
          </cell>
          <cell r="DZ499">
            <v>0</v>
          </cell>
          <cell r="EA499">
            <v>0</v>
          </cell>
          <cell r="EB499">
            <v>8.9999999999999982</v>
          </cell>
          <cell r="EC499">
            <v>8.9999999999999982</v>
          </cell>
          <cell r="ED499">
            <v>25.999999999999996</v>
          </cell>
          <cell r="EE499">
            <v>0</v>
          </cell>
          <cell r="EF499">
            <v>0</v>
          </cell>
          <cell r="EG499">
            <v>8.6666666666666643</v>
          </cell>
          <cell r="EH499">
            <v>8.6666666666666643</v>
          </cell>
          <cell r="EI499">
            <v>24.999999999999993</v>
          </cell>
          <cell r="EJ499">
            <v>0</v>
          </cell>
          <cell r="EK499">
            <v>0</v>
          </cell>
          <cell r="EL499">
            <v>8.3333333333333304</v>
          </cell>
          <cell r="EM499">
            <v>8.3333333333333304</v>
          </cell>
          <cell r="EN499">
            <v>23.999999999999993</v>
          </cell>
          <cell r="EO499">
            <v>0</v>
          </cell>
          <cell r="EP499">
            <v>0</v>
          </cell>
          <cell r="EQ499">
            <v>7.9999999999999973</v>
          </cell>
          <cell r="ER499">
            <v>7.9999999999999973</v>
          </cell>
          <cell r="ES499">
            <v>22.999999999999993</v>
          </cell>
          <cell r="ET499">
            <v>0</v>
          </cell>
          <cell r="EU499">
            <v>0</v>
          </cell>
          <cell r="EV499">
            <v>7.6666666666666643</v>
          </cell>
          <cell r="EW499">
            <v>7.6666666666666643</v>
          </cell>
          <cell r="EX499">
            <v>21.999999999999993</v>
          </cell>
          <cell r="EY499">
            <v>0</v>
          </cell>
          <cell r="EZ499">
            <v>0</v>
          </cell>
          <cell r="FA499">
            <v>7.3333333333333313</v>
          </cell>
          <cell r="FB499">
            <v>7.3333333333333313</v>
          </cell>
          <cell r="FC499">
            <v>20.999999999999996</v>
          </cell>
          <cell r="FD499">
            <v>0</v>
          </cell>
          <cell r="FE499">
            <v>0</v>
          </cell>
          <cell r="FF499">
            <v>6.9999999999999982</v>
          </cell>
          <cell r="FG499">
            <v>6.9999999999999982</v>
          </cell>
          <cell r="FH499">
            <v>19.999999999999996</v>
          </cell>
          <cell r="FI499">
            <v>0</v>
          </cell>
          <cell r="FJ499">
            <v>0</v>
          </cell>
          <cell r="FK499">
            <v>6.6666666666666652</v>
          </cell>
          <cell r="FL499">
            <v>6.6666666666666652</v>
          </cell>
          <cell r="FM499">
            <v>18.999999999999996</v>
          </cell>
          <cell r="FN499">
            <v>0</v>
          </cell>
          <cell r="FO499">
            <v>0</v>
          </cell>
          <cell r="FP499">
            <v>6.3333333333333321</v>
          </cell>
          <cell r="FQ499">
            <v>6.3333333333333321</v>
          </cell>
          <cell r="FR499">
            <v>17.999999999999996</v>
          </cell>
          <cell r="FS499">
            <v>0</v>
          </cell>
          <cell r="FT499">
            <v>1</v>
          </cell>
          <cell r="FU499">
            <v>1.0333333333333334</v>
          </cell>
          <cell r="FW499" t="str">
            <v>SIN ROTACIÓN</v>
          </cell>
          <cell r="FX499" t="str">
            <v>STOCK MUERTO</v>
          </cell>
          <cell r="FY499" t="str">
            <v>Si</v>
          </cell>
        </row>
        <row r="500">
          <cell r="B500" t="str">
            <v>REP-0517</v>
          </cell>
          <cell r="C500" t="str">
            <v>NACIONAL</v>
          </cell>
          <cell r="E500">
            <v>40</v>
          </cell>
          <cell r="F500">
            <v>0</v>
          </cell>
          <cell r="G500">
            <v>0</v>
          </cell>
          <cell r="H500">
            <v>1</v>
          </cell>
          <cell r="I500">
            <v>1</v>
          </cell>
          <cell r="J500">
            <v>0</v>
          </cell>
          <cell r="K500">
            <v>3</v>
          </cell>
          <cell r="L500">
            <v>0</v>
          </cell>
          <cell r="M500">
            <v>0</v>
          </cell>
          <cell r="N500">
            <v>2</v>
          </cell>
          <cell r="O500">
            <v>1</v>
          </cell>
          <cell r="P500">
            <v>3</v>
          </cell>
          <cell r="Q500">
            <v>2</v>
          </cell>
          <cell r="R500">
            <v>1</v>
          </cell>
          <cell r="S500">
            <v>1</v>
          </cell>
          <cell r="T500">
            <v>9</v>
          </cell>
          <cell r="U500">
            <v>0</v>
          </cell>
          <cell r="V500">
            <v>1</v>
          </cell>
          <cell r="W500">
            <v>2</v>
          </cell>
          <cell r="X500">
            <v>3</v>
          </cell>
          <cell r="Y500">
            <v>70</v>
          </cell>
          <cell r="AA500">
            <v>70</v>
          </cell>
          <cell r="AC500">
            <v>0</v>
          </cell>
          <cell r="AD500">
            <v>0</v>
          </cell>
          <cell r="AE500">
            <v>0</v>
          </cell>
          <cell r="AH500">
            <v>8.5</v>
          </cell>
          <cell r="AI500">
            <v>5.833333333333333</v>
          </cell>
          <cell r="AJ500">
            <v>5.833333333333333</v>
          </cell>
          <cell r="AK500">
            <v>8.5</v>
          </cell>
          <cell r="AL500">
            <v>1.5396007178390054</v>
          </cell>
          <cell r="AM500">
            <v>6.7222222222222214</v>
          </cell>
          <cell r="AN500">
            <v>0.22903151174464545</v>
          </cell>
          <cell r="AP500">
            <v>-9</v>
          </cell>
          <cell r="AT500">
            <v>22</v>
          </cell>
          <cell r="AU500">
            <v>44</v>
          </cell>
          <cell r="AV500">
            <v>0</v>
          </cell>
          <cell r="AW500">
            <v>21.5</v>
          </cell>
          <cell r="AX500">
            <v>17</v>
          </cell>
          <cell r="AY500">
            <v>2</v>
          </cell>
          <cell r="AZ500">
            <v>0</v>
          </cell>
          <cell r="BA500">
            <v>15.333333333333334</v>
          </cell>
          <cell r="BB500">
            <v>34</v>
          </cell>
          <cell r="BC500">
            <v>7.8461538461538467</v>
          </cell>
          <cell r="BD500">
            <v>0</v>
          </cell>
          <cell r="BE500">
            <v>29.666666666666668</v>
          </cell>
          <cell r="BF500">
            <v>6.8461538461538467</v>
          </cell>
          <cell r="BG500">
            <v>0</v>
          </cell>
          <cell r="BH500">
            <v>25.333333333333336</v>
          </cell>
          <cell r="BI500">
            <v>70</v>
          </cell>
          <cell r="BJ500">
            <v>8.235294117647058</v>
          </cell>
          <cell r="BK500">
            <v>0</v>
          </cell>
          <cell r="BL500">
            <v>13.666666666666668</v>
          </cell>
          <cell r="BM500">
            <v>37</v>
          </cell>
          <cell r="BN500">
            <v>6</v>
          </cell>
          <cell r="BO500">
            <v>0</v>
          </cell>
          <cell r="BP500">
            <v>30.833333333333332</v>
          </cell>
          <cell r="BQ500">
            <v>69</v>
          </cell>
          <cell r="BR500">
            <v>8.117647058823529</v>
          </cell>
          <cell r="BS500">
            <v>0</v>
          </cell>
          <cell r="BT500">
            <v>60</v>
          </cell>
          <cell r="BU500">
            <v>61</v>
          </cell>
          <cell r="BV500">
            <v>6.7777777777777777</v>
          </cell>
          <cell r="BW500">
            <v>0</v>
          </cell>
          <cell r="BX500">
            <v>0</v>
          </cell>
          <cell r="BY500">
            <v>52</v>
          </cell>
          <cell r="BZ500">
            <v>51</v>
          </cell>
          <cell r="CA500">
            <v>5.3684210526315788</v>
          </cell>
          <cell r="CB500">
            <v>0</v>
          </cell>
          <cell r="CC500">
            <v>0</v>
          </cell>
          <cell r="CD500">
            <v>41.5</v>
          </cell>
          <cell r="CE500">
            <v>36</v>
          </cell>
          <cell r="CF500">
            <v>3.2238805970149254</v>
          </cell>
          <cell r="CG500">
            <v>8</v>
          </cell>
          <cell r="CH500">
            <v>0</v>
          </cell>
          <cell r="CI500">
            <v>38.333333333333336</v>
          </cell>
          <cell r="CJ500">
            <v>71</v>
          </cell>
          <cell r="CK500">
            <v>5.68</v>
          </cell>
          <cell r="CL500">
            <v>0</v>
          </cell>
          <cell r="CM500">
            <v>0</v>
          </cell>
          <cell r="CN500">
            <v>58.5</v>
          </cell>
          <cell r="CO500">
            <v>66</v>
          </cell>
          <cell r="CP500">
            <v>5.28</v>
          </cell>
          <cell r="CQ500">
            <v>0</v>
          </cell>
          <cell r="CR500">
            <v>0</v>
          </cell>
          <cell r="CS500">
            <v>53.5</v>
          </cell>
          <cell r="CT500">
            <v>62</v>
          </cell>
          <cell r="CU500">
            <v>6.8888888888888893</v>
          </cell>
          <cell r="CV500">
            <v>0</v>
          </cell>
          <cell r="CW500">
            <v>0</v>
          </cell>
          <cell r="CX500">
            <v>53</v>
          </cell>
          <cell r="CY500">
            <v>51</v>
          </cell>
          <cell r="CZ500">
            <v>6</v>
          </cell>
          <cell r="DA500">
            <v>0</v>
          </cell>
          <cell r="DB500">
            <v>0</v>
          </cell>
          <cell r="DC500">
            <v>42.5</v>
          </cell>
          <cell r="DD500">
            <v>89</v>
          </cell>
          <cell r="DE500">
            <v>8.5714285714285712</v>
          </cell>
          <cell r="DF500">
            <v>0</v>
          </cell>
          <cell r="DG500">
            <v>0</v>
          </cell>
          <cell r="DH500">
            <v>79.666666666666671</v>
          </cell>
          <cell r="DI500">
            <v>87</v>
          </cell>
          <cell r="DJ500">
            <v>11.176470588235293</v>
          </cell>
          <cell r="DK500">
            <v>0</v>
          </cell>
          <cell r="DL500">
            <v>0</v>
          </cell>
          <cell r="DM500">
            <v>71.166666666666671</v>
          </cell>
          <cell r="DN500">
            <v>70</v>
          </cell>
          <cell r="DO500">
            <v>9.1764705882352935</v>
          </cell>
          <cell r="DP500">
            <v>0</v>
          </cell>
          <cell r="DQ500">
            <v>0</v>
          </cell>
          <cell r="DR500">
            <v>61.5</v>
          </cell>
          <cell r="DS500">
            <v>61.5</v>
          </cell>
          <cell r="DT500">
            <v>8.1764705882352935</v>
          </cell>
          <cell r="DU500">
            <v>0</v>
          </cell>
          <cell r="DV500">
            <v>0</v>
          </cell>
          <cell r="DW500">
            <v>53</v>
          </cell>
          <cell r="DX500">
            <v>53</v>
          </cell>
          <cell r="DY500">
            <v>7.1764705882352944</v>
          </cell>
          <cell r="DZ500">
            <v>0</v>
          </cell>
          <cell r="EA500">
            <v>0</v>
          </cell>
          <cell r="EB500">
            <v>44.5</v>
          </cell>
          <cell r="EC500">
            <v>44.5</v>
          </cell>
          <cell r="ED500">
            <v>6.1764705882352944</v>
          </cell>
          <cell r="EE500">
            <v>0</v>
          </cell>
          <cell r="EF500">
            <v>0</v>
          </cell>
          <cell r="EG500">
            <v>36</v>
          </cell>
          <cell r="EH500">
            <v>36</v>
          </cell>
          <cell r="EI500">
            <v>5.1764705882352935</v>
          </cell>
          <cell r="EJ500">
            <v>0</v>
          </cell>
          <cell r="EK500">
            <v>0</v>
          </cell>
          <cell r="EL500">
            <v>27.5</v>
          </cell>
          <cell r="EM500">
            <v>27.5</v>
          </cell>
          <cell r="EN500">
            <v>4.1764705882352935</v>
          </cell>
          <cell r="EO500">
            <v>0</v>
          </cell>
          <cell r="EP500">
            <v>0</v>
          </cell>
          <cell r="EQ500">
            <v>19</v>
          </cell>
          <cell r="ER500">
            <v>19</v>
          </cell>
          <cell r="ES500">
            <v>3.1764705882352944</v>
          </cell>
          <cell r="ET500">
            <v>0</v>
          </cell>
          <cell r="EU500">
            <v>0</v>
          </cell>
          <cell r="EV500">
            <v>10.5</v>
          </cell>
          <cell r="EW500">
            <v>10.5</v>
          </cell>
          <cell r="EX500">
            <v>2.1764705882352939</v>
          </cell>
          <cell r="EY500">
            <v>0</v>
          </cell>
          <cell r="EZ500">
            <v>0</v>
          </cell>
          <cell r="FA500">
            <v>2</v>
          </cell>
          <cell r="FB500">
            <v>2</v>
          </cell>
          <cell r="FC500">
            <v>1.1764705882352942</v>
          </cell>
          <cell r="FD500">
            <v>7</v>
          </cell>
          <cell r="FE500">
            <v>0</v>
          </cell>
          <cell r="FF500">
            <v>-6.5</v>
          </cell>
          <cell r="FG500">
            <v>-6.5</v>
          </cell>
          <cell r="FH500">
            <v>0.17647058823529416</v>
          </cell>
          <cell r="FI500">
            <v>15.5</v>
          </cell>
          <cell r="FJ500">
            <v>0</v>
          </cell>
          <cell r="FK500">
            <v>-15</v>
          </cell>
          <cell r="FL500">
            <v>-15</v>
          </cell>
          <cell r="FM500">
            <v>-0.82352941176470607</v>
          </cell>
          <cell r="FN500">
            <v>24</v>
          </cell>
          <cell r="FO500">
            <v>0</v>
          </cell>
          <cell r="FP500">
            <v>-23.5</v>
          </cell>
          <cell r="FQ500">
            <v>-23.5</v>
          </cell>
          <cell r="FR500">
            <v>-1.8235294117647061</v>
          </cell>
          <cell r="FS500">
            <v>32.5</v>
          </cell>
          <cell r="FT500">
            <v>9</v>
          </cell>
          <cell r="FU500">
            <v>1.0333333333333334</v>
          </cell>
          <cell r="FW500" t="str">
            <v>SOBRESTOCK</v>
          </cell>
          <cell r="FX500" t="str">
            <v>B</v>
          </cell>
          <cell r="FY500" t="str">
            <v>Si</v>
          </cell>
        </row>
        <row r="501">
          <cell r="B501" t="str">
            <v>REP-0518</v>
          </cell>
          <cell r="C501" t="str">
            <v>NACIONAL</v>
          </cell>
          <cell r="E501">
            <v>11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2</v>
          </cell>
          <cell r="L501">
            <v>2</v>
          </cell>
          <cell r="M501">
            <v>0</v>
          </cell>
          <cell r="N501">
            <v>0</v>
          </cell>
          <cell r="O501">
            <v>1</v>
          </cell>
          <cell r="P501">
            <v>0</v>
          </cell>
          <cell r="Q501">
            <v>2</v>
          </cell>
          <cell r="R501">
            <v>0</v>
          </cell>
          <cell r="S501">
            <v>0</v>
          </cell>
          <cell r="T501">
            <v>0</v>
          </cell>
          <cell r="U501">
            <v>1</v>
          </cell>
          <cell r="V501">
            <v>0</v>
          </cell>
          <cell r="W501">
            <v>1</v>
          </cell>
          <cell r="X501">
            <v>0</v>
          </cell>
          <cell r="Y501">
            <v>20</v>
          </cell>
          <cell r="AA501">
            <v>20</v>
          </cell>
          <cell r="AC501">
            <v>0</v>
          </cell>
          <cell r="AD501">
            <v>0</v>
          </cell>
          <cell r="AE501">
            <v>0</v>
          </cell>
          <cell r="AH501">
            <v>1.3333333333333333</v>
          </cell>
          <cell r="AI501">
            <v>0.5</v>
          </cell>
          <cell r="AJ501">
            <v>0.5</v>
          </cell>
          <cell r="AK501">
            <v>1.3333333333333333</v>
          </cell>
          <cell r="AL501">
            <v>0.48112522432468841</v>
          </cell>
          <cell r="AM501">
            <v>0.77777777777777768</v>
          </cell>
          <cell r="AN501">
            <v>0.61858957413174231</v>
          </cell>
          <cell r="AX501">
            <v>6</v>
          </cell>
          <cell r="BB501">
            <v>37</v>
          </cell>
          <cell r="BC501">
            <v>12.333333333333334</v>
          </cell>
          <cell r="BD501">
            <v>0</v>
          </cell>
          <cell r="BE501">
            <v>34</v>
          </cell>
          <cell r="BF501">
            <v>11.333333333333334</v>
          </cell>
          <cell r="BG501">
            <v>0</v>
          </cell>
          <cell r="BH501">
            <v>31</v>
          </cell>
          <cell r="BI501">
            <v>20</v>
          </cell>
          <cell r="BJ501">
            <v>15</v>
          </cell>
          <cell r="BK501">
            <v>0</v>
          </cell>
          <cell r="BL501">
            <v>33.166666666666664</v>
          </cell>
          <cell r="BM501">
            <v>35</v>
          </cell>
          <cell r="BN501">
            <v>19.09090909090909</v>
          </cell>
          <cell r="BO501">
            <v>0</v>
          </cell>
          <cell r="BP501">
            <v>33.166666666666664</v>
          </cell>
          <cell r="BQ501">
            <v>34</v>
          </cell>
          <cell r="BR501">
            <v>25.5</v>
          </cell>
          <cell r="BS501">
            <v>0</v>
          </cell>
          <cell r="BT501">
            <v>32</v>
          </cell>
          <cell r="BU501">
            <v>33</v>
          </cell>
          <cell r="BV501">
            <v>22.846153846153847</v>
          </cell>
          <cell r="BW501">
            <v>5</v>
          </cell>
          <cell r="BX501">
            <v>0</v>
          </cell>
          <cell r="BY501">
            <v>31.555555555555557</v>
          </cell>
          <cell r="BZ501">
            <v>31</v>
          </cell>
          <cell r="CA501">
            <v>20.666666666666668</v>
          </cell>
          <cell r="CB501">
            <v>7</v>
          </cell>
          <cell r="CC501">
            <v>0</v>
          </cell>
          <cell r="CD501">
            <v>29.5</v>
          </cell>
          <cell r="CE501">
            <v>31</v>
          </cell>
          <cell r="CF501">
            <v>22.733333333333334</v>
          </cell>
          <cell r="CG501">
            <v>7</v>
          </cell>
          <cell r="CH501">
            <v>0</v>
          </cell>
          <cell r="CI501">
            <v>35.136363636363633</v>
          </cell>
          <cell r="CJ501">
            <v>30</v>
          </cell>
          <cell r="CK501">
            <v>22.5</v>
          </cell>
          <cell r="CL501">
            <v>8</v>
          </cell>
          <cell r="CM501">
            <v>0</v>
          </cell>
          <cell r="CN501">
            <v>28.666666666666668</v>
          </cell>
          <cell r="CO501">
            <v>27</v>
          </cell>
          <cell r="CP501">
            <v>20.25</v>
          </cell>
          <cell r="CQ501">
            <v>9.3333333333333321</v>
          </cell>
          <cell r="CR501">
            <v>0</v>
          </cell>
          <cell r="CS501">
            <v>25.666666666666668</v>
          </cell>
          <cell r="CT501">
            <v>27</v>
          </cell>
          <cell r="CU501">
            <v>20.25</v>
          </cell>
          <cell r="CV501">
            <v>0</v>
          </cell>
          <cell r="CW501">
            <v>0</v>
          </cell>
          <cell r="CX501">
            <v>25.666666666666668</v>
          </cell>
          <cell r="CY501">
            <v>26</v>
          </cell>
          <cell r="CZ501">
            <v>19.5</v>
          </cell>
          <cell r="DA501">
            <v>0</v>
          </cell>
          <cell r="DB501">
            <v>0</v>
          </cell>
          <cell r="DC501">
            <v>24.666666666666668</v>
          </cell>
          <cell r="DD501">
            <v>25</v>
          </cell>
          <cell r="DE501">
            <v>17.25</v>
          </cell>
          <cell r="DF501">
            <v>0</v>
          </cell>
          <cell r="DG501">
            <v>0</v>
          </cell>
          <cell r="DH501">
            <v>23.666666666666668</v>
          </cell>
          <cell r="DI501">
            <v>24</v>
          </cell>
          <cell r="DJ501">
            <v>18.5</v>
          </cell>
          <cell r="DK501">
            <v>0</v>
          </cell>
          <cell r="DL501">
            <v>0</v>
          </cell>
          <cell r="DM501">
            <v>22.333333333333336</v>
          </cell>
          <cell r="DN501">
            <v>20</v>
          </cell>
          <cell r="DO501">
            <v>15.5</v>
          </cell>
          <cell r="DP501">
            <v>0</v>
          </cell>
          <cell r="DQ501">
            <v>0</v>
          </cell>
          <cell r="DR501">
            <v>18.666666666666668</v>
          </cell>
          <cell r="DS501">
            <v>18.666666666666668</v>
          </cell>
          <cell r="DT501">
            <v>14.500000000000002</v>
          </cell>
          <cell r="DU501">
            <v>0</v>
          </cell>
          <cell r="DV501">
            <v>0</v>
          </cell>
          <cell r="DW501">
            <v>17.333333333333336</v>
          </cell>
          <cell r="DX501">
            <v>17.333333333333336</v>
          </cell>
          <cell r="DY501">
            <v>13.500000000000002</v>
          </cell>
          <cell r="DZ501">
            <v>0</v>
          </cell>
          <cell r="EA501">
            <v>0</v>
          </cell>
          <cell r="EB501">
            <v>16.000000000000004</v>
          </cell>
          <cell r="EC501">
            <v>16.000000000000004</v>
          </cell>
          <cell r="ED501">
            <v>12.500000000000004</v>
          </cell>
          <cell r="EE501">
            <v>0</v>
          </cell>
          <cell r="EF501">
            <v>0</v>
          </cell>
          <cell r="EG501">
            <v>14.66666666666667</v>
          </cell>
          <cell r="EH501">
            <v>14.66666666666667</v>
          </cell>
          <cell r="EI501">
            <v>11.500000000000004</v>
          </cell>
          <cell r="EJ501">
            <v>0</v>
          </cell>
          <cell r="EK501">
            <v>0</v>
          </cell>
          <cell r="EL501">
            <v>13.333333333333336</v>
          </cell>
          <cell r="EM501">
            <v>13.333333333333336</v>
          </cell>
          <cell r="EN501">
            <v>10.500000000000002</v>
          </cell>
          <cell r="EO501">
            <v>0</v>
          </cell>
          <cell r="EP501">
            <v>0</v>
          </cell>
          <cell r="EQ501">
            <v>12.000000000000002</v>
          </cell>
          <cell r="ER501">
            <v>12.000000000000002</v>
          </cell>
          <cell r="ES501">
            <v>9.5000000000000018</v>
          </cell>
          <cell r="ET501">
            <v>0</v>
          </cell>
          <cell r="EU501">
            <v>0</v>
          </cell>
          <cell r="EV501">
            <v>10.666666666666668</v>
          </cell>
          <cell r="EW501">
            <v>10.666666666666668</v>
          </cell>
          <cell r="EX501">
            <v>8.5</v>
          </cell>
          <cell r="EY501">
            <v>0</v>
          </cell>
          <cell r="EZ501">
            <v>0</v>
          </cell>
          <cell r="FA501">
            <v>9.3333333333333339</v>
          </cell>
          <cell r="FB501">
            <v>9.3333333333333339</v>
          </cell>
          <cell r="FC501">
            <v>7.5000000000000009</v>
          </cell>
          <cell r="FD501">
            <v>0</v>
          </cell>
          <cell r="FE501">
            <v>0</v>
          </cell>
          <cell r="FF501">
            <v>8</v>
          </cell>
          <cell r="FG501">
            <v>8</v>
          </cell>
          <cell r="FH501">
            <v>6.5</v>
          </cell>
          <cell r="FI501">
            <v>0</v>
          </cell>
          <cell r="FJ501">
            <v>0</v>
          </cell>
          <cell r="FK501">
            <v>6.666666666666667</v>
          </cell>
          <cell r="FL501">
            <v>6.666666666666667</v>
          </cell>
          <cell r="FM501">
            <v>5.5</v>
          </cell>
          <cell r="FN501">
            <v>0</v>
          </cell>
          <cell r="FO501">
            <v>0</v>
          </cell>
          <cell r="FP501">
            <v>5.3333333333333339</v>
          </cell>
          <cell r="FQ501">
            <v>5.3333333333333339</v>
          </cell>
          <cell r="FR501">
            <v>4.5</v>
          </cell>
          <cell r="FS501">
            <v>0</v>
          </cell>
          <cell r="FT501">
            <v>2</v>
          </cell>
          <cell r="FU501">
            <v>1.0333333333333334</v>
          </cell>
          <cell r="FW501" t="str">
            <v>SOBRESTOCK</v>
          </cell>
          <cell r="FX501" t="str">
            <v>C</v>
          </cell>
          <cell r="FY501" t="str">
            <v>Si</v>
          </cell>
        </row>
        <row r="502">
          <cell r="B502" t="str">
            <v>REP-0519</v>
          </cell>
          <cell r="C502" t="str">
            <v>NACIONAL</v>
          </cell>
          <cell r="E502">
            <v>11</v>
          </cell>
          <cell r="F502">
            <v>0</v>
          </cell>
          <cell r="G502">
            <v>0</v>
          </cell>
          <cell r="H502">
            <v>2</v>
          </cell>
          <cell r="I502">
            <v>2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15</v>
          </cell>
          <cell r="AA502">
            <v>15</v>
          </cell>
          <cell r="AC502">
            <v>0</v>
          </cell>
          <cell r="AD502">
            <v>0</v>
          </cell>
          <cell r="AE502">
            <v>0</v>
          </cell>
          <cell r="AH502">
            <v>0.66666666666666663</v>
          </cell>
          <cell r="AI502">
            <v>0.16666666666666666</v>
          </cell>
          <cell r="AJ502">
            <v>0.16666666666666666</v>
          </cell>
          <cell r="AK502">
            <v>0.66666666666666663</v>
          </cell>
          <cell r="AL502">
            <v>0.28867513459481292</v>
          </cell>
          <cell r="AM502">
            <v>0.33333333333333331</v>
          </cell>
          <cell r="AN502">
            <v>0.86602540378443882</v>
          </cell>
          <cell r="AX502">
            <v>5</v>
          </cell>
          <cell r="BB502">
            <v>20</v>
          </cell>
          <cell r="BC502">
            <v>60</v>
          </cell>
          <cell r="BD502">
            <v>0</v>
          </cell>
          <cell r="BE502">
            <v>19.666666666666668</v>
          </cell>
          <cell r="BF502">
            <v>59.000000000000007</v>
          </cell>
          <cell r="BG502">
            <v>0</v>
          </cell>
          <cell r="BH502">
            <v>19.333333333333336</v>
          </cell>
          <cell r="BI502">
            <v>15</v>
          </cell>
          <cell r="BJ502">
            <v>22.5</v>
          </cell>
          <cell r="BK502">
            <v>0</v>
          </cell>
          <cell r="BL502">
            <v>18.666666666666668</v>
          </cell>
          <cell r="BM502">
            <v>18</v>
          </cell>
          <cell r="BN502">
            <v>36</v>
          </cell>
          <cell r="BO502">
            <v>0</v>
          </cell>
          <cell r="BP502">
            <v>17.5</v>
          </cell>
          <cell r="BQ502">
            <v>18</v>
          </cell>
          <cell r="BR502">
            <v>27</v>
          </cell>
          <cell r="BS502">
            <v>0</v>
          </cell>
          <cell r="BT502">
            <v>17.5</v>
          </cell>
          <cell r="BU502">
            <v>17</v>
          </cell>
          <cell r="BV502">
            <v>34</v>
          </cell>
          <cell r="BW502">
            <v>0</v>
          </cell>
          <cell r="BX502">
            <v>0</v>
          </cell>
          <cell r="BY502">
            <v>16.5</v>
          </cell>
          <cell r="BZ502">
            <v>15</v>
          </cell>
          <cell r="CA502">
            <v>18</v>
          </cell>
          <cell r="CB502">
            <v>0</v>
          </cell>
          <cell r="CC502">
            <v>0</v>
          </cell>
          <cell r="CD502">
            <v>14.166666666666666</v>
          </cell>
          <cell r="CE502">
            <v>13</v>
          </cell>
          <cell r="CF502">
            <v>13</v>
          </cell>
          <cell r="CG502">
            <v>0</v>
          </cell>
          <cell r="CH502">
            <v>0</v>
          </cell>
          <cell r="CI502">
            <v>13.166666666666666</v>
          </cell>
          <cell r="CJ502">
            <v>13</v>
          </cell>
          <cell r="CK502">
            <v>13</v>
          </cell>
          <cell r="CL502">
            <v>0</v>
          </cell>
          <cell r="CM502">
            <v>0</v>
          </cell>
          <cell r="CN502">
            <v>12</v>
          </cell>
          <cell r="CO502">
            <v>13</v>
          </cell>
          <cell r="CP502">
            <v>13</v>
          </cell>
          <cell r="CQ502">
            <v>0</v>
          </cell>
          <cell r="CR502">
            <v>0</v>
          </cell>
          <cell r="CS502">
            <v>12</v>
          </cell>
          <cell r="CT502">
            <v>13</v>
          </cell>
          <cell r="CU502">
            <v>15.6</v>
          </cell>
          <cell r="CV502">
            <v>0</v>
          </cell>
          <cell r="CW502">
            <v>0</v>
          </cell>
          <cell r="CX502">
            <v>12.166666666666666</v>
          </cell>
          <cell r="CY502">
            <v>13</v>
          </cell>
          <cell r="CZ502">
            <v>19.5</v>
          </cell>
          <cell r="DA502">
            <v>0</v>
          </cell>
          <cell r="DB502">
            <v>0</v>
          </cell>
          <cell r="DC502">
            <v>12.333333333333334</v>
          </cell>
          <cell r="DD502">
            <v>14</v>
          </cell>
          <cell r="DE502">
            <v>19.5</v>
          </cell>
          <cell r="DF502">
            <v>0</v>
          </cell>
          <cell r="DG502">
            <v>0</v>
          </cell>
          <cell r="DH502">
            <v>13.333333333333334</v>
          </cell>
          <cell r="DI502">
            <v>14</v>
          </cell>
          <cell r="DJ502">
            <v>21.5</v>
          </cell>
          <cell r="DK502">
            <v>0</v>
          </cell>
          <cell r="DL502">
            <v>0</v>
          </cell>
          <cell r="DM502">
            <v>12.666666666666668</v>
          </cell>
          <cell r="DN502">
            <v>15</v>
          </cell>
          <cell r="DO502">
            <v>23</v>
          </cell>
          <cell r="DP502">
            <v>0</v>
          </cell>
          <cell r="DQ502">
            <v>0</v>
          </cell>
          <cell r="DR502">
            <v>14.333333333333334</v>
          </cell>
          <cell r="DS502">
            <v>14.333333333333334</v>
          </cell>
          <cell r="DT502">
            <v>22.000000000000004</v>
          </cell>
          <cell r="DU502">
            <v>0</v>
          </cell>
          <cell r="DV502">
            <v>0</v>
          </cell>
          <cell r="DW502">
            <v>13.666666666666668</v>
          </cell>
          <cell r="DX502">
            <v>13.666666666666668</v>
          </cell>
          <cell r="DY502">
            <v>21.000000000000004</v>
          </cell>
          <cell r="DZ502">
            <v>0</v>
          </cell>
          <cell r="EA502">
            <v>0</v>
          </cell>
          <cell r="EB502">
            <v>13.000000000000002</v>
          </cell>
          <cell r="EC502">
            <v>13.000000000000002</v>
          </cell>
          <cell r="ED502">
            <v>20.000000000000004</v>
          </cell>
          <cell r="EE502">
            <v>0</v>
          </cell>
          <cell r="EF502">
            <v>0</v>
          </cell>
          <cell r="EG502">
            <v>12.333333333333336</v>
          </cell>
          <cell r="EH502">
            <v>12.333333333333336</v>
          </cell>
          <cell r="EI502">
            <v>19.000000000000004</v>
          </cell>
          <cell r="EJ502">
            <v>0</v>
          </cell>
          <cell r="EK502">
            <v>0</v>
          </cell>
          <cell r="EL502">
            <v>11.66666666666667</v>
          </cell>
          <cell r="EM502">
            <v>11.66666666666667</v>
          </cell>
          <cell r="EN502">
            <v>18.000000000000007</v>
          </cell>
          <cell r="EO502">
            <v>0</v>
          </cell>
          <cell r="EP502">
            <v>0</v>
          </cell>
          <cell r="EQ502">
            <v>11.000000000000004</v>
          </cell>
          <cell r="ER502">
            <v>11.000000000000004</v>
          </cell>
          <cell r="ES502">
            <v>17.000000000000007</v>
          </cell>
          <cell r="ET502">
            <v>0</v>
          </cell>
          <cell r="EU502">
            <v>0</v>
          </cell>
          <cell r="EV502">
            <v>10.333333333333337</v>
          </cell>
          <cell r="EW502">
            <v>10.333333333333337</v>
          </cell>
          <cell r="EX502">
            <v>16.000000000000007</v>
          </cell>
          <cell r="EY502">
            <v>0</v>
          </cell>
          <cell r="EZ502">
            <v>0</v>
          </cell>
          <cell r="FA502">
            <v>9.6666666666666714</v>
          </cell>
          <cell r="FB502">
            <v>9.6666666666666714</v>
          </cell>
          <cell r="FC502">
            <v>15.000000000000007</v>
          </cell>
          <cell r="FD502">
            <v>0</v>
          </cell>
          <cell r="FE502">
            <v>0</v>
          </cell>
          <cell r="FF502">
            <v>9.0000000000000053</v>
          </cell>
          <cell r="FG502">
            <v>9.0000000000000053</v>
          </cell>
          <cell r="FH502">
            <v>14.000000000000009</v>
          </cell>
          <cell r="FI502">
            <v>0</v>
          </cell>
          <cell r="FJ502">
            <v>0</v>
          </cell>
          <cell r="FK502">
            <v>8.3333333333333393</v>
          </cell>
          <cell r="FL502">
            <v>8.3333333333333393</v>
          </cell>
          <cell r="FM502">
            <v>13.000000000000009</v>
          </cell>
          <cell r="FN502">
            <v>0</v>
          </cell>
          <cell r="FO502">
            <v>0</v>
          </cell>
          <cell r="FP502">
            <v>7.6666666666666723</v>
          </cell>
          <cell r="FQ502">
            <v>7.6666666666666723</v>
          </cell>
          <cell r="FR502">
            <v>12.000000000000009</v>
          </cell>
          <cell r="FS502">
            <v>0</v>
          </cell>
          <cell r="FT502">
            <v>1</v>
          </cell>
          <cell r="FU502">
            <v>1.0333333333333334</v>
          </cell>
          <cell r="FW502" t="str">
            <v>SOBRESTOCK</v>
          </cell>
          <cell r="FX502" t="str">
            <v>C</v>
          </cell>
          <cell r="FY502" t="str">
            <v>Si</v>
          </cell>
        </row>
        <row r="503">
          <cell r="B503" t="str">
            <v>REP-0520</v>
          </cell>
          <cell r="C503" t="str">
            <v>MTM NACIONAL</v>
          </cell>
          <cell r="E503">
            <v>9</v>
          </cell>
          <cell r="F503">
            <v>0</v>
          </cell>
          <cell r="G503">
            <v>0</v>
          </cell>
          <cell r="H503">
            <v>2</v>
          </cell>
          <cell r="I503">
            <v>2</v>
          </cell>
          <cell r="J503">
            <v>0</v>
          </cell>
          <cell r="K503">
            <v>3</v>
          </cell>
          <cell r="L503">
            <v>5</v>
          </cell>
          <cell r="M503">
            <v>3</v>
          </cell>
          <cell r="N503">
            <v>1</v>
          </cell>
          <cell r="O503">
            <v>1</v>
          </cell>
          <cell r="P503">
            <v>1</v>
          </cell>
          <cell r="Q503">
            <v>1</v>
          </cell>
          <cell r="R503">
            <v>2</v>
          </cell>
          <cell r="S503">
            <v>1</v>
          </cell>
          <cell r="T503">
            <v>0</v>
          </cell>
          <cell r="U503">
            <v>2</v>
          </cell>
          <cell r="V503">
            <v>1</v>
          </cell>
          <cell r="W503">
            <v>1</v>
          </cell>
          <cell r="X503">
            <v>1</v>
          </cell>
          <cell r="Y503">
            <v>36</v>
          </cell>
          <cell r="AA503">
            <v>36</v>
          </cell>
          <cell r="AC503">
            <v>0</v>
          </cell>
          <cell r="AD503">
            <v>0</v>
          </cell>
          <cell r="AE503">
            <v>0</v>
          </cell>
          <cell r="AH503">
            <v>4.75</v>
          </cell>
          <cell r="AI503">
            <v>6.5</v>
          </cell>
          <cell r="AJ503">
            <v>6.5</v>
          </cell>
          <cell r="AK503">
            <v>6.5</v>
          </cell>
          <cell r="AL503">
            <v>1.0103629710818463</v>
          </cell>
          <cell r="AM503">
            <v>5.916666666666667</v>
          </cell>
          <cell r="AN503">
            <v>0.17076557257721345</v>
          </cell>
          <cell r="AX503">
            <v>6</v>
          </cell>
          <cell r="BB503">
            <v>8</v>
          </cell>
          <cell r="BC503">
            <v>8</v>
          </cell>
          <cell r="BD503">
            <v>0</v>
          </cell>
          <cell r="BE503">
            <v>7</v>
          </cell>
          <cell r="BF503">
            <v>7</v>
          </cell>
          <cell r="BG503">
            <v>0</v>
          </cell>
          <cell r="BH503">
            <v>6</v>
          </cell>
          <cell r="BI503">
            <v>36</v>
          </cell>
          <cell r="BJ503">
            <v>5.5384615384615383</v>
          </cell>
          <cell r="BK503">
            <v>0</v>
          </cell>
          <cell r="BL503">
            <v>22.5</v>
          </cell>
          <cell r="BM503">
            <v>44</v>
          </cell>
          <cell r="BN503">
            <v>10.153846153846155</v>
          </cell>
          <cell r="BO503">
            <v>0</v>
          </cell>
          <cell r="BP503">
            <v>39.666666666666664</v>
          </cell>
          <cell r="BQ503">
            <v>38</v>
          </cell>
          <cell r="BR503">
            <v>5.8461538461538458</v>
          </cell>
          <cell r="BS503">
            <v>0</v>
          </cell>
          <cell r="BT503">
            <v>32.333333333333336</v>
          </cell>
          <cell r="BU503">
            <v>67</v>
          </cell>
          <cell r="BV503">
            <v>11.823529411764705</v>
          </cell>
          <cell r="BW503">
            <v>0</v>
          </cell>
          <cell r="BX503">
            <v>0</v>
          </cell>
          <cell r="BY503">
            <v>61.333333333333336</v>
          </cell>
          <cell r="BZ503">
            <v>59</v>
          </cell>
          <cell r="CA503">
            <v>8.85</v>
          </cell>
          <cell r="CB503">
            <v>0</v>
          </cell>
          <cell r="CC503">
            <v>0</v>
          </cell>
          <cell r="CD503">
            <v>52.333333333333336</v>
          </cell>
          <cell r="CE503">
            <v>50</v>
          </cell>
          <cell r="CF503">
            <v>6.9767441860465116</v>
          </cell>
          <cell r="CG503">
            <v>0</v>
          </cell>
          <cell r="CH503">
            <v>0</v>
          </cell>
          <cell r="CI503">
            <v>45.166666666666671</v>
          </cell>
          <cell r="CJ503">
            <v>75</v>
          </cell>
          <cell r="CK503">
            <v>10.714285714285714</v>
          </cell>
          <cell r="CL503">
            <v>0</v>
          </cell>
          <cell r="CM503">
            <v>0</v>
          </cell>
          <cell r="CN503">
            <v>68</v>
          </cell>
          <cell r="CO503">
            <v>63</v>
          </cell>
          <cell r="CP503">
            <v>9</v>
          </cell>
          <cell r="CQ503">
            <v>0</v>
          </cell>
          <cell r="CR503">
            <v>0</v>
          </cell>
          <cell r="CS503">
            <v>56</v>
          </cell>
          <cell r="CT503">
            <v>55</v>
          </cell>
          <cell r="CU503">
            <v>9.1666666666666661</v>
          </cell>
          <cell r="CV503">
            <v>0</v>
          </cell>
          <cell r="CW503">
            <v>0</v>
          </cell>
          <cell r="CX503">
            <v>49</v>
          </cell>
          <cell r="CY503">
            <v>45</v>
          </cell>
          <cell r="CZ503">
            <v>5.625</v>
          </cell>
          <cell r="DA503">
            <v>0</v>
          </cell>
          <cell r="DB503">
            <v>0</v>
          </cell>
          <cell r="DC503">
            <v>37.5</v>
          </cell>
          <cell r="DD503">
            <v>48</v>
          </cell>
          <cell r="DE503">
            <v>3.8666666666666667</v>
          </cell>
          <cell r="DF503">
            <v>0</v>
          </cell>
          <cell r="DG503">
            <v>0</v>
          </cell>
          <cell r="DH503">
            <v>40.5</v>
          </cell>
          <cell r="DI503">
            <v>44</v>
          </cell>
          <cell r="DJ503">
            <v>5.6764705882352944</v>
          </cell>
          <cell r="DK503">
            <v>0</v>
          </cell>
          <cell r="DL503">
            <v>0</v>
          </cell>
          <cell r="DM503">
            <v>33.700000000000003</v>
          </cell>
          <cell r="DN503">
            <v>36</v>
          </cell>
          <cell r="DO503">
            <v>4.615384615384615</v>
          </cell>
          <cell r="DP503">
            <v>0</v>
          </cell>
          <cell r="DQ503">
            <v>0</v>
          </cell>
          <cell r="DR503">
            <v>29.5</v>
          </cell>
          <cell r="DS503">
            <v>29.5</v>
          </cell>
          <cell r="DT503">
            <v>3.6153846153846154</v>
          </cell>
          <cell r="DU503">
            <v>0</v>
          </cell>
          <cell r="DV503">
            <v>0</v>
          </cell>
          <cell r="DW503">
            <v>23</v>
          </cell>
          <cell r="DX503">
            <v>23</v>
          </cell>
          <cell r="DY503">
            <v>2.6153846153846154</v>
          </cell>
          <cell r="DZ503">
            <v>0</v>
          </cell>
          <cell r="EA503">
            <v>0</v>
          </cell>
          <cell r="EB503">
            <v>16.5</v>
          </cell>
          <cell r="EC503">
            <v>16.5</v>
          </cell>
          <cell r="ED503">
            <v>1.6153846153846154</v>
          </cell>
          <cell r="EE503">
            <v>2.5</v>
          </cell>
          <cell r="EF503">
            <v>0</v>
          </cell>
          <cell r="EG503">
            <v>10</v>
          </cell>
          <cell r="EH503">
            <v>10</v>
          </cell>
          <cell r="EI503">
            <v>0.61538461538461542</v>
          </cell>
          <cell r="EJ503">
            <v>9</v>
          </cell>
          <cell r="EK503">
            <v>0</v>
          </cell>
          <cell r="EL503">
            <v>3.5</v>
          </cell>
          <cell r="EM503">
            <v>3.5</v>
          </cell>
          <cell r="EN503">
            <v>-0.38461538461538458</v>
          </cell>
          <cell r="EO503">
            <v>15.5</v>
          </cell>
          <cell r="EP503">
            <v>0</v>
          </cell>
          <cell r="EQ503">
            <v>-3</v>
          </cell>
          <cell r="ER503">
            <v>-3</v>
          </cell>
          <cell r="ES503">
            <v>-1.3846153846153846</v>
          </cell>
          <cell r="ET503">
            <v>22</v>
          </cell>
          <cell r="EU503">
            <v>0</v>
          </cell>
          <cell r="EV503">
            <v>-9.5</v>
          </cell>
          <cell r="EW503">
            <v>-9.5</v>
          </cell>
          <cell r="EX503">
            <v>-2.384615384615385</v>
          </cell>
          <cell r="EY503">
            <v>28.5</v>
          </cell>
          <cell r="EZ503">
            <v>0</v>
          </cell>
          <cell r="FA503">
            <v>-16</v>
          </cell>
          <cell r="FB503">
            <v>-16</v>
          </cell>
          <cell r="FC503">
            <v>-3.384615384615385</v>
          </cell>
          <cell r="FD503">
            <v>35</v>
          </cell>
          <cell r="FE503">
            <v>0</v>
          </cell>
          <cell r="FF503">
            <v>-22.5</v>
          </cell>
          <cell r="FG503">
            <v>-22.5</v>
          </cell>
          <cell r="FH503">
            <v>-4.384615384615385</v>
          </cell>
          <cell r="FI503">
            <v>41.5</v>
          </cell>
          <cell r="FJ503">
            <v>0</v>
          </cell>
          <cell r="FK503">
            <v>-29</v>
          </cell>
          <cell r="FL503">
            <v>-29</v>
          </cell>
          <cell r="FM503">
            <v>-5.384615384615385</v>
          </cell>
          <cell r="FN503">
            <v>48</v>
          </cell>
          <cell r="FO503">
            <v>0</v>
          </cell>
          <cell r="FP503">
            <v>-35.5</v>
          </cell>
          <cell r="FQ503">
            <v>-35.5</v>
          </cell>
          <cell r="FR503">
            <v>-6.384615384615385</v>
          </cell>
          <cell r="FS503">
            <v>54.5</v>
          </cell>
          <cell r="FT503">
            <v>19</v>
          </cell>
          <cell r="FU503">
            <v>1.0333333333333334</v>
          </cell>
          <cell r="FW503" t="str">
            <v>SOBRESTOCK</v>
          </cell>
          <cell r="FX503" t="str">
            <v>B</v>
          </cell>
          <cell r="FY503" t="str">
            <v>Si</v>
          </cell>
        </row>
        <row r="504">
          <cell r="B504" t="str">
            <v>REP-0521</v>
          </cell>
          <cell r="C504" t="str">
            <v>MTM NACIONAL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2</v>
          </cell>
          <cell r="AA504">
            <v>2</v>
          </cell>
          <cell r="AC504">
            <v>0</v>
          </cell>
          <cell r="AD504">
            <v>0</v>
          </cell>
          <cell r="AE504">
            <v>0</v>
          </cell>
          <cell r="AH504">
            <v>0.25</v>
          </cell>
          <cell r="AI504">
            <v>0.16666666666666666</v>
          </cell>
          <cell r="AJ504">
            <v>0.16666666666666666</v>
          </cell>
          <cell r="AK504">
            <v>0.25</v>
          </cell>
          <cell r="AL504">
            <v>4.8112522432468996E-2</v>
          </cell>
          <cell r="AM504">
            <v>0.19444444444444442</v>
          </cell>
          <cell r="AN504">
            <v>0.24743582965269773</v>
          </cell>
          <cell r="AX504">
            <v>7</v>
          </cell>
          <cell r="BB504">
            <v>4</v>
          </cell>
          <cell r="BC504" t="str">
            <v/>
          </cell>
          <cell r="BD504">
            <v>0</v>
          </cell>
          <cell r="BE504">
            <v>4</v>
          </cell>
          <cell r="BF504" t="str">
            <v/>
          </cell>
          <cell r="BG504">
            <v>0</v>
          </cell>
          <cell r="BH504">
            <v>4</v>
          </cell>
          <cell r="BI504">
            <v>2</v>
          </cell>
          <cell r="BJ504">
            <v>8</v>
          </cell>
          <cell r="BK504">
            <v>0</v>
          </cell>
          <cell r="BL504">
            <v>1.6666666666666667</v>
          </cell>
          <cell r="BM504">
            <v>2</v>
          </cell>
          <cell r="BN504">
            <v>6</v>
          </cell>
          <cell r="BO504">
            <v>0</v>
          </cell>
          <cell r="BP504">
            <v>1.6666666666666667</v>
          </cell>
          <cell r="BQ504">
            <v>2</v>
          </cell>
          <cell r="BR504">
            <v>8</v>
          </cell>
          <cell r="BS504">
            <v>0</v>
          </cell>
          <cell r="BT504">
            <v>1.6666666666666667</v>
          </cell>
          <cell r="BU504">
            <v>2</v>
          </cell>
          <cell r="BV504">
            <v>6</v>
          </cell>
          <cell r="BW504">
            <v>36</v>
          </cell>
          <cell r="BX504">
            <v>0</v>
          </cell>
          <cell r="BY504">
            <v>1.6666666666666667</v>
          </cell>
          <cell r="BZ504">
            <v>2</v>
          </cell>
          <cell r="CA504">
            <v>6</v>
          </cell>
          <cell r="CB504">
            <v>36</v>
          </cell>
          <cell r="CC504">
            <v>0</v>
          </cell>
          <cell r="CD504">
            <v>1.6666666666666667</v>
          </cell>
          <cell r="CE504">
            <v>2</v>
          </cell>
          <cell r="CF504">
            <v>11</v>
          </cell>
          <cell r="CG504">
            <v>36</v>
          </cell>
          <cell r="CH504">
            <v>0</v>
          </cell>
          <cell r="CI504">
            <v>37.484848484848484</v>
          </cell>
          <cell r="CJ504">
            <v>1</v>
          </cell>
          <cell r="CK504">
            <v>4</v>
          </cell>
          <cell r="CL504">
            <v>37</v>
          </cell>
          <cell r="CM504">
            <v>0</v>
          </cell>
          <cell r="CN504">
            <v>0.75</v>
          </cell>
          <cell r="CO504">
            <v>0</v>
          </cell>
          <cell r="CP504">
            <v>0</v>
          </cell>
          <cell r="CQ504">
            <v>37.25</v>
          </cell>
          <cell r="CR504">
            <v>0</v>
          </cell>
          <cell r="CS504">
            <v>-1</v>
          </cell>
          <cell r="CT504">
            <v>1</v>
          </cell>
          <cell r="CU504">
            <v>2</v>
          </cell>
          <cell r="CV504">
            <v>0</v>
          </cell>
          <cell r="CW504">
            <v>0</v>
          </cell>
          <cell r="CX504">
            <v>0.5</v>
          </cell>
          <cell r="CY504">
            <v>1</v>
          </cell>
          <cell r="CZ504">
            <v>3</v>
          </cell>
          <cell r="DA504">
            <v>0.5</v>
          </cell>
          <cell r="DB504">
            <v>0</v>
          </cell>
          <cell r="DC504">
            <v>0.75</v>
          </cell>
          <cell r="DD504">
            <v>1</v>
          </cell>
          <cell r="DE504">
            <v>0</v>
          </cell>
          <cell r="DF504">
            <v>0</v>
          </cell>
          <cell r="DG504">
            <v>0</v>
          </cell>
          <cell r="DH504">
            <v>0.75</v>
          </cell>
          <cell r="DI504">
            <v>1</v>
          </cell>
          <cell r="DJ504">
            <v>2</v>
          </cell>
          <cell r="DK504">
            <v>0</v>
          </cell>
          <cell r="DL504">
            <v>0</v>
          </cell>
          <cell r="DM504">
            <v>0.5</v>
          </cell>
          <cell r="DN504">
            <v>2</v>
          </cell>
          <cell r="DO504">
            <v>6</v>
          </cell>
          <cell r="DP504">
            <v>0</v>
          </cell>
          <cell r="DQ504">
            <v>0</v>
          </cell>
          <cell r="DR504">
            <v>1.75</v>
          </cell>
          <cell r="DS504">
            <v>1.75</v>
          </cell>
          <cell r="DT504">
            <v>5</v>
          </cell>
          <cell r="DU504">
            <v>0</v>
          </cell>
          <cell r="DV504">
            <v>0</v>
          </cell>
          <cell r="DW504">
            <v>1.5</v>
          </cell>
          <cell r="DX504">
            <v>1.5</v>
          </cell>
          <cell r="DY504">
            <v>4</v>
          </cell>
          <cell r="DZ504">
            <v>0</v>
          </cell>
          <cell r="EA504">
            <v>0</v>
          </cell>
          <cell r="EB504">
            <v>1.25</v>
          </cell>
          <cell r="EC504">
            <v>1.25</v>
          </cell>
          <cell r="ED504">
            <v>3</v>
          </cell>
          <cell r="EE504">
            <v>0</v>
          </cell>
          <cell r="EF504">
            <v>0</v>
          </cell>
          <cell r="EG504">
            <v>1</v>
          </cell>
          <cell r="EH504">
            <v>1</v>
          </cell>
          <cell r="EI504">
            <v>2</v>
          </cell>
          <cell r="EJ504">
            <v>0</v>
          </cell>
          <cell r="EK504">
            <v>0</v>
          </cell>
          <cell r="EL504">
            <v>0.75</v>
          </cell>
          <cell r="EM504">
            <v>0.75</v>
          </cell>
          <cell r="EN504">
            <v>1</v>
          </cell>
          <cell r="EO504">
            <v>0.25</v>
          </cell>
          <cell r="EP504">
            <v>0</v>
          </cell>
          <cell r="EQ504">
            <v>0.5</v>
          </cell>
          <cell r="ER504">
            <v>0.5</v>
          </cell>
          <cell r="ES504">
            <v>0</v>
          </cell>
          <cell r="ET504">
            <v>0.5</v>
          </cell>
          <cell r="EU504">
            <v>0</v>
          </cell>
          <cell r="EV504">
            <v>0.25</v>
          </cell>
          <cell r="EW504">
            <v>0.25</v>
          </cell>
          <cell r="EX504">
            <v>-1</v>
          </cell>
          <cell r="EY504">
            <v>0.75</v>
          </cell>
          <cell r="EZ504">
            <v>0</v>
          </cell>
          <cell r="FA504">
            <v>0</v>
          </cell>
          <cell r="FB504">
            <v>0</v>
          </cell>
          <cell r="FC504">
            <v>-2</v>
          </cell>
          <cell r="FD504">
            <v>1</v>
          </cell>
          <cell r="FE504">
            <v>0</v>
          </cell>
          <cell r="FF504">
            <v>-0.25</v>
          </cell>
          <cell r="FG504">
            <v>-0.25</v>
          </cell>
          <cell r="FH504">
            <v>-3</v>
          </cell>
          <cell r="FI504">
            <v>1.25</v>
          </cell>
          <cell r="FJ504">
            <v>0</v>
          </cell>
          <cell r="FK504">
            <v>-0.5</v>
          </cell>
          <cell r="FL504">
            <v>-0.5</v>
          </cell>
          <cell r="FM504">
            <v>-4</v>
          </cell>
          <cell r="FN504">
            <v>1.5</v>
          </cell>
          <cell r="FO504">
            <v>0</v>
          </cell>
          <cell r="FP504">
            <v>-0.75</v>
          </cell>
          <cell r="FQ504">
            <v>-0.75</v>
          </cell>
          <cell r="FR504">
            <v>-5</v>
          </cell>
          <cell r="FS504">
            <v>1.75</v>
          </cell>
          <cell r="FT504">
            <v>1</v>
          </cell>
          <cell r="FU504">
            <v>1.0333333333333334</v>
          </cell>
          <cell r="FW504" t="str">
            <v>SOBRESTOCK</v>
          </cell>
          <cell r="FX504" t="str">
            <v>C</v>
          </cell>
          <cell r="FY504" t="str">
            <v>Si</v>
          </cell>
        </row>
        <row r="505">
          <cell r="B505" t="str">
            <v>REP-0522</v>
          </cell>
          <cell r="C505" t="str">
            <v>NACIONAL</v>
          </cell>
          <cell r="E505">
            <v>9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1</v>
          </cell>
          <cell r="V505">
            <v>0</v>
          </cell>
          <cell r="W505">
            <v>0</v>
          </cell>
          <cell r="X505">
            <v>0</v>
          </cell>
          <cell r="Y505">
            <v>11</v>
          </cell>
          <cell r="AA505">
            <v>11</v>
          </cell>
          <cell r="AC505">
            <v>0</v>
          </cell>
          <cell r="AD505">
            <v>0</v>
          </cell>
          <cell r="AE505">
            <v>0</v>
          </cell>
          <cell r="AH505">
            <v>0.41666666666666669</v>
          </cell>
          <cell r="AI505">
            <v>0.16666666666666666</v>
          </cell>
          <cell r="AJ505">
            <v>0.16666666666666666</v>
          </cell>
          <cell r="AK505">
            <v>0.41666666666666669</v>
          </cell>
          <cell r="AL505">
            <v>0.14433756729740646</v>
          </cell>
          <cell r="AM505">
            <v>0.25</v>
          </cell>
          <cell r="AN505">
            <v>0.57735026918962584</v>
          </cell>
          <cell r="AX505">
            <v>8</v>
          </cell>
          <cell r="BB505">
            <v>0</v>
          </cell>
          <cell r="BC505" t="str">
            <v/>
          </cell>
          <cell r="BD505">
            <v>0</v>
          </cell>
          <cell r="BE505">
            <v>0</v>
          </cell>
          <cell r="BF505" t="str">
            <v/>
          </cell>
          <cell r="BG505">
            <v>0</v>
          </cell>
          <cell r="BH505">
            <v>0</v>
          </cell>
          <cell r="BI505">
            <v>11</v>
          </cell>
          <cell r="BJ505">
            <v>26.4</v>
          </cell>
          <cell r="BK505">
            <v>0</v>
          </cell>
          <cell r="BL505">
            <v>8.8333333333333339</v>
          </cell>
          <cell r="BM505">
            <v>19</v>
          </cell>
          <cell r="BN505">
            <v>114</v>
          </cell>
          <cell r="BO505">
            <v>0</v>
          </cell>
          <cell r="BP505">
            <v>18.833333333333332</v>
          </cell>
          <cell r="BQ505">
            <v>19</v>
          </cell>
          <cell r="BR505">
            <v>45.6</v>
          </cell>
          <cell r="BS505">
            <v>0</v>
          </cell>
          <cell r="BT505">
            <v>18.833333333333332</v>
          </cell>
          <cell r="BU505">
            <v>19</v>
          </cell>
          <cell r="BV505">
            <v>114</v>
          </cell>
          <cell r="BW505">
            <v>0</v>
          </cell>
          <cell r="BX505">
            <v>0</v>
          </cell>
          <cell r="BY505">
            <v>18.833333333333332</v>
          </cell>
          <cell r="BZ505">
            <v>19</v>
          </cell>
          <cell r="CA505">
            <v>114</v>
          </cell>
          <cell r="CB505">
            <v>0</v>
          </cell>
          <cell r="CC505">
            <v>0</v>
          </cell>
          <cell r="CD505">
            <v>18.833333333333332</v>
          </cell>
          <cell r="CE505">
            <v>19</v>
          </cell>
          <cell r="CF505">
            <v>209</v>
          </cell>
          <cell r="CG505">
            <v>0</v>
          </cell>
          <cell r="CH505">
            <v>0</v>
          </cell>
          <cell r="CI505">
            <v>18.742424242424242</v>
          </cell>
          <cell r="CJ505">
            <v>15</v>
          </cell>
          <cell r="CK505">
            <v>22.5</v>
          </cell>
          <cell r="CL505">
            <v>0</v>
          </cell>
          <cell r="CM505">
            <v>0</v>
          </cell>
          <cell r="CN505">
            <v>14.333333333333334</v>
          </cell>
          <cell r="CO505">
            <v>14</v>
          </cell>
          <cell r="CP505">
            <v>14</v>
          </cell>
          <cell r="CQ505">
            <v>0</v>
          </cell>
          <cell r="CR505">
            <v>0</v>
          </cell>
          <cell r="CS505">
            <v>13</v>
          </cell>
          <cell r="CT505">
            <v>14</v>
          </cell>
          <cell r="CU505">
            <v>16.8</v>
          </cell>
          <cell r="CV505">
            <v>0</v>
          </cell>
          <cell r="CW505">
            <v>0</v>
          </cell>
          <cell r="CX505">
            <v>13.166666666666666</v>
          </cell>
          <cell r="CY505">
            <v>15</v>
          </cell>
          <cell r="CZ505">
            <v>36</v>
          </cell>
          <cell r="DA505">
            <v>0</v>
          </cell>
          <cell r="DB505">
            <v>0</v>
          </cell>
          <cell r="DC505">
            <v>14.583333333333334</v>
          </cell>
          <cell r="DD505">
            <v>12</v>
          </cell>
          <cell r="DE505">
            <v>26.4</v>
          </cell>
          <cell r="DF505">
            <v>0</v>
          </cell>
          <cell r="DG505">
            <v>0</v>
          </cell>
          <cell r="DH505">
            <v>11.583333333333334</v>
          </cell>
          <cell r="DI505">
            <v>12</v>
          </cell>
          <cell r="DJ505">
            <v>28.4</v>
          </cell>
          <cell r="DK505">
            <v>0</v>
          </cell>
          <cell r="DL505">
            <v>0</v>
          </cell>
          <cell r="DM505">
            <v>11.166666666666668</v>
          </cell>
          <cell r="DN505">
            <v>11</v>
          </cell>
          <cell r="DO505">
            <v>26</v>
          </cell>
          <cell r="DP505">
            <v>0</v>
          </cell>
          <cell r="DQ505">
            <v>0</v>
          </cell>
          <cell r="DR505">
            <v>10.583333333333334</v>
          </cell>
          <cell r="DS505">
            <v>10.583333333333334</v>
          </cell>
          <cell r="DT505">
            <v>25</v>
          </cell>
          <cell r="DU505">
            <v>0</v>
          </cell>
          <cell r="DV505">
            <v>0</v>
          </cell>
          <cell r="DW505">
            <v>10.166666666666668</v>
          </cell>
          <cell r="DX505">
            <v>10.166666666666668</v>
          </cell>
          <cell r="DY505">
            <v>24.000000000000004</v>
          </cell>
          <cell r="DZ505">
            <v>0</v>
          </cell>
          <cell r="EA505">
            <v>0</v>
          </cell>
          <cell r="EB505">
            <v>9.7500000000000018</v>
          </cell>
          <cell r="EC505">
            <v>9.7500000000000018</v>
          </cell>
          <cell r="ED505">
            <v>23.000000000000004</v>
          </cell>
          <cell r="EE505">
            <v>0</v>
          </cell>
          <cell r="EF505">
            <v>0</v>
          </cell>
          <cell r="EG505">
            <v>9.3333333333333357</v>
          </cell>
          <cell r="EH505">
            <v>9.3333333333333357</v>
          </cell>
          <cell r="EI505">
            <v>22.000000000000004</v>
          </cell>
          <cell r="EJ505">
            <v>0</v>
          </cell>
          <cell r="EK505">
            <v>0</v>
          </cell>
          <cell r="EL505">
            <v>8.9166666666666696</v>
          </cell>
          <cell r="EM505">
            <v>8.9166666666666696</v>
          </cell>
          <cell r="EN505">
            <v>21.000000000000007</v>
          </cell>
          <cell r="EO505">
            <v>0</v>
          </cell>
          <cell r="EP505">
            <v>0</v>
          </cell>
          <cell r="EQ505">
            <v>8.5000000000000036</v>
          </cell>
          <cell r="ER505">
            <v>8.5000000000000036</v>
          </cell>
          <cell r="ES505">
            <v>20.000000000000007</v>
          </cell>
          <cell r="ET505">
            <v>0</v>
          </cell>
          <cell r="EU505">
            <v>0</v>
          </cell>
          <cell r="EV505">
            <v>8.0833333333333375</v>
          </cell>
          <cell r="EW505">
            <v>8.0833333333333375</v>
          </cell>
          <cell r="EX505">
            <v>19.000000000000011</v>
          </cell>
          <cell r="EY505">
            <v>0</v>
          </cell>
          <cell r="EZ505">
            <v>0</v>
          </cell>
          <cell r="FA505">
            <v>7.6666666666666705</v>
          </cell>
          <cell r="FB505">
            <v>7.6666666666666705</v>
          </cell>
          <cell r="FC505">
            <v>18.000000000000007</v>
          </cell>
          <cell r="FD505">
            <v>0</v>
          </cell>
          <cell r="FE505">
            <v>0</v>
          </cell>
          <cell r="FF505">
            <v>7.2500000000000036</v>
          </cell>
          <cell r="FG505">
            <v>7.2500000000000036</v>
          </cell>
          <cell r="FH505">
            <v>17.000000000000007</v>
          </cell>
          <cell r="FI505">
            <v>0</v>
          </cell>
          <cell r="FJ505">
            <v>0</v>
          </cell>
          <cell r="FK505">
            <v>6.8333333333333366</v>
          </cell>
          <cell r="FL505">
            <v>6.8333333333333366</v>
          </cell>
          <cell r="FM505">
            <v>16.000000000000007</v>
          </cell>
          <cell r="FN505">
            <v>0</v>
          </cell>
          <cell r="FO505">
            <v>0</v>
          </cell>
          <cell r="FP505">
            <v>6.4166666666666696</v>
          </cell>
          <cell r="FQ505">
            <v>6.4166666666666696</v>
          </cell>
          <cell r="FR505">
            <v>15.000000000000007</v>
          </cell>
          <cell r="FS505">
            <v>0</v>
          </cell>
          <cell r="FT505">
            <v>1</v>
          </cell>
          <cell r="FU505">
            <v>1.0333333333333334</v>
          </cell>
          <cell r="FW505" t="str">
            <v>SOBRESTOCK</v>
          </cell>
          <cell r="FX505" t="str">
            <v>C</v>
          </cell>
          <cell r="FY505" t="str">
            <v>Si</v>
          </cell>
        </row>
        <row r="506">
          <cell r="B506" t="str">
            <v>REP-0523</v>
          </cell>
          <cell r="C506" t="str">
            <v>GALF</v>
          </cell>
          <cell r="E506">
            <v>22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1</v>
          </cell>
          <cell r="Q506">
            <v>0</v>
          </cell>
          <cell r="R506">
            <v>0</v>
          </cell>
          <cell r="S506">
            <v>2</v>
          </cell>
          <cell r="T506">
            <v>1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35</v>
          </cell>
          <cell r="AA506">
            <v>35</v>
          </cell>
          <cell r="AC506">
            <v>0</v>
          </cell>
          <cell r="AD506">
            <v>0</v>
          </cell>
          <cell r="AE506">
            <v>0</v>
          </cell>
          <cell r="AH506">
            <v>0.91666666666666663</v>
          </cell>
          <cell r="AI506">
            <v>1.3333333333333333</v>
          </cell>
          <cell r="AJ506">
            <v>1.3333333333333333</v>
          </cell>
          <cell r="AK506">
            <v>1.3333333333333333</v>
          </cell>
          <cell r="AL506">
            <v>0.24056261216234473</v>
          </cell>
          <cell r="AM506">
            <v>1.1944444444444444</v>
          </cell>
          <cell r="AN506">
            <v>0.20140125669405606</v>
          </cell>
          <cell r="AX506">
            <v>9</v>
          </cell>
          <cell r="BB506">
            <v>7</v>
          </cell>
          <cell r="BC506">
            <v>7</v>
          </cell>
          <cell r="BD506">
            <v>0</v>
          </cell>
          <cell r="BE506">
            <v>6</v>
          </cell>
          <cell r="BF506">
            <v>6</v>
          </cell>
          <cell r="BG506">
            <v>0</v>
          </cell>
          <cell r="BH506">
            <v>5</v>
          </cell>
          <cell r="BI506">
            <v>35</v>
          </cell>
          <cell r="BJ506">
            <v>26.25</v>
          </cell>
          <cell r="BK506">
            <v>0</v>
          </cell>
          <cell r="BL506">
            <v>1.8333333333333333</v>
          </cell>
          <cell r="BM506">
            <v>3</v>
          </cell>
          <cell r="BN506">
            <v>2.5714285714285712</v>
          </cell>
          <cell r="BO506">
            <v>0</v>
          </cell>
          <cell r="BP506">
            <v>1.8333333333333333</v>
          </cell>
          <cell r="BQ506">
            <v>53</v>
          </cell>
          <cell r="BR506">
            <v>39.75</v>
          </cell>
          <cell r="BS506">
            <v>0</v>
          </cell>
          <cell r="BT506">
            <v>51.833333333333336</v>
          </cell>
          <cell r="BU506">
            <v>53</v>
          </cell>
          <cell r="BV506">
            <v>63.599999999999994</v>
          </cell>
          <cell r="BW506">
            <v>0</v>
          </cell>
          <cell r="BX506">
            <v>0</v>
          </cell>
          <cell r="BY506">
            <v>52.166666666666664</v>
          </cell>
          <cell r="BZ506">
            <v>53</v>
          </cell>
          <cell r="CA506">
            <v>75.714285714285722</v>
          </cell>
          <cell r="CB506">
            <v>0</v>
          </cell>
          <cell r="CC506">
            <v>0</v>
          </cell>
          <cell r="CD506">
            <v>52.3</v>
          </cell>
          <cell r="CE506">
            <v>51</v>
          </cell>
          <cell r="CF506">
            <v>62.333333333333329</v>
          </cell>
          <cell r="CG506">
            <v>0</v>
          </cell>
          <cell r="CH506">
            <v>0</v>
          </cell>
          <cell r="CI506">
            <v>51.481818181818177</v>
          </cell>
          <cell r="CJ506">
            <v>50</v>
          </cell>
          <cell r="CK506">
            <v>54.545454545454547</v>
          </cell>
          <cell r="CL506">
            <v>0</v>
          </cell>
          <cell r="CM506">
            <v>0</v>
          </cell>
          <cell r="CN506">
            <v>49.083333333333336</v>
          </cell>
          <cell r="CO506">
            <v>48</v>
          </cell>
          <cell r="CP506">
            <v>24</v>
          </cell>
          <cell r="CQ506">
            <v>0</v>
          </cell>
          <cell r="CR506">
            <v>0</v>
          </cell>
          <cell r="CS506">
            <v>46</v>
          </cell>
          <cell r="CT506">
            <v>48</v>
          </cell>
          <cell r="CU506">
            <v>48</v>
          </cell>
          <cell r="CV506">
            <v>0</v>
          </cell>
          <cell r="CW506">
            <v>0</v>
          </cell>
          <cell r="CX506">
            <v>47</v>
          </cell>
          <cell r="CY506">
            <v>45</v>
          </cell>
          <cell r="CZ506">
            <v>33.75</v>
          </cell>
          <cell r="DA506">
            <v>0</v>
          </cell>
          <cell r="DB506">
            <v>0</v>
          </cell>
          <cell r="DC506">
            <v>43.666666666666664</v>
          </cell>
          <cell r="DD506">
            <v>39</v>
          </cell>
          <cell r="DE506">
            <v>24.666666666666668</v>
          </cell>
          <cell r="DF506">
            <v>0</v>
          </cell>
          <cell r="DG506">
            <v>0</v>
          </cell>
          <cell r="DH506">
            <v>37.5</v>
          </cell>
          <cell r="DI506">
            <v>38</v>
          </cell>
          <cell r="DJ506">
            <v>23.599999999999998</v>
          </cell>
          <cell r="DK506">
            <v>0</v>
          </cell>
          <cell r="DL506">
            <v>0</v>
          </cell>
          <cell r="DM506">
            <v>35.833333333333336</v>
          </cell>
          <cell r="DN506">
            <v>35</v>
          </cell>
          <cell r="DO506">
            <v>26.75</v>
          </cell>
          <cell r="DP506">
            <v>0</v>
          </cell>
          <cell r="DQ506">
            <v>0</v>
          </cell>
          <cell r="DR506">
            <v>33.666666666666664</v>
          </cell>
          <cell r="DS506">
            <v>33.666666666666664</v>
          </cell>
          <cell r="DT506">
            <v>25.75</v>
          </cell>
          <cell r="DU506">
            <v>0</v>
          </cell>
          <cell r="DV506">
            <v>0</v>
          </cell>
          <cell r="DW506">
            <v>32.333333333333329</v>
          </cell>
          <cell r="DX506">
            <v>32.333333333333329</v>
          </cell>
          <cell r="DY506">
            <v>24.749999999999996</v>
          </cell>
          <cell r="DZ506">
            <v>0</v>
          </cell>
          <cell r="EA506">
            <v>0</v>
          </cell>
          <cell r="EB506">
            <v>30.999999999999996</v>
          </cell>
          <cell r="EC506">
            <v>30.999999999999996</v>
          </cell>
          <cell r="ED506">
            <v>23.75</v>
          </cell>
          <cell r="EE506">
            <v>0</v>
          </cell>
          <cell r="EF506">
            <v>0</v>
          </cell>
          <cell r="EG506">
            <v>29.666666666666664</v>
          </cell>
          <cell r="EH506">
            <v>29.666666666666664</v>
          </cell>
          <cell r="EI506">
            <v>22.75</v>
          </cell>
          <cell r="EJ506">
            <v>0</v>
          </cell>
          <cell r="EK506">
            <v>0</v>
          </cell>
          <cell r="EL506">
            <v>28.333333333333332</v>
          </cell>
          <cell r="EM506">
            <v>28.333333333333332</v>
          </cell>
          <cell r="EN506">
            <v>21.75</v>
          </cell>
          <cell r="EO506">
            <v>0</v>
          </cell>
          <cell r="EP506">
            <v>0</v>
          </cell>
          <cell r="EQ506">
            <v>27</v>
          </cell>
          <cell r="ER506">
            <v>27</v>
          </cell>
          <cell r="ES506">
            <v>20.75</v>
          </cell>
          <cell r="ET506">
            <v>0</v>
          </cell>
          <cell r="EU506">
            <v>0</v>
          </cell>
          <cell r="EV506">
            <v>25.666666666666668</v>
          </cell>
          <cell r="EW506">
            <v>25.666666666666668</v>
          </cell>
          <cell r="EX506">
            <v>19.750000000000004</v>
          </cell>
          <cell r="EY506">
            <v>0</v>
          </cell>
          <cell r="EZ506">
            <v>0</v>
          </cell>
          <cell r="FA506">
            <v>24.333333333333336</v>
          </cell>
          <cell r="FB506">
            <v>24.333333333333336</v>
          </cell>
          <cell r="FC506">
            <v>18.750000000000004</v>
          </cell>
          <cell r="FD506">
            <v>0</v>
          </cell>
          <cell r="FE506">
            <v>0</v>
          </cell>
          <cell r="FF506">
            <v>23.000000000000004</v>
          </cell>
          <cell r="FG506">
            <v>23.000000000000004</v>
          </cell>
          <cell r="FH506">
            <v>17.750000000000004</v>
          </cell>
          <cell r="FI506">
            <v>0</v>
          </cell>
          <cell r="FJ506">
            <v>0</v>
          </cell>
          <cell r="FK506">
            <v>21.666666666666671</v>
          </cell>
          <cell r="FL506">
            <v>21.666666666666671</v>
          </cell>
          <cell r="FM506">
            <v>16.750000000000004</v>
          </cell>
          <cell r="FN506">
            <v>0</v>
          </cell>
          <cell r="FO506">
            <v>0</v>
          </cell>
          <cell r="FP506">
            <v>20.333333333333339</v>
          </cell>
          <cell r="FQ506">
            <v>20.333333333333339</v>
          </cell>
          <cell r="FR506">
            <v>15.750000000000005</v>
          </cell>
          <cell r="FS506">
            <v>0</v>
          </cell>
          <cell r="FT506">
            <v>2</v>
          </cell>
          <cell r="FU506">
            <v>1.0333333333333334</v>
          </cell>
          <cell r="FW506" t="str">
            <v>SOBRESTOCK</v>
          </cell>
          <cell r="FX506" t="str">
            <v>C</v>
          </cell>
          <cell r="FY506" t="str">
            <v>Si</v>
          </cell>
        </row>
        <row r="507">
          <cell r="B507" t="str">
            <v>REP-0524</v>
          </cell>
          <cell r="C507" t="str">
            <v>NACIONAL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</v>
          </cell>
          <cell r="V507">
            <v>0</v>
          </cell>
          <cell r="W507">
            <v>0</v>
          </cell>
          <cell r="X507">
            <v>0</v>
          </cell>
          <cell r="Y507">
            <v>1</v>
          </cell>
          <cell r="AA507">
            <v>1</v>
          </cell>
          <cell r="AC507">
            <v>0</v>
          </cell>
          <cell r="AD507">
            <v>0</v>
          </cell>
          <cell r="AE507">
            <v>0</v>
          </cell>
          <cell r="AH507">
            <v>1.3333333333333333</v>
          </cell>
          <cell r="AI507">
            <v>0.16666666666666666</v>
          </cell>
          <cell r="AJ507">
            <v>0.16666666666666666</v>
          </cell>
          <cell r="AK507">
            <v>1.3333333333333333</v>
          </cell>
          <cell r="AL507">
            <v>0.67357531405456328</v>
          </cell>
          <cell r="AM507">
            <v>0.55555555555555558</v>
          </cell>
          <cell r="AN507">
            <v>1.2124355652982139</v>
          </cell>
          <cell r="AX507">
            <v>10</v>
          </cell>
          <cell r="BB507">
            <v>18</v>
          </cell>
          <cell r="BC507">
            <v>27</v>
          </cell>
          <cell r="BD507">
            <v>0</v>
          </cell>
          <cell r="BE507">
            <v>17.333333333333332</v>
          </cell>
          <cell r="BF507">
            <v>26</v>
          </cell>
          <cell r="BG507">
            <v>0</v>
          </cell>
          <cell r="BH507">
            <v>16.666666666666664</v>
          </cell>
          <cell r="BI507">
            <v>1</v>
          </cell>
          <cell r="BJ507">
            <v>0.75</v>
          </cell>
          <cell r="BK507">
            <v>0</v>
          </cell>
          <cell r="BL507">
            <v>9.5</v>
          </cell>
          <cell r="BM507">
            <v>10</v>
          </cell>
          <cell r="BN507">
            <v>6</v>
          </cell>
          <cell r="BO507">
            <v>0</v>
          </cell>
          <cell r="BP507">
            <v>8.3333333333333339</v>
          </cell>
          <cell r="BQ507">
            <v>8</v>
          </cell>
          <cell r="BR507">
            <v>6</v>
          </cell>
          <cell r="BS507">
            <v>0</v>
          </cell>
          <cell r="BT507">
            <v>6</v>
          </cell>
          <cell r="BU507">
            <v>8</v>
          </cell>
          <cell r="BV507">
            <v>4</v>
          </cell>
          <cell r="BW507">
            <v>0</v>
          </cell>
          <cell r="BX507">
            <v>0</v>
          </cell>
          <cell r="BY507">
            <v>6</v>
          </cell>
          <cell r="BZ507">
            <v>7</v>
          </cell>
          <cell r="CA507">
            <v>3.8181818181818183</v>
          </cell>
          <cell r="CB507">
            <v>1</v>
          </cell>
          <cell r="CC507">
            <v>0</v>
          </cell>
          <cell r="CD507">
            <v>5.166666666666667</v>
          </cell>
          <cell r="CE507">
            <v>5</v>
          </cell>
          <cell r="CF507">
            <v>3</v>
          </cell>
          <cell r="CG507">
            <v>1</v>
          </cell>
          <cell r="CH507">
            <v>0</v>
          </cell>
          <cell r="CI507">
            <v>4.5</v>
          </cell>
          <cell r="CJ507">
            <v>4</v>
          </cell>
          <cell r="CK507">
            <v>3</v>
          </cell>
          <cell r="CL507">
            <v>2</v>
          </cell>
          <cell r="CM507">
            <v>0</v>
          </cell>
          <cell r="CN507">
            <v>2.666666666666667</v>
          </cell>
          <cell r="CO507">
            <v>4</v>
          </cell>
          <cell r="CP507">
            <v>3</v>
          </cell>
          <cell r="CQ507">
            <v>3.333333333333333</v>
          </cell>
          <cell r="CR507">
            <v>0</v>
          </cell>
          <cell r="CS507">
            <v>2.666666666666667</v>
          </cell>
          <cell r="CT507">
            <v>4</v>
          </cell>
          <cell r="CU507">
            <v>3</v>
          </cell>
          <cell r="CV507">
            <v>0</v>
          </cell>
          <cell r="CW507">
            <v>0</v>
          </cell>
          <cell r="CX507">
            <v>2.666666666666667</v>
          </cell>
          <cell r="CY507">
            <v>4</v>
          </cell>
          <cell r="CZ507">
            <v>3</v>
          </cell>
          <cell r="DA507">
            <v>0</v>
          </cell>
          <cell r="DB507">
            <v>0</v>
          </cell>
          <cell r="DC507">
            <v>2.666666666666667</v>
          </cell>
          <cell r="DD507">
            <v>3</v>
          </cell>
          <cell r="DE507">
            <v>0.75</v>
          </cell>
          <cell r="DF507">
            <v>0</v>
          </cell>
          <cell r="DG507">
            <v>0</v>
          </cell>
          <cell r="DH507">
            <v>1.6666666666666667</v>
          </cell>
          <cell r="DI507">
            <v>3</v>
          </cell>
          <cell r="DJ507">
            <v>2.75</v>
          </cell>
          <cell r="DK507">
            <v>0</v>
          </cell>
          <cell r="DL507">
            <v>0</v>
          </cell>
          <cell r="DM507">
            <v>0.33333333333333348</v>
          </cell>
          <cell r="DN507">
            <v>1</v>
          </cell>
          <cell r="DO507">
            <v>1.25</v>
          </cell>
          <cell r="DP507">
            <v>1</v>
          </cell>
          <cell r="DQ507">
            <v>0</v>
          </cell>
          <cell r="DR507">
            <v>-0.33333333333333326</v>
          </cell>
          <cell r="DS507">
            <v>-0.33333333333333326</v>
          </cell>
          <cell r="DT507">
            <v>0.25000000000000022</v>
          </cell>
          <cell r="DU507">
            <v>2.333333333333333</v>
          </cell>
          <cell r="DV507">
            <v>0</v>
          </cell>
          <cell r="DW507">
            <v>-1.6666666666666665</v>
          </cell>
          <cell r="DX507">
            <v>-1.6666666666666665</v>
          </cell>
          <cell r="DY507">
            <v>-0.75</v>
          </cell>
          <cell r="DZ507">
            <v>3.6666666666666665</v>
          </cell>
          <cell r="EA507">
            <v>0</v>
          </cell>
          <cell r="EB507">
            <v>-3</v>
          </cell>
          <cell r="EC507">
            <v>-3</v>
          </cell>
          <cell r="ED507">
            <v>-1.75</v>
          </cell>
          <cell r="EE507">
            <v>5</v>
          </cell>
          <cell r="EF507">
            <v>0</v>
          </cell>
          <cell r="EG507">
            <v>-4.333333333333333</v>
          </cell>
          <cell r="EH507">
            <v>-4.333333333333333</v>
          </cell>
          <cell r="EI507">
            <v>-2.75</v>
          </cell>
          <cell r="EJ507">
            <v>6.333333333333333</v>
          </cell>
          <cell r="EK507">
            <v>0</v>
          </cell>
          <cell r="EL507">
            <v>-5.6666666666666661</v>
          </cell>
          <cell r="EM507">
            <v>-5.6666666666666661</v>
          </cell>
          <cell r="EN507">
            <v>-3.75</v>
          </cell>
          <cell r="EO507">
            <v>7.6666666666666661</v>
          </cell>
          <cell r="EP507">
            <v>0</v>
          </cell>
          <cell r="EQ507">
            <v>-6.9999999999999991</v>
          </cell>
          <cell r="ER507">
            <v>-6.9999999999999991</v>
          </cell>
          <cell r="ES507">
            <v>-4.75</v>
          </cell>
          <cell r="ET507">
            <v>9</v>
          </cell>
          <cell r="EU507">
            <v>0</v>
          </cell>
          <cell r="EV507">
            <v>-8.3333333333333321</v>
          </cell>
          <cell r="EW507">
            <v>-8.3333333333333321</v>
          </cell>
          <cell r="EX507">
            <v>-5.7499999999999991</v>
          </cell>
          <cell r="EY507">
            <v>10.333333333333332</v>
          </cell>
          <cell r="EZ507">
            <v>0</v>
          </cell>
          <cell r="FA507">
            <v>-9.6666666666666661</v>
          </cell>
          <cell r="FB507">
            <v>-9.6666666666666661</v>
          </cell>
          <cell r="FC507">
            <v>-6.75</v>
          </cell>
          <cell r="FD507">
            <v>11.666666666666666</v>
          </cell>
          <cell r="FE507">
            <v>0</v>
          </cell>
          <cell r="FF507">
            <v>-11</v>
          </cell>
          <cell r="FG507">
            <v>-11</v>
          </cell>
          <cell r="FH507">
            <v>-7.75</v>
          </cell>
          <cell r="FI507">
            <v>13</v>
          </cell>
          <cell r="FJ507">
            <v>0</v>
          </cell>
          <cell r="FK507">
            <v>-12.333333333333334</v>
          </cell>
          <cell r="FL507">
            <v>-12.333333333333334</v>
          </cell>
          <cell r="FM507">
            <v>-8.7500000000000018</v>
          </cell>
          <cell r="FN507">
            <v>14.333333333333334</v>
          </cell>
          <cell r="FO507">
            <v>0</v>
          </cell>
          <cell r="FP507">
            <v>-13.666666666666668</v>
          </cell>
          <cell r="FQ507">
            <v>-13.666666666666668</v>
          </cell>
          <cell r="FR507">
            <v>-9.7500000000000018</v>
          </cell>
          <cell r="FS507">
            <v>15.666666666666668</v>
          </cell>
          <cell r="FT507">
            <v>2</v>
          </cell>
          <cell r="FU507">
            <v>1.0333333333333334</v>
          </cell>
          <cell r="FW507" t="str">
            <v>STOCK OK</v>
          </cell>
          <cell r="FX507" t="str">
            <v>C</v>
          </cell>
          <cell r="FY507" t="str">
            <v>Si</v>
          </cell>
        </row>
        <row r="508">
          <cell r="B508" t="str">
            <v>REP-0525</v>
          </cell>
          <cell r="C508" t="str">
            <v>NACIONAL SOC INGENERIA</v>
          </cell>
          <cell r="E508">
            <v>5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1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6</v>
          </cell>
          <cell r="AA508">
            <v>6</v>
          </cell>
          <cell r="AC508">
            <v>0</v>
          </cell>
          <cell r="AD508">
            <v>0</v>
          </cell>
          <cell r="AE508">
            <v>0</v>
          </cell>
          <cell r="AH508">
            <v>1.5833333333333333</v>
          </cell>
          <cell r="AI508">
            <v>1.6666666666666667</v>
          </cell>
          <cell r="AJ508">
            <v>1.6666666666666667</v>
          </cell>
          <cell r="AK508">
            <v>1.6666666666666667</v>
          </cell>
          <cell r="AL508">
            <v>4.8112522432468906E-2</v>
          </cell>
          <cell r="AM508">
            <v>1.6388888888888891</v>
          </cell>
          <cell r="AN508">
            <v>2.9356793348625093E-2</v>
          </cell>
          <cell r="AX508">
            <v>11</v>
          </cell>
          <cell r="BB508">
            <v>2</v>
          </cell>
          <cell r="BC508">
            <v>6</v>
          </cell>
          <cell r="BD508">
            <v>0</v>
          </cell>
          <cell r="BE508">
            <v>1.6666666666666667</v>
          </cell>
          <cell r="BF508">
            <v>5.0000000000000009</v>
          </cell>
          <cell r="BG508">
            <v>0</v>
          </cell>
          <cell r="BH508">
            <v>1.3333333333333335</v>
          </cell>
          <cell r="BI508">
            <v>6</v>
          </cell>
          <cell r="BJ508">
            <v>3.5999999999999996</v>
          </cell>
          <cell r="BK508">
            <v>0</v>
          </cell>
          <cell r="BL508">
            <v>9.8333333333333339</v>
          </cell>
          <cell r="BM508">
            <v>10</v>
          </cell>
          <cell r="BN508">
            <v>6.666666666666667</v>
          </cell>
          <cell r="BO508">
            <v>0</v>
          </cell>
          <cell r="BP508">
            <v>8.5</v>
          </cell>
          <cell r="BQ508">
            <v>8</v>
          </cell>
          <cell r="BR508">
            <v>4.8</v>
          </cell>
          <cell r="BS508">
            <v>0</v>
          </cell>
          <cell r="BT508">
            <v>6.333333333333333</v>
          </cell>
          <cell r="BU508">
            <v>11</v>
          </cell>
          <cell r="BV508">
            <v>6.6</v>
          </cell>
          <cell r="BW508">
            <v>0</v>
          </cell>
          <cell r="BX508">
            <v>0</v>
          </cell>
          <cell r="BY508">
            <v>9.3333333333333339</v>
          </cell>
          <cell r="BZ508">
            <v>7</v>
          </cell>
          <cell r="CA508">
            <v>3.2307692307692308</v>
          </cell>
          <cell r="CB508">
            <v>1</v>
          </cell>
          <cell r="CC508">
            <v>0</v>
          </cell>
          <cell r="CD508">
            <v>4.8333333333333339</v>
          </cell>
          <cell r="CE508">
            <v>8</v>
          </cell>
          <cell r="CF508">
            <v>3.6923076923076925</v>
          </cell>
          <cell r="CG508">
            <v>0</v>
          </cell>
          <cell r="CH508">
            <v>0</v>
          </cell>
          <cell r="CI508">
            <v>2.6666666666666674</v>
          </cell>
          <cell r="CJ508">
            <v>7</v>
          </cell>
          <cell r="CK508">
            <v>3.5</v>
          </cell>
          <cell r="CL508">
            <v>1</v>
          </cell>
          <cell r="CM508">
            <v>0</v>
          </cell>
          <cell r="CN508">
            <v>5</v>
          </cell>
          <cell r="CO508">
            <v>11</v>
          </cell>
          <cell r="CP508">
            <v>5.5</v>
          </cell>
          <cell r="CQ508">
            <v>3</v>
          </cell>
          <cell r="CR508">
            <v>0</v>
          </cell>
          <cell r="CS508">
            <v>9</v>
          </cell>
          <cell r="CT508">
            <v>10</v>
          </cell>
          <cell r="CU508">
            <v>6</v>
          </cell>
          <cell r="CV508">
            <v>0</v>
          </cell>
          <cell r="CW508">
            <v>0</v>
          </cell>
          <cell r="CX508">
            <v>8.3333333333333339</v>
          </cell>
          <cell r="CY508">
            <v>8</v>
          </cell>
          <cell r="CZ508">
            <v>4</v>
          </cell>
          <cell r="DA508">
            <v>0</v>
          </cell>
          <cell r="DB508">
            <v>0</v>
          </cell>
          <cell r="DC508">
            <v>6.416666666666667</v>
          </cell>
          <cell r="DD508">
            <v>9</v>
          </cell>
          <cell r="DE508">
            <v>4.4210526315789478</v>
          </cell>
          <cell r="DF508">
            <v>0</v>
          </cell>
          <cell r="DG508">
            <v>0</v>
          </cell>
          <cell r="DH508">
            <v>7.416666666666667</v>
          </cell>
          <cell r="DI508">
            <v>9</v>
          </cell>
          <cell r="DJ508">
            <v>6.375</v>
          </cell>
          <cell r="DK508">
            <v>0</v>
          </cell>
          <cell r="DL508">
            <v>0</v>
          </cell>
          <cell r="DM508">
            <v>5.8166666666666664</v>
          </cell>
          <cell r="DN508">
            <v>6</v>
          </cell>
          <cell r="DO508">
            <v>4.4000000000000004</v>
          </cell>
          <cell r="DP508">
            <v>0</v>
          </cell>
          <cell r="DQ508">
            <v>0</v>
          </cell>
          <cell r="DR508">
            <v>4.333333333333333</v>
          </cell>
          <cell r="DS508">
            <v>4.333333333333333</v>
          </cell>
          <cell r="DT508">
            <v>3.3999999999999995</v>
          </cell>
          <cell r="DU508">
            <v>0</v>
          </cell>
          <cell r="DV508">
            <v>0</v>
          </cell>
          <cell r="DW508">
            <v>2.6666666666666661</v>
          </cell>
          <cell r="DX508">
            <v>2.6666666666666661</v>
          </cell>
          <cell r="DY508">
            <v>2.3999999999999995</v>
          </cell>
          <cell r="DZ508">
            <v>0</v>
          </cell>
          <cell r="EA508">
            <v>0</v>
          </cell>
          <cell r="EB508">
            <v>0.99999999999999933</v>
          </cell>
          <cell r="EC508">
            <v>0.99999999999999933</v>
          </cell>
          <cell r="ED508">
            <v>1.3999999999999995</v>
          </cell>
          <cell r="EE508">
            <v>1.0000000000000007</v>
          </cell>
          <cell r="EF508">
            <v>0</v>
          </cell>
          <cell r="EG508">
            <v>-0.66666666666666741</v>
          </cell>
          <cell r="EH508">
            <v>-0.66666666666666741</v>
          </cell>
          <cell r="EI508">
            <v>0.39999999999999969</v>
          </cell>
          <cell r="EJ508">
            <v>2.6666666666666674</v>
          </cell>
          <cell r="EK508">
            <v>0</v>
          </cell>
          <cell r="EL508">
            <v>-2.3333333333333339</v>
          </cell>
          <cell r="EM508">
            <v>-2.3333333333333339</v>
          </cell>
          <cell r="EN508">
            <v>-0.60000000000000009</v>
          </cell>
          <cell r="EO508">
            <v>4.3333333333333339</v>
          </cell>
          <cell r="EP508">
            <v>0</v>
          </cell>
          <cell r="EQ508">
            <v>-4.0000000000000009</v>
          </cell>
          <cell r="ER508">
            <v>-4.0000000000000009</v>
          </cell>
          <cell r="ES508">
            <v>-1.6000000000000005</v>
          </cell>
          <cell r="ET508">
            <v>6.0000000000000009</v>
          </cell>
          <cell r="EU508">
            <v>0</v>
          </cell>
          <cell r="EV508">
            <v>-5.6666666666666679</v>
          </cell>
          <cell r="EW508">
            <v>-5.6666666666666679</v>
          </cell>
          <cell r="EX508">
            <v>-2.6000000000000005</v>
          </cell>
          <cell r="EY508">
            <v>7.6666666666666679</v>
          </cell>
          <cell r="EZ508">
            <v>0</v>
          </cell>
          <cell r="FA508">
            <v>-7.3333333333333348</v>
          </cell>
          <cell r="FB508">
            <v>-7.3333333333333348</v>
          </cell>
          <cell r="FC508">
            <v>-3.6000000000000014</v>
          </cell>
          <cell r="FD508">
            <v>9.3333333333333357</v>
          </cell>
          <cell r="FE508">
            <v>0</v>
          </cell>
          <cell r="FF508">
            <v>-9.0000000000000018</v>
          </cell>
          <cell r="FG508">
            <v>-9.0000000000000018</v>
          </cell>
          <cell r="FH508">
            <v>-4.6000000000000005</v>
          </cell>
          <cell r="FI508">
            <v>11.000000000000002</v>
          </cell>
          <cell r="FJ508">
            <v>0</v>
          </cell>
          <cell r="FK508">
            <v>-10.666666666666668</v>
          </cell>
          <cell r="FL508">
            <v>-10.666666666666668</v>
          </cell>
          <cell r="FM508">
            <v>-5.6000000000000005</v>
          </cell>
          <cell r="FN508">
            <v>12.666666666666668</v>
          </cell>
          <cell r="FO508">
            <v>0</v>
          </cell>
          <cell r="FP508">
            <v>-12.333333333333334</v>
          </cell>
          <cell r="FQ508">
            <v>-12.333333333333334</v>
          </cell>
          <cell r="FR508">
            <v>-6.6</v>
          </cell>
          <cell r="FS508">
            <v>14.333333333333334</v>
          </cell>
          <cell r="FT508">
            <v>2</v>
          </cell>
          <cell r="FU508">
            <v>1.0333333333333334</v>
          </cell>
          <cell r="FW508" t="str">
            <v>SOBRESTOCK</v>
          </cell>
          <cell r="FX508" t="str">
            <v>C</v>
          </cell>
          <cell r="FY508" t="str">
            <v>Si</v>
          </cell>
        </row>
        <row r="509">
          <cell r="B509" t="str">
            <v>REP-0526</v>
          </cell>
          <cell r="C509" t="str">
            <v>NACIONAL SOC</v>
          </cell>
          <cell r="E509">
            <v>7</v>
          </cell>
          <cell r="F509">
            <v>0</v>
          </cell>
          <cell r="G509">
            <v>0</v>
          </cell>
          <cell r="H509">
            <v>1</v>
          </cell>
          <cell r="I509">
            <v>1</v>
          </cell>
          <cell r="J509">
            <v>0</v>
          </cell>
          <cell r="K509">
            <v>3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12</v>
          </cell>
          <cell r="AA509">
            <v>12</v>
          </cell>
          <cell r="AC509">
            <v>0</v>
          </cell>
          <cell r="AD509">
            <v>0</v>
          </cell>
          <cell r="AE509">
            <v>0</v>
          </cell>
          <cell r="AH509">
            <v>8.3333333333333329E-2</v>
          </cell>
          <cell r="AI509">
            <v>0</v>
          </cell>
          <cell r="AJ509">
            <v>0</v>
          </cell>
          <cell r="AK509">
            <v>8.3333333333333329E-2</v>
          </cell>
          <cell r="AL509">
            <v>4.8112522432468816E-2</v>
          </cell>
          <cell r="AM509">
            <v>2.7777777777777776E-2</v>
          </cell>
          <cell r="AN509">
            <v>1.7320508075688774</v>
          </cell>
          <cell r="AX509">
            <v>12</v>
          </cell>
          <cell r="BB509">
            <v>3</v>
          </cell>
          <cell r="BC509" t="str">
            <v/>
          </cell>
          <cell r="BD509">
            <v>0</v>
          </cell>
          <cell r="BE509">
            <v>3</v>
          </cell>
          <cell r="BF509" t="str">
            <v/>
          </cell>
          <cell r="BG509">
            <v>0</v>
          </cell>
          <cell r="BH509">
            <v>3</v>
          </cell>
          <cell r="BI509">
            <v>12</v>
          </cell>
          <cell r="BJ509">
            <v>144</v>
          </cell>
          <cell r="BK509">
            <v>0</v>
          </cell>
          <cell r="BL509">
            <v>13</v>
          </cell>
          <cell r="BM509">
            <v>13</v>
          </cell>
          <cell r="BN509" t="str">
            <v/>
          </cell>
          <cell r="BO509">
            <v>0</v>
          </cell>
          <cell r="BP509">
            <v>13</v>
          </cell>
          <cell r="BQ509">
            <v>13</v>
          </cell>
          <cell r="BR509">
            <v>156</v>
          </cell>
          <cell r="BS509">
            <v>0</v>
          </cell>
          <cell r="BT509">
            <v>13</v>
          </cell>
          <cell r="BU509">
            <v>13</v>
          </cell>
          <cell r="BV509" t="str">
            <v/>
          </cell>
          <cell r="BW509">
            <v>0</v>
          </cell>
          <cell r="BX509">
            <v>0</v>
          </cell>
          <cell r="BY509">
            <v>13</v>
          </cell>
          <cell r="BZ509">
            <v>13</v>
          </cell>
          <cell r="CA509" t="str">
            <v/>
          </cell>
          <cell r="CB509">
            <v>0</v>
          </cell>
          <cell r="CC509">
            <v>0</v>
          </cell>
          <cell r="CD509">
            <v>13</v>
          </cell>
          <cell r="CE509">
            <v>13</v>
          </cell>
          <cell r="CF509" t="str">
            <v/>
          </cell>
          <cell r="CG509">
            <v>0</v>
          </cell>
          <cell r="CH509">
            <v>0</v>
          </cell>
          <cell r="CI509">
            <v>13</v>
          </cell>
          <cell r="CJ509">
            <v>12</v>
          </cell>
          <cell r="CK509">
            <v>72</v>
          </cell>
          <cell r="CL509">
            <v>0</v>
          </cell>
          <cell r="CM509">
            <v>0</v>
          </cell>
          <cell r="CN509">
            <v>11.833333333333334</v>
          </cell>
          <cell r="CO509">
            <v>12</v>
          </cell>
          <cell r="CP509">
            <v>72</v>
          </cell>
          <cell r="CQ509">
            <v>0</v>
          </cell>
          <cell r="CR509">
            <v>0</v>
          </cell>
          <cell r="CS509">
            <v>11.833333333333334</v>
          </cell>
          <cell r="CT509">
            <v>11</v>
          </cell>
          <cell r="CU509">
            <v>66</v>
          </cell>
          <cell r="CV509">
            <v>0</v>
          </cell>
          <cell r="CW509">
            <v>0</v>
          </cell>
          <cell r="CX509">
            <v>10.833333333333334</v>
          </cell>
          <cell r="CY509">
            <v>11</v>
          </cell>
          <cell r="CZ509">
            <v>132</v>
          </cell>
          <cell r="DA509">
            <v>0</v>
          </cell>
          <cell r="DB509">
            <v>0</v>
          </cell>
          <cell r="DC509">
            <v>10.916666666666666</v>
          </cell>
          <cell r="DD509">
            <v>11</v>
          </cell>
          <cell r="DE509">
            <v>120</v>
          </cell>
          <cell r="DF509">
            <v>0</v>
          </cell>
          <cell r="DG509">
            <v>0</v>
          </cell>
          <cell r="DH509">
            <v>10.916666666666666</v>
          </cell>
          <cell r="DI509">
            <v>11</v>
          </cell>
          <cell r="DJ509">
            <v>122</v>
          </cell>
          <cell r="DK509">
            <v>0</v>
          </cell>
          <cell r="DL509">
            <v>0</v>
          </cell>
          <cell r="DM509">
            <v>10.833333333333332</v>
          </cell>
          <cell r="DN509">
            <v>12</v>
          </cell>
          <cell r="DO509">
            <v>134</v>
          </cell>
          <cell r="DP509">
            <v>0</v>
          </cell>
          <cell r="DQ509">
            <v>0</v>
          </cell>
          <cell r="DR509">
            <v>11.916666666666666</v>
          </cell>
          <cell r="DS509">
            <v>11.916666666666666</v>
          </cell>
          <cell r="DT509">
            <v>133</v>
          </cell>
          <cell r="DU509">
            <v>0</v>
          </cell>
          <cell r="DV509">
            <v>0</v>
          </cell>
          <cell r="DW509">
            <v>11.833333333333332</v>
          </cell>
          <cell r="DX509">
            <v>11.833333333333332</v>
          </cell>
          <cell r="DY509">
            <v>132</v>
          </cell>
          <cell r="DZ509">
            <v>0</v>
          </cell>
          <cell r="EA509">
            <v>0</v>
          </cell>
          <cell r="EB509">
            <v>11.749999999999998</v>
          </cell>
          <cell r="EC509">
            <v>11.749999999999998</v>
          </cell>
          <cell r="ED509">
            <v>131</v>
          </cell>
          <cell r="EE509">
            <v>0</v>
          </cell>
          <cell r="EF509">
            <v>0</v>
          </cell>
          <cell r="EG509">
            <v>11.666666666666664</v>
          </cell>
          <cell r="EH509">
            <v>11.666666666666664</v>
          </cell>
          <cell r="EI509">
            <v>129.99999999999997</v>
          </cell>
          <cell r="EJ509">
            <v>0</v>
          </cell>
          <cell r="EK509">
            <v>0</v>
          </cell>
          <cell r="EL509">
            <v>11.58333333333333</v>
          </cell>
          <cell r="EM509">
            <v>11.58333333333333</v>
          </cell>
          <cell r="EN509">
            <v>128.99999999999997</v>
          </cell>
          <cell r="EO509">
            <v>0</v>
          </cell>
          <cell r="EP509">
            <v>0</v>
          </cell>
          <cell r="EQ509">
            <v>11.499999999999996</v>
          </cell>
          <cell r="ER509">
            <v>11.499999999999996</v>
          </cell>
          <cell r="ES509">
            <v>127.99999999999996</v>
          </cell>
          <cell r="ET509">
            <v>0</v>
          </cell>
          <cell r="EU509">
            <v>0</v>
          </cell>
          <cell r="EV509">
            <v>11.416666666666663</v>
          </cell>
          <cell r="EW509">
            <v>11.416666666666663</v>
          </cell>
          <cell r="EX509">
            <v>126.99999999999996</v>
          </cell>
          <cell r="EY509">
            <v>0</v>
          </cell>
          <cell r="EZ509">
            <v>0</v>
          </cell>
          <cell r="FA509">
            <v>11.333333333333329</v>
          </cell>
          <cell r="FB509">
            <v>11.333333333333329</v>
          </cell>
          <cell r="FC509">
            <v>125.99999999999994</v>
          </cell>
          <cell r="FD509">
            <v>0</v>
          </cell>
          <cell r="FE509">
            <v>0</v>
          </cell>
          <cell r="FF509">
            <v>11.249999999999995</v>
          </cell>
          <cell r="FG509">
            <v>11.249999999999995</v>
          </cell>
          <cell r="FH509">
            <v>124.99999999999994</v>
          </cell>
          <cell r="FI509">
            <v>0</v>
          </cell>
          <cell r="FJ509">
            <v>0</v>
          </cell>
          <cell r="FK509">
            <v>11.166666666666661</v>
          </cell>
          <cell r="FL509">
            <v>11.166666666666661</v>
          </cell>
          <cell r="FM509">
            <v>123.99999999999993</v>
          </cell>
          <cell r="FN509">
            <v>0</v>
          </cell>
          <cell r="FO509">
            <v>0</v>
          </cell>
          <cell r="FP509">
            <v>11.083333333333327</v>
          </cell>
          <cell r="FQ509">
            <v>11.083333333333327</v>
          </cell>
          <cell r="FR509">
            <v>122.99999999999993</v>
          </cell>
          <cell r="FS509">
            <v>0</v>
          </cell>
          <cell r="FT509">
            <v>1</v>
          </cell>
          <cell r="FU509">
            <v>1.0333333333333334</v>
          </cell>
          <cell r="FW509" t="str">
            <v>SIN ROTACIÓN</v>
          </cell>
          <cell r="FX509" t="str">
            <v>STOCK MUERTO</v>
          </cell>
          <cell r="FY509" t="str">
            <v>Si</v>
          </cell>
        </row>
        <row r="510">
          <cell r="B510" t="str">
            <v>REP-0527</v>
          </cell>
          <cell r="C510" t="str">
            <v>NACIONAL SOC</v>
          </cell>
          <cell r="E510">
            <v>5</v>
          </cell>
          <cell r="F510">
            <v>0</v>
          </cell>
          <cell r="G510">
            <v>0</v>
          </cell>
          <cell r="H510">
            <v>1</v>
          </cell>
          <cell r="I510">
            <v>1</v>
          </cell>
          <cell r="J510">
            <v>0</v>
          </cell>
          <cell r="K510">
            <v>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2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12</v>
          </cell>
          <cell r="AA510">
            <v>12</v>
          </cell>
          <cell r="AC510">
            <v>0</v>
          </cell>
          <cell r="AD510">
            <v>0</v>
          </cell>
          <cell r="AE510">
            <v>0</v>
          </cell>
          <cell r="AH510">
            <v>8.3333333333333329E-2</v>
          </cell>
          <cell r="AI510">
            <v>0</v>
          </cell>
          <cell r="AJ510">
            <v>0</v>
          </cell>
          <cell r="AK510">
            <v>8.3333333333333329E-2</v>
          </cell>
          <cell r="AL510">
            <v>4.8112522432468816E-2</v>
          </cell>
          <cell r="AM510">
            <v>2.7777777777777776E-2</v>
          </cell>
          <cell r="AN510">
            <v>1.7320508075688774</v>
          </cell>
          <cell r="AX510">
            <v>13</v>
          </cell>
          <cell r="BB510">
            <v>3</v>
          </cell>
          <cell r="BC510" t="str">
            <v/>
          </cell>
          <cell r="BD510">
            <v>0</v>
          </cell>
          <cell r="BE510">
            <v>3</v>
          </cell>
          <cell r="BF510" t="str">
            <v/>
          </cell>
          <cell r="BG510">
            <v>0</v>
          </cell>
          <cell r="BH510">
            <v>3</v>
          </cell>
          <cell r="BI510">
            <v>12</v>
          </cell>
          <cell r="BJ510">
            <v>144</v>
          </cell>
          <cell r="BK510">
            <v>0</v>
          </cell>
          <cell r="BL510">
            <v>13</v>
          </cell>
          <cell r="BM510">
            <v>13</v>
          </cell>
          <cell r="BN510" t="str">
            <v/>
          </cell>
          <cell r="BO510">
            <v>0</v>
          </cell>
          <cell r="BP510">
            <v>13</v>
          </cell>
          <cell r="BQ510">
            <v>13</v>
          </cell>
          <cell r="BR510">
            <v>156</v>
          </cell>
          <cell r="BS510">
            <v>0</v>
          </cell>
          <cell r="BT510">
            <v>13</v>
          </cell>
          <cell r="BU510">
            <v>13</v>
          </cell>
          <cell r="BV510" t="str">
            <v/>
          </cell>
          <cell r="BW510">
            <v>0</v>
          </cell>
          <cell r="BX510">
            <v>0</v>
          </cell>
          <cell r="BY510">
            <v>13</v>
          </cell>
          <cell r="BZ510">
            <v>13</v>
          </cell>
          <cell r="CA510" t="str">
            <v/>
          </cell>
          <cell r="CB510">
            <v>0</v>
          </cell>
          <cell r="CC510">
            <v>0</v>
          </cell>
          <cell r="CD510">
            <v>13</v>
          </cell>
          <cell r="CE510">
            <v>13</v>
          </cell>
          <cell r="CF510" t="str">
            <v/>
          </cell>
          <cell r="CG510">
            <v>0</v>
          </cell>
          <cell r="CH510">
            <v>0</v>
          </cell>
          <cell r="CI510">
            <v>13</v>
          </cell>
          <cell r="CJ510">
            <v>12</v>
          </cell>
          <cell r="CK510">
            <v>72</v>
          </cell>
          <cell r="CL510">
            <v>0</v>
          </cell>
          <cell r="CM510">
            <v>0</v>
          </cell>
          <cell r="CN510">
            <v>11.833333333333334</v>
          </cell>
          <cell r="CO510">
            <v>12</v>
          </cell>
          <cell r="CP510">
            <v>72</v>
          </cell>
          <cell r="CQ510">
            <v>0</v>
          </cell>
          <cell r="CR510">
            <v>0</v>
          </cell>
          <cell r="CS510">
            <v>11.833333333333334</v>
          </cell>
          <cell r="CT510">
            <v>11</v>
          </cell>
          <cell r="CU510">
            <v>66</v>
          </cell>
          <cell r="CV510">
            <v>0</v>
          </cell>
          <cell r="CW510">
            <v>0</v>
          </cell>
          <cell r="CX510">
            <v>10.833333333333334</v>
          </cell>
          <cell r="CY510">
            <v>11</v>
          </cell>
          <cell r="CZ510">
            <v>132</v>
          </cell>
          <cell r="DA510">
            <v>0</v>
          </cell>
          <cell r="DB510">
            <v>0</v>
          </cell>
          <cell r="DC510">
            <v>10.916666666666666</v>
          </cell>
          <cell r="DD510">
            <v>11</v>
          </cell>
          <cell r="DE510">
            <v>120</v>
          </cell>
          <cell r="DF510">
            <v>0</v>
          </cell>
          <cell r="DG510">
            <v>0</v>
          </cell>
          <cell r="DH510">
            <v>10.916666666666666</v>
          </cell>
          <cell r="DI510">
            <v>11</v>
          </cell>
          <cell r="DJ510">
            <v>122</v>
          </cell>
          <cell r="DK510">
            <v>0</v>
          </cell>
          <cell r="DL510">
            <v>0</v>
          </cell>
          <cell r="DM510">
            <v>10.833333333333332</v>
          </cell>
          <cell r="DN510">
            <v>12</v>
          </cell>
          <cell r="DO510">
            <v>134</v>
          </cell>
          <cell r="DP510">
            <v>0</v>
          </cell>
          <cell r="DQ510">
            <v>0</v>
          </cell>
          <cell r="DR510">
            <v>11.916666666666666</v>
          </cell>
          <cell r="DS510">
            <v>11.916666666666666</v>
          </cell>
          <cell r="DT510">
            <v>133</v>
          </cell>
          <cell r="DU510">
            <v>0</v>
          </cell>
          <cell r="DV510">
            <v>0</v>
          </cell>
          <cell r="DW510">
            <v>11.833333333333332</v>
          </cell>
          <cell r="DX510">
            <v>11.833333333333332</v>
          </cell>
          <cell r="DY510">
            <v>132</v>
          </cell>
          <cell r="DZ510">
            <v>0</v>
          </cell>
          <cell r="EA510">
            <v>0</v>
          </cell>
          <cell r="EB510">
            <v>11.749999999999998</v>
          </cell>
          <cell r="EC510">
            <v>11.749999999999998</v>
          </cell>
          <cell r="ED510">
            <v>131</v>
          </cell>
          <cell r="EE510">
            <v>0</v>
          </cell>
          <cell r="EF510">
            <v>0</v>
          </cell>
          <cell r="EG510">
            <v>11.666666666666664</v>
          </cell>
          <cell r="EH510">
            <v>11.666666666666664</v>
          </cell>
          <cell r="EI510">
            <v>129.99999999999997</v>
          </cell>
          <cell r="EJ510">
            <v>0</v>
          </cell>
          <cell r="EK510">
            <v>0</v>
          </cell>
          <cell r="EL510">
            <v>11.58333333333333</v>
          </cell>
          <cell r="EM510">
            <v>11.58333333333333</v>
          </cell>
          <cell r="EN510">
            <v>128.99999999999997</v>
          </cell>
          <cell r="EO510">
            <v>0</v>
          </cell>
          <cell r="EP510">
            <v>0</v>
          </cell>
          <cell r="EQ510">
            <v>11.499999999999996</v>
          </cell>
          <cell r="ER510">
            <v>11.499999999999996</v>
          </cell>
          <cell r="ES510">
            <v>127.99999999999996</v>
          </cell>
          <cell r="ET510">
            <v>0</v>
          </cell>
          <cell r="EU510">
            <v>0</v>
          </cell>
          <cell r="EV510">
            <v>11.416666666666663</v>
          </cell>
          <cell r="EW510">
            <v>11.416666666666663</v>
          </cell>
          <cell r="EX510">
            <v>126.99999999999996</v>
          </cell>
          <cell r="EY510">
            <v>0</v>
          </cell>
          <cell r="EZ510">
            <v>0</v>
          </cell>
          <cell r="FA510">
            <v>11.333333333333329</v>
          </cell>
          <cell r="FB510">
            <v>11.333333333333329</v>
          </cell>
          <cell r="FC510">
            <v>125.99999999999994</v>
          </cell>
          <cell r="FD510">
            <v>0</v>
          </cell>
          <cell r="FE510">
            <v>0</v>
          </cell>
          <cell r="FF510">
            <v>11.249999999999995</v>
          </cell>
          <cell r="FG510">
            <v>11.249999999999995</v>
          </cell>
          <cell r="FH510">
            <v>124.99999999999994</v>
          </cell>
          <cell r="FI510">
            <v>0</v>
          </cell>
          <cell r="FJ510">
            <v>0</v>
          </cell>
          <cell r="FK510">
            <v>11.166666666666661</v>
          </cell>
          <cell r="FL510">
            <v>11.166666666666661</v>
          </cell>
          <cell r="FM510">
            <v>123.99999999999993</v>
          </cell>
          <cell r="FN510">
            <v>0</v>
          </cell>
          <cell r="FO510">
            <v>0</v>
          </cell>
          <cell r="FP510">
            <v>11.083333333333327</v>
          </cell>
          <cell r="FQ510">
            <v>11.083333333333327</v>
          </cell>
          <cell r="FR510">
            <v>122.99999999999993</v>
          </cell>
          <cell r="FS510">
            <v>0</v>
          </cell>
          <cell r="FT510">
            <v>1</v>
          </cell>
          <cell r="FU510">
            <v>1.0333333333333334</v>
          </cell>
          <cell r="FW510" t="str">
            <v>SIN ROTACIÓN</v>
          </cell>
          <cell r="FX510" t="str">
            <v>STOCK MUERTO</v>
          </cell>
          <cell r="FY510" t="str">
            <v>Si</v>
          </cell>
        </row>
        <row r="511">
          <cell r="B511" t="str">
            <v>REP-0528</v>
          </cell>
          <cell r="C511" t="str">
            <v>NACIONAL SOC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>
            <v>1</v>
          </cell>
          <cell r="J511">
            <v>0</v>
          </cell>
          <cell r="K511">
            <v>4</v>
          </cell>
          <cell r="L511">
            <v>1</v>
          </cell>
          <cell r="M511">
            <v>1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2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12</v>
          </cell>
          <cell r="AA511">
            <v>12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X511">
            <v>14</v>
          </cell>
          <cell r="BB511">
            <v>3</v>
          </cell>
          <cell r="BC511" t="str">
            <v/>
          </cell>
          <cell r="BD511">
            <v>0</v>
          </cell>
          <cell r="BE511">
            <v>3</v>
          </cell>
          <cell r="BF511" t="str">
            <v/>
          </cell>
          <cell r="BG511">
            <v>0</v>
          </cell>
          <cell r="BH511">
            <v>3</v>
          </cell>
          <cell r="BI511">
            <v>12</v>
          </cell>
          <cell r="BJ511" t="str">
            <v/>
          </cell>
          <cell r="BK511">
            <v>0</v>
          </cell>
          <cell r="BL511">
            <v>13</v>
          </cell>
          <cell r="BM511">
            <v>13</v>
          </cell>
          <cell r="BN511" t="str">
            <v/>
          </cell>
          <cell r="BO511">
            <v>0</v>
          </cell>
          <cell r="BP511">
            <v>13</v>
          </cell>
          <cell r="BQ511">
            <v>13</v>
          </cell>
          <cell r="BR511" t="str">
            <v/>
          </cell>
          <cell r="BS511">
            <v>0</v>
          </cell>
          <cell r="BT511">
            <v>13</v>
          </cell>
          <cell r="BU511">
            <v>13</v>
          </cell>
          <cell r="BV511" t="str">
            <v/>
          </cell>
          <cell r="BW511">
            <v>0</v>
          </cell>
          <cell r="BX511">
            <v>0</v>
          </cell>
          <cell r="BY511">
            <v>13</v>
          </cell>
          <cell r="BZ511">
            <v>13</v>
          </cell>
          <cell r="CA511" t="str">
            <v/>
          </cell>
          <cell r="CB511">
            <v>0</v>
          </cell>
          <cell r="CC511">
            <v>0</v>
          </cell>
          <cell r="CD511">
            <v>13</v>
          </cell>
          <cell r="CE511">
            <v>13</v>
          </cell>
          <cell r="CF511" t="str">
            <v/>
          </cell>
          <cell r="CG511">
            <v>0</v>
          </cell>
          <cell r="CH511">
            <v>0</v>
          </cell>
          <cell r="CI511">
            <v>13</v>
          </cell>
          <cell r="CJ511">
            <v>13</v>
          </cell>
          <cell r="CK511" t="str">
            <v/>
          </cell>
          <cell r="CL511">
            <v>0</v>
          </cell>
          <cell r="CM511">
            <v>0</v>
          </cell>
          <cell r="CN511">
            <v>13</v>
          </cell>
          <cell r="CO511">
            <v>13</v>
          </cell>
          <cell r="CP511" t="str">
            <v/>
          </cell>
          <cell r="CQ511">
            <v>0</v>
          </cell>
          <cell r="CR511">
            <v>0</v>
          </cell>
          <cell r="CS511">
            <v>13</v>
          </cell>
          <cell r="CT511">
            <v>12</v>
          </cell>
          <cell r="CU511" t="str">
            <v/>
          </cell>
          <cell r="CV511">
            <v>0</v>
          </cell>
          <cell r="CW511">
            <v>0</v>
          </cell>
          <cell r="CX511">
            <v>12</v>
          </cell>
          <cell r="CY511">
            <v>12</v>
          </cell>
          <cell r="CZ511" t="str">
            <v/>
          </cell>
          <cell r="DA511">
            <v>0</v>
          </cell>
          <cell r="DB511">
            <v>0</v>
          </cell>
          <cell r="DC511">
            <v>12</v>
          </cell>
          <cell r="DD511">
            <v>11</v>
          </cell>
          <cell r="DE511" t="str">
            <v/>
          </cell>
          <cell r="DF511">
            <v>0</v>
          </cell>
          <cell r="DG511">
            <v>0</v>
          </cell>
          <cell r="DH511">
            <v>11</v>
          </cell>
          <cell r="DI511">
            <v>11</v>
          </cell>
          <cell r="DJ511" t="str">
            <v/>
          </cell>
          <cell r="DK511">
            <v>0</v>
          </cell>
          <cell r="DL511">
            <v>0</v>
          </cell>
          <cell r="DM511">
            <v>11</v>
          </cell>
          <cell r="DN511">
            <v>12</v>
          </cell>
          <cell r="DO511" t="str">
            <v/>
          </cell>
          <cell r="DP511">
            <v>0</v>
          </cell>
          <cell r="DQ511">
            <v>0</v>
          </cell>
          <cell r="DR511">
            <v>12</v>
          </cell>
          <cell r="DS511">
            <v>12</v>
          </cell>
          <cell r="DT511" t="str">
            <v/>
          </cell>
          <cell r="DU511">
            <v>0</v>
          </cell>
          <cell r="DV511">
            <v>0</v>
          </cell>
          <cell r="DW511">
            <v>12</v>
          </cell>
          <cell r="DX511">
            <v>12</v>
          </cell>
          <cell r="DY511" t="str">
            <v/>
          </cell>
          <cell r="DZ511">
            <v>0</v>
          </cell>
          <cell r="EA511">
            <v>0</v>
          </cell>
          <cell r="EB511">
            <v>12</v>
          </cell>
          <cell r="EC511">
            <v>12</v>
          </cell>
          <cell r="ED511" t="str">
            <v/>
          </cell>
          <cell r="EE511">
            <v>0</v>
          </cell>
          <cell r="EF511">
            <v>0</v>
          </cell>
          <cell r="EG511">
            <v>12</v>
          </cell>
          <cell r="EH511">
            <v>12</v>
          </cell>
          <cell r="EI511" t="str">
            <v/>
          </cell>
          <cell r="EJ511">
            <v>0</v>
          </cell>
          <cell r="EK511">
            <v>0</v>
          </cell>
          <cell r="EL511">
            <v>12</v>
          </cell>
          <cell r="EM511">
            <v>12</v>
          </cell>
          <cell r="EN511" t="str">
            <v/>
          </cell>
          <cell r="EO511">
            <v>0</v>
          </cell>
          <cell r="EP511">
            <v>0</v>
          </cell>
          <cell r="EQ511">
            <v>12</v>
          </cell>
          <cell r="ER511">
            <v>12</v>
          </cell>
          <cell r="ES511" t="str">
            <v/>
          </cell>
          <cell r="ET511">
            <v>0</v>
          </cell>
          <cell r="EU511">
            <v>0</v>
          </cell>
          <cell r="EV511">
            <v>12</v>
          </cell>
          <cell r="EW511">
            <v>12</v>
          </cell>
          <cell r="EX511" t="str">
            <v/>
          </cell>
          <cell r="EY511">
            <v>0</v>
          </cell>
          <cell r="EZ511">
            <v>0</v>
          </cell>
          <cell r="FA511">
            <v>12</v>
          </cell>
          <cell r="FB511">
            <v>12</v>
          </cell>
          <cell r="FC511" t="str">
            <v/>
          </cell>
          <cell r="FD511">
            <v>0</v>
          </cell>
          <cell r="FE511">
            <v>0</v>
          </cell>
          <cell r="FF511">
            <v>12</v>
          </cell>
          <cell r="FG511">
            <v>12</v>
          </cell>
          <cell r="FH511" t="str">
            <v/>
          </cell>
          <cell r="FI511">
            <v>0</v>
          </cell>
          <cell r="FJ511">
            <v>0</v>
          </cell>
          <cell r="FK511">
            <v>12</v>
          </cell>
          <cell r="FL511">
            <v>12</v>
          </cell>
          <cell r="FM511" t="str">
            <v/>
          </cell>
          <cell r="FN511">
            <v>0</v>
          </cell>
          <cell r="FO511">
            <v>0</v>
          </cell>
          <cell r="FP511">
            <v>12</v>
          </cell>
          <cell r="FQ511">
            <v>12</v>
          </cell>
          <cell r="FR511" t="str">
            <v/>
          </cell>
          <cell r="FS511">
            <v>0</v>
          </cell>
          <cell r="FT511">
            <v>0</v>
          </cell>
          <cell r="FU511">
            <v>1.0333333333333334</v>
          </cell>
          <cell r="FW511" t="str">
            <v>SIN ROTACIÓN</v>
          </cell>
          <cell r="FX511" t="str">
            <v>STOCK MUERTO</v>
          </cell>
          <cell r="FY511" t="str">
            <v>Si</v>
          </cell>
        </row>
        <row r="512">
          <cell r="B512" t="str">
            <v>REP-0529</v>
          </cell>
          <cell r="C512" t="str">
            <v>NACIONAL SOC</v>
          </cell>
          <cell r="E512">
            <v>1</v>
          </cell>
          <cell r="F512">
            <v>0</v>
          </cell>
          <cell r="G512">
            <v>0</v>
          </cell>
          <cell r="H512">
            <v>1</v>
          </cell>
          <cell r="I512">
            <v>1</v>
          </cell>
          <cell r="J512">
            <v>0</v>
          </cell>
          <cell r="K512">
            <v>4</v>
          </cell>
          <cell r="L512">
            <v>1</v>
          </cell>
          <cell r="M512">
            <v>1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2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11</v>
          </cell>
          <cell r="AA512">
            <v>11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X512">
            <v>15</v>
          </cell>
          <cell r="BB512">
            <v>3</v>
          </cell>
          <cell r="BC512" t="str">
            <v/>
          </cell>
          <cell r="BD512">
            <v>0</v>
          </cell>
          <cell r="BE512">
            <v>3</v>
          </cell>
          <cell r="BF512" t="str">
            <v/>
          </cell>
          <cell r="BG512">
            <v>0</v>
          </cell>
          <cell r="BH512">
            <v>3</v>
          </cell>
          <cell r="BI512">
            <v>11</v>
          </cell>
          <cell r="BJ512" t="str">
            <v/>
          </cell>
          <cell r="BK512">
            <v>0</v>
          </cell>
          <cell r="BL512">
            <v>13</v>
          </cell>
          <cell r="BM512">
            <v>13</v>
          </cell>
          <cell r="BN512" t="str">
            <v/>
          </cell>
          <cell r="BO512">
            <v>0</v>
          </cell>
          <cell r="BP512">
            <v>13</v>
          </cell>
          <cell r="BQ512">
            <v>13</v>
          </cell>
          <cell r="BR512" t="str">
            <v/>
          </cell>
          <cell r="BS512">
            <v>0</v>
          </cell>
          <cell r="BT512">
            <v>13</v>
          </cell>
          <cell r="BU512">
            <v>13</v>
          </cell>
          <cell r="BV512" t="str">
            <v/>
          </cell>
          <cell r="BW512">
            <v>0</v>
          </cell>
          <cell r="BX512">
            <v>0</v>
          </cell>
          <cell r="BY512">
            <v>13</v>
          </cell>
          <cell r="BZ512">
            <v>13</v>
          </cell>
          <cell r="CA512" t="str">
            <v/>
          </cell>
          <cell r="CB512">
            <v>0</v>
          </cell>
          <cell r="CC512">
            <v>0</v>
          </cell>
          <cell r="CD512">
            <v>13</v>
          </cell>
          <cell r="CE512">
            <v>13</v>
          </cell>
          <cell r="CF512" t="str">
            <v/>
          </cell>
          <cell r="CG512">
            <v>0</v>
          </cell>
          <cell r="CH512">
            <v>0</v>
          </cell>
          <cell r="CI512">
            <v>13</v>
          </cell>
          <cell r="CJ512">
            <v>13</v>
          </cell>
          <cell r="CK512" t="str">
            <v/>
          </cell>
          <cell r="CL512">
            <v>0</v>
          </cell>
          <cell r="CM512">
            <v>0</v>
          </cell>
          <cell r="CN512">
            <v>13</v>
          </cell>
          <cell r="CO512">
            <v>13</v>
          </cell>
          <cell r="CP512" t="str">
            <v/>
          </cell>
          <cell r="CQ512">
            <v>0</v>
          </cell>
          <cell r="CR512">
            <v>0</v>
          </cell>
          <cell r="CS512">
            <v>13</v>
          </cell>
          <cell r="CT512">
            <v>12</v>
          </cell>
          <cell r="CU512" t="str">
            <v/>
          </cell>
          <cell r="CV512">
            <v>0</v>
          </cell>
          <cell r="CW512">
            <v>0</v>
          </cell>
          <cell r="CX512">
            <v>12</v>
          </cell>
          <cell r="CY512">
            <v>12</v>
          </cell>
          <cell r="CZ512" t="str">
            <v/>
          </cell>
          <cell r="DA512">
            <v>0</v>
          </cell>
          <cell r="DB512">
            <v>0</v>
          </cell>
          <cell r="DC512">
            <v>12</v>
          </cell>
          <cell r="DD512">
            <v>10</v>
          </cell>
          <cell r="DE512" t="str">
            <v/>
          </cell>
          <cell r="DF512">
            <v>0</v>
          </cell>
          <cell r="DG512">
            <v>0</v>
          </cell>
          <cell r="DH512">
            <v>10</v>
          </cell>
          <cell r="DI512">
            <v>10</v>
          </cell>
          <cell r="DJ512" t="str">
            <v/>
          </cell>
          <cell r="DK512">
            <v>0</v>
          </cell>
          <cell r="DL512">
            <v>0</v>
          </cell>
          <cell r="DM512">
            <v>10</v>
          </cell>
          <cell r="DN512">
            <v>11</v>
          </cell>
          <cell r="DO512" t="str">
            <v/>
          </cell>
          <cell r="DP512">
            <v>0</v>
          </cell>
          <cell r="DQ512">
            <v>0</v>
          </cell>
          <cell r="DR512">
            <v>11</v>
          </cell>
          <cell r="DS512">
            <v>11</v>
          </cell>
          <cell r="DT512" t="str">
            <v/>
          </cell>
          <cell r="DU512">
            <v>0</v>
          </cell>
          <cell r="DV512">
            <v>0</v>
          </cell>
          <cell r="DW512">
            <v>11</v>
          </cell>
          <cell r="DX512">
            <v>11</v>
          </cell>
          <cell r="DY512" t="str">
            <v/>
          </cell>
          <cell r="DZ512">
            <v>0</v>
          </cell>
          <cell r="EA512">
            <v>0</v>
          </cell>
          <cell r="EB512">
            <v>11</v>
          </cell>
          <cell r="EC512">
            <v>11</v>
          </cell>
          <cell r="ED512" t="str">
            <v/>
          </cell>
          <cell r="EE512">
            <v>0</v>
          </cell>
          <cell r="EF512">
            <v>0</v>
          </cell>
          <cell r="EG512">
            <v>11</v>
          </cell>
          <cell r="EH512">
            <v>11</v>
          </cell>
          <cell r="EI512" t="str">
            <v/>
          </cell>
          <cell r="EJ512">
            <v>0</v>
          </cell>
          <cell r="EK512">
            <v>0</v>
          </cell>
          <cell r="EL512">
            <v>11</v>
          </cell>
          <cell r="EM512">
            <v>11</v>
          </cell>
          <cell r="EN512" t="str">
            <v/>
          </cell>
          <cell r="EO512">
            <v>0</v>
          </cell>
          <cell r="EP512">
            <v>0</v>
          </cell>
          <cell r="EQ512">
            <v>11</v>
          </cell>
          <cell r="ER512">
            <v>11</v>
          </cell>
          <cell r="ES512" t="str">
            <v/>
          </cell>
          <cell r="ET512">
            <v>0</v>
          </cell>
          <cell r="EU512">
            <v>0</v>
          </cell>
          <cell r="EV512">
            <v>11</v>
          </cell>
          <cell r="EW512">
            <v>11</v>
          </cell>
          <cell r="EX512" t="str">
            <v/>
          </cell>
          <cell r="EY512">
            <v>0</v>
          </cell>
          <cell r="EZ512">
            <v>0</v>
          </cell>
          <cell r="FA512">
            <v>11</v>
          </cell>
          <cell r="FB512">
            <v>11</v>
          </cell>
          <cell r="FC512" t="str">
            <v/>
          </cell>
          <cell r="FD512">
            <v>0</v>
          </cell>
          <cell r="FE512">
            <v>0</v>
          </cell>
          <cell r="FF512">
            <v>11</v>
          </cell>
          <cell r="FG512">
            <v>11</v>
          </cell>
          <cell r="FH512" t="str">
            <v/>
          </cell>
          <cell r="FI512">
            <v>0</v>
          </cell>
          <cell r="FJ512">
            <v>0</v>
          </cell>
          <cell r="FK512">
            <v>11</v>
          </cell>
          <cell r="FL512">
            <v>11</v>
          </cell>
          <cell r="FM512" t="str">
            <v/>
          </cell>
          <cell r="FN512">
            <v>0</v>
          </cell>
          <cell r="FO512">
            <v>0</v>
          </cell>
          <cell r="FP512">
            <v>11</v>
          </cell>
          <cell r="FQ512">
            <v>11</v>
          </cell>
          <cell r="FR512" t="str">
            <v/>
          </cell>
          <cell r="FS512">
            <v>0</v>
          </cell>
          <cell r="FT512">
            <v>0</v>
          </cell>
          <cell r="FU512">
            <v>1.0333333333333334</v>
          </cell>
          <cell r="FW512" t="str">
            <v>SIN ROTACIÓN</v>
          </cell>
          <cell r="FX512" t="str">
            <v>STOCK MUERTO</v>
          </cell>
          <cell r="FY512" t="str">
            <v>Si</v>
          </cell>
        </row>
        <row r="513">
          <cell r="B513" t="str">
            <v>REP-0530</v>
          </cell>
          <cell r="C513" t="str">
            <v>NACIONAL SOC</v>
          </cell>
          <cell r="E513">
            <v>15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3</v>
          </cell>
          <cell r="L513">
            <v>0</v>
          </cell>
          <cell r="M513">
            <v>2</v>
          </cell>
          <cell r="N513">
            <v>2</v>
          </cell>
          <cell r="O513">
            <v>2</v>
          </cell>
          <cell r="P513">
            <v>1</v>
          </cell>
          <cell r="Q513">
            <v>0</v>
          </cell>
          <cell r="R513">
            <v>2</v>
          </cell>
          <cell r="S513">
            <v>1</v>
          </cell>
          <cell r="T513">
            <v>1</v>
          </cell>
          <cell r="U513">
            <v>3</v>
          </cell>
          <cell r="V513">
            <v>1</v>
          </cell>
          <cell r="W513">
            <v>1</v>
          </cell>
          <cell r="X513">
            <v>2</v>
          </cell>
          <cell r="Y513">
            <v>36</v>
          </cell>
          <cell r="AA513">
            <v>36</v>
          </cell>
          <cell r="AC513">
            <v>0</v>
          </cell>
          <cell r="AD513">
            <v>0</v>
          </cell>
          <cell r="AE513">
            <v>0</v>
          </cell>
          <cell r="AH513">
            <v>4.166666666666667</v>
          </cell>
          <cell r="AI513">
            <v>3.5</v>
          </cell>
          <cell r="AJ513">
            <v>3.5</v>
          </cell>
          <cell r="AK513">
            <v>4.166666666666667</v>
          </cell>
          <cell r="AL513">
            <v>0.38490017945975069</v>
          </cell>
          <cell r="AM513">
            <v>3.7222222222222228</v>
          </cell>
          <cell r="AN513">
            <v>0.10340601836232106</v>
          </cell>
          <cell r="AX513">
            <v>16</v>
          </cell>
          <cell r="BB513">
            <v>25</v>
          </cell>
          <cell r="BC513" t="str">
            <v/>
          </cell>
          <cell r="BD513">
            <v>0</v>
          </cell>
          <cell r="BE513">
            <v>25</v>
          </cell>
          <cell r="BF513" t="str">
            <v/>
          </cell>
          <cell r="BG513">
            <v>0</v>
          </cell>
          <cell r="BH513">
            <v>25</v>
          </cell>
          <cell r="BI513">
            <v>36</v>
          </cell>
          <cell r="BJ513">
            <v>8.6399999999999988</v>
          </cell>
          <cell r="BK513">
            <v>0</v>
          </cell>
          <cell r="BL513">
            <v>19</v>
          </cell>
          <cell r="BM513">
            <v>29</v>
          </cell>
          <cell r="BN513">
            <v>6.9599999999999991</v>
          </cell>
          <cell r="BO513">
            <v>0</v>
          </cell>
          <cell r="BP513">
            <v>24.833333333333332</v>
          </cell>
          <cell r="BQ513">
            <v>25</v>
          </cell>
          <cell r="BR513">
            <v>6</v>
          </cell>
          <cell r="BS513">
            <v>0</v>
          </cell>
          <cell r="BT513">
            <v>20.166666666666668</v>
          </cell>
          <cell r="BU513">
            <v>54</v>
          </cell>
          <cell r="BV513">
            <v>10.8</v>
          </cell>
          <cell r="BW513">
            <v>0</v>
          </cell>
          <cell r="BX513">
            <v>0</v>
          </cell>
          <cell r="BY513">
            <v>49</v>
          </cell>
          <cell r="BZ513">
            <v>51</v>
          </cell>
          <cell r="CA513">
            <v>9.2727272727272734</v>
          </cell>
          <cell r="CB513">
            <v>0</v>
          </cell>
          <cell r="CC513">
            <v>0</v>
          </cell>
          <cell r="CD513">
            <v>45.5</v>
          </cell>
          <cell r="CE513">
            <v>41</v>
          </cell>
          <cell r="CF513">
            <v>6.6486486486486482</v>
          </cell>
          <cell r="CG513">
            <v>0</v>
          </cell>
          <cell r="CH513">
            <v>0</v>
          </cell>
          <cell r="CI513">
            <v>39.333333333333336</v>
          </cell>
          <cell r="CJ513">
            <v>39</v>
          </cell>
          <cell r="CK513">
            <v>7.3125</v>
          </cell>
          <cell r="CL513">
            <v>0</v>
          </cell>
          <cell r="CM513">
            <v>0</v>
          </cell>
          <cell r="CN513">
            <v>33.666666666666664</v>
          </cell>
          <cell r="CO513">
            <v>29</v>
          </cell>
          <cell r="CP513">
            <v>5.4375</v>
          </cell>
          <cell r="CQ513">
            <v>0</v>
          </cell>
          <cell r="CR513">
            <v>0</v>
          </cell>
          <cell r="CS513">
            <v>23.666666666666668</v>
          </cell>
          <cell r="CT513">
            <v>52</v>
          </cell>
          <cell r="CU513">
            <v>9.454545454545455</v>
          </cell>
          <cell r="CV513">
            <v>0</v>
          </cell>
          <cell r="CW513">
            <v>0</v>
          </cell>
          <cell r="CX513">
            <v>46.5</v>
          </cell>
          <cell r="CY513">
            <v>49</v>
          </cell>
          <cell r="CZ513">
            <v>8.4</v>
          </cell>
          <cell r="DA513">
            <v>0</v>
          </cell>
          <cell r="DB513">
            <v>0</v>
          </cell>
          <cell r="DC513">
            <v>43.5</v>
          </cell>
          <cell r="DD513">
            <v>46</v>
          </cell>
          <cell r="DE513">
            <v>4.9090909090909092</v>
          </cell>
          <cell r="DF513">
            <v>0</v>
          </cell>
          <cell r="DG513">
            <v>0</v>
          </cell>
          <cell r="DH513">
            <v>40.5</v>
          </cell>
          <cell r="DI513">
            <v>43</v>
          </cell>
          <cell r="DJ513">
            <v>7.5384615384615392</v>
          </cell>
          <cell r="DK513">
            <v>0</v>
          </cell>
          <cell r="DL513">
            <v>0</v>
          </cell>
          <cell r="DM513">
            <v>36.166666666666664</v>
          </cell>
          <cell r="DN513">
            <v>36</v>
          </cell>
          <cell r="DO513">
            <v>6.08</v>
          </cell>
          <cell r="DP513">
            <v>0</v>
          </cell>
          <cell r="DQ513">
            <v>0</v>
          </cell>
          <cell r="DR513">
            <v>31.833333333333332</v>
          </cell>
          <cell r="DS513">
            <v>31.833333333333332</v>
          </cell>
          <cell r="DT513">
            <v>5.08</v>
          </cell>
          <cell r="DU513">
            <v>0</v>
          </cell>
          <cell r="DV513">
            <v>0</v>
          </cell>
          <cell r="DW513">
            <v>27.666666666666664</v>
          </cell>
          <cell r="DX513">
            <v>27.666666666666664</v>
          </cell>
          <cell r="DY513">
            <v>4.0799999999999992</v>
          </cell>
          <cell r="DZ513">
            <v>0</v>
          </cell>
          <cell r="EA513">
            <v>0</v>
          </cell>
          <cell r="EB513">
            <v>23.499999999999996</v>
          </cell>
          <cell r="EC513">
            <v>23.499999999999996</v>
          </cell>
          <cell r="ED513">
            <v>3.0799999999999992</v>
          </cell>
          <cell r="EE513">
            <v>0</v>
          </cell>
          <cell r="EF513">
            <v>0</v>
          </cell>
          <cell r="EG513">
            <v>19.333333333333329</v>
          </cell>
          <cell r="EH513">
            <v>19.333333333333329</v>
          </cell>
          <cell r="EI513">
            <v>2.0799999999999987</v>
          </cell>
          <cell r="EJ513">
            <v>0</v>
          </cell>
          <cell r="EK513">
            <v>0</v>
          </cell>
          <cell r="EL513">
            <v>15.166666666666661</v>
          </cell>
          <cell r="EM513">
            <v>15.166666666666661</v>
          </cell>
          <cell r="EN513">
            <v>1.0799999999999987</v>
          </cell>
          <cell r="EO513">
            <v>3.8333333333333393</v>
          </cell>
          <cell r="EP513">
            <v>0</v>
          </cell>
          <cell r="EQ513">
            <v>10.999999999999993</v>
          </cell>
          <cell r="ER513">
            <v>10.999999999999993</v>
          </cell>
          <cell r="ES513">
            <v>7.9999999999998517E-2</v>
          </cell>
          <cell r="ET513">
            <v>8.0000000000000071</v>
          </cell>
          <cell r="EU513">
            <v>0</v>
          </cell>
          <cell r="EV513">
            <v>6.8333333333333259</v>
          </cell>
          <cell r="EW513">
            <v>6.8333333333333259</v>
          </cell>
          <cell r="EX513">
            <v>-0.92000000000000171</v>
          </cell>
          <cell r="EY513">
            <v>12.166666666666675</v>
          </cell>
          <cell r="EZ513">
            <v>0</v>
          </cell>
          <cell r="FA513">
            <v>2.666666666666659</v>
          </cell>
          <cell r="FB513">
            <v>2.666666666666659</v>
          </cell>
          <cell r="FC513">
            <v>-1.9200000000000021</v>
          </cell>
          <cell r="FD513">
            <v>16.333333333333343</v>
          </cell>
          <cell r="FE513">
            <v>0</v>
          </cell>
          <cell r="FF513">
            <v>-1.500000000000008</v>
          </cell>
          <cell r="FG513">
            <v>-1.500000000000008</v>
          </cell>
          <cell r="FH513">
            <v>-2.9200000000000017</v>
          </cell>
          <cell r="FI513">
            <v>20.500000000000007</v>
          </cell>
          <cell r="FJ513">
            <v>0</v>
          </cell>
          <cell r="FK513">
            <v>-5.666666666666675</v>
          </cell>
          <cell r="FL513">
            <v>-5.666666666666675</v>
          </cell>
          <cell r="FM513">
            <v>-3.9200000000000017</v>
          </cell>
          <cell r="FN513">
            <v>24.666666666666675</v>
          </cell>
          <cell r="FO513">
            <v>0</v>
          </cell>
          <cell r="FP513">
            <v>-9.8333333333333428</v>
          </cell>
          <cell r="FQ513">
            <v>-9.8333333333333428</v>
          </cell>
          <cell r="FR513">
            <v>-4.9200000000000017</v>
          </cell>
          <cell r="FS513">
            <v>28.833333333333343</v>
          </cell>
          <cell r="FT513">
            <v>19</v>
          </cell>
          <cell r="FU513">
            <v>1.0333333333333334</v>
          </cell>
          <cell r="FW513" t="str">
            <v>SOBRESTOCK</v>
          </cell>
          <cell r="FX513" t="str">
            <v>B</v>
          </cell>
          <cell r="FY513" t="str">
            <v>Si</v>
          </cell>
        </row>
        <row r="514">
          <cell r="B514" t="str">
            <v>REP-0531</v>
          </cell>
          <cell r="C514" t="str">
            <v>MIX</v>
          </cell>
          <cell r="E514">
            <v>11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11</v>
          </cell>
          <cell r="AA514">
            <v>11</v>
          </cell>
          <cell r="AC514">
            <v>0</v>
          </cell>
          <cell r="AD514">
            <v>0</v>
          </cell>
          <cell r="AE514">
            <v>0</v>
          </cell>
          <cell r="AH514">
            <v>0.33333333333333331</v>
          </cell>
          <cell r="AI514">
            <v>0</v>
          </cell>
          <cell r="AJ514">
            <v>0</v>
          </cell>
          <cell r="AK514">
            <v>0.33333333333333331</v>
          </cell>
          <cell r="AL514">
            <v>0.19245008972987526</v>
          </cell>
          <cell r="AM514">
            <v>0.1111111111111111</v>
          </cell>
          <cell r="AN514">
            <v>1.7320508075688774</v>
          </cell>
          <cell r="AX514">
            <v>17</v>
          </cell>
          <cell r="BB514">
            <v>5</v>
          </cell>
          <cell r="BC514" t="str">
            <v/>
          </cell>
          <cell r="BD514">
            <v>0</v>
          </cell>
          <cell r="BE514">
            <v>5</v>
          </cell>
          <cell r="BF514" t="str">
            <v/>
          </cell>
          <cell r="BG514">
            <v>0</v>
          </cell>
          <cell r="BH514">
            <v>5</v>
          </cell>
          <cell r="BI514">
            <v>11</v>
          </cell>
          <cell r="BJ514">
            <v>33</v>
          </cell>
          <cell r="BK514">
            <v>0</v>
          </cell>
          <cell r="BL514">
            <v>5</v>
          </cell>
          <cell r="BM514">
            <v>5</v>
          </cell>
          <cell r="BN514" t="str">
            <v/>
          </cell>
          <cell r="BO514">
            <v>0</v>
          </cell>
          <cell r="BP514">
            <v>5</v>
          </cell>
          <cell r="BQ514">
            <v>5</v>
          </cell>
          <cell r="BR514">
            <v>15</v>
          </cell>
          <cell r="BS514">
            <v>0</v>
          </cell>
          <cell r="BT514">
            <v>5</v>
          </cell>
          <cell r="BU514">
            <v>5</v>
          </cell>
          <cell r="BV514" t="str">
            <v/>
          </cell>
          <cell r="BW514">
            <v>0</v>
          </cell>
          <cell r="BX514">
            <v>0</v>
          </cell>
          <cell r="BY514">
            <v>5</v>
          </cell>
          <cell r="BZ514">
            <v>5</v>
          </cell>
          <cell r="CA514" t="str">
            <v/>
          </cell>
          <cell r="CB514">
            <v>0</v>
          </cell>
          <cell r="CC514">
            <v>0</v>
          </cell>
          <cell r="CD514">
            <v>5</v>
          </cell>
          <cell r="CE514">
            <v>1</v>
          </cell>
          <cell r="CF514">
            <v>1.5</v>
          </cell>
          <cell r="CG514">
            <v>5</v>
          </cell>
          <cell r="CH514">
            <v>0</v>
          </cell>
          <cell r="CI514">
            <v>9.3333333333333339</v>
          </cell>
          <cell r="CJ514">
            <v>1</v>
          </cell>
          <cell r="CK514">
            <v>1.5</v>
          </cell>
          <cell r="CL514">
            <v>5</v>
          </cell>
          <cell r="CM514">
            <v>0</v>
          </cell>
          <cell r="CN514">
            <v>0.33333333333333337</v>
          </cell>
          <cell r="CO514">
            <v>1</v>
          </cell>
          <cell r="CP514">
            <v>1.5</v>
          </cell>
          <cell r="CQ514">
            <v>5.666666666666667</v>
          </cell>
          <cell r="CR514">
            <v>0</v>
          </cell>
          <cell r="CS514">
            <v>0.33333333333333337</v>
          </cell>
          <cell r="CT514">
            <v>1</v>
          </cell>
          <cell r="CU514">
            <v>1.5</v>
          </cell>
          <cell r="CV514">
            <v>1</v>
          </cell>
          <cell r="CW514">
            <v>0</v>
          </cell>
          <cell r="CX514">
            <v>0.33333333333333337</v>
          </cell>
          <cell r="CY514">
            <v>1</v>
          </cell>
          <cell r="CZ514">
            <v>3</v>
          </cell>
          <cell r="DA514">
            <v>0.66666666666666663</v>
          </cell>
          <cell r="DB514">
            <v>8</v>
          </cell>
          <cell r="DC514">
            <v>8.6666666666666661</v>
          </cell>
          <cell r="DD514">
            <v>11</v>
          </cell>
          <cell r="DE514">
            <v>30</v>
          </cell>
          <cell r="DF514">
            <v>0</v>
          </cell>
          <cell r="DG514">
            <v>0</v>
          </cell>
          <cell r="DH514">
            <v>10.666666666666666</v>
          </cell>
          <cell r="DI514">
            <v>11</v>
          </cell>
          <cell r="DJ514">
            <v>32</v>
          </cell>
          <cell r="DK514">
            <v>0</v>
          </cell>
          <cell r="DL514">
            <v>0</v>
          </cell>
          <cell r="DM514">
            <v>10.333333333333332</v>
          </cell>
          <cell r="DN514">
            <v>11</v>
          </cell>
          <cell r="DO514">
            <v>32</v>
          </cell>
          <cell r="DP514">
            <v>0</v>
          </cell>
          <cell r="DQ514">
            <v>0</v>
          </cell>
          <cell r="DR514">
            <v>10.666666666666666</v>
          </cell>
          <cell r="DS514">
            <v>10.666666666666666</v>
          </cell>
          <cell r="DT514">
            <v>31</v>
          </cell>
          <cell r="DU514">
            <v>0</v>
          </cell>
          <cell r="DV514">
            <v>0</v>
          </cell>
          <cell r="DW514">
            <v>10.333333333333332</v>
          </cell>
          <cell r="DX514">
            <v>10.333333333333332</v>
          </cell>
          <cell r="DY514">
            <v>29.999999999999996</v>
          </cell>
          <cell r="DZ514">
            <v>0</v>
          </cell>
          <cell r="EA514">
            <v>0</v>
          </cell>
          <cell r="EB514">
            <v>9.9999999999999982</v>
          </cell>
          <cell r="EC514">
            <v>9.9999999999999982</v>
          </cell>
          <cell r="ED514">
            <v>28.999999999999996</v>
          </cell>
          <cell r="EE514">
            <v>0</v>
          </cell>
          <cell r="EF514">
            <v>0</v>
          </cell>
          <cell r="EG514">
            <v>9.6666666666666643</v>
          </cell>
          <cell r="EH514">
            <v>9.6666666666666643</v>
          </cell>
          <cell r="EI514">
            <v>27.999999999999993</v>
          </cell>
          <cell r="EJ514">
            <v>0</v>
          </cell>
          <cell r="EK514">
            <v>0</v>
          </cell>
          <cell r="EL514">
            <v>9.3333333333333304</v>
          </cell>
          <cell r="EM514">
            <v>9.3333333333333304</v>
          </cell>
          <cell r="EN514">
            <v>26.999999999999993</v>
          </cell>
          <cell r="EO514">
            <v>0</v>
          </cell>
          <cell r="EP514">
            <v>0</v>
          </cell>
          <cell r="EQ514">
            <v>8.9999999999999964</v>
          </cell>
          <cell r="ER514">
            <v>8.9999999999999964</v>
          </cell>
          <cell r="ES514">
            <v>25.999999999999989</v>
          </cell>
          <cell r="ET514">
            <v>0</v>
          </cell>
          <cell r="EU514">
            <v>0</v>
          </cell>
          <cell r="EV514">
            <v>8.6666666666666625</v>
          </cell>
          <cell r="EW514">
            <v>8.6666666666666625</v>
          </cell>
          <cell r="EX514">
            <v>24.999999999999989</v>
          </cell>
          <cell r="EY514">
            <v>0</v>
          </cell>
          <cell r="EZ514">
            <v>0</v>
          </cell>
          <cell r="FA514">
            <v>8.3333333333333286</v>
          </cell>
          <cell r="FB514">
            <v>8.3333333333333286</v>
          </cell>
          <cell r="FC514">
            <v>23.999999999999986</v>
          </cell>
          <cell r="FD514">
            <v>0</v>
          </cell>
          <cell r="FE514">
            <v>0</v>
          </cell>
          <cell r="FF514">
            <v>7.9999999999999956</v>
          </cell>
          <cell r="FG514">
            <v>7.9999999999999956</v>
          </cell>
          <cell r="FH514">
            <v>22.999999999999989</v>
          </cell>
          <cell r="FI514">
            <v>0</v>
          </cell>
          <cell r="FJ514">
            <v>0</v>
          </cell>
          <cell r="FK514">
            <v>7.6666666666666625</v>
          </cell>
          <cell r="FL514">
            <v>7.6666666666666625</v>
          </cell>
          <cell r="FM514">
            <v>21.999999999999989</v>
          </cell>
          <cell r="FN514">
            <v>0</v>
          </cell>
          <cell r="FO514">
            <v>0</v>
          </cell>
          <cell r="FP514">
            <v>7.3333333333333295</v>
          </cell>
          <cell r="FQ514">
            <v>7.3333333333333295</v>
          </cell>
          <cell r="FR514">
            <v>20.999999999999989</v>
          </cell>
          <cell r="FS514">
            <v>0</v>
          </cell>
          <cell r="FT514">
            <v>1</v>
          </cell>
          <cell r="FU514">
            <v>2.0333333333333332</v>
          </cell>
          <cell r="FW514" t="str">
            <v>SIN ROTACIÓN</v>
          </cell>
          <cell r="FX514" t="str">
            <v>STOCK MUERTO</v>
          </cell>
          <cell r="FY514" t="str">
            <v>Si</v>
          </cell>
        </row>
        <row r="515">
          <cell r="B515" t="str">
            <v>REP-0532</v>
          </cell>
          <cell r="C515" t="str">
            <v>MIX</v>
          </cell>
          <cell r="E515">
            <v>5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5</v>
          </cell>
          <cell r="AA515">
            <v>5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X515">
            <v>18</v>
          </cell>
          <cell r="BB515">
            <v>5</v>
          </cell>
          <cell r="BC515" t="str">
            <v/>
          </cell>
          <cell r="BD515">
            <v>0</v>
          </cell>
          <cell r="BE515">
            <v>5</v>
          </cell>
          <cell r="BF515" t="str">
            <v/>
          </cell>
          <cell r="BG515">
            <v>0</v>
          </cell>
          <cell r="BH515">
            <v>5</v>
          </cell>
          <cell r="BI515">
            <v>5</v>
          </cell>
          <cell r="BJ515" t="str">
            <v/>
          </cell>
          <cell r="BK515">
            <v>0</v>
          </cell>
          <cell r="BL515">
            <v>5</v>
          </cell>
          <cell r="BM515">
            <v>5</v>
          </cell>
          <cell r="BN515" t="str">
            <v/>
          </cell>
          <cell r="BO515">
            <v>0</v>
          </cell>
          <cell r="BP515">
            <v>5</v>
          </cell>
          <cell r="BQ515">
            <v>5</v>
          </cell>
          <cell r="BR515" t="str">
            <v/>
          </cell>
          <cell r="BS515">
            <v>0</v>
          </cell>
          <cell r="BT515">
            <v>5</v>
          </cell>
          <cell r="BU515">
            <v>5</v>
          </cell>
          <cell r="BV515" t="str">
            <v/>
          </cell>
          <cell r="BW515">
            <v>0</v>
          </cell>
          <cell r="BX515">
            <v>0</v>
          </cell>
          <cell r="BY515">
            <v>5</v>
          </cell>
          <cell r="BZ515">
            <v>5</v>
          </cell>
          <cell r="CA515" t="str">
            <v/>
          </cell>
          <cell r="CB515">
            <v>0</v>
          </cell>
          <cell r="CC515">
            <v>0</v>
          </cell>
          <cell r="CD515">
            <v>5</v>
          </cell>
          <cell r="CE515">
            <v>5</v>
          </cell>
          <cell r="CF515" t="str">
            <v/>
          </cell>
          <cell r="CG515">
            <v>0</v>
          </cell>
          <cell r="CH515">
            <v>0</v>
          </cell>
          <cell r="CI515">
            <v>5</v>
          </cell>
          <cell r="CJ515">
            <v>5</v>
          </cell>
          <cell r="CK515" t="str">
            <v/>
          </cell>
          <cell r="CL515">
            <v>0</v>
          </cell>
          <cell r="CM515">
            <v>0</v>
          </cell>
          <cell r="CN515">
            <v>5</v>
          </cell>
          <cell r="CO515">
            <v>5</v>
          </cell>
          <cell r="CP515" t="str">
            <v/>
          </cell>
          <cell r="CQ515">
            <v>0</v>
          </cell>
          <cell r="CR515">
            <v>0</v>
          </cell>
          <cell r="CS515">
            <v>5</v>
          </cell>
          <cell r="CT515">
            <v>5</v>
          </cell>
          <cell r="CU515" t="str">
            <v/>
          </cell>
          <cell r="CV515">
            <v>0</v>
          </cell>
          <cell r="CW515">
            <v>0</v>
          </cell>
          <cell r="CX515">
            <v>5</v>
          </cell>
          <cell r="CY515">
            <v>5</v>
          </cell>
          <cell r="CZ515" t="str">
            <v/>
          </cell>
          <cell r="DA515">
            <v>0</v>
          </cell>
          <cell r="DB515">
            <v>0</v>
          </cell>
          <cell r="DC515">
            <v>5</v>
          </cell>
          <cell r="DD515">
            <v>5</v>
          </cell>
          <cell r="DE515" t="str">
            <v/>
          </cell>
          <cell r="DF515">
            <v>0</v>
          </cell>
          <cell r="DG515">
            <v>0</v>
          </cell>
          <cell r="DH515">
            <v>5</v>
          </cell>
          <cell r="DI515">
            <v>5</v>
          </cell>
          <cell r="DJ515" t="str">
            <v/>
          </cell>
          <cell r="DK515">
            <v>0</v>
          </cell>
          <cell r="DL515">
            <v>0</v>
          </cell>
          <cell r="DM515">
            <v>5</v>
          </cell>
          <cell r="DN515">
            <v>5</v>
          </cell>
          <cell r="DO515" t="str">
            <v/>
          </cell>
          <cell r="DP515">
            <v>0</v>
          </cell>
          <cell r="DQ515">
            <v>0</v>
          </cell>
          <cell r="DR515">
            <v>5</v>
          </cell>
          <cell r="DS515">
            <v>5</v>
          </cell>
          <cell r="DT515" t="str">
            <v/>
          </cell>
          <cell r="DU515">
            <v>0</v>
          </cell>
          <cell r="DV515">
            <v>0</v>
          </cell>
          <cell r="DW515">
            <v>5</v>
          </cell>
          <cell r="DX515">
            <v>5</v>
          </cell>
          <cell r="DY515" t="str">
            <v/>
          </cell>
          <cell r="DZ515">
            <v>0</v>
          </cell>
          <cell r="EA515">
            <v>0</v>
          </cell>
          <cell r="EB515">
            <v>5</v>
          </cell>
          <cell r="EC515">
            <v>5</v>
          </cell>
          <cell r="ED515" t="str">
            <v/>
          </cell>
          <cell r="EE515">
            <v>0</v>
          </cell>
          <cell r="EF515">
            <v>0</v>
          </cell>
          <cell r="EG515">
            <v>5</v>
          </cell>
          <cell r="EH515">
            <v>5</v>
          </cell>
          <cell r="EI515" t="str">
            <v/>
          </cell>
          <cell r="EJ515">
            <v>0</v>
          </cell>
          <cell r="EK515">
            <v>0</v>
          </cell>
          <cell r="EL515">
            <v>5</v>
          </cell>
          <cell r="EM515">
            <v>5</v>
          </cell>
          <cell r="EN515" t="str">
            <v/>
          </cell>
          <cell r="EO515">
            <v>0</v>
          </cell>
          <cell r="EP515">
            <v>0</v>
          </cell>
          <cell r="EQ515">
            <v>5</v>
          </cell>
          <cell r="ER515">
            <v>5</v>
          </cell>
          <cell r="ES515" t="str">
            <v/>
          </cell>
          <cell r="ET515">
            <v>0</v>
          </cell>
          <cell r="EU515">
            <v>0</v>
          </cell>
          <cell r="EV515">
            <v>5</v>
          </cell>
          <cell r="EW515">
            <v>5</v>
          </cell>
          <cell r="EX515" t="str">
            <v/>
          </cell>
          <cell r="EY515">
            <v>0</v>
          </cell>
          <cell r="EZ515">
            <v>0</v>
          </cell>
          <cell r="FA515">
            <v>5</v>
          </cell>
          <cell r="FB515">
            <v>5</v>
          </cell>
          <cell r="FC515" t="str">
            <v/>
          </cell>
          <cell r="FD515">
            <v>0</v>
          </cell>
          <cell r="FE515">
            <v>0</v>
          </cell>
          <cell r="FF515">
            <v>5</v>
          </cell>
          <cell r="FG515">
            <v>5</v>
          </cell>
          <cell r="FH515" t="str">
            <v/>
          </cell>
          <cell r="FI515">
            <v>0</v>
          </cell>
          <cell r="FJ515">
            <v>0</v>
          </cell>
          <cell r="FK515">
            <v>5</v>
          </cell>
          <cell r="FL515">
            <v>5</v>
          </cell>
          <cell r="FM515" t="str">
            <v/>
          </cell>
          <cell r="FN515">
            <v>0</v>
          </cell>
          <cell r="FO515">
            <v>0</v>
          </cell>
          <cell r="FP515">
            <v>5</v>
          </cell>
          <cell r="FQ515">
            <v>5</v>
          </cell>
          <cell r="FR515" t="str">
            <v/>
          </cell>
          <cell r="FS515">
            <v>0</v>
          </cell>
          <cell r="FT515">
            <v>0</v>
          </cell>
          <cell r="FU515">
            <v>2.0333333333333332</v>
          </cell>
          <cell r="FW515" t="str">
            <v>SIN ROTACIÓN</v>
          </cell>
          <cell r="FX515" t="str">
            <v>STOCK MUERTO</v>
          </cell>
          <cell r="FY515" t="str">
            <v>Si</v>
          </cell>
        </row>
        <row r="516">
          <cell r="B516" t="str">
            <v>REP-0533</v>
          </cell>
          <cell r="C516" t="str">
            <v>MIX</v>
          </cell>
          <cell r="E516">
            <v>6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6</v>
          </cell>
          <cell r="AA516">
            <v>6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X516">
            <v>19</v>
          </cell>
          <cell r="BB516">
            <v>5</v>
          </cell>
          <cell r="BC516" t="str">
            <v/>
          </cell>
          <cell r="BD516">
            <v>0</v>
          </cell>
          <cell r="BE516">
            <v>5</v>
          </cell>
          <cell r="BF516" t="str">
            <v/>
          </cell>
          <cell r="BG516">
            <v>0</v>
          </cell>
          <cell r="BH516">
            <v>5</v>
          </cell>
          <cell r="BI516">
            <v>6</v>
          </cell>
          <cell r="BJ516" t="str">
            <v/>
          </cell>
          <cell r="BK516">
            <v>0</v>
          </cell>
          <cell r="BL516">
            <v>5</v>
          </cell>
          <cell r="BM516">
            <v>5</v>
          </cell>
          <cell r="BN516" t="str">
            <v/>
          </cell>
          <cell r="BO516">
            <v>0</v>
          </cell>
          <cell r="BP516">
            <v>5</v>
          </cell>
          <cell r="BQ516">
            <v>5</v>
          </cell>
          <cell r="BR516" t="str">
            <v/>
          </cell>
          <cell r="BS516">
            <v>0</v>
          </cell>
          <cell r="BT516">
            <v>5</v>
          </cell>
          <cell r="BU516">
            <v>5</v>
          </cell>
          <cell r="BV516" t="str">
            <v/>
          </cell>
          <cell r="BW516">
            <v>0</v>
          </cell>
          <cell r="BX516">
            <v>0</v>
          </cell>
          <cell r="BY516">
            <v>5</v>
          </cell>
          <cell r="BZ516">
            <v>5</v>
          </cell>
          <cell r="CA516" t="str">
            <v/>
          </cell>
          <cell r="CB516">
            <v>0</v>
          </cell>
          <cell r="CC516">
            <v>0</v>
          </cell>
          <cell r="CD516">
            <v>5</v>
          </cell>
          <cell r="CE516">
            <v>5</v>
          </cell>
          <cell r="CF516" t="str">
            <v/>
          </cell>
          <cell r="CG516">
            <v>0</v>
          </cell>
          <cell r="CH516">
            <v>0</v>
          </cell>
          <cell r="CI516">
            <v>5</v>
          </cell>
          <cell r="CJ516">
            <v>5</v>
          </cell>
          <cell r="CK516" t="str">
            <v/>
          </cell>
          <cell r="CL516">
            <v>0</v>
          </cell>
          <cell r="CM516">
            <v>0</v>
          </cell>
          <cell r="CN516">
            <v>5</v>
          </cell>
          <cell r="CO516">
            <v>5</v>
          </cell>
          <cell r="CP516" t="str">
            <v/>
          </cell>
          <cell r="CQ516">
            <v>0</v>
          </cell>
          <cell r="CR516">
            <v>0</v>
          </cell>
          <cell r="CS516">
            <v>5</v>
          </cell>
          <cell r="CT516">
            <v>5</v>
          </cell>
          <cell r="CU516" t="str">
            <v/>
          </cell>
          <cell r="CV516">
            <v>0</v>
          </cell>
          <cell r="CW516">
            <v>0</v>
          </cell>
          <cell r="CX516">
            <v>5</v>
          </cell>
          <cell r="CY516">
            <v>5</v>
          </cell>
          <cell r="CZ516" t="str">
            <v/>
          </cell>
          <cell r="DA516">
            <v>0</v>
          </cell>
          <cell r="DB516">
            <v>0</v>
          </cell>
          <cell r="DC516">
            <v>5</v>
          </cell>
          <cell r="DD516">
            <v>6</v>
          </cell>
          <cell r="DE516" t="str">
            <v/>
          </cell>
          <cell r="DF516">
            <v>0</v>
          </cell>
          <cell r="DG516">
            <v>0</v>
          </cell>
          <cell r="DH516">
            <v>6</v>
          </cell>
          <cell r="DI516">
            <v>6</v>
          </cell>
          <cell r="DJ516" t="str">
            <v/>
          </cell>
          <cell r="DK516">
            <v>0</v>
          </cell>
          <cell r="DL516">
            <v>0</v>
          </cell>
          <cell r="DM516">
            <v>6</v>
          </cell>
          <cell r="DN516">
            <v>6</v>
          </cell>
          <cell r="DO516" t="str">
            <v/>
          </cell>
          <cell r="DP516">
            <v>0</v>
          </cell>
          <cell r="DQ516">
            <v>0</v>
          </cell>
          <cell r="DR516">
            <v>6</v>
          </cell>
          <cell r="DS516">
            <v>6</v>
          </cell>
          <cell r="DT516" t="str">
            <v/>
          </cell>
          <cell r="DU516">
            <v>0</v>
          </cell>
          <cell r="DV516">
            <v>0</v>
          </cell>
          <cell r="DW516">
            <v>6</v>
          </cell>
          <cell r="DX516">
            <v>6</v>
          </cell>
          <cell r="DY516" t="str">
            <v/>
          </cell>
          <cell r="DZ516">
            <v>0</v>
          </cell>
          <cell r="EA516">
            <v>0</v>
          </cell>
          <cell r="EB516">
            <v>6</v>
          </cell>
          <cell r="EC516">
            <v>6</v>
          </cell>
          <cell r="ED516" t="str">
            <v/>
          </cell>
          <cell r="EE516">
            <v>0</v>
          </cell>
          <cell r="EF516">
            <v>0</v>
          </cell>
          <cell r="EG516">
            <v>6</v>
          </cell>
          <cell r="EH516">
            <v>6</v>
          </cell>
          <cell r="EI516" t="str">
            <v/>
          </cell>
          <cell r="EJ516">
            <v>0</v>
          </cell>
          <cell r="EK516">
            <v>0</v>
          </cell>
          <cell r="EL516">
            <v>6</v>
          </cell>
          <cell r="EM516">
            <v>6</v>
          </cell>
          <cell r="EN516" t="str">
            <v/>
          </cell>
          <cell r="EO516">
            <v>0</v>
          </cell>
          <cell r="EP516">
            <v>0</v>
          </cell>
          <cell r="EQ516">
            <v>6</v>
          </cell>
          <cell r="ER516">
            <v>6</v>
          </cell>
          <cell r="ES516" t="str">
            <v/>
          </cell>
          <cell r="ET516">
            <v>0</v>
          </cell>
          <cell r="EU516">
            <v>0</v>
          </cell>
          <cell r="EV516">
            <v>6</v>
          </cell>
          <cell r="EW516">
            <v>6</v>
          </cell>
          <cell r="EX516" t="str">
            <v/>
          </cell>
          <cell r="EY516">
            <v>0</v>
          </cell>
          <cell r="EZ516">
            <v>0</v>
          </cell>
          <cell r="FA516">
            <v>6</v>
          </cell>
          <cell r="FB516">
            <v>6</v>
          </cell>
          <cell r="FC516" t="str">
            <v/>
          </cell>
          <cell r="FD516">
            <v>0</v>
          </cell>
          <cell r="FE516">
            <v>0</v>
          </cell>
          <cell r="FF516">
            <v>6</v>
          </cell>
          <cell r="FG516">
            <v>6</v>
          </cell>
          <cell r="FH516" t="str">
            <v/>
          </cell>
          <cell r="FI516">
            <v>0</v>
          </cell>
          <cell r="FJ516">
            <v>0</v>
          </cell>
          <cell r="FK516">
            <v>6</v>
          </cell>
          <cell r="FL516">
            <v>6</v>
          </cell>
          <cell r="FM516" t="str">
            <v/>
          </cell>
          <cell r="FN516">
            <v>0</v>
          </cell>
          <cell r="FO516">
            <v>0</v>
          </cell>
          <cell r="FP516">
            <v>6</v>
          </cell>
          <cell r="FQ516">
            <v>6</v>
          </cell>
          <cell r="FR516" t="str">
            <v/>
          </cell>
          <cell r="FS516">
            <v>0</v>
          </cell>
          <cell r="FT516">
            <v>0</v>
          </cell>
          <cell r="FU516">
            <v>2.0333333333333332</v>
          </cell>
          <cell r="FW516" t="str">
            <v>SIN ROTACIÓN</v>
          </cell>
          <cell r="FX516" t="str">
            <v>STOCK MUERTO</v>
          </cell>
          <cell r="FY516" t="str">
            <v>Si</v>
          </cell>
        </row>
        <row r="517">
          <cell r="B517" t="str">
            <v>REP-0534</v>
          </cell>
          <cell r="C517" t="str">
            <v>MIX</v>
          </cell>
          <cell r="E517">
            <v>11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11</v>
          </cell>
          <cell r="AA517">
            <v>11</v>
          </cell>
          <cell r="AC517">
            <v>0</v>
          </cell>
          <cell r="AD517">
            <v>0</v>
          </cell>
          <cell r="AE517">
            <v>0</v>
          </cell>
          <cell r="AH517">
            <v>0.25</v>
          </cell>
          <cell r="AI517">
            <v>0</v>
          </cell>
          <cell r="AJ517">
            <v>0</v>
          </cell>
          <cell r="AK517">
            <v>0.25</v>
          </cell>
          <cell r="AL517">
            <v>0.14433756729740646</v>
          </cell>
          <cell r="AM517">
            <v>8.3333333333333329E-2</v>
          </cell>
          <cell r="AN517">
            <v>1.7320508075688776</v>
          </cell>
          <cell r="AX517">
            <v>20</v>
          </cell>
          <cell r="BB517">
            <v>5</v>
          </cell>
          <cell r="BC517" t="str">
            <v/>
          </cell>
          <cell r="BD517">
            <v>0</v>
          </cell>
          <cell r="BE517">
            <v>5</v>
          </cell>
          <cell r="BF517" t="str">
            <v/>
          </cell>
          <cell r="BG517">
            <v>0</v>
          </cell>
          <cell r="BH517">
            <v>5</v>
          </cell>
          <cell r="BI517">
            <v>11</v>
          </cell>
          <cell r="BJ517">
            <v>44</v>
          </cell>
          <cell r="BK517">
            <v>0</v>
          </cell>
          <cell r="BL517">
            <v>5</v>
          </cell>
          <cell r="BM517">
            <v>2</v>
          </cell>
          <cell r="BN517">
            <v>4</v>
          </cell>
          <cell r="BO517">
            <v>0</v>
          </cell>
          <cell r="BP517">
            <v>1.5</v>
          </cell>
          <cell r="BQ517">
            <v>2</v>
          </cell>
          <cell r="BR517">
            <v>8</v>
          </cell>
          <cell r="BS517">
            <v>0</v>
          </cell>
          <cell r="BT517">
            <v>1.5</v>
          </cell>
          <cell r="BU517">
            <v>2</v>
          </cell>
          <cell r="BV517">
            <v>4</v>
          </cell>
          <cell r="BW517">
            <v>2</v>
          </cell>
          <cell r="BX517">
            <v>0</v>
          </cell>
          <cell r="BY517">
            <v>1.5</v>
          </cell>
          <cell r="BZ517">
            <v>2</v>
          </cell>
          <cell r="CA517">
            <v>4</v>
          </cell>
          <cell r="CB517">
            <v>2</v>
          </cell>
          <cell r="CC517">
            <v>0</v>
          </cell>
          <cell r="CD517">
            <v>11.5</v>
          </cell>
          <cell r="CE517">
            <v>2</v>
          </cell>
          <cell r="CF517">
            <v>4</v>
          </cell>
          <cell r="CG517">
            <v>2</v>
          </cell>
          <cell r="CH517">
            <v>10</v>
          </cell>
          <cell r="CI517">
            <v>13</v>
          </cell>
          <cell r="CJ517">
            <v>12</v>
          </cell>
          <cell r="CK517">
            <v>24</v>
          </cell>
          <cell r="CL517">
            <v>0</v>
          </cell>
          <cell r="CM517">
            <v>0</v>
          </cell>
          <cell r="CN517">
            <v>11.5</v>
          </cell>
          <cell r="CO517">
            <v>12</v>
          </cell>
          <cell r="CP517">
            <v>24</v>
          </cell>
          <cell r="CQ517">
            <v>0</v>
          </cell>
          <cell r="CR517">
            <v>0</v>
          </cell>
          <cell r="CS517">
            <v>11.5</v>
          </cell>
          <cell r="CT517">
            <v>12</v>
          </cell>
          <cell r="CU517">
            <v>48</v>
          </cell>
          <cell r="CV517">
            <v>0</v>
          </cell>
          <cell r="CW517">
            <v>0</v>
          </cell>
          <cell r="CX517">
            <v>11.75</v>
          </cell>
          <cell r="CY517">
            <v>12</v>
          </cell>
          <cell r="CZ517">
            <v>48</v>
          </cell>
          <cell r="DA517">
            <v>0</v>
          </cell>
          <cell r="DB517">
            <v>0</v>
          </cell>
          <cell r="DC517">
            <v>11.75</v>
          </cell>
          <cell r="DD517">
            <v>11</v>
          </cell>
          <cell r="DE517">
            <v>40</v>
          </cell>
          <cell r="DF517">
            <v>0</v>
          </cell>
          <cell r="DG517">
            <v>0</v>
          </cell>
          <cell r="DH517">
            <v>10.75</v>
          </cell>
          <cell r="DI517">
            <v>11</v>
          </cell>
          <cell r="DJ517">
            <v>42</v>
          </cell>
          <cell r="DK517">
            <v>0</v>
          </cell>
          <cell r="DL517">
            <v>0</v>
          </cell>
          <cell r="DM517">
            <v>10.5</v>
          </cell>
          <cell r="DN517">
            <v>11</v>
          </cell>
          <cell r="DO517">
            <v>42</v>
          </cell>
          <cell r="DP517">
            <v>0</v>
          </cell>
          <cell r="DQ517">
            <v>0</v>
          </cell>
          <cell r="DR517">
            <v>10.75</v>
          </cell>
          <cell r="DS517">
            <v>10.75</v>
          </cell>
          <cell r="DT517">
            <v>41</v>
          </cell>
          <cell r="DU517">
            <v>0</v>
          </cell>
          <cell r="DV517">
            <v>0</v>
          </cell>
          <cell r="DW517">
            <v>10.5</v>
          </cell>
          <cell r="DX517">
            <v>10.5</v>
          </cell>
          <cell r="DY517">
            <v>40</v>
          </cell>
          <cell r="DZ517">
            <v>0</v>
          </cell>
          <cell r="EA517">
            <v>0</v>
          </cell>
          <cell r="EB517">
            <v>10.25</v>
          </cell>
          <cell r="EC517">
            <v>10.25</v>
          </cell>
          <cell r="ED517">
            <v>39</v>
          </cell>
          <cell r="EE517">
            <v>0</v>
          </cell>
          <cell r="EF517">
            <v>0</v>
          </cell>
          <cell r="EG517">
            <v>10</v>
          </cell>
          <cell r="EH517">
            <v>10</v>
          </cell>
          <cell r="EI517">
            <v>38</v>
          </cell>
          <cell r="EJ517">
            <v>0</v>
          </cell>
          <cell r="EK517">
            <v>0</v>
          </cell>
          <cell r="EL517">
            <v>9.75</v>
          </cell>
          <cell r="EM517">
            <v>9.75</v>
          </cell>
          <cell r="EN517">
            <v>37</v>
          </cell>
          <cell r="EO517">
            <v>0</v>
          </cell>
          <cell r="EP517">
            <v>0</v>
          </cell>
          <cell r="EQ517">
            <v>9.5</v>
          </cell>
          <cell r="ER517">
            <v>9.5</v>
          </cell>
          <cell r="ES517">
            <v>36</v>
          </cell>
          <cell r="ET517">
            <v>0</v>
          </cell>
          <cell r="EU517">
            <v>0</v>
          </cell>
          <cell r="EV517">
            <v>9.25</v>
          </cell>
          <cell r="EW517">
            <v>9.25</v>
          </cell>
          <cell r="EX517">
            <v>35</v>
          </cell>
          <cell r="EY517">
            <v>0</v>
          </cell>
          <cell r="EZ517">
            <v>0</v>
          </cell>
          <cell r="FA517">
            <v>9</v>
          </cell>
          <cell r="FB517">
            <v>9</v>
          </cell>
          <cell r="FC517">
            <v>34</v>
          </cell>
          <cell r="FD517">
            <v>0</v>
          </cell>
          <cell r="FE517">
            <v>0</v>
          </cell>
          <cell r="FF517">
            <v>8.75</v>
          </cell>
          <cell r="FG517">
            <v>8.75</v>
          </cell>
          <cell r="FH517">
            <v>33</v>
          </cell>
          <cell r="FI517">
            <v>0</v>
          </cell>
          <cell r="FJ517">
            <v>0</v>
          </cell>
          <cell r="FK517">
            <v>8.5</v>
          </cell>
          <cell r="FL517">
            <v>8.5</v>
          </cell>
          <cell r="FM517">
            <v>32</v>
          </cell>
          <cell r="FN517">
            <v>0</v>
          </cell>
          <cell r="FO517">
            <v>0</v>
          </cell>
          <cell r="FP517">
            <v>8.25</v>
          </cell>
          <cell r="FQ517">
            <v>8.25</v>
          </cell>
          <cell r="FR517">
            <v>31</v>
          </cell>
          <cell r="FS517">
            <v>0</v>
          </cell>
          <cell r="FT517">
            <v>1</v>
          </cell>
          <cell r="FU517">
            <v>2.0333333333333332</v>
          </cell>
          <cell r="FW517" t="str">
            <v>SIN ROTACIÓN</v>
          </cell>
          <cell r="FX517" t="str">
            <v>STOCK MUERTO</v>
          </cell>
          <cell r="FY517" t="str">
            <v>Si</v>
          </cell>
        </row>
        <row r="518">
          <cell r="B518" t="str">
            <v>REP-0535</v>
          </cell>
          <cell r="C518" t="str">
            <v>MIX</v>
          </cell>
          <cell r="E518">
            <v>3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3</v>
          </cell>
          <cell r="AA518">
            <v>3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X518">
            <v>21</v>
          </cell>
          <cell r="BB518">
            <v>3</v>
          </cell>
          <cell r="BC518" t="str">
            <v/>
          </cell>
          <cell r="BD518">
            <v>0</v>
          </cell>
          <cell r="BE518">
            <v>3</v>
          </cell>
          <cell r="BF518" t="str">
            <v/>
          </cell>
          <cell r="BG518">
            <v>0</v>
          </cell>
          <cell r="BH518">
            <v>3</v>
          </cell>
          <cell r="BI518">
            <v>3</v>
          </cell>
          <cell r="BJ518" t="str">
            <v/>
          </cell>
          <cell r="BK518">
            <v>0</v>
          </cell>
          <cell r="BL518">
            <v>3</v>
          </cell>
          <cell r="BM518">
            <v>3</v>
          </cell>
          <cell r="BN518" t="str">
            <v/>
          </cell>
          <cell r="BO518">
            <v>0</v>
          </cell>
          <cell r="BP518">
            <v>3</v>
          </cell>
          <cell r="BQ518">
            <v>3</v>
          </cell>
          <cell r="BR518" t="str">
            <v/>
          </cell>
          <cell r="BS518">
            <v>0</v>
          </cell>
          <cell r="BT518">
            <v>3</v>
          </cell>
          <cell r="BU518">
            <v>3</v>
          </cell>
          <cell r="BV518" t="str">
            <v/>
          </cell>
          <cell r="BW518">
            <v>0</v>
          </cell>
          <cell r="BX518">
            <v>0</v>
          </cell>
          <cell r="BY518">
            <v>3</v>
          </cell>
          <cell r="BZ518">
            <v>3</v>
          </cell>
          <cell r="CA518" t="str">
            <v/>
          </cell>
          <cell r="CB518">
            <v>0</v>
          </cell>
          <cell r="CC518">
            <v>0</v>
          </cell>
          <cell r="CD518">
            <v>3</v>
          </cell>
          <cell r="CE518">
            <v>3</v>
          </cell>
          <cell r="CF518" t="str">
            <v/>
          </cell>
          <cell r="CG518">
            <v>0</v>
          </cell>
          <cell r="CH518">
            <v>0</v>
          </cell>
          <cell r="CI518">
            <v>3</v>
          </cell>
          <cell r="CJ518">
            <v>3</v>
          </cell>
          <cell r="CK518" t="str">
            <v/>
          </cell>
          <cell r="CL518">
            <v>0</v>
          </cell>
          <cell r="CM518">
            <v>0</v>
          </cell>
          <cell r="CN518">
            <v>3</v>
          </cell>
          <cell r="CO518">
            <v>3</v>
          </cell>
          <cell r="CP518" t="str">
            <v/>
          </cell>
          <cell r="CQ518">
            <v>0</v>
          </cell>
          <cell r="CR518">
            <v>0</v>
          </cell>
          <cell r="CS518">
            <v>3</v>
          </cell>
          <cell r="CT518">
            <v>3</v>
          </cell>
          <cell r="CU518" t="str">
            <v/>
          </cell>
          <cell r="CV518">
            <v>0</v>
          </cell>
          <cell r="CW518">
            <v>0</v>
          </cell>
          <cell r="CX518">
            <v>3</v>
          </cell>
          <cell r="CY518">
            <v>3</v>
          </cell>
          <cell r="CZ518" t="str">
            <v/>
          </cell>
          <cell r="DA518">
            <v>0</v>
          </cell>
          <cell r="DB518">
            <v>0</v>
          </cell>
          <cell r="DC518">
            <v>3</v>
          </cell>
          <cell r="DD518">
            <v>3</v>
          </cell>
          <cell r="DE518" t="str">
            <v/>
          </cell>
          <cell r="DF518">
            <v>0</v>
          </cell>
          <cell r="DG518">
            <v>0</v>
          </cell>
          <cell r="DH518">
            <v>3</v>
          </cell>
          <cell r="DI518">
            <v>3</v>
          </cell>
          <cell r="DJ518" t="str">
            <v/>
          </cell>
          <cell r="DK518">
            <v>0</v>
          </cell>
          <cell r="DL518">
            <v>0</v>
          </cell>
          <cell r="DM518">
            <v>3</v>
          </cell>
          <cell r="DN518">
            <v>3</v>
          </cell>
          <cell r="DO518" t="str">
            <v/>
          </cell>
          <cell r="DP518">
            <v>0</v>
          </cell>
          <cell r="DQ518">
            <v>0</v>
          </cell>
          <cell r="DR518">
            <v>3</v>
          </cell>
          <cell r="DS518">
            <v>3</v>
          </cell>
          <cell r="DT518" t="str">
            <v/>
          </cell>
          <cell r="DU518">
            <v>0</v>
          </cell>
          <cell r="DV518">
            <v>0</v>
          </cell>
          <cell r="DW518">
            <v>3</v>
          </cell>
          <cell r="DX518">
            <v>3</v>
          </cell>
          <cell r="DY518" t="str">
            <v/>
          </cell>
          <cell r="DZ518">
            <v>0</v>
          </cell>
          <cell r="EA518">
            <v>0</v>
          </cell>
          <cell r="EB518">
            <v>3</v>
          </cell>
          <cell r="EC518">
            <v>3</v>
          </cell>
          <cell r="ED518" t="str">
            <v/>
          </cell>
          <cell r="EE518">
            <v>0</v>
          </cell>
          <cell r="EF518">
            <v>0</v>
          </cell>
          <cell r="EG518">
            <v>3</v>
          </cell>
          <cell r="EH518">
            <v>3</v>
          </cell>
          <cell r="EI518" t="str">
            <v/>
          </cell>
          <cell r="EJ518">
            <v>0</v>
          </cell>
          <cell r="EK518">
            <v>0</v>
          </cell>
          <cell r="EL518">
            <v>3</v>
          </cell>
          <cell r="EM518">
            <v>3</v>
          </cell>
          <cell r="EN518" t="str">
            <v/>
          </cell>
          <cell r="EO518">
            <v>0</v>
          </cell>
          <cell r="EP518">
            <v>0</v>
          </cell>
          <cell r="EQ518">
            <v>3</v>
          </cell>
          <cell r="ER518">
            <v>3</v>
          </cell>
          <cell r="ES518" t="str">
            <v/>
          </cell>
          <cell r="ET518">
            <v>0</v>
          </cell>
          <cell r="EU518">
            <v>0</v>
          </cell>
          <cell r="EV518">
            <v>3</v>
          </cell>
          <cell r="EW518">
            <v>3</v>
          </cell>
          <cell r="EX518" t="str">
            <v/>
          </cell>
          <cell r="EY518">
            <v>0</v>
          </cell>
          <cell r="EZ518">
            <v>0</v>
          </cell>
          <cell r="FA518">
            <v>3</v>
          </cell>
          <cell r="FB518">
            <v>3</v>
          </cell>
          <cell r="FC518" t="str">
            <v/>
          </cell>
          <cell r="FD518">
            <v>0</v>
          </cell>
          <cell r="FE518">
            <v>0</v>
          </cell>
          <cell r="FF518">
            <v>3</v>
          </cell>
          <cell r="FG518">
            <v>3</v>
          </cell>
          <cell r="FH518" t="str">
            <v/>
          </cell>
          <cell r="FI518">
            <v>0</v>
          </cell>
          <cell r="FJ518">
            <v>0</v>
          </cell>
          <cell r="FK518">
            <v>3</v>
          </cell>
          <cell r="FL518">
            <v>3</v>
          </cell>
          <cell r="FM518" t="str">
            <v/>
          </cell>
          <cell r="FN518">
            <v>0</v>
          </cell>
          <cell r="FO518">
            <v>0</v>
          </cell>
          <cell r="FP518">
            <v>3</v>
          </cell>
          <cell r="FQ518">
            <v>3</v>
          </cell>
          <cell r="FR518" t="str">
            <v/>
          </cell>
          <cell r="FS518">
            <v>0</v>
          </cell>
          <cell r="FT518">
            <v>0</v>
          </cell>
          <cell r="FU518">
            <v>2.0333333333333332</v>
          </cell>
          <cell r="FW518" t="str">
            <v>SIN ROTACIÓN</v>
          </cell>
          <cell r="FX518" t="str">
            <v>STOCK MUERTO</v>
          </cell>
          <cell r="FY518" t="str">
            <v>Si</v>
          </cell>
        </row>
        <row r="519">
          <cell r="B519" t="str">
            <v>REP-0536</v>
          </cell>
          <cell r="C519" t="str">
            <v>MIX</v>
          </cell>
          <cell r="E519">
            <v>1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1</v>
          </cell>
          <cell r="X519">
            <v>0</v>
          </cell>
          <cell r="Y519">
            <v>2</v>
          </cell>
          <cell r="AA519">
            <v>2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X519">
            <v>22</v>
          </cell>
          <cell r="BB519">
            <v>3</v>
          </cell>
          <cell r="BC519" t="str">
            <v/>
          </cell>
          <cell r="BD519">
            <v>0</v>
          </cell>
          <cell r="BE519">
            <v>3</v>
          </cell>
          <cell r="BF519" t="str">
            <v/>
          </cell>
          <cell r="BG519">
            <v>0</v>
          </cell>
          <cell r="BH519">
            <v>3</v>
          </cell>
          <cell r="BI519">
            <v>2</v>
          </cell>
          <cell r="BJ519" t="str">
            <v/>
          </cell>
          <cell r="BK519">
            <v>0</v>
          </cell>
          <cell r="BL519">
            <v>3</v>
          </cell>
          <cell r="BM519">
            <v>3</v>
          </cell>
          <cell r="BN519" t="str">
            <v/>
          </cell>
          <cell r="BO519">
            <v>0</v>
          </cell>
          <cell r="BP519">
            <v>3</v>
          </cell>
          <cell r="BQ519">
            <v>3</v>
          </cell>
          <cell r="BR519" t="str">
            <v/>
          </cell>
          <cell r="BS519">
            <v>0</v>
          </cell>
          <cell r="BT519">
            <v>3</v>
          </cell>
          <cell r="BU519">
            <v>3</v>
          </cell>
          <cell r="BV519" t="str">
            <v/>
          </cell>
          <cell r="BW519">
            <v>0</v>
          </cell>
          <cell r="BX519">
            <v>0</v>
          </cell>
          <cell r="BY519">
            <v>3</v>
          </cell>
          <cell r="BZ519">
            <v>3</v>
          </cell>
          <cell r="CA519" t="str">
            <v/>
          </cell>
          <cell r="CB519">
            <v>0</v>
          </cell>
          <cell r="CC519">
            <v>0</v>
          </cell>
          <cell r="CD519">
            <v>3</v>
          </cell>
          <cell r="CE519">
            <v>3</v>
          </cell>
          <cell r="CF519" t="str">
            <v/>
          </cell>
          <cell r="CG519">
            <v>0</v>
          </cell>
          <cell r="CH519">
            <v>0</v>
          </cell>
          <cell r="CI519">
            <v>3</v>
          </cell>
          <cell r="CJ519">
            <v>3</v>
          </cell>
          <cell r="CK519" t="str">
            <v/>
          </cell>
          <cell r="CL519">
            <v>0</v>
          </cell>
          <cell r="CM519">
            <v>0</v>
          </cell>
          <cell r="CN519">
            <v>3</v>
          </cell>
          <cell r="CO519">
            <v>3</v>
          </cell>
          <cell r="CP519" t="str">
            <v/>
          </cell>
          <cell r="CQ519">
            <v>0</v>
          </cell>
          <cell r="CR519">
            <v>0</v>
          </cell>
          <cell r="CS519">
            <v>3</v>
          </cell>
          <cell r="CT519">
            <v>3</v>
          </cell>
          <cell r="CU519" t="str">
            <v/>
          </cell>
          <cell r="CV519">
            <v>0</v>
          </cell>
          <cell r="CW519">
            <v>0</v>
          </cell>
          <cell r="CX519">
            <v>3</v>
          </cell>
          <cell r="CY519">
            <v>2</v>
          </cell>
          <cell r="CZ519" t="str">
            <v/>
          </cell>
          <cell r="DA519">
            <v>0</v>
          </cell>
          <cell r="DB519">
            <v>0</v>
          </cell>
          <cell r="DC519">
            <v>2</v>
          </cell>
          <cell r="DD519">
            <v>2</v>
          </cell>
          <cell r="DE519" t="str">
            <v/>
          </cell>
          <cell r="DF519">
            <v>0</v>
          </cell>
          <cell r="DG519">
            <v>0</v>
          </cell>
          <cell r="DH519">
            <v>2</v>
          </cell>
          <cell r="DI519">
            <v>2</v>
          </cell>
          <cell r="DJ519" t="str">
            <v/>
          </cell>
          <cell r="DK519">
            <v>0</v>
          </cell>
          <cell r="DL519">
            <v>0</v>
          </cell>
          <cell r="DM519">
            <v>2</v>
          </cell>
          <cell r="DN519">
            <v>2</v>
          </cell>
          <cell r="DO519" t="str">
            <v/>
          </cell>
          <cell r="DP519">
            <v>0</v>
          </cell>
          <cell r="DQ519">
            <v>0</v>
          </cell>
          <cell r="DR519">
            <v>2</v>
          </cell>
          <cell r="DS519">
            <v>2</v>
          </cell>
          <cell r="DT519" t="str">
            <v/>
          </cell>
          <cell r="DU519">
            <v>0</v>
          </cell>
          <cell r="DV519">
            <v>0</v>
          </cell>
          <cell r="DW519">
            <v>2</v>
          </cell>
          <cell r="DX519">
            <v>2</v>
          </cell>
          <cell r="DY519" t="str">
            <v/>
          </cell>
          <cell r="DZ519">
            <v>0</v>
          </cell>
          <cell r="EA519">
            <v>0</v>
          </cell>
          <cell r="EB519">
            <v>2</v>
          </cell>
          <cell r="EC519">
            <v>2</v>
          </cell>
          <cell r="ED519" t="str">
            <v/>
          </cell>
          <cell r="EE519">
            <v>0</v>
          </cell>
          <cell r="EF519">
            <v>0</v>
          </cell>
          <cell r="EG519">
            <v>2</v>
          </cell>
          <cell r="EH519">
            <v>2</v>
          </cell>
          <cell r="EI519" t="str">
            <v/>
          </cell>
          <cell r="EJ519">
            <v>0</v>
          </cell>
          <cell r="EK519">
            <v>0</v>
          </cell>
          <cell r="EL519">
            <v>2</v>
          </cell>
          <cell r="EM519">
            <v>2</v>
          </cell>
          <cell r="EN519" t="str">
            <v/>
          </cell>
          <cell r="EO519">
            <v>0</v>
          </cell>
          <cell r="EP519">
            <v>0</v>
          </cell>
          <cell r="EQ519">
            <v>2</v>
          </cell>
          <cell r="ER519">
            <v>2</v>
          </cell>
          <cell r="ES519" t="str">
            <v/>
          </cell>
          <cell r="ET519">
            <v>0</v>
          </cell>
          <cell r="EU519">
            <v>0</v>
          </cell>
          <cell r="EV519">
            <v>2</v>
          </cell>
          <cell r="EW519">
            <v>2</v>
          </cell>
          <cell r="EX519" t="str">
            <v/>
          </cell>
          <cell r="EY519">
            <v>0</v>
          </cell>
          <cell r="EZ519">
            <v>0</v>
          </cell>
          <cell r="FA519">
            <v>2</v>
          </cell>
          <cell r="FB519">
            <v>2</v>
          </cell>
          <cell r="FC519" t="str">
            <v/>
          </cell>
          <cell r="FD519">
            <v>0</v>
          </cell>
          <cell r="FE519">
            <v>0</v>
          </cell>
          <cell r="FF519">
            <v>2</v>
          </cell>
          <cell r="FG519">
            <v>2</v>
          </cell>
          <cell r="FH519" t="str">
            <v/>
          </cell>
          <cell r="FI519">
            <v>0</v>
          </cell>
          <cell r="FJ519">
            <v>0</v>
          </cell>
          <cell r="FK519">
            <v>2</v>
          </cell>
          <cell r="FL519">
            <v>2</v>
          </cell>
          <cell r="FM519" t="str">
            <v/>
          </cell>
          <cell r="FN519">
            <v>0</v>
          </cell>
          <cell r="FO519">
            <v>0</v>
          </cell>
          <cell r="FP519">
            <v>2</v>
          </cell>
          <cell r="FQ519">
            <v>2</v>
          </cell>
          <cell r="FR519" t="str">
            <v/>
          </cell>
          <cell r="FS519">
            <v>0</v>
          </cell>
          <cell r="FT519">
            <v>0</v>
          </cell>
          <cell r="FU519">
            <v>2.0333333333333332</v>
          </cell>
          <cell r="FW519" t="str">
            <v>SIN ROTACIÓN</v>
          </cell>
          <cell r="FX519" t="str">
            <v>STOCK MUERTO</v>
          </cell>
          <cell r="FY519" t="str">
            <v>Si</v>
          </cell>
        </row>
        <row r="520">
          <cell r="B520" t="str">
            <v>REP-0537</v>
          </cell>
          <cell r="C520" t="str">
            <v>MIX</v>
          </cell>
          <cell r="E520">
            <v>12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1</v>
          </cell>
          <cell r="O520">
            <v>1</v>
          </cell>
          <cell r="P520">
            <v>1</v>
          </cell>
          <cell r="Q520">
            <v>0</v>
          </cell>
          <cell r="R520">
            <v>0</v>
          </cell>
          <cell r="S520">
            <v>1</v>
          </cell>
          <cell r="T520">
            <v>0</v>
          </cell>
          <cell r="U520">
            <v>1</v>
          </cell>
          <cell r="V520">
            <v>1</v>
          </cell>
          <cell r="W520">
            <v>1</v>
          </cell>
          <cell r="X520">
            <v>1</v>
          </cell>
          <cell r="Y520">
            <v>20</v>
          </cell>
          <cell r="AA520">
            <v>20</v>
          </cell>
          <cell r="AC520">
            <v>0</v>
          </cell>
          <cell r="AD520">
            <v>0</v>
          </cell>
          <cell r="AE520">
            <v>0</v>
          </cell>
          <cell r="AH520">
            <v>0.16666666666666666</v>
          </cell>
          <cell r="AI520">
            <v>0</v>
          </cell>
          <cell r="AJ520">
            <v>0</v>
          </cell>
          <cell r="AK520">
            <v>0.16666666666666666</v>
          </cell>
          <cell r="AL520">
            <v>9.6225044864937631E-2</v>
          </cell>
          <cell r="AM520">
            <v>5.5555555555555552E-2</v>
          </cell>
          <cell r="AN520">
            <v>1.7320508075688774</v>
          </cell>
          <cell r="AX520">
            <v>23</v>
          </cell>
          <cell r="BB520">
            <v>3</v>
          </cell>
          <cell r="BC520" t="str">
            <v/>
          </cell>
          <cell r="BD520">
            <v>0</v>
          </cell>
          <cell r="BE520">
            <v>3</v>
          </cell>
          <cell r="BF520" t="str">
            <v/>
          </cell>
          <cell r="BG520">
            <v>0</v>
          </cell>
          <cell r="BH520">
            <v>3</v>
          </cell>
          <cell r="BI520">
            <v>20</v>
          </cell>
          <cell r="BJ520">
            <v>120</v>
          </cell>
          <cell r="BK520">
            <v>0</v>
          </cell>
          <cell r="BL520">
            <v>1.8333333333333333</v>
          </cell>
          <cell r="BM520">
            <v>1</v>
          </cell>
          <cell r="BN520">
            <v>3</v>
          </cell>
          <cell r="BO520">
            <v>0</v>
          </cell>
          <cell r="BP520">
            <v>0.66666666666666674</v>
          </cell>
          <cell r="BQ520">
            <v>1</v>
          </cell>
          <cell r="BR520">
            <v>6</v>
          </cell>
          <cell r="BS520">
            <v>0</v>
          </cell>
          <cell r="BT520">
            <v>0.66666666666666674</v>
          </cell>
          <cell r="BU520">
            <v>1</v>
          </cell>
          <cell r="BV520">
            <v>3</v>
          </cell>
          <cell r="BW520">
            <v>1</v>
          </cell>
          <cell r="BX520">
            <v>0</v>
          </cell>
          <cell r="BY520">
            <v>0.66666666666666674</v>
          </cell>
          <cell r="BZ520">
            <v>1</v>
          </cell>
          <cell r="CA520">
            <v>3</v>
          </cell>
          <cell r="CB520">
            <v>1</v>
          </cell>
          <cell r="CC520">
            <v>0</v>
          </cell>
          <cell r="CD520">
            <v>4.666666666666667</v>
          </cell>
          <cell r="CE520">
            <v>1</v>
          </cell>
          <cell r="CF520">
            <v>5.5</v>
          </cell>
          <cell r="CG520">
            <v>1</v>
          </cell>
          <cell r="CH520">
            <v>4</v>
          </cell>
          <cell r="CI520">
            <v>5.4848484848484853</v>
          </cell>
          <cell r="CJ520">
            <v>5</v>
          </cell>
          <cell r="CK520">
            <v>30</v>
          </cell>
          <cell r="CL520">
            <v>0</v>
          </cell>
          <cell r="CM520">
            <v>0</v>
          </cell>
          <cell r="CN520">
            <v>4.833333333333333</v>
          </cell>
          <cell r="CO520">
            <v>5</v>
          </cell>
          <cell r="CP520">
            <v>30</v>
          </cell>
          <cell r="CQ520">
            <v>0</v>
          </cell>
          <cell r="CR520">
            <v>0</v>
          </cell>
          <cell r="CS520">
            <v>4.833333333333333</v>
          </cell>
          <cell r="CT520">
            <v>5</v>
          </cell>
          <cell r="CU520">
            <v>30</v>
          </cell>
          <cell r="CV520">
            <v>14</v>
          </cell>
          <cell r="CW520">
            <v>0</v>
          </cell>
          <cell r="CX520">
            <v>4.833333333333333</v>
          </cell>
          <cell r="CY520">
            <v>5</v>
          </cell>
          <cell r="CZ520">
            <v>30</v>
          </cell>
          <cell r="DA520">
            <v>14.166666666666668</v>
          </cell>
          <cell r="DB520">
            <v>0</v>
          </cell>
          <cell r="DC520">
            <v>4.833333333333333</v>
          </cell>
          <cell r="DD520">
            <v>4</v>
          </cell>
          <cell r="DE520">
            <v>-90</v>
          </cell>
          <cell r="DF520">
            <v>14.166666666666668</v>
          </cell>
          <cell r="DG520">
            <v>16</v>
          </cell>
          <cell r="DH520">
            <v>19.833333333333332</v>
          </cell>
          <cell r="DI520">
            <v>20</v>
          </cell>
          <cell r="DJ520">
            <v>8</v>
          </cell>
          <cell r="DK520">
            <v>0</v>
          </cell>
          <cell r="DL520">
            <v>0</v>
          </cell>
          <cell r="DM520">
            <v>19.666666666666664</v>
          </cell>
          <cell r="DN520">
            <v>20</v>
          </cell>
          <cell r="DO520">
            <v>8</v>
          </cell>
          <cell r="DP520">
            <v>0</v>
          </cell>
          <cell r="DQ520">
            <v>0</v>
          </cell>
          <cell r="DR520">
            <v>19.833333333333332</v>
          </cell>
          <cell r="DS520">
            <v>19.833333333333332</v>
          </cell>
          <cell r="DT520">
            <v>6.9999999999999929</v>
          </cell>
          <cell r="DU520">
            <v>0</v>
          </cell>
          <cell r="DV520">
            <v>0</v>
          </cell>
          <cell r="DW520">
            <v>19.666666666666664</v>
          </cell>
          <cell r="DX520">
            <v>19.666666666666664</v>
          </cell>
          <cell r="DY520">
            <v>5.9999999999999858</v>
          </cell>
          <cell r="DZ520">
            <v>0</v>
          </cell>
          <cell r="EA520">
            <v>0</v>
          </cell>
          <cell r="EB520">
            <v>19.499999999999996</v>
          </cell>
          <cell r="EC520">
            <v>19.499999999999996</v>
          </cell>
          <cell r="ED520">
            <v>4.9999999999999787</v>
          </cell>
          <cell r="EE520">
            <v>0</v>
          </cell>
          <cell r="EF520">
            <v>0</v>
          </cell>
          <cell r="EG520">
            <v>19.333333333333329</v>
          </cell>
          <cell r="EH520">
            <v>19.333333333333329</v>
          </cell>
          <cell r="EI520">
            <v>3.9999999999999716</v>
          </cell>
          <cell r="EJ520">
            <v>0</v>
          </cell>
          <cell r="EK520">
            <v>2</v>
          </cell>
          <cell r="EL520">
            <v>21.166666666666661</v>
          </cell>
          <cell r="EM520">
            <v>21.166666666666661</v>
          </cell>
          <cell r="EN520">
            <v>14.999999999999964</v>
          </cell>
          <cell r="EO520">
            <v>0</v>
          </cell>
          <cell r="EP520">
            <v>0</v>
          </cell>
          <cell r="EQ520">
            <v>20.999999999999993</v>
          </cell>
          <cell r="ER520">
            <v>20.999999999999993</v>
          </cell>
          <cell r="ES520">
            <v>13.999999999999957</v>
          </cell>
          <cell r="ET520">
            <v>0</v>
          </cell>
          <cell r="EU520">
            <v>0</v>
          </cell>
          <cell r="EV520">
            <v>20.833333333333325</v>
          </cell>
          <cell r="EW520">
            <v>20.833333333333325</v>
          </cell>
          <cell r="EX520">
            <v>12.99999999999995</v>
          </cell>
          <cell r="EY520">
            <v>0</v>
          </cell>
          <cell r="EZ520">
            <v>0</v>
          </cell>
          <cell r="FA520">
            <v>20.666666666666657</v>
          </cell>
          <cell r="FB520">
            <v>20.666666666666657</v>
          </cell>
          <cell r="FC520">
            <v>11.999999999999943</v>
          </cell>
          <cell r="FD520">
            <v>0</v>
          </cell>
          <cell r="FE520">
            <v>0</v>
          </cell>
          <cell r="FF520">
            <v>20.499999999999989</v>
          </cell>
          <cell r="FG520">
            <v>20.499999999999989</v>
          </cell>
          <cell r="FH520">
            <v>10.999999999999936</v>
          </cell>
          <cell r="FI520">
            <v>0</v>
          </cell>
          <cell r="FJ520">
            <v>0</v>
          </cell>
          <cell r="FK520">
            <v>20.333333333333321</v>
          </cell>
          <cell r="FL520">
            <v>20.333333333333321</v>
          </cell>
          <cell r="FM520">
            <v>9.9999999999999289</v>
          </cell>
          <cell r="FN520">
            <v>0</v>
          </cell>
          <cell r="FO520">
            <v>0</v>
          </cell>
          <cell r="FP520">
            <v>20.166666666666654</v>
          </cell>
          <cell r="FQ520">
            <v>20.166666666666654</v>
          </cell>
          <cell r="FR520">
            <v>8.9999999999999218</v>
          </cell>
          <cell r="FS520">
            <v>0</v>
          </cell>
          <cell r="FT520">
            <v>19</v>
          </cell>
          <cell r="FU520">
            <v>2.0333333333333332</v>
          </cell>
          <cell r="FW520" t="str">
            <v>SIN ROTACIÓN</v>
          </cell>
          <cell r="FX520" t="str">
            <v>STOCK MUERTO</v>
          </cell>
          <cell r="FY520" t="str">
            <v>Si</v>
          </cell>
        </row>
        <row r="521">
          <cell r="B521" t="str">
            <v>REP-0538</v>
          </cell>
          <cell r="C521" t="str">
            <v>MIX</v>
          </cell>
          <cell r="E521">
            <v>4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4</v>
          </cell>
          <cell r="AA521">
            <v>4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X521">
            <v>24</v>
          </cell>
          <cell r="BB521">
            <v>4</v>
          </cell>
          <cell r="BC521" t="str">
            <v/>
          </cell>
          <cell r="BD521">
            <v>0</v>
          </cell>
          <cell r="BE521">
            <v>4</v>
          </cell>
          <cell r="BF521" t="str">
            <v/>
          </cell>
          <cell r="BG521">
            <v>0</v>
          </cell>
          <cell r="BH521">
            <v>4</v>
          </cell>
          <cell r="BI521">
            <v>4</v>
          </cell>
          <cell r="BJ521" t="str">
            <v/>
          </cell>
          <cell r="BK521">
            <v>0</v>
          </cell>
          <cell r="BL521">
            <v>4</v>
          </cell>
          <cell r="BM521">
            <v>4</v>
          </cell>
          <cell r="BN521" t="str">
            <v/>
          </cell>
          <cell r="BO521">
            <v>0</v>
          </cell>
          <cell r="BP521">
            <v>4</v>
          </cell>
          <cell r="BQ521">
            <v>4</v>
          </cell>
          <cell r="BR521" t="str">
            <v/>
          </cell>
          <cell r="BS521">
            <v>0</v>
          </cell>
          <cell r="BT521">
            <v>4</v>
          </cell>
          <cell r="BU521">
            <v>4</v>
          </cell>
          <cell r="BV521" t="str">
            <v/>
          </cell>
          <cell r="BW521">
            <v>0</v>
          </cell>
          <cell r="BX521">
            <v>0</v>
          </cell>
          <cell r="BY521">
            <v>4</v>
          </cell>
          <cell r="BZ521">
            <v>4</v>
          </cell>
          <cell r="CA521" t="str">
            <v/>
          </cell>
          <cell r="CB521">
            <v>0</v>
          </cell>
          <cell r="CC521">
            <v>0</v>
          </cell>
          <cell r="CD521">
            <v>4</v>
          </cell>
          <cell r="CE521">
            <v>4</v>
          </cell>
          <cell r="CF521" t="str">
            <v/>
          </cell>
          <cell r="CG521">
            <v>0</v>
          </cell>
          <cell r="CH521">
            <v>0</v>
          </cell>
          <cell r="CI521">
            <v>4</v>
          </cell>
          <cell r="CJ521">
            <v>4</v>
          </cell>
          <cell r="CK521" t="str">
            <v/>
          </cell>
          <cell r="CL521">
            <v>0</v>
          </cell>
          <cell r="CM521">
            <v>0</v>
          </cell>
          <cell r="CN521">
            <v>4</v>
          </cell>
          <cell r="CO521">
            <v>4</v>
          </cell>
          <cell r="CP521" t="str">
            <v/>
          </cell>
          <cell r="CQ521">
            <v>0</v>
          </cell>
          <cell r="CR521">
            <v>0</v>
          </cell>
          <cell r="CS521">
            <v>4</v>
          </cell>
          <cell r="CT521">
            <v>4</v>
          </cell>
          <cell r="CU521" t="str">
            <v/>
          </cell>
          <cell r="CV521">
            <v>0</v>
          </cell>
          <cell r="CW521">
            <v>0</v>
          </cell>
          <cell r="CX521">
            <v>4</v>
          </cell>
          <cell r="CY521">
            <v>4</v>
          </cell>
          <cell r="CZ521" t="str">
            <v/>
          </cell>
          <cell r="DA521">
            <v>0</v>
          </cell>
          <cell r="DB521">
            <v>0</v>
          </cell>
          <cell r="DC521">
            <v>4</v>
          </cell>
          <cell r="DD521">
            <v>4</v>
          </cell>
          <cell r="DE521" t="str">
            <v/>
          </cell>
          <cell r="DF521">
            <v>0</v>
          </cell>
          <cell r="DG521">
            <v>0</v>
          </cell>
          <cell r="DH521">
            <v>4</v>
          </cell>
          <cell r="DI521">
            <v>4</v>
          </cell>
          <cell r="DJ521" t="str">
            <v/>
          </cell>
          <cell r="DK521">
            <v>0</v>
          </cell>
          <cell r="DL521">
            <v>0</v>
          </cell>
          <cell r="DM521">
            <v>4</v>
          </cell>
          <cell r="DN521">
            <v>4</v>
          </cell>
          <cell r="DO521" t="str">
            <v/>
          </cell>
          <cell r="DP521">
            <v>0</v>
          </cell>
          <cell r="DQ521">
            <v>0</v>
          </cell>
          <cell r="DR521">
            <v>4</v>
          </cell>
          <cell r="DS521">
            <v>4</v>
          </cell>
          <cell r="DT521" t="str">
            <v/>
          </cell>
          <cell r="DU521">
            <v>0</v>
          </cell>
          <cell r="DV521">
            <v>0</v>
          </cell>
          <cell r="DW521">
            <v>4</v>
          </cell>
          <cell r="DX521">
            <v>4</v>
          </cell>
          <cell r="DY521" t="str">
            <v/>
          </cell>
          <cell r="DZ521">
            <v>0</v>
          </cell>
          <cell r="EA521">
            <v>0</v>
          </cell>
          <cell r="EB521">
            <v>4</v>
          </cell>
          <cell r="EC521">
            <v>4</v>
          </cell>
          <cell r="ED521" t="str">
            <v/>
          </cell>
          <cell r="EE521">
            <v>0</v>
          </cell>
          <cell r="EF521">
            <v>0</v>
          </cell>
          <cell r="EG521">
            <v>4</v>
          </cell>
          <cell r="EH521">
            <v>4</v>
          </cell>
          <cell r="EI521" t="str">
            <v/>
          </cell>
          <cell r="EJ521">
            <v>0</v>
          </cell>
          <cell r="EK521">
            <v>0</v>
          </cell>
          <cell r="EL521">
            <v>4</v>
          </cell>
          <cell r="EM521">
            <v>4</v>
          </cell>
          <cell r="EN521" t="str">
            <v/>
          </cell>
          <cell r="EO521">
            <v>0</v>
          </cell>
          <cell r="EP521">
            <v>0</v>
          </cell>
          <cell r="EQ521">
            <v>4</v>
          </cell>
          <cell r="ER521">
            <v>4</v>
          </cell>
          <cell r="ES521" t="str">
            <v/>
          </cell>
          <cell r="ET521">
            <v>0</v>
          </cell>
          <cell r="EU521">
            <v>0</v>
          </cell>
          <cell r="EV521">
            <v>4</v>
          </cell>
          <cell r="EW521">
            <v>4</v>
          </cell>
          <cell r="EX521" t="str">
            <v/>
          </cell>
          <cell r="EY521">
            <v>0</v>
          </cell>
          <cell r="EZ521">
            <v>0</v>
          </cell>
          <cell r="FA521">
            <v>4</v>
          </cell>
          <cell r="FB521">
            <v>4</v>
          </cell>
          <cell r="FC521" t="str">
            <v/>
          </cell>
          <cell r="FD521">
            <v>0</v>
          </cell>
          <cell r="FE521">
            <v>0</v>
          </cell>
          <cell r="FF521">
            <v>4</v>
          </cell>
          <cell r="FG521">
            <v>4</v>
          </cell>
          <cell r="FH521" t="str">
            <v/>
          </cell>
          <cell r="FI521">
            <v>0</v>
          </cell>
          <cell r="FJ521">
            <v>0</v>
          </cell>
          <cell r="FK521">
            <v>4</v>
          </cell>
          <cell r="FL521">
            <v>4</v>
          </cell>
          <cell r="FM521" t="str">
            <v/>
          </cell>
          <cell r="FN521">
            <v>0</v>
          </cell>
          <cell r="FO521">
            <v>0</v>
          </cell>
          <cell r="FP521">
            <v>4</v>
          </cell>
          <cell r="FQ521">
            <v>4</v>
          </cell>
          <cell r="FR521" t="str">
            <v/>
          </cell>
          <cell r="FS521">
            <v>0</v>
          </cell>
          <cell r="FT521">
            <v>0</v>
          </cell>
          <cell r="FU521">
            <v>2.0333333333333332</v>
          </cell>
          <cell r="FW521" t="str">
            <v>SIN ROTACIÓN</v>
          </cell>
          <cell r="FX521" t="str">
            <v>STOCK MUERTO</v>
          </cell>
          <cell r="FY521" t="str">
            <v>Si</v>
          </cell>
        </row>
        <row r="522">
          <cell r="B522" t="str">
            <v>REP-0539</v>
          </cell>
          <cell r="C522" t="str">
            <v>MIX</v>
          </cell>
          <cell r="E522">
            <v>4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4</v>
          </cell>
          <cell r="AA522">
            <v>4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X522">
            <v>25</v>
          </cell>
          <cell r="BB522">
            <v>4</v>
          </cell>
          <cell r="BC522" t="str">
            <v/>
          </cell>
          <cell r="BD522">
            <v>0</v>
          </cell>
          <cell r="BE522">
            <v>4</v>
          </cell>
          <cell r="BF522" t="str">
            <v/>
          </cell>
          <cell r="BG522">
            <v>0</v>
          </cell>
          <cell r="BH522">
            <v>4</v>
          </cell>
          <cell r="BI522">
            <v>4</v>
          </cell>
          <cell r="BJ522" t="str">
            <v/>
          </cell>
          <cell r="BK522">
            <v>0</v>
          </cell>
          <cell r="BL522">
            <v>4</v>
          </cell>
          <cell r="BM522">
            <v>4</v>
          </cell>
          <cell r="BN522" t="str">
            <v/>
          </cell>
          <cell r="BO522">
            <v>0</v>
          </cell>
          <cell r="BP522">
            <v>4</v>
          </cell>
          <cell r="BQ522">
            <v>4</v>
          </cell>
          <cell r="BR522" t="str">
            <v/>
          </cell>
          <cell r="BS522">
            <v>0</v>
          </cell>
          <cell r="BT522">
            <v>4</v>
          </cell>
          <cell r="BU522">
            <v>4</v>
          </cell>
          <cell r="BV522" t="str">
            <v/>
          </cell>
          <cell r="BW522">
            <v>0</v>
          </cell>
          <cell r="BX522">
            <v>0</v>
          </cell>
          <cell r="BY522">
            <v>4</v>
          </cell>
          <cell r="BZ522">
            <v>4</v>
          </cell>
          <cell r="CA522" t="str">
            <v/>
          </cell>
          <cell r="CB522">
            <v>0</v>
          </cell>
          <cell r="CC522">
            <v>0</v>
          </cell>
          <cell r="CD522">
            <v>4</v>
          </cell>
          <cell r="CE522">
            <v>4</v>
          </cell>
          <cell r="CF522" t="str">
            <v/>
          </cell>
          <cell r="CG522">
            <v>0</v>
          </cell>
          <cell r="CH522">
            <v>0</v>
          </cell>
          <cell r="CI522">
            <v>4</v>
          </cell>
          <cell r="CJ522">
            <v>4</v>
          </cell>
          <cell r="CK522" t="str">
            <v/>
          </cell>
          <cell r="CL522">
            <v>0</v>
          </cell>
          <cell r="CM522">
            <v>0</v>
          </cell>
          <cell r="CN522">
            <v>4</v>
          </cell>
          <cell r="CO522">
            <v>4</v>
          </cell>
          <cell r="CP522" t="str">
            <v/>
          </cell>
          <cell r="CQ522">
            <v>0</v>
          </cell>
          <cell r="CR522">
            <v>0</v>
          </cell>
          <cell r="CS522">
            <v>4</v>
          </cell>
          <cell r="CT522">
            <v>4</v>
          </cell>
          <cell r="CU522" t="str">
            <v/>
          </cell>
          <cell r="CV522">
            <v>0</v>
          </cell>
          <cell r="CW522">
            <v>0</v>
          </cell>
          <cell r="CX522">
            <v>4</v>
          </cell>
          <cell r="CY522">
            <v>4</v>
          </cell>
          <cell r="CZ522" t="str">
            <v/>
          </cell>
          <cell r="DA522">
            <v>0</v>
          </cell>
          <cell r="DB522">
            <v>0</v>
          </cell>
          <cell r="DC522">
            <v>4</v>
          </cell>
          <cell r="DD522">
            <v>4</v>
          </cell>
          <cell r="DE522" t="str">
            <v/>
          </cell>
          <cell r="DF522">
            <v>0</v>
          </cell>
          <cell r="DG522">
            <v>0</v>
          </cell>
          <cell r="DH522">
            <v>4</v>
          </cell>
          <cell r="DI522">
            <v>4</v>
          </cell>
          <cell r="DJ522" t="str">
            <v/>
          </cell>
          <cell r="DK522">
            <v>0</v>
          </cell>
          <cell r="DL522">
            <v>0</v>
          </cell>
          <cell r="DM522">
            <v>4</v>
          </cell>
          <cell r="DN522">
            <v>4</v>
          </cell>
          <cell r="DO522" t="str">
            <v/>
          </cell>
          <cell r="DP522">
            <v>0</v>
          </cell>
          <cell r="DQ522">
            <v>0</v>
          </cell>
          <cell r="DR522">
            <v>4</v>
          </cell>
          <cell r="DS522">
            <v>4</v>
          </cell>
          <cell r="DT522" t="str">
            <v/>
          </cell>
          <cell r="DU522">
            <v>0</v>
          </cell>
          <cell r="DV522">
            <v>0</v>
          </cell>
          <cell r="DW522">
            <v>4</v>
          </cell>
          <cell r="DX522">
            <v>4</v>
          </cell>
          <cell r="DY522" t="str">
            <v/>
          </cell>
          <cell r="DZ522">
            <v>0</v>
          </cell>
          <cell r="EA522">
            <v>0</v>
          </cell>
          <cell r="EB522">
            <v>4</v>
          </cell>
          <cell r="EC522">
            <v>4</v>
          </cell>
          <cell r="ED522" t="str">
            <v/>
          </cell>
          <cell r="EE522">
            <v>0</v>
          </cell>
          <cell r="EF522">
            <v>0</v>
          </cell>
          <cell r="EG522">
            <v>4</v>
          </cell>
          <cell r="EH522">
            <v>4</v>
          </cell>
          <cell r="EI522" t="str">
            <v/>
          </cell>
          <cell r="EJ522">
            <v>0</v>
          </cell>
          <cell r="EK522">
            <v>0</v>
          </cell>
          <cell r="EL522">
            <v>4</v>
          </cell>
          <cell r="EM522">
            <v>4</v>
          </cell>
          <cell r="EN522" t="str">
            <v/>
          </cell>
          <cell r="EO522">
            <v>0</v>
          </cell>
          <cell r="EP522">
            <v>0</v>
          </cell>
          <cell r="EQ522">
            <v>4</v>
          </cell>
          <cell r="ER522">
            <v>4</v>
          </cell>
          <cell r="ES522" t="str">
            <v/>
          </cell>
          <cell r="ET522">
            <v>0</v>
          </cell>
          <cell r="EU522">
            <v>0</v>
          </cell>
          <cell r="EV522">
            <v>4</v>
          </cell>
          <cell r="EW522">
            <v>4</v>
          </cell>
          <cell r="EX522" t="str">
            <v/>
          </cell>
          <cell r="EY522">
            <v>0</v>
          </cell>
          <cell r="EZ522">
            <v>0</v>
          </cell>
          <cell r="FA522">
            <v>4</v>
          </cell>
          <cell r="FB522">
            <v>4</v>
          </cell>
          <cell r="FC522" t="str">
            <v/>
          </cell>
          <cell r="FD522">
            <v>0</v>
          </cell>
          <cell r="FE522">
            <v>0</v>
          </cell>
          <cell r="FF522">
            <v>4</v>
          </cell>
          <cell r="FG522">
            <v>4</v>
          </cell>
          <cell r="FH522" t="str">
            <v/>
          </cell>
          <cell r="FI522">
            <v>0</v>
          </cell>
          <cell r="FJ522">
            <v>0</v>
          </cell>
          <cell r="FK522">
            <v>4</v>
          </cell>
          <cell r="FL522">
            <v>4</v>
          </cell>
          <cell r="FM522" t="str">
            <v/>
          </cell>
          <cell r="FN522">
            <v>0</v>
          </cell>
          <cell r="FO522">
            <v>0</v>
          </cell>
          <cell r="FP522">
            <v>4</v>
          </cell>
          <cell r="FQ522">
            <v>4</v>
          </cell>
          <cell r="FR522" t="str">
            <v/>
          </cell>
          <cell r="FS522">
            <v>0</v>
          </cell>
          <cell r="FT522">
            <v>0</v>
          </cell>
          <cell r="FU522">
            <v>2.0333333333333332</v>
          </cell>
          <cell r="FW522" t="str">
            <v>SIN ROTACIÓN</v>
          </cell>
          <cell r="FX522" t="str">
            <v>STOCK MUERTO</v>
          </cell>
          <cell r="FY522" t="str">
            <v>Si</v>
          </cell>
        </row>
        <row r="523">
          <cell r="B523" t="str">
            <v>REP-0540</v>
          </cell>
          <cell r="C523" t="str">
            <v>MIX</v>
          </cell>
          <cell r="E523">
            <v>4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4</v>
          </cell>
          <cell r="AA523">
            <v>4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X523">
            <v>26</v>
          </cell>
          <cell r="BB523">
            <v>4</v>
          </cell>
          <cell r="BC523" t="str">
            <v/>
          </cell>
          <cell r="BD523">
            <v>0</v>
          </cell>
          <cell r="BE523">
            <v>4</v>
          </cell>
          <cell r="BF523" t="str">
            <v/>
          </cell>
          <cell r="BG523">
            <v>0</v>
          </cell>
          <cell r="BH523">
            <v>4</v>
          </cell>
          <cell r="BI523">
            <v>4</v>
          </cell>
          <cell r="BJ523" t="str">
            <v/>
          </cell>
          <cell r="BK523">
            <v>0</v>
          </cell>
          <cell r="BL523">
            <v>4</v>
          </cell>
          <cell r="BM523">
            <v>4</v>
          </cell>
          <cell r="BN523" t="str">
            <v/>
          </cell>
          <cell r="BO523">
            <v>0</v>
          </cell>
          <cell r="BP523">
            <v>4</v>
          </cell>
          <cell r="BQ523">
            <v>4</v>
          </cell>
          <cell r="BR523" t="str">
            <v/>
          </cell>
          <cell r="BS523">
            <v>0</v>
          </cell>
          <cell r="BT523">
            <v>4</v>
          </cell>
          <cell r="BU523">
            <v>4</v>
          </cell>
          <cell r="BV523" t="str">
            <v/>
          </cell>
          <cell r="BW523">
            <v>0</v>
          </cell>
          <cell r="BX523">
            <v>0</v>
          </cell>
          <cell r="BY523">
            <v>4</v>
          </cell>
          <cell r="BZ523">
            <v>4</v>
          </cell>
          <cell r="CA523" t="str">
            <v/>
          </cell>
          <cell r="CB523">
            <v>0</v>
          </cell>
          <cell r="CC523">
            <v>0</v>
          </cell>
          <cell r="CD523">
            <v>4</v>
          </cell>
          <cell r="CE523">
            <v>4</v>
          </cell>
          <cell r="CF523" t="str">
            <v/>
          </cell>
          <cell r="CG523">
            <v>0</v>
          </cell>
          <cell r="CH523">
            <v>0</v>
          </cell>
          <cell r="CI523">
            <v>4</v>
          </cell>
          <cell r="CJ523">
            <v>4</v>
          </cell>
          <cell r="CK523" t="str">
            <v/>
          </cell>
          <cell r="CL523">
            <v>0</v>
          </cell>
          <cell r="CM523">
            <v>0</v>
          </cell>
          <cell r="CN523">
            <v>4</v>
          </cell>
          <cell r="CO523">
            <v>4</v>
          </cell>
          <cell r="CP523" t="str">
            <v/>
          </cell>
          <cell r="CQ523">
            <v>0</v>
          </cell>
          <cell r="CR523">
            <v>0</v>
          </cell>
          <cell r="CS523">
            <v>4</v>
          </cell>
          <cell r="CT523">
            <v>4</v>
          </cell>
          <cell r="CU523" t="str">
            <v/>
          </cell>
          <cell r="CV523">
            <v>0</v>
          </cell>
          <cell r="CW523">
            <v>0</v>
          </cell>
          <cell r="CX523">
            <v>4</v>
          </cell>
          <cell r="CY523">
            <v>4</v>
          </cell>
          <cell r="CZ523" t="str">
            <v/>
          </cell>
          <cell r="DA523">
            <v>0</v>
          </cell>
          <cell r="DB523">
            <v>0</v>
          </cell>
          <cell r="DC523">
            <v>4</v>
          </cell>
          <cell r="DD523">
            <v>4</v>
          </cell>
          <cell r="DE523" t="str">
            <v/>
          </cell>
          <cell r="DF523">
            <v>0</v>
          </cell>
          <cell r="DG523">
            <v>0</v>
          </cell>
          <cell r="DH523">
            <v>4</v>
          </cell>
          <cell r="DI523">
            <v>4</v>
          </cell>
          <cell r="DJ523" t="str">
            <v/>
          </cell>
          <cell r="DK523">
            <v>0</v>
          </cell>
          <cell r="DL523">
            <v>0</v>
          </cell>
          <cell r="DM523">
            <v>4</v>
          </cell>
          <cell r="DN523">
            <v>4</v>
          </cell>
          <cell r="DO523" t="str">
            <v/>
          </cell>
          <cell r="DP523">
            <v>0</v>
          </cell>
          <cell r="DQ523">
            <v>0</v>
          </cell>
          <cell r="DR523">
            <v>4</v>
          </cell>
          <cell r="DS523">
            <v>4</v>
          </cell>
          <cell r="DT523" t="str">
            <v/>
          </cell>
          <cell r="DU523">
            <v>0</v>
          </cell>
          <cell r="DV523">
            <v>0</v>
          </cell>
          <cell r="DW523">
            <v>4</v>
          </cell>
          <cell r="DX523">
            <v>4</v>
          </cell>
          <cell r="DY523" t="str">
            <v/>
          </cell>
          <cell r="DZ523">
            <v>0</v>
          </cell>
          <cell r="EA523">
            <v>0</v>
          </cell>
          <cell r="EB523">
            <v>4</v>
          </cell>
          <cell r="EC523">
            <v>4</v>
          </cell>
          <cell r="ED523" t="str">
            <v/>
          </cell>
          <cell r="EE523">
            <v>0</v>
          </cell>
          <cell r="EF523">
            <v>0</v>
          </cell>
          <cell r="EG523">
            <v>4</v>
          </cell>
          <cell r="EH523">
            <v>4</v>
          </cell>
          <cell r="EI523" t="str">
            <v/>
          </cell>
          <cell r="EJ523">
            <v>0</v>
          </cell>
          <cell r="EK523">
            <v>0</v>
          </cell>
          <cell r="EL523">
            <v>4</v>
          </cell>
          <cell r="EM523">
            <v>4</v>
          </cell>
          <cell r="EN523" t="str">
            <v/>
          </cell>
          <cell r="EO523">
            <v>0</v>
          </cell>
          <cell r="EP523">
            <v>0</v>
          </cell>
          <cell r="EQ523">
            <v>4</v>
          </cell>
          <cell r="ER523">
            <v>4</v>
          </cell>
          <cell r="ES523" t="str">
            <v/>
          </cell>
          <cell r="ET523">
            <v>0</v>
          </cell>
          <cell r="EU523">
            <v>0</v>
          </cell>
          <cell r="EV523">
            <v>4</v>
          </cell>
          <cell r="EW523">
            <v>4</v>
          </cell>
          <cell r="EX523" t="str">
            <v/>
          </cell>
          <cell r="EY523">
            <v>0</v>
          </cell>
          <cell r="EZ523">
            <v>0</v>
          </cell>
          <cell r="FA523">
            <v>4</v>
          </cell>
          <cell r="FB523">
            <v>4</v>
          </cell>
          <cell r="FC523" t="str">
            <v/>
          </cell>
          <cell r="FD523">
            <v>0</v>
          </cell>
          <cell r="FE523">
            <v>0</v>
          </cell>
          <cell r="FF523">
            <v>4</v>
          </cell>
          <cell r="FG523">
            <v>4</v>
          </cell>
          <cell r="FH523" t="str">
            <v/>
          </cell>
          <cell r="FI523">
            <v>0</v>
          </cell>
          <cell r="FJ523">
            <v>0</v>
          </cell>
          <cell r="FK523">
            <v>4</v>
          </cell>
          <cell r="FL523">
            <v>4</v>
          </cell>
          <cell r="FM523" t="str">
            <v/>
          </cell>
          <cell r="FN523">
            <v>0</v>
          </cell>
          <cell r="FO523">
            <v>0</v>
          </cell>
          <cell r="FP523">
            <v>4</v>
          </cell>
          <cell r="FQ523">
            <v>4</v>
          </cell>
          <cell r="FR523" t="str">
            <v/>
          </cell>
          <cell r="FS523">
            <v>0</v>
          </cell>
          <cell r="FT523">
            <v>0</v>
          </cell>
          <cell r="FU523">
            <v>2.0333333333333332</v>
          </cell>
          <cell r="FW523" t="str">
            <v>SIN ROTACIÓN</v>
          </cell>
          <cell r="FX523" t="str">
            <v>STOCK MUERTO</v>
          </cell>
          <cell r="FY523" t="str">
            <v>Si</v>
          </cell>
        </row>
        <row r="524">
          <cell r="B524" t="str">
            <v>REP-0541</v>
          </cell>
          <cell r="C524" t="str">
            <v>MIX</v>
          </cell>
          <cell r="E524">
            <v>3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</v>
          </cell>
          <cell r="AA524">
            <v>3</v>
          </cell>
          <cell r="AC524">
            <v>0</v>
          </cell>
          <cell r="AD524">
            <v>0</v>
          </cell>
          <cell r="AE524">
            <v>0</v>
          </cell>
          <cell r="AH524">
            <v>8.3333333333333329E-2</v>
          </cell>
          <cell r="AI524">
            <v>0</v>
          </cell>
          <cell r="AJ524">
            <v>0</v>
          </cell>
          <cell r="AK524">
            <v>8.3333333333333329E-2</v>
          </cell>
          <cell r="AL524">
            <v>4.8112522432468816E-2</v>
          </cell>
          <cell r="AM524">
            <v>2.7777777777777776E-2</v>
          </cell>
          <cell r="AN524">
            <v>1.7320508075688774</v>
          </cell>
          <cell r="AX524">
            <v>27</v>
          </cell>
          <cell r="BB524">
            <v>4</v>
          </cell>
          <cell r="BC524" t="str">
            <v/>
          </cell>
          <cell r="BD524">
            <v>0</v>
          </cell>
          <cell r="BE524">
            <v>4</v>
          </cell>
          <cell r="BF524" t="str">
            <v/>
          </cell>
          <cell r="BG524">
            <v>0</v>
          </cell>
          <cell r="BH524">
            <v>4</v>
          </cell>
          <cell r="BI524">
            <v>3</v>
          </cell>
          <cell r="BJ524">
            <v>36</v>
          </cell>
          <cell r="BK524">
            <v>0</v>
          </cell>
          <cell r="BL524">
            <v>2.8333333333333335</v>
          </cell>
          <cell r="BM524">
            <v>3</v>
          </cell>
          <cell r="BN524">
            <v>18</v>
          </cell>
          <cell r="BO524">
            <v>0</v>
          </cell>
          <cell r="BP524">
            <v>2.8333333333333335</v>
          </cell>
          <cell r="BQ524">
            <v>3</v>
          </cell>
          <cell r="BR524">
            <v>36</v>
          </cell>
          <cell r="BS524">
            <v>0</v>
          </cell>
          <cell r="BT524">
            <v>2.8333333333333335</v>
          </cell>
          <cell r="BU524">
            <v>3</v>
          </cell>
          <cell r="BV524">
            <v>18</v>
          </cell>
          <cell r="BW524">
            <v>0</v>
          </cell>
          <cell r="BX524">
            <v>0</v>
          </cell>
          <cell r="BY524">
            <v>2.8333333333333335</v>
          </cell>
          <cell r="BZ524">
            <v>3</v>
          </cell>
          <cell r="CA524">
            <v>18</v>
          </cell>
          <cell r="CB524">
            <v>0</v>
          </cell>
          <cell r="CC524">
            <v>0</v>
          </cell>
          <cell r="CD524">
            <v>2.8333333333333335</v>
          </cell>
          <cell r="CE524">
            <v>3</v>
          </cell>
          <cell r="CF524">
            <v>33</v>
          </cell>
          <cell r="CG524">
            <v>0</v>
          </cell>
          <cell r="CH524">
            <v>0</v>
          </cell>
          <cell r="CI524">
            <v>2.7424242424242427</v>
          </cell>
          <cell r="CJ524">
            <v>3</v>
          </cell>
          <cell r="CK524">
            <v>36</v>
          </cell>
          <cell r="CL524">
            <v>0</v>
          </cell>
          <cell r="CM524">
            <v>0</v>
          </cell>
          <cell r="CN524">
            <v>2.9166666666666665</v>
          </cell>
          <cell r="CO524">
            <v>3</v>
          </cell>
          <cell r="CP524">
            <v>36</v>
          </cell>
          <cell r="CQ524">
            <v>0</v>
          </cell>
          <cell r="CR524">
            <v>0</v>
          </cell>
          <cell r="CS524">
            <v>2.9166666666666665</v>
          </cell>
          <cell r="CT524">
            <v>3</v>
          </cell>
          <cell r="CU524">
            <v>36</v>
          </cell>
          <cell r="CV524">
            <v>0</v>
          </cell>
          <cell r="CW524">
            <v>0</v>
          </cell>
          <cell r="CX524">
            <v>2.9166666666666665</v>
          </cell>
          <cell r="CY524">
            <v>3</v>
          </cell>
          <cell r="CZ524">
            <v>36</v>
          </cell>
          <cell r="DA524">
            <v>0</v>
          </cell>
          <cell r="DB524">
            <v>0</v>
          </cell>
          <cell r="DC524">
            <v>2.9166666666666665</v>
          </cell>
          <cell r="DD524">
            <v>3</v>
          </cell>
          <cell r="DE524">
            <v>24</v>
          </cell>
          <cell r="DF524">
            <v>0</v>
          </cell>
          <cell r="DG524">
            <v>0</v>
          </cell>
          <cell r="DH524">
            <v>2.9166666666666665</v>
          </cell>
          <cell r="DI524">
            <v>3</v>
          </cell>
          <cell r="DJ524">
            <v>26</v>
          </cell>
          <cell r="DK524">
            <v>0</v>
          </cell>
          <cell r="DL524">
            <v>0</v>
          </cell>
          <cell r="DM524">
            <v>2.833333333333333</v>
          </cell>
          <cell r="DN524">
            <v>3</v>
          </cell>
          <cell r="DO524">
            <v>26</v>
          </cell>
          <cell r="DP524">
            <v>0</v>
          </cell>
          <cell r="DQ524">
            <v>0</v>
          </cell>
          <cell r="DR524">
            <v>2.9166666666666665</v>
          </cell>
          <cell r="DS524">
            <v>2.9166666666666665</v>
          </cell>
          <cell r="DT524">
            <v>25</v>
          </cell>
          <cell r="DU524">
            <v>0</v>
          </cell>
          <cell r="DV524">
            <v>0</v>
          </cell>
          <cell r="DW524">
            <v>2.833333333333333</v>
          </cell>
          <cell r="DX524">
            <v>2.833333333333333</v>
          </cell>
          <cell r="DY524">
            <v>23.999999999999996</v>
          </cell>
          <cell r="DZ524">
            <v>0</v>
          </cell>
          <cell r="EA524">
            <v>0</v>
          </cell>
          <cell r="EB524">
            <v>2.7499999999999996</v>
          </cell>
          <cell r="EC524">
            <v>2.7499999999999996</v>
          </cell>
          <cell r="ED524">
            <v>22.999999999999996</v>
          </cell>
          <cell r="EE524">
            <v>0</v>
          </cell>
          <cell r="EF524">
            <v>0</v>
          </cell>
          <cell r="EG524">
            <v>2.6666666666666661</v>
          </cell>
          <cell r="EH524">
            <v>2.6666666666666661</v>
          </cell>
          <cell r="EI524">
            <v>21.999999999999993</v>
          </cell>
          <cell r="EJ524">
            <v>0</v>
          </cell>
          <cell r="EK524">
            <v>0</v>
          </cell>
          <cell r="EL524">
            <v>2.5833333333333326</v>
          </cell>
          <cell r="EM524">
            <v>2.5833333333333326</v>
          </cell>
          <cell r="EN524">
            <v>20.999999999999993</v>
          </cell>
          <cell r="EO524">
            <v>0</v>
          </cell>
          <cell r="EP524">
            <v>0</v>
          </cell>
          <cell r="EQ524">
            <v>2.4999999999999991</v>
          </cell>
          <cell r="ER524">
            <v>2.4999999999999991</v>
          </cell>
          <cell r="ES524">
            <v>19.999999999999989</v>
          </cell>
          <cell r="ET524">
            <v>0</v>
          </cell>
          <cell r="EU524">
            <v>0</v>
          </cell>
          <cell r="EV524">
            <v>2.4166666666666656</v>
          </cell>
          <cell r="EW524">
            <v>2.4166666666666656</v>
          </cell>
          <cell r="EX524">
            <v>18.999999999999989</v>
          </cell>
          <cell r="EY524">
            <v>0</v>
          </cell>
          <cell r="EZ524">
            <v>0</v>
          </cell>
          <cell r="FA524">
            <v>2.3333333333333321</v>
          </cell>
          <cell r="FB524">
            <v>2.3333333333333321</v>
          </cell>
          <cell r="FC524">
            <v>17.999999999999986</v>
          </cell>
          <cell r="FD524">
            <v>0</v>
          </cell>
          <cell r="FE524">
            <v>0</v>
          </cell>
          <cell r="FF524">
            <v>2.2499999999999987</v>
          </cell>
          <cell r="FG524">
            <v>2.2499999999999987</v>
          </cell>
          <cell r="FH524">
            <v>16.999999999999986</v>
          </cell>
          <cell r="FI524">
            <v>0</v>
          </cell>
          <cell r="FJ524">
            <v>0</v>
          </cell>
          <cell r="FK524">
            <v>2.1666666666666652</v>
          </cell>
          <cell r="FL524">
            <v>2.1666666666666652</v>
          </cell>
          <cell r="FM524">
            <v>15.999999999999982</v>
          </cell>
          <cell r="FN524">
            <v>0</v>
          </cell>
          <cell r="FO524">
            <v>0</v>
          </cell>
          <cell r="FP524">
            <v>2.0833333333333317</v>
          </cell>
          <cell r="FQ524">
            <v>2.0833333333333317</v>
          </cell>
          <cell r="FR524">
            <v>14.99999999999998</v>
          </cell>
          <cell r="FS524">
            <v>0</v>
          </cell>
          <cell r="FT524">
            <v>1</v>
          </cell>
          <cell r="FU524">
            <v>2.0333333333333332</v>
          </cell>
          <cell r="FW524" t="str">
            <v>SIN ROTACIÓN</v>
          </cell>
          <cell r="FX524" t="str">
            <v>STOCK MUERTO</v>
          </cell>
          <cell r="FY524" t="str">
            <v>Si</v>
          </cell>
        </row>
        <row r="525">
          <cell r="B525" t="str">
            <v>REP-0542</v>
          </cell>
          <cell r="C525" t="str">
            <v>NACIONAL</v>
          </cell>
          <cell r="E525">
            <v>0</v>
          </cell>
          <cell r="F525">
            <v>0</v>
          </cell>
          <cell r="G525">
            <v>0</v>
          </cell>
          <cell r="H525">
            <v>2</v>
          </cell>
          <cell r="I525">
            <v>2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1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1</v>
          </cell>
          <cell r="X525">
            <v>0</v>
          </cell>
          <cell r="Y525">
            <v>6</v>
          </cell>
          <cell r="AA525">
            <v>6</v>
          </cell>
          <cell r="AC525">
            <v>0</v>
          </cell>
          <cell r="AD525">
            <v>0</v>
          </cell>
          <cell r="AE525">
            <v>0</v>
          </cell>
          <cell r="AH525">
            <v>0.91666666666666663</v>
          </cell>
          <cell r="AI525">
            <v>0.66666666666666663</v>
          </cell>
          <cell r="AJ525">
            <v>0.66666666666666663</v>
          </cell>
          <cell r="AK525">
            <v>0.91666666666666663</v>
          </cell>
          <cell r="AL525">
            <v>0.14433756729740618</v>
          </cell>
          <cell r="AM525">
            <v>0.75</v>
          </cell>
          <cell r="AN525">
            <v>0.1924500897298749</v>
          </cell>
          <cell r="AX525">
            <v>28</v>
          </cell>
          <cell r="BB525">
            <v>2</v>
          </cell>
          <cell r="BC525" t="str">
            <v/>
          </cell>
          <cell r="BD525">
            <v>0</v>
          </cell>
          <cell r="BE525">
            <v>2</v>
          </cell>
          <cell r="BF525" t="str">
            <v/>
          </cell>
          <cell r="BG525">
            <v>0</v>
          </cell>
          <cell r="BH525">
            <v>2</v>
          </cell>
          <cell r="BI525">
            <v>6</v>
          </cell>
          <cell r="BJ525">
            <v>6.5454545454545459</v>
          </cell>
          <cell r="BK525">
            <v>0</v>
          </cell>
          <cell r="BL525">
            <v>4.666666666666667</v>
          </cell>
          <cell r="BM525">
            <v>9</v>
          </cell>
          <cell r="BN525">
            <v>18</v>
          </cell>
          <cell r="BO525">
            <v>0</v>
          </cell>
          <cell r="BP525">
            <v>8.5</v>
          </cell>
          <cell r="BQ525">
            <v>8</v>
          </cell>
          <cell r="BR525">
            <v>8.7272727272727284</v>
          </cell>
          <cell r="BS525">
            <v>0</v>
          </cell>
          <cell r="BT525">
            <v>7.333333333333333</v>
          </cell>
          <cell r="BU525">
            <v>18</v>
          </cell>
          <cell r="BV525">
            <v>27</v>
          </cell>
          <cell r="BW525">
            <v>0</v>
          </cell>
          <cell r="BX525">
            <v>0</v>
          </cell>
          <cell r="BY525">
            <v>17.333333333333332</v>
          </cell>
          <cell r="BZ525">
            <v>13</v>
          </cell>
          <cell r="CA525">
            <v>8.6666666666666661</v>
          </cell>
          <cell r="CB525">
            <v>0</v>
          </cell>
          <cell r="CC525">
            <v>0</v>
          </cell>
          <cell r="CD525">
            <v>11.5</v>
          </cell>
          <cell r="CE525">
            <v>12</v>
          </cell>
          <cell r="CF525">
            <v>9</v>
          </cell>
          <cell r="CG525">
            <v>0</v>
          </cell>
          <cell r="CH525">
            <v>0</v>
          </cell>
          <cell r="CI525">
            <v>10.166666666666666</v>
          </cell>
          <cell r="CJ525">
            <v>11</v>
          </cell>
          <cell r="CK525">
            <v>7.333333333333333</v>
          </cell>
          <cell r="CL525">
            <v>0</v>
          </cell>
          <cell r="CM525">
            <v>0</v>
          </cell>
          <cell r="CN525">
            <v>9.5</v>
          </cell>
          <cell r="CO525">
            <v>9</v>
          </cell>
          <cell r="CP525">
            <v>4.5</v>
          </cell>
          <cell r="CQ525">
            <v>0</v>
          </cell>
          <cell r="CR525">
            <v>0</v>
          </cell>
          <cell r="CS525">
            <v>7</v>
          </cell>
          <cell r="CT525">
            <v>9</v>
          </cell>
          <cell r="CU525">
            <v>6</v>
          </cell>
          <cell r="CV525">
            <v>0</v>
          </cell>
          <cell r="CW525">
            <v>0</v>
          </cell>
          <cell r="CX525">
            <v>7.5</v>
          </cell>
          <cell r="CY525">
            <v>9</v>
          </cell>
          <cell r="CZ525">
            <v>6</v>
          </cell>
          <cell r="DA525">
            <v>0</v>
          </cell>
          <cell r="DB525">
            <v>0</v>
          </cell>
          <cell r="DC525">
            <v>8.0833333333333339</v>
          </cell>
          <cell r="DD525">
            <v>6</v>
          </cell>
          <cell r="DE525">
            <v>5.454545454545455</v>
          </cell>
          <cell r="DF525">
            <v>0</v>
          </cell>
          <cell r="DG525">
            <v>0</v>
          </cell>
          <cell r="DH525">
            <v>5.083333333333333</v>
          </cell>
          <cell r="DI525">
            <v>6</v>
          </cell>
          <cell r="DJ525">
            <v>7.454545454545455</v>
          </cell>
          <cell r="DK525">
            <v>0</v>
          </cell>
          <cell r="DL525">
            <v>0</v>
          </cell>
          <cell r="DM525">
            <v>4.1666666666666661</v>
          </cell>
          <cell r="DN525">
            <v>6</v>
          </cell>
          <cell r="DO525">
            <v>7.454545454545455</v>
          </cell>
          <cell r="DP525">
            <v>0</v>
          </cell>
          <cell r="DQ525">
            <v>0</v>
          </cell>
          <cell r="DR525">
            <v>5.083333333333333</v>
          </cell>
          <cell r="DS525">
            <v>5.083333333333333</v>
          </cell>
          <cell r="DT525">
            <v>6.4545454545454541</v>
          </cell>
          <cell r="DU525">
            <v>0</v>
          </cell>
          <cell r="DV525">
            <v>0</v>
          </cell>
          <cell r="DW525">
            <v>4.1666666666666661</v>
          </cell>
          <cell r="DX525">
            <v>4.1666666666666661</v>
          </cell>
          <cell r="DY525">
            <v>5.4545454545454541</v>
          </cell>
          <cell r="DZ525">
            <v>0</v>
          </cell>
          <cell r="EA525">
            <v>0</v>
          </cell>
          <cell r="EB525">
            <v>3.2499999999999996</v>
          </cell>
          <cell r="EC525">
            <v>3.2499999999999996</v>
          </cell>
          <cell r="ED525">
            <v>4.4545454545454541</v>
          </cell>
          <cell r="EE525">
            <v>0</v>
          </cell>
          <cell r="EF525">
            <v>0</v>
          </cell>
          <cell r="EG525">
            <v>2.333333333333333</v>
          </cell>
          <cell r="EH525">
            <v>2.333333333333333</v>
          </cell>
          <cell r="EI525">
            <v>3.4545454545454541</v>
          </cell>
          <cell r="EJ525">
            <v>0</v>
          </cell>
          <cell r="EK525">
            <v>0</v>
          </cell>
          <cell r="EL525">
            <v>1.4166666666666665</v>
          </cell>
          <cell r="EM525">
            <v>1.4166666666666665</v>
          </cell>
          <cell r="EN525">
            <v>2.4545454545454546</v>
          </cell>
          <cell r="EO525">
            <v>0</v>
          </cell>
          <cell r="EP525">
            <v>0</v>
          </cell>
          <cell r="EQ525">
            <v>0.49999999999999989</v>
          </cell>
          <cell r="ER525">
            <v>0.49999999999999989</v>
          </cell>
          <cell r="ES525">
            <v>1.4545454545454544</v>
          </cell>
          <cell r="ET525">
            <v>0.50000000000000011</v>
          </cell>
          <cell r="EU525">
            <v>0</v>
          </cell>
          <cell r="EV525">
            <v>-0.41666666666666674</v>
          </cell>
          <cell r="EW525">
            <v>-0.41666666666666674</v>
          </cell>
          <cell r="EX525">
            <v>0.45454545454545436</v>
          </cell>
          <cell r="EY525">
            <v>1.4166666666666667</v>
          </cell>
          <cell r="EZ525">
            <v>0</v>
          </cell>
          <cell r="FA525">
            <v>-1.3333333333333335</v>
          </cell>
          <cell r="FB525">
            <v>-1.3333333333333335</v>
          </cell>
          <cell r="FC525">
            <v>-0.54545454545454586</v>
          </cell>
          <cell r="FD525">
            <v>2.3333333333333335</v>
          </cell>
          <cell r="FE525">
            <v>0</v>
          </cell>
          <cell r="FF525">
            <v>-2.25</v>
          </cell>
          <cell r="FG525">
            <v>-2.25</v>
          </cell>
          <cell r="FH525">
            <v>-1.5454545454545454</v>
          </cell>
          <cell r="FI525">
            <v>3.25</v>
          </cell>
          <cell r="FJ525">
            <v>0</v>
          </cell>
          <cell r="FK525">
            <v>-3.1666666666666665</v>
          </cell>
          <cell r="FL525">
            <v>-3.1666666666666665</v>
          </cell>
          <cell r="FM525">
            <v>-2.545454545454545</v>
          </cell>
          <cell r="FN525">
            <v>4.1666666666666661</v>
          </cell>
          <cell r="FO525">
            <v>0</v>
          </cell>
          <cell r="FP525">
            <v>-4.083333333333333</v>
          </cell>
          <cell r="FQ525">
            <v>-4.083333333333333</v>
          </cell>
          <cell r="FR525">
            <v>-3.545454545454545</v>
          </cell>
          <cell r="FS525">
            <v>5.083333333333333</v>
          </cell>
          <cell r="FT525">
            <v>1</v>
          </cell>
          <cell r="FU525">
            <v>1</v>
          </cell>
          <cell r="FW525" t="str">
            <v>SOBRESTOCK</v>
          </cell>
          <cell r="FX525" t="str">
            <v>C</v>
          </cell>
          <cell r="FY525" t="str">
            <v>Si</v>
          </cell>
        </row>
        <row r="526">
          <cell r="B526" t="str">
            <v>REP-0543</v>
          </cell>
          <cell r="C526" t="str">
            <v>NACIONAL</v>
          </cell>
          <cell r="E526">
            <v>88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27</v>
          </cell>
          <cell r="L526">
            <v>15</v>
          </cell>
          <cell r="M526">
            <v>5</v>
          </cell>
          <cell r="N526">
            <v>4</v>
          </cell>
          <cell r="O526">
            <v>0</v>
          </cell>
          <cell r="P526">
            <v>0</v>
          </cell>
          <cell r="Q526">
            <v>0</v>
          </cell>
          <cell r="R526">
            <v>1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2</v>
          </cell>
          <cell r="X526">
            <v>1</v>
          </cell>
          <cell r="Y526">
            <v>143</v>
          </cell>
          <cell r="AA526">
            <v>143</v>
          </cell>
          <cell r="AC526">
            <v>0</v>
          </cell>
          <cell r="AD526">
            <v>0</v>
          </cell>
          <cell r="AE526">
            <v>0</v>
          </cell>
          <cell r="AH526">
            <v>5.833333333333333</v>
          </cell>
          <cell r="AI526">
            <v>3</v>
          </cell>
          <cell r="AJ526">
            <v>3</v>
          </cell>
          <cell r="AK526">
            <v>5.833333333333333</v>
          </cell>
          <cell r="AL526">
            <v>1.6358257627039401</v>
          </cell>
          <cell r="AM526">
            <v>3.9444444444444442</v>
          </cell>
          <cell r="AN526">
            <v>0.41471639054466092</v>
          </cell>
          <cell r="AX526">
            <v>29</v>
          </cell>
          <cell r="BB526">
            <v>50</v>
          </cell>
          <cell r="BC526" t="str">
            <v/>
          </cell>
          <cell r="BD526">
            <v>0</v>
          </cell>
          <cell r="BE526">
            <v>50</v>
          </cell>
          <cell r="BF526" t="str">
            <v/>
          </cell>
          <cell r="BG526">
            <v>0</v>
          </cell>
          <cell r="BH526">
            <v>50</v>
          </cell>
          <cell r="BI526">
            <v>143</v>
          </cell>
          <cell r="BJ526">
            <v>24.514285714285716</v>
          </cell>
          <cell r="BK526">
            <v>0</v>
          </cell>
          <cell r="BL526">
            <v>43</v>
          </cell>
          <cell r="BM526">
            <v>24</v>
          </cell>
          <cell r="BN526">
            <v>13.090909090909092</v>
          </cell>
          <cell r="BO526">
            <v>0</v>
          </cell>
          <cell r="BP526">
            <v>22.166666666666668</v>
          </cell>
          <cell r="BQ526">
            <v>228</v>
          </cell>
          <cell r="BR526">
            <v>39.085714285714289</v>
          </cell>
          <cell r="BS526">
            <v>0</v>
          </cell>
          <cell r="BT526">
            <v>225.33333333333334</v>
          </cell>
          <cell r="BU526">
            <v>214</v>
          </cell>
          <cell r="BV526">
            <v>24.692307692307693</v>
          </cell>
          <cell r="BW526">
            <v>0</v>
          </cell>
          <cell r="BX526">
            <v>0</v>
          </cell>
          <cell r="BY526">
            <v>205.33333333333334</v>
          </cell>
          <cell r="BZ526">
            <v>213</v>
          </cell>
          <cell r="CA526">
            <v>24.113207547169811</v>
          </cell>
          <cell r="CB526">
            <v>0</v>
          </cell>
          <cell r="CC526">
            <v>0</v>
          </cell>
          <cell r="CD526">
            <v>204.16666666666666</v>
          </cell>
          <cell r="CE526">
            <v>206</v>
          </cell>
          <cell r="CF526">
            <v>22.071428571428569</v>
          </cell>
          <cell r="CG526">
            <v>0</v>
          </cell>
          <cell r="CH526">
            <v>0</v>
          </cell>
          <cell r="CI526">
            <v>194.83333333333331</v>
          </cell>
          <cell r="CJ526">
            <v>196</v>
          </cell>
          <cell r="CK526">
            <v>18.375</v>
          </cell>
          <cell r="CL526">
            <v>0</v>
          </cell>
          <cell r="CM526">
            <v>0</v>
          </cell>
          <cell r="CN526">
            <v>185.33333333333334</v>
          </cell>
          <cell r="CO526">
            <v>180</v>
          </cell>
          <cell r="CP526">
            <v>16.875</v>
          </cell>
          <cell r="CQ526">
            <v>0</v>
          </cell>
          <cell r="CR526">
            <v>0</v>
          </cell>
          <cell r="CS526">
            <v>169.33333333333334</v>
          </cell>
          <cell r="CT526">
            <v>180</v>
          </cell>
          <cell r="CU526">
            <v>20</v>
          </cell>
          <cell r="CV526">
            <v>0</v>
          </cell>
          <cell r="CW526">
            <v>0</v>
          </cell>
          <cell r="CX526">
            <v>171</v>
          </cell>
          <cell r="CY526">
            <v>181</v>
          </cell>
          <cell r="CZ526">
            <v>31.028571428571428</v>
          </cell>
          <cell r="DA526">
            <v>0</v>
          </cell>
          <cell r="DB526">
            <v>0</v>
          </cell>
          <cell r="DC526">
            <v>175.16666666666666</v>
          </cell>
          <cell r="DD526">
            <v>178</v>
          </cell>
          <cell r="DE526">
            <v>29.314285714285717</v>
          </cell>
          <cell r="DF526">
            <v>0</v>
          </cell>
          <cell r="DG526">
            <v>0</v>
          </cell>
          <cell r="DH526">
            <v>172.16666666666666</v>
          </cell>
          <cell r="DI526">
            <v>166</v>
          </cell>
          <cell r="DJ526">
            <v>29.25714285714286</v>
          </cell>
          <cell r="DK526">
            <v>0</v>
          </cell>
          <cell r="DL526">
            <v>0</v>
          </cell>
          <cell r="DM526">
            <v>166.33333333333331</v>
          </cell>
          <cell r="DN526">
            <v>143</v>
          </cell>
          <cell r="DO526">
            <v>25.314285714285717</v>
          </cell>
          <cell r="DP526">
            <v>0</v>
          </cell>
          <cell r="DQ526">
            <v>0</v>
          </cell>
          <cell r="DR526">
            <v>137.16666666666666</v>
          </cell>
          <cell r="DS526">
            <v>137.16666666666666</v>
          </cell>
          <cell r="DT526">
            <v>24.314285714285713</v>
          </cell>
          <cell r="DU526">
            <v>0</v>
          </cell>
          <cell r="DV526">
            <v>0</v>
          </cell>
          <cell r="DW526">
            <v>131.33333333333331</v>
          </cell>
          <cell r="DX526">
            <v>131.33333333333331</v>
          </cell>
          <cell r="DY526">
            <v>23.314285714285713</v>
          </cell>
          <cell r="DZ526">
            <v>0</v>
          </cell>
          <cell r="EA526">
            <v>0</v>
          </cell>
          <cell r="EB526">
            <v>125.49999999999999</v>
          </cell>
          <cell r="EC526">
            <v>125.49999999999999</v>
          </cell>
          <cell r="ED526">
            <v>22.314285714285713</v>
          </cell>
          <cell r="EE526">
            <v>0</v>
          </cell>
          <cell r="EF526">
            <v>0</v>
          </cell>
          <cell r="EG526">
            <v>119.66666666666666</v>
          </cell>
          <cell r="EH526">
            <v>119.66666666666666</v>
          </cell>
          <cell r="EI526">
            <v>21.314285714285713</v>
          </cell>
          <cell r="EJ526">
            <v>0</v>
          </cell>
          <cell r="EK526">
            <v>0</v>
          </cell>
          <cell r="EL526">
            <v>113.83333333333333</v>
          </cell>
          <cell r="EM526">
            <v>113.83333333333333</v>
          </cell>
          <cell r="EN526">
            <v>20.314285714285713</v>
          </cell>
          <cell r="EO526">
            <v>0</v>
          </cell>
          <cell r="EP526">
            <v>0</v>
          </cell>
          <cell r="EQ526">
            <v>108</v>
          </cell>
          <cell r="ER526">
            <v>108</v>
          </cell>
          <cell r="ES526">
            <v>19.314285714285717</v>
          </cell>
          <cell r="ET526">
            <v>0</v>
          </cell>
          <cell r="EU526">
            <v>0</v>
          </cell>
          <cell r="EV526">
            <v>102.16666666666667</v>
          </cell>
          <cell r="EW526">
            <v>102.16666666666667</v>
          </cell>
          <cell r="EX526">
            <v>18.314285714285717</v>
          </cell>
          <cell r="EY526">
            <v>0</v>
          </cell>
          <cell r="EZ526">
            <v>0</v>
          </cell>
          <cell r="FA526">
            <v>96.333333333333343</v>
          </cell>
          <cell r="FB526">
            <v>96.333333333333343</v>
          </cell>
          <cell r="FC526">
            <v>17.314285714285717</v>
          </cell>
          <cell r="FD526">
            <v>0</v>
          </cell>
          <cell r="FE526">
            <v>0</v>
          </cell>
          <cell r="FF526">
            <v>90.500000000000014</v>
          </cell>
          <cell r="FG526">
            <v>90.500000000000014</v>
          </cell>
          <cell r="FH526">
            <v>16.314285714285717</v>
          </cell>
          <cell r="FI526">
            <v>0</v>
          </cell>
          <cell r="FJ526">
            <v>0</v>
          </cell>
          <cell r="FK526">
            <v>84.666666666666686</v>
          </cell>
          <cell r="FL526">
            <v>84.666666666666686</v>
          </cell>
          <cell r="FM526">
            <v>15.314285714285718</v>
          </cell>
          <cell r="FN526">
            <v>0</v>
          </cell>
          <cell r="FO526">
            <v>0</v>
          </cell>
          <cell r="FP526">
            <v>78.833333333333357</v>
          </cell>
          <cell r="FQ526">
            <v>78.833333333333357</v>
          </cell>
          <cell r="FR526">
            <v>14.314285714285718</v>
          </cell>
          <cell r="FS526">
            <v>0</v>
          </cell>
          <cell r="FT526">
            <v>7</v>
          </cell>
          <cell r="FU526">
            <v>1.0333333333333334</v>
          </cell>
          <cell r="FW526" t="str">
            <v>SOBRESTOCK</v>
          </cell>
          <cell r="FX526" t="str">
            <v>C</v>
          </cell>
          <cell r="FY526" t="str">
            <v>Si</v>
          </cell>
        </row>
        <row r="527">
          <cell r="B527" t="str">
            <v>REP-0544</v>
          </cell>
          <cell r="C527" t="str">
            <v>NACIONAL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3</v>
          </cell>
          <cell r="M527">
            <v>0</v>
          </cell>
          <cell r="N527">
            <v>2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</v>
          </cell>
          <cell r="U527">
            <v>0</v>
          </cell>
          <cell r="V527">
            <v>0</v>
          </cell>
          <cell r="W527">
            <v>2</v>
          </cell>
          <cell r="X527">
            <v>0</v>
          </cell>
          <cell r="Y527">
            <v>9</v>
          </cell>
          <cell r="AA527">
            <v>9</v>
          </cell>
          <cell r="AC527">
            <v>0</v>
          </cell>
          <cell r="AD527">
            <v>0</v>
          </cell>
          <cell r="AE527">
            <v>0</v>
          </cell>
          <cell r="AH527">
            <v>1.25</v>
          </cell>
          <cell r="AI527">
            <v>0.33333333333333331</v>
          </cell>
          <cell r="AJ527">
            <v>0.33333333333333331</v>
          </cell>
          <cell r="AK527">
            <v>1.25</v>
          </cell>
          <cell r="AL527">
            <v>0.52923774675715707</v>
          </cell>
          <cell r="AM527">
            <v>0.63888888888888884</v>
          </cell>
          <cell r="AN527">
            <v>0.82837212535902849</v>
          </cell>
          <cell r="AX527">
            <v>30</v>
          </cell>
          <cell r="BB527">
            <v>30</v>
          </cell>
          <cell r="BC527" t="str">
            <v/>
          </cell>
          <cell r="BD527">
            <v>0</v>
          </cell>
          <cell r="BE527">
            <v>30</v>
          </cell>
          <cell r="BF527" t="str">
            <v/>
          </cell>
          <cell r="BG527">
            <v>0</v>
          </cell>
          <cell r="BH527">
            <v>30</v>
          </cell>
          <cell r="BI527">
            <v>9</v>
          </cell>
          <cell r="BJ527">
            <v>7.2</v>
          </cell>
          <cell r="BK527">
            <v>0</v>
          </cell>
          <cell r="BL527">
            <v>27.666666666666668</v>
          </cell>
          <cell r="BM527">
            <v>22</v>
          </cell>
          <cell r="BN527">
            <v>44</v>
          </cell>
          <cell r="BO527">
            <v>0</v>
          </cell>
          <cell r="BP527">
            <v>21.5</v>
          </cell>
          <cell r="BQ527">
            <v>27</v>
          </cell>
          <cell r="BR527">
            <v>21.6</v>
          </cell>
          <cell r="BS527">
            <v>0</v>
          </cell>
          <cell r="BT527">
            <v>26.5</v>
          </cell>
          <cell r="BU527">
            <v>27</v>
          </cell>
          <cell r="BV527">
            <v>54</v>
          </cell>
          <cell r="BW527">
            <v>0</v>
          </cell>
          <cell r="BX527">
            <v>0</v>
          </cell>
          <cell r="BY527">
            <v>26.5</v>
          </cell>
          <cell r="BZ527">
            <v>27</v>
          </cell>
          <cell r="CA527">
            <v>54</v>
          </cell>
          <cell r="CB527">
            <v>0</v>
          </cell>
          <cell r="CC527">
            <v>0</v>
          </cell>
          <cell r="CD527">
            <v>26.5</v>
          </cell>
          <cell r="CE527">
            <v>27</v>
          </cell>
          <cell r="CF527">
            <v>99.000000000000014</v>
          </cell>
          <cell r="CG527">
            <v>0</v>
          </cell>
          <cell r="CH527">
            <v>0</v>
          </cell>
          <cell r="CI527">
            <v>26.227272727272727</v>
          </cell>
          <cell r="CJ527">
            <v>15</v>
          </cell>
          <cell r="CK527">
            <v>6.9230769230769234</v>
          </cell>
          <cell r="CL527">
            <v>0</v>
          </cell>
          <cell r="CM527">
            <v>0</v>
          </cell>
          <cell r="CN527">
            <v>12.833333333333334</v>
          </cell>
          <cell r="CO527">
            <v>13</v>
          </cell>
          <cell r="CP527">
            <v>6</v>
          </cell>
          <cell r="CQ527">
            <v>0</v>
          </cell>
          <cell r="CR527">
            <v>0</v>
          </cell>
          <cell r="CS527">
            <v>10.833333333333334</v>
          </cell>
          <cell r="CT527">
            <v>13</v>
          </cell>
          <cell r="CU527">
            <v>6.5</v>
          </cell>
          <cell r="CV527">
            <v>0</v>
          </cell>
          <cell r="CW527">
            <v>0</v>
          </cell>
          <cell r="CX527">
            <v>11</v>
          </cell>
          <cell r="CY527">
            <v>13</v>
          </cell>
          <cell r="CZ527">
            <v>10.4</v>
          </cell>
          <cell r="DA527">
            <v>0</v>
          </cell>
          <cell r="DB527">
            <v>0</v>
          </cell>
          <cell r="DC527">
            <v>11.75</v>
          </cell>
          <cell r="DD527">
            <v>13</v>
          </cell>
          <cell r="DE527">
            <v>8.8000000000000007</v>
          </cell>
          <cell r="DF527">
            <v>0</v>
          </cell>
          <cell r="DG527">
            <v>0</v>
          </cell>
          <cell r="DH527">
            <v>11.75</v>
          </cell>
          <cell r="DI527">
            <v>9</v>
          </cell>
          <cell r="DJ527">
            <v>7.6</v>
          </cell>
          <cell r="DK527">
            <v>0</v>
          </cell>
          <cell r="DL527">
            <v>0</v>
          </cell>
          <cell r="DM527">
            <v>10.5</v>
          </cell>
          <cell r="DN527">
            <v>9</v>
          </cell>
          <cell r="DO527">
            <v>7.6</v>
          </cell>
          <cell r="DP527">
            <v>0</v>
          </cell>
          <cell r="DQ527">
            <v>0</v>
          </cell>
          <cell r="DR527">
            <v>7.75</v>
          </cell>
          <cell r="DS527">
            <v>7.75</v>
          </cell>
          <cell r="DT527">
            <v>6.6</v>
          </cell>
          <cell r="DU527">
            <v>0</v>
          </cell>
          <cell r="DV527">
            <v>0</v>
          </cell>
          <cell r="DW527">
            <v>6.5</v>
          </cell>
          <cell r="DX527">
            <v>6.5</v>
          </cell>
          <cell r="DY527">
            <v>5.6</v>
          </cell>
          <cell r="DZ527">
            <v>0</v>
          </cell>
          <cell r="EA527">
            <v>0</v>
          </cell>
          <cell r="EB527">
            <v>5.25</v>
          </cell>
          <cell r="EC527">
            <v>5.25</v>
          </cell>
          <cell r="ED527">
            <v>4.5999999999999996</v>
          </cell>
          <cell r="EE527">
            <v>0</v>
          </cell>
          <cell r="EF527">
            <v>0</v>
          </cell>
          <cell r="EG527">
            <v>4</v>
          </cell>
          <cell r="EH527">
            <v>4</v>
          </cell>
          <cell r="EI527">
            <v>3.6</v>
          </cell>
          <cell r="EJ527">
            <v>0</v>
          </cell>
          <cell r="EK527">
            <v>0</v>
          </cell>
          <cell r="EL527">
            <v>2.75</v>
          </cell>
          <cell r="EM527">
            <v>2.75</v>
          </cell>
          <cell r="EN527">
            <v>2.6</v>
          </cell>
          <cell r="EO527">
            <v>0</v>
          </cell>
          <cell r="EP527">
            <v>0</v>
          </cell>
          <cell r="EQ527">
            <v>1.5</v>
          </cell>
          <cell r="ER527">
            <v>1.5</v>
          </cell>
          <cell r="ES527">
            <v>1.6</v>
          </cell>
          <cell r="ET527">
            <v>0.5</v>
          </cell>
          <cell r="EU527">
            <v>0</v>
          </cell>
          <cell r="EV527">
            <v>0.25</v>
          </cell>
          <cell r="EW527">
            <v>0.25</v>
          </cell>
          <cell r="EX527">
            <v>0.60000000000000009</v>
          </cell>
          <cell r="EY527">
            <v>1.75</v>
          </cell>
          <cell r="EZ527">
            <v>0</v>
          </cell>
          <cell r="FA527">
            <v>-1</v>
          </cell>
          <cell r="FB527">
            <v>-1</v>
          </cell>
          <cell r="FC527">
            <v>-0.39999999999999991</v>
          </cell>
          <cell r="FD527">
            <v>3</v>
          </cell>
          <cell r="FE527">
            <v>0</v>
          </cell>
          <cell r="FF527">
            <v>-2.25</v>
          </cell>
          <cell r="FG527">
            <v>-2.25</v>
          </cell>
          <cell r="FH527">
            <v>-1.4</v>
          </cell>
          <cell r="FI527">
            <v>4.25</v>
          </cell>
          <cell r="FJ527">
            <v>0</v>
          </cell>
          <cell r="FK527">
            <v>-3.5</v>
          </cell>
          <cell r="FL527">
            <v>-3.5</v>
          </cell>
          <cell r="FM527">
            <v>-2.4000000000000004</v>
          </cell>
          <cell r="FN527">
            <v>5.5</v>
          </cell>
          <cell r="FO527">
            <v>0</v>
          </cell>
          <cell r="FP527">
            <v>-4.75</v>
          </cell>
          <cell r="FQ527">
            <v>-4.75</v>
          </cell>
          <cell r="FR527">
            <v>-3.4000000000000004</v>
          </cell>
          <cell r="FS527">
            <v>6.75</v>
          </cell>
          <cell r="FT527">
            <v>2</v>
          </cell>
          <cell r="FU527">
            <v>1.0333333333333334</v>
          </cell>
          <cell r="FW527" t="str">
            <v>SOBRESTOCK</v>
          </cell>
          <cell r="FX527" t="str">
            <v>STOCK MUERTO</v>
          </cell>
          <cell r="FY527" t="str">
            <v>Si</v>
          </cell>
        </row>
        <row r="528">
          <cell r="B528" t="str">
            <v>REP-0545</v>
          </cell>
          <cell r="C528" t="str">
            <v>NACIONAL</v>
          </cell>
          <cell r="E528">
            <v>3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3</v>
          </cell>
          <cell r="L528">
            <v>0</v>
          </cell>
          <cell r="M528">
            <v>0</v>
          </cell>
          <cell r="N528">
            <v>1</v>
          </cell>
          <cell r="O528">
            <v>1</v>
          </cell>
          <cell r="P528">
            <v>1</v>
          </cell>
          <cell r="Q528">
            <v>0</v>
          </cell>
          <cell r="R528">
            <v>3</v>
          </cell>
          <cell r="S528">
            <v>1</v>
          </cell>
          <cell r="T528">
            <v>3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20</v>
          </cell>
          <cell r="AA528">
            <v>20</v>
          </cell>
          <cell r="AC528">
            <v>0</v>
          </cell>
          <cell r="AD528">
            <v>0</v>
          </cell>
          <cell r="AE528">
            <v>0</v>
          </cell>
          <cell r="AH528">
            <v>1.9166666666666667</v>
          </cell>
          <cell r="AI528">
            <v>1.6666666666666667</v>
          </cell>
          <cell r="AJ528">
            <v>1.6666666666666667</v>
          </cell>
          <cell r="AK528">
            <v>1.9166666666666667</v>
          </cell>
          <cell r="AL528">
            <v>0.14433756729740646</v>
          </cell>
          <cell r="AM528">
            <v>1.75</v>
          </cell>
          <cell r="AN528">
            <v>8.2478609884232265E-2</v>
          </cell>
          <cell r="AX528">
            <v>31</v>
          </cell>
          <cell r="BB528">
            <v>5</v>
          </cell>
          <cell r="BC528" t="str">
            <v/>
          </cell>
          <cell r="BD528">
            <v>0</v>
          </cell>
          <cell r="BE528">
            <v>5</v>
          </cell>
          <cell r="BF528" t="str">
            <v/>
          </cell>
          <cell r="BG528">
            <v>0</v>
          </cell>
          <cell r="BH528">
            <v>5</v>
          </cell>
          <cell r="BI528">
            <v>20</v>
          </cell>
          <cell r="BJ528">
            <v>10.434782608695652</v>
          </cell>
          <cell r="BK528">
            <v>0</v>
          </cell>
          <cell r="BL528">
            <v>18.333333333333332</v>
          </cell>
          <cell r="BM528">
            <v>19</v>
          </cell>
          <cell r="BN528">
            <v>10.363636363636363</v>
          </cell>
          <cell r="BO528">
            <v>0</v>
          </cell>
          <cell r="BP528">
            <v>17.166666666666668</v>
          </cell>
          <cell r="BQ528">
            <v>18</v>
          </cell>
          <cell r="BR528">
            <v>9.391304347826086</v>
          </cell>
          <cell r="BS528">
            <v>0</v>
          </cell>
          <cell r="BT528">
            <v>16</v>
          </cell>
          <cell r="BU528">
            <v>18</v>
          </cell>
          <cell r="BV528">
            <v>9</v>
          </cell>
          <cell r="BW528">
            <v>0</v>
          </cell>
          <cell r="BX528">
            <v>0</v>
          </cell>
          <cell r="BY528">
            <v>16</v>
          </cell>
          <cell r="BZ528">
            <v>16</v>
          </cell>
          <cell r="CA528">
            <v>6.8571428571428568</v>
          </cell>
          <cell r="CB528">
            <v>0</v>
          </cell>
          <cell r="CC528">
            <v>0</v>
          </cell>
          <cell r="CD528">
            <v>13.666666666666666</v>
          </cell>
          <cell r="CE528">
            <v>10</v>
          </cell>
          <cell r="CF528">
            <v>4</v>
          </cell>
          <cell r="CG528">
            <v>0</v>
          </cell>
          <cell r="CH528">
            <v>0</v>
          </cell>
          <cell r="CI528">
            <v>11.166666666666666</v>
          </cell>
          <cell r="CJ528">
            <v>22</v>
          </cell>
          <cell r="CK528">
            <v>10.153846153846155</v>
          </cell>
          <cell r="CL528">
            <v>0</v>
          </cell>
          <cell r="CM528">
            <v>0</v>
          </cell>
          <cell r="CN528">
            <v>19.833333333333332</v>
          </cell>
          <cell r="CO528">
            <v>21</v>
          </cell>
          <cell r="CP528">
            <v>9.6923076923076934</v>
          </cell>
          <cell r="CQ528">
            <v>0</v>
          </cell>
          <cell r="CR528">
            <v>0</v>
          </cell>
          <cell r="CS528">
            <v>18.833333333333332</v>
          </cell>
          <cell r="CT528">
            <v>21</v>
          </cell>
          <cell r="CU528">
            <v>9.6923076923076934</v>
          </cell>
          <cell r="CV528">
            <v>0</v>
          </cell>
          <cell r="CW528">
            <v>0</v>
          </cell>
          <cell r="CX528">
            <v>18.833333333333332</v>
          </cell>
          <cell r="CY528">
            <v>18</v>
          </cell>
          <cell r="CZ528">
            <v>8.3076923076923084</v>
          </cell>
          <cell r="DA528">
            <v>0.16666666666666785</v>
          </cell>
          <cell r="DB528">
            <v>0</v>
          </cell>
          <cell r="DC528">
            <v>15.833333333333334</v>
          </cell>
          <cell r="DD528">
            <v>18</v>
          </cell>
          <cell r="DE528">
            <v>-0.46153846153846156</v>
          </cell>
          <cell r="DF528">
            <v>3.1666666666666661</v>
          </cell>
          <cell r="DG528">
            <v>0</v>
          </cell>
          <cell r="DH528">
            <v>15.833333333333334</v>
          </cell>
          <cell r="DI528">
            <v>22</v>
          </cell>
          <cell r="DJ528">
            <v>3.5</v>
          </cell>
          <cell r="DK528">
            <v>0</v>
          </cell>
          <cell r="DL528">
            <v>0</v>
          </cell>
          <cell r="DM528">
            <v>13.833333333333334</v>
          </cell>
          <cell r="DN528">
            <v>20</v>
          </cell>
          <cell r="DO528">
            <v>2.5217391304347827</v>
          </cell>
          <cell r="DP528">
            <v>0</v>
          </cell>
          <cell r="DQ528">
            <v>0</v>
          </cell>
          <cell r="DR528">
            <v>18.083333333333332</v>
          </cell>
          <cell r="DS528">
            <v>18.083333333333332</v>
          </cell>
          <cell r="DT528">
            <v>1.521739130434782</v>
          </cell>
          <cell r="DU528">
            <v>0.91666666666666785</v>
          </cell>
          <cell r="DV528">
            <v>0</v>
          </cell>
          <cell r="DW528">
            <v>16.166666666666664</v>
          </cell>
          <cell r="DX528">
            <v>16.166666666666664</v>
          </cell>
          <cell r="DY528">
            <v>0.52173913043478137</v>
          </cell>
          <cell r="DZ528">
            <v>2.8333333333333357</v>
          </cell>
          <cell r="EA528">
            <v>0</v>
          </cell>
          <cell r="EB528">
            <v>14.249999999999998</v>
          </cell>
          <cell r="EC528">
            <v>14.249999999999998</v>
          </cell>
          <cell r="ED528">
            <v>-0.47826086956521818</v>
          </cell>
          <cell r="EE528">
            <v>4.7500000000000018</v>
          </cell>
          <cell r="EF528">
            <v>0</v>
          </cell>
          <cell r="EG528">
            <v>12.333333333333332</v>
          </cell>
          <cell r="EH528">
            <v>12.333333333333332</v>
          </cell>
          <cell r="EI528">
            <v>-1.4782608695652177</v>
          </cell>
          <cell r="EJ528">
            <v>6.6666666666666679</v>
          </cell>
          <cell r="EK528">
            <v>0</v>
          </cell>
          <cell r="EL528">
            <v>10.416666666666666</v>
          </cell>
          <cell r="EM528">
            <v>10.416666666666666</v>
          </cell>
          <cell r="EN528">
            <v>-2.4782608695652177</v>
          </cell>
          <cell r="EO528">
            <v>8.5833333333333339</v>
          </cell>
          <cell r="EP528">
            <v>0</v>
          </cell>
          <cell r="EQ528">
            <v>8.5</v>
          </cell>
          <cell r="ER528">
            <v>8.5</v>
          </cell>
          <cell r="ES528">
            <v>-3.4782608695652169</v>
          </cell>
          <cell r="ET528">
            <v>10.5</v>
          </cell>
          <cell r="EU528">
            <v>0</v>
          </cell>
          <cell r="EV528">
            <v>6.583333333333333</v>
          </cell>
          <cell r="EW528">
            <v>6.583333333333333</v>
          </cell>
          <cell r="EX528">
            <v>-4.4782608695652177</v>
          </cell>
          <cell r="EY528">
            <v>12.416666666666668</v>
          </cell>
          <cell r="EZ528">
            <v>0</v>
          </cell>
          <cell r="FA528">
            <v>4.6666666666666661</v>
          </cell>
          <cell r="FB528">
            <v>4.6666666666666661</v>
          </cell>
          <cell r="FC528">
            <v>-5.4782608695652177</v>
          </cell>
          <cell r="FD528">
            <v>14.333333333333334</v>
          </cell>
          <cell r="FE528">
            <v>0</v>
          </cell>
          <cell r="FF528">
            <v>2.7499999999999991</v>
          </cell>
          <cell r="FG528">
            <v>2.7499999999999991</v>
          </cell>
          <cell r="FH528">
            <v>-6.4782608695652169</v>
          </cell>
          <cell r="FI528">
            <v>16.25</v>
          </cell>
          <cell r="FJ528">
            <v>0</v>
          </cell>
          <cell r="FK528">
            <v>0.83333333333333237</v>
          </cell>
          <cell r="FL528">
            <v>0.83333333333333237</v>
          </cell>
          <cell r="FM528">
            <v>-7.4782608695652169</v>
          </cell>
          <cell r="FN528">
            <v>18.166666666666668</v>
          </cell>
          <cell r="FO528">
            <v>0</v>
          </cell>
          <cell r="FP528">
            <v>-1.0833333333333344</v>
          </cell>
          <cell r="FQ528">
            <v>-1.0833333333333344</v>
          </cell>
          <cell r="FR528">
            <v>-8.4782608695652186</v>
          </cell>
          <cell r="FS528">
            <v>20.083333333333336</v>
          </cell>
          <cell r="FT528">
            <v>19</v>
          </cell>
          <cell r="FU528">
            <v>1.0333333333333334</v>
          </cell>
          <cell r="FW528" t="str">
            <v>STOCK OK</v>
          </cell>
          <cell r="FX528" t="str">
            <v>C</v>
          </cell>
          <cell r="FY528" t="str">
            <v>Si</v>
          </cell>
        </row>
        <row r="529">
          <cell r="B529" t="str">
            <v>REP-0546</v>
          </cell>
          <cell r="C529" t="str">
            <v>NACIONAL</v>
          </cell>
          <cell r="E529">
            <v>8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2</v>
          </cell>
          <cell r="U529">
            <v>1</v>
          </cell>
          <cell r="V529">
            <v>0</v>
          </cell>
          <cell r="W529">
            <v>3</v>
          </cell>
          <cell r="X529">
            <v>1</v>
          </cell>
          <cell r="Y529">
            <v>19</v>
          </cell>
          <cell r="AA529">
            <v>19</v>
          </cell>
          <cell r="AC529">
            <v>0</v>
          </cell>
          <cell r="AD529">
            <v>0</v>
          </cell>
          <cell r="AE529">
            <v>0</v>
          </cell>
          <cell r="AH529">
            <v>2.6666666666666665</v>
          </cell>
          <cell r="AI529">
            <v>3</v>
          </cell>
          <cell r="AJ529">
            <v>3</v>
          </cell>
          <cell r="AK529">
            <v>3</v>
          </cell>
          <cell r="AL529">
            <v>0.19245008972987535</v>
          </cell>
          <cell r="AM529">
            <v>2.8888888888888888</v>
          </cell>
          <cell r="AN529">
            <v>6.6617338752649163E-2</v>
          </cell>
          <cell r="BC529" t="str">
            <v/>
          </cell>
          <cell r="BI529">
            <v>19</v>
          </cell>
          <cell r="BJ529">
            <v>6.333333333333333</v>
          </cell>
          <cell r="BK529">
            <v>0</v>
          </cell>
          <cell r="BL529">
            <v>14.166666666666666</v>
          </cell>
          <cell r="BM529">
            <v>63</v>
          </cell>
          <cell r="BN529">
            <v>54</v>
          </cell>
          <cell r="BO529">
            <v>0</v>
          </cell>
          <cell r="BP529">
            <v>61.833333333333336</v>
          </cell>
          <cell r="BQ529">
            <v>62</v>
          </cell>
          <cell r="BR529">
            <v>20.666666666666668</v>
          </cell>
          <cell r="BS529">
            <v>0</v>
          </cell>
          <cell r="BT529">
            <v>60.666666666666664</v>
          </cell>
          <cell r="BU529">
            <v>62</v>
          </cell>
          <cell r="BV529">
            <v>46.5</v>
          </cell>
          <cell r="BW529">
            <v>0</v>
          </cell>
          <cell r="BX529">
            <v>0</v>
          </cell>
          <cell r="BY529">
            <v>60.666666666666664</v>
          </cell>
          <cell r="BZ529">
            <v>62</v>
          </cell>
          <cell r="CA529">
            <v>46.5</v>
          </cell>
          <cell r="CB529">
            <v>0</v>
          </cell>
          <cell r="CC529">
            <v>0</v>
          </cell>
          <cell r="CD529">
            <v>60.666666666666664</v>
          </cell>
          <cell r="CE529">
            <v>56</v>
          </cell>
          <cell r="CF529">
            <v>33.6</v>
          </cell>
          <cell r="CG529">
            <v>0</v>
          </cell>
          <cell r="CH529">
            <v>0</v>
          </cell>
          <cell r="CI529">
            <v>59</v>
          </cell>
          <cell r="CJ529">
            <v>38</v>
          </cell>
          <cell r="CK529">
            <v>8.4444444444444446</v>
          </cell>
          <cell r="CL529">
            <v>0</v>
          </cell>
          <cell r="CM529">
            <v>0</v>
          </cell>
          <cell r="CN529">
            <v>33.5</v>
          </cell>
          <cell r="CO529">
            <v>36</v>
          </cell>
          <cell r="CP529">
            <v>8</v>
          </cell>
          <cell r="CQ529">
            <v>0</v>
          </cell>
          <cell r="CR529">
            <v>0</v>
          </cell>
          <cell r="CS529">
            <v>31.5</v>
          </cell>
          <cell r="CT529">
            <v>36</v>
          </cell>
          <cell r="CU529">
            <v>8.3076923076923084</v>
          </cell>
          <cell r="CV529">
            <v>0</v>
          </cell>
          <cell r="CW529">
            <v>0</v>
          </cell>
          <cell r="CX529">
            <v>31.666666666666668</v>
          </cell>
          <cell r="CY529">
            <v>35</v>
          </cell>
          <cell r="CZ529">
            <v>13.125</v>
          </cell>
          <cell r="DA529">
            <v>0</v>
          </cell>
          <cell r="DB529">
            <v>0</v>
          </cell>
          <cell r="DC529">
            <v>32.333333333333336</v>
          </cell>
          <cell r="DD529">
            <v>24</v>
          </cell>
          <cell r="DE529">
            <v>5.7142857142857144</v>
          </cell>
          <cell r="DF529">
            <v>0</v>
          </cell>
          <cell r="DG529">
            <v>0</v>
          </cell>
          <cell r="DH529">
            <v>20.5</v>
          </cell>
          <cell r="DI529">
            <v>22</v>
          </cell>
          <cell r="DJ529">
            <v>8</v>
          </cell>
          <cell r="DK529">
            <v>0</v>
          </cell>
          <cell r="DL529">
            <v>0</v>
          </cell>
          <cell r="DM529">
            <v>17.5</v>
          </cell>
          <cell r="DN529">
            <v>19</v>
          </cell>
          <cell r="DO529">
            <v>7</v>
          </cell>
          <cell r="DP529">
            <v>0</v>
          </cell>
          <cell r="DQ529">
            <v>0</v>
          </cell>
          <cell r="DR529">
            <v>16</v>
          </cell>
          <cell r="DS529">
            <v>16</v>
          </cell>
          <cell r="DT529">
            <v>6</v>
          </cell>
          <cell r="DU529">
            <v>0</v>
          </cell>
          <cell r="DV529">
            <v>0</v>
          </cell>
          <cell r="DW529">
            <v>13</v>
          </cell>
          <cell r="DX529">
            <v>13</v>
          </cell>
          <cell r="DY529">
            <v>5</v>
          </cell>
          <cell r="DZ529">
            <v>0</v>
          </cell>
          <cell r="EA529">
            <v>0</v>
          </cell>
          <cell r="EB529">
            <v>10</v>
          </cell>
          <cell r="EC529">
            <v>10</v>
          </cell>
          <cell r="ED529">
            <v>4</v>
          </cell>
          <cell r="EE529">
            <v>0</v>
          </cell>
          <cell r="EF529">
            <v>0</v>
          </cell>
          <cell r="EG529">
            <v>7</v>
          </cell>
          <cell r="EH529">
            <v>7</v>
          </cell>
          <cell r="EI529">
            <v>3</v>
          </cell>
          <cell r="EJ529">
            <v>0</v>
          </cell>
          <cell r="EK529">
            <v>0</v>
          </cell>
          <cell r="EL529">
            <v>4</v>
          </cell>
          <cell r="EM529">
            <v>4</v>
          </cell>
          <cell r="EN529">
            <v>2</v>
          </cell>
          <cell r="EO529">
            <v>0</v>
          </cell>
          <cell r="EP529">
            <v>0</v>
          </cell>
          <cell r="EQ529">
            <v>1</v>
          </cell>
          <cell r="ER529">
            <v>1</v>
          </cell>
          <cell r="ES529">
            <v>1</v>
          </cell>
          <cell r="ET529">
            <v>3</v>
          </cell>
          <cell r="EU529">
            <v>0</v>
          </cell>
          <cell r="EV529">
            <v>-2</v>
          </cell>
          <cell r="EW529">
            <v>-2</v>
          </cell>
          <cell r="EX529">
            <v>0</v>
          </cell>
          <cell r="EY529">
            <v>6</v>
          </cell>
          <cell r="EZ529">
            <v>0</v>
          </cell>
          <cell r="FA529">
            <v>-5</v>
          </cell>
          <cell r="FB529">
            <v>-5</v>
          </cell>
          <cell r="FC529">
            <v>-1</v>
          </cell>
          <cell r="FD529">
            <v>9</v>
          </cell>
          <cell r="FE529">
            <v>0</v>
          </cell>
          <cell r="FF529">
            <v>-8</v>
          </cell>
          <cell r="FG529">
            <v>-8</v>
          </cell>
          <cell r="FH529">
            <v>-2</v>
          </cell>
          <cell r="FI529">
            <v>12</v>
          </cell>
          <cell r="FJ529">
            <v>0</v>
          </cell>
          <cell r="FK529">
            <v>-11</v>
          </cell>
          <cell r="FL529">
            <v>-11</v>
          </cell>
          <cell r="FM529">
            <v>-3</v>
          </cell>
          <cell r="FN529">
            <v>15</v>
          </cell>
          <cell r="FO529">
            <v>0</v>
          </cell>
          <cell r="FP529">
            <v>-14</v>
          </cell>
          <cell r="FQ529">
            <v>-14</v>
          </cell>
          <cell r="FR529">
            <v>-4</v>
          </cell>
          <cell r="FS529">
            <v>18</v>
          </cell>
          <cell r="FT529">
            <v>4</v>
          </cell>
          <cell r="FU529">
            <v>1.0333333333333334</v>
          </cell>
          <cell r="FW529" t="str">
            <v>SOBRESTOCK</v>
          </cell>
          <cell r="FX529" t="str">
            <v>B</v>
          </cell>
          <cell r="FY529" t="str">
            <v>Si</v>
          </cell>
        </row>
        <row r="530">
          <cell r="B530" t="str">
            <v>REP-0547</v>
          </cell>
          <cell r="C530" t="str">
            <v>OSBORNE</v>
          </cell>
          <cell r="E530">
            <v>0</v>
          </cell>
          <cell r="F530">
            <v>0</v>
          </cell>
          <cell r="G530">
            <v>3803</v>
          </cell>
          <cell r="H530">
            <v>200</v>
          </cell>
          <cell r="I530">
            <v>200</v>
          </cell>
          <cell r="J530">
            <v>0</v>
          </cell>
          <cell r="K530">
            <v>50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4253</v>
          </cell>
          <cell r="AA530">
            <v>4253</v>
          </cell>
          <cell r="AC530">
            <v>0</v>
          </cell>
          <cell r="AD530">
            <v>0</v>
          </cell>
          <cell r="AE530">
            <v>0</v>
          </cell>
          <cell r="AH530">
            <v>1066.6666666666667</v>
          </cell>
          <cell r="AI530">
            <v>2099.5</v>
          </cell>
          <cell r="AJ530">
            <v>2099.5</v>
          </cell>
          <cell r="AK530">
            <v>2099.5</v>
          </cell>
          <cell r="AL530">
            <v>596.30660302801812</v>
          </cell>
          <cell r="AM530">
            <v>1755.2222222222224</v>
          </cell>
          <cell r="AN530">
            <v>0.33973282441300012</v>
          </cell>
          <cell r="BC530" t="str">
            <v/>
          </cell>
          <cell r="BI530">
            <v>4253</v>
          </cell>
          <cell r="BJ530">
            <v>2.0257204096213384</v>
          </cell>
          <cell r="BK530">
            <v>0</v>
          </cell>
          <cell r="BL530">
            <v>9066.6666666666661</v>
          </cell>
          <cell r="BM530">
            <v>7250</v>
          </cell>
          <cell r="BN530">
            <v>15.818181818181818</v>
          </cell>
          <cell r="BO530">
            <v>0</v>
          </cell>
          <cell r="BP530">
            <v>6791.666666666667</v>
          </cell>
          <cell r="BQ530">
            <v>5049</v>
          </cell>
          <cell r="BR530">
            <v>2.4048582995951415</v>
          </cell>
          <cell r="BS530">
            <v>0</v>
          </cell>
          <cell r="BT530">
            <v>4207.333333333333</v>
          </cell>
          <cell r="BU530">
            <v>11946</v>
          </cell>
          <cell r="BV530">
            <v>8.9561414469573908</v>
          </cell>
          <cell r="BW530">
            <v>0</v>
          </cell>
          <cell r="BX530">
            <v>0</v>
          </cell>
          <cell r="BY530">
            <v>10612.166666666666</v>
          </cell>
          <cell r="BZ530">
            <v>10149</v>
          </cell>
          <cell r="CA530">
            <v>6.2136734693877553</v>
          </cell>
          <cell r="CB530">
            <v>0</v>
          </cell>
          <cell r="CC530">
            <v>0</v>
          </cell>
          <cell r="CD530">
            <v>8515.6666666666661</v>
          </cell>
          <cell r="CE530">
            <v>8849</v>
          </cell>
          <cell r="CF530">
            <v>4.8267272727272728</v>
          </cell>
          <cell r="CG530">
            <v>0</v>
          </cell>
          <cell r="CH530">
            <v>0</v>
          </cell>
          <cell r="CI530">
            <v>6682.333333333333</v>
          </cell>
          <cell r="CJ530">
            <v>6950</v>
          </cell>
          <cell r="CK530">
            <v>3.4750000000000001</v>
          </cell>
          <cell r="CL530">
            <v>1050</v>
          </cell>
          <cell r="CM530">
            <v>0</v>
          </cell>
          <cell r="CN530">
            <v>4950</v>
          </cell>
          <cell r="CO530">
            <v>4450</v>
          </cell>
          <cell r="CP530">
            <v>1.8541666666666667</v>
          </cell>
          <cell r="CQ530">
            <v>3050</v>
          </cell>
          <cell r="CR530">
            <v>0</v>
          </cell>
          <cell r="CS530">
            <v>2050</v>
          </cell>
          <cell r="CT530">
            <v>1750</v>
          </cell>
          <cell r="CU530">
            <v>0.68627450980392157</v>
          </cell>
          <cell r="CV530">
            <v>885</v>
          </cell>
          <cell r="CW530">
            <v>10000</v>
          </cell>
          <cell r="CX530">
            <v>9200</v>
          </cell>
          <cell r="CY530">
            <v>9200</v>
          </cell>
          <cell r="CZ530">
            <v>3.607843137254902</v>
          </cell>
          <cell r="DA530">
            <v>0</v>
          </cell>
          <cell r="DB530">
            <v>0</v>
          </cell>
          <cell r="DC530">
            <v>6813.25</v>
          </cell>
          <cell r="DD530">
            <v>6903</v>
          </cell>
          <cell r="DE530">
            <v>1.8699105257866693</v>
          </cell>
          <cell r="DF530">
            <v>0</v>
          </cell>
          <cell r="DG530">
            <v>0</v>
          </cell>
          <cell r="DH530">
            <v>4416.25</v>
          </cell>
          <cell r="DI530">
            <v>5753</v>
          </cell>
          <cell r="DJ530">
            <v>3.6059465908048085</v>
          </cell>
          <cell r="DK530">
            <v>0</v>
          </cell>
          <cell r="DL530">
            <v>0</v>
          </cell>
          <cell r="DM530">
            <v>2236.85</v>
          </cell>
          <cell r="DN530">
            <v>4253</v>
          </cell>
          <cell r="DO530">
            <v>2.9921409859490353</v>
          </cell>
          <cell r="DP530">
            <v>0</v>
          </cell>
          <cell r="DQ530">
            <v>0</v>
          </cell>
          <cell r="DR530">
            <v>2153.5</v>
          </cell>
          <cell r="DS530">
            <v>2153.5</v>
          </cell>
          <cell r="DT530">
            <v>1.9921409859490355</v>
          </cell>
          <cell r="DU530">
            <v>16.5</v>
          </cell>
          <cell r="DV530">
            <v>10000</v>
          </cell>
          <cell r="DW530">
            <v>10054</v>
          </cell>
          <cell r="DX530">
            <v>10054</v>
          </cell>
          <cell r="DY530">
            <v>5.755179804715409</v>
          </cell>
          <cell r="DZ530">
            <v>0</v>
          </cell>
          <cell r="EA530">
            <v>0</v>
          </cell>
          <cell r="EB530">
            <v>7954.5</v>
          </cell>
          <cell r="EC530">
            <v>7954.5</v>
          </cell>
          <cell r="ED530">
            <v>4.755179804715409</v>
          </cell>
          <cell r="EE530">
            <v>0</v>
          </cell>
          <cell r="EF530">
            <v>10000</v>
          </cell>
          <cell r="EG530">
            <v>15855</v>
          </cell>
          <cell r="EH530">
            <v>15855</v>
          </cell>
          <cell r="EI530">
            <v>8.5182186234817809</v>
          </cell>
          <cell r="EJ530">
            <v>0</v>
          </cell>
          <cell r="EK530">
            <v>0</v>
          </cell>
          <cell r="EL530">
            <v>13755.5</v>
          </cell>
          <cell r="EM530">
            <v>13755.5</v>
          </cell>
          <cell r="EN530">
            <v>7.5182186234817809</v>
          </cell>
          <cell r="EO530">
            <v>0</v>
          </cell>
          <cell r="EP530">
            <v>0</v>
          </cell>
          <cell r="EQ530">
            <v>11656</v>
          </cell>
          <cell r="ER530">
            <v>11656</v>
          </cell>
          <cell r="ES530">
            <v>6.5182186234817809</v>
          </cell>
          <cell r="ET530">
            <v>0</v>
          </cell>
          <cell r="EU530">
            <v>0</v>
          </cell>
          <cell r="EV530">
            <v>9556.5</v>
          </cell>
          <cell r="EW530">
            <v>9556.5</v>
          </cell>
          <cell r="EX530">
            <v>5.5182186234817809</v>
          </cell>
          <cell r="EY530">
            <v>0</v>
          </cell>
          <cell r="EZ530">
            <v>0</v>
          </cell>
          <cell r="FA530">
            <v>7457</v>
          </cell>
          <cell r="FB530">
            <v>7457</v>
          </cell>
          <cell r="FC530">
            <v>4.5182186234817809</v>
          </cell>
          <cell r="FD530">
            <v>0</v>
          </cell>
          <cell r="FE530">
            <v>0</v>
          </cell>
          <cell r="FF530">
            <v>5357.5</v>
          </cell>
          <cell r="FG530">
            <v>5357.5</v>
          </cell>
          <cell r="FH530">
            <v>3.5182186234817814</v>
          </cell>
          <cell r="FI530">
            <v>0</v>
          </cell>
          <cell r="FJ530">
            <v>10000</v>
          </cell>
          <cell r="FK530">
            <v>13258</v>
          </cell>
          <cell r="FL530">
            <v>13258</v>
          </cell>
          <cell r="FM530">
            <v>7.2812574422481546</v>
          </cell>
          <cell r="FN530">
            <v>0</v>
          </cell>
          <cell r="FO530">
            <v>0</v>
          </cell>
          <cell r="FP530">
            <v>11158.5</v>
          </cell>
          <cell r="FQ530">
            <v>11158.5</v>
          </cell>
          <cell r="FR530">
            <v>6.2812574422481546</v>
          </cell>
          <cell r="FS530">
            <v>0</v>
          </cell>
          <cell r="FT530">
            <v>2170</v>
          </cell>
          <cell r="FU530">
            <v>1.0333333333333334</v>
          </cell>
          <cell r="FW530" t="str">
            <v>STOCK OK</v>
          </cell>
          <cell r="FX530" t="str">
            <v>A</v>
          </cell>
          <cell r="FY530" t="str">
            <v>Si</v>
          </cell>
        </row>
        <row r="531">
          <cell r="B531" t="str">
            <v>REP-0548</v>
          </cell>
          <cell r="C531" t="str">
            <v>OSBORNE</v>
          </cell>
          <cell r="E531">
            <v>0</v>
          </cell>
          <cell r="F531">
            <v>0</v>
          </cell>
          <cell r="G531">
            <v>6250</v>
          </cell>
          <cell r="H531">
            <v>100</v>
          </cell>
          <cell r="I531">
            <v>100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6450</v>
          </cell>
          <cell r="AA531">
            <v>6450</v>
          </cell>
          <cell r="AC531">
            <v>0</v>
          </cell>
          <cell r="AD531">
            <v>0</v>
          </cell>
          <cell r="AE531">
            <v>0</v>
          </cell>
          <cell r="AH531">
            <v>420.91666666666669</v>
          </cell>
          <cell r="AI531">
            <v>1041.6666666666667</v>
          </cell>
          <cell r="AJ531">
            <v>1041.6666666666667</v>
          </cell>
          <cell r="AK531">
            <v>1041.6666666666667</v>
          </cell>
          <cell r="AL531">
            <v>358.3901795994604</v>
          </cell>
          <cell r="AM531">
            <v>834.75</v>
          </cell>
          <cell r="AN531">
            <v>0.42933834034077317</v>
          </cell>
          <cell r="BC531" t="str">
            <v/>
          </cell>
          <cell r="BI531">
            <v>6450</v>
          </cell>
          <cell r="BJ531">
            <v>6.1919999999999993</v>
          </cell>
          <cell r="BK531">
            <v>0</v>
          </cell>
          <cell r="BL531">
            <v>4766.666666666667</v>
          </cell>
          <cell r="BM531">
            <v>3900</v>
          </cell>
          <cell r="BN531">
            <v>22.285714285714285</v>
          </cell>
          <cell r="BO531">
            <v>0</v>
          </cell>
          <cell r="BP531">
            <v>3725</v>
          </cell>
          <cell r="BQ531">
            <v>2850</v>
          </cell>
          <cell r="BR531">
            <v>2.7359999999999998</v>
          </cell>
          <cell r="BS531">
            <v>0</v>
          </cell>
          <cell r="BT531">
            <v>2500</v>
          </cell>
          <cell r="BU531">
            <v>6950</v>
          </cell>
          <cell r="BV531">
            <v>14.135593220338983</v>
          </cell>
          <cell r="BW531">
            <v>0</v>
          </cell>
          <cell r="BX531">
            <v>0</v>
          </cell>
          <cell r="BY531">
            <v>6458.333333333333</v>
          </cell>
          <cell r="BZ531">
            <v>6300</v>
          </cell>
          <cell r="CA531">
            <v>10.5</v>
          </cell>
          <cell r="CB531">
            <v>0</v>
          </cell>
          <cell r="CC531">
            <v>0</v>
          </cell>
          <cell r="CD531">
            <v>5700</v>
          </cell>
          <cell r="CE531">
            <v>5549</v>
          </cell>
          <cell r="CF531">
            <v>7.8320395201129145</v>
          </cell>
          <cell r="CG531">
            <v>0</v>
          </cell>
          <cell r="CH531">
            <v>0</v>
          </cell>
          <cell r="CI531">
            <v>4991.5</v>
          </cell>
          <cell r="CJ531">
            <v>4599</v>
          </cell>
          <cell r="CK531">
            <v>5.6883116883116882</v>
          </cell>
          <cell r="CL531">
            <v>0</v>
          </cell>
          <cell r="CM531">
            <v>0</v>
          </cell>
          <cell r="CN531">
            <v>3790.5</v>
          </cell>
          <cell r="CO531">
            <v>3399</v>
          </cell>
          <cell r="CP531">
            <v>2.8325</v>
          </cell>
          <cell r="CQ531">
            <v>0</v>
          </cell>
          <cell r="CR531">
            <v>0</v>
          </cell>
          <cell r="CS531">
            <v>2199</v>
          </cell>
          <cell r="CT531">
            <v>2549</v>
          </cell>
          <cell r="CU531">
            <v>2.5489999999999999</v>
          </cell>
          <cell r="CV531">
            <v>0</v>
          </cell>
          <cell r="CW531">
            <v>8000</v>
          </cell>
          <cell r="CX531">
            <v>9549</v>
          </cell>
          <cell r="CY531">
            <v>9253</v>
          </cell>
          <cell r="CZ531">
            <v>8.4245827010622154</v>
          </cell>
          <cell r="DA531">
            <v>0</v>
          </cell>
          <cell r="DB531">
            <v>0</v>
          </cell>
          <cell r="DC531">
            <v>8140.5</v>
          </cell>
          <cell r="DD531">
            <v>8300</v>
          </cell>
          <cell r="DE531">
            <v>6.37010989010989</v>
          </cell>
          <cell r="DF531">
            <v>0</v>
          </cell>
          <cell r="DG531">
            <v>0</v>
          </cell>
          <cell r="DH531">
            <v>7162.5</v>
          </cell>
          <cell r="DI531">
            <v>7600</v>
          </cell>
          <cell r="DJ531">
            <v>8.4176470588235297</v>
          </cell>
          <cell r="DK531">
            <v>0</v>
          </cell>
          <cell r="DL531">
            <v>0</v>
          </cell>
          <cell r="DM531">
            <v>6142.5</v>
          </cell>
          <cell r="DN531">
            <v>6450</v>
          </cell>
          <cell r="DO531">
            <v>7.15808</v>
          </cell>
          <cell r="DP531">
            <v>0</v>
          </cell>
          <cell r="DQ531">
            <v>0</v>
          </cell>
          <cell r="DR531">
            <v>5408.333333333333</v>
          </cell>
          <cell r="DS531">
            <v>5408.333333333333</v>
          </cell>
          <cell r="DT531">
            <v>6.1580799999999991</v>
          </cell>
          <cell r="DU531">
            <v>0</v>
          </cell>
          <cell r="DV531">
            <v>0</v>
          </cell>
          <cell r="DW531">
            <v>4366.6666666666661</v>
          </cell>
          <cell r="DX531">
            <v>4366.6666666666661</v>
          </cell>
          <cell r="DY531">
            <v>5.1580799999999991</v>
          </cell>
          <cell r="DZ531">
            <v>0</v>
          </cell>
          <cell r="EA531">
            <v>0</v>
          </cell>
          <cell r="EB531">
            <v>3324.9999999999991</v>
          </cell>
          <cell r="EC531">
            <v>3324.9999999999991</v>
          </cell>
          <cell r="ED531">
            <v>4.1580799999999991</v>
          </cell>
          <cell r="EE531">
            <v>0</v>
          </cell>
          <cell r="EF531">
            <v>5000</v>
          </cell>
          <cell r="EG531">
            <v>7283.333333333333</v>
          </cell>
          <cell r="EH531">
            <v>7283.333333333333</v>
          </cell>
          <cell r="EI531">
            <v>7.9580799999999989</v>
          </cell>
          <cell r="EJ531">
            <v>0</v>
          </cell>
          <cell r="EK531">
            <v>0</v>
          </cell>
          <cell r="EL531">
            <v>6241.6666666666661</v>
          </cell>
          <cell r="EM531">
            <v>6241.6666666666661</v>
          </cell>
          <cell r="EN531">
            <v>6.9580799999999989</v>
          </cell>
          <cell r="EO531">
            <v>0</v>
          </cell>
          <cell r="EP531">
            <v>0</v>
          </cell>
          <cell r="EQ531">
            <v>5199.9999999999991</v>
          </cell>
          <cell r="ER531">
            <v>5199.9999999999991</v>
          </cell>
          <cell r="ES531">
            <v>5.9580799999999989</v>
          </cell>
          <cell r="ET531">
            <v>0</v>
          </cell>
          <cell r="EU531">
            <v>0</v>
          </cell>
          <cell r="EV531">
            <v>4158.3333333333321</v>
          </cell>
          <cell r="EW531">
            <v>4158.3333333333321</v>
          </cell>
          <cell r="EX531">
            <v>4.9580799999999989</v>
          </cell>
          <cell r="EY531">
            <v>0</v>
          </cell>
          <cell r="EZ531">
            <v>0</v>
          </cell>
          <cell r="FA531">
            <v>3116.6666666666652</v>
          </cell>
          <cell r="FB531">
            <v>3116.6666666666652</v>
          </cell>
          <cell r="FC531">
            <v>3.9580799999999985</v>
          </cell>
          <cell r="FD531">
            <v>0</v>
          </cell>
          <cell r="FE531">
            <v>0</v>
          </cell>
          <cell r="FF531">
            <v>2074.9999999999982</v>
          </cell>
          <cell r="FG531">
            <v>2074.9999999999982</v>
          </cell>
          <cell r="FH531">
            <v>2.958079999999998</v>
          </cell>
          <cell r="FI531">
            <v>0</v>
          </cell>
          <cell r="FJ531">
            <v>5000</v>
          </cell>
          <cell r="FK531">
            <v>6033.3333333333312</v>
          </cell>
          <cell r="FL531">
            <v>6033.3333333333312</v>
          </cell>
          <cell r="FM531">
            <v>6.7580799999999979</v>
          </cell>
          <cell r="FN531">
            <v>0</v>
          </cell>
          <cell r="FO531">
            <v>0</v>
          </cell>
          <cell r="FP531">
            <v>4991.6666666666642</v>
          </cell>
          <cell r="FQ531">
            <v>4991.6666666666642</v>
          </cell>
          <cell r="FR531">
            <v>5.7580799999999979</v>
          </cell>
          <cell r="FS531">
            <v>0</v>
          </cell>
          <cell r="FT531">
            <v>1077</v>
          </cell>
          <cell r="FU531">
            <v>1.0333333333333334</v>
          </cell>
          <cell r="FW531" t="str">
            <v>SOBRESTOCK</v>
          </cell>
          <cell r="FX531" t="str">
            <v>A</v>
          </cell>
          <cell r="FY531" t="str">
            <v>Si</v>
          </cell>
        </row>
        <row r="532">
          <cell r="B532" t="str">
            <v>REP-0549</v>
          </cell>
          <cell r="C532" t="str">
            <v>NACIONAL</v>
          </cell>
          <cell r="E532">
            <v>1</v>
          </cell>
          <cell r="F532">
            <v>0</v>
          </cell>
          <cell r="G532">
            <v>0</v>
          </cell>
          <cell r="H532">
            <v>1</v>
          </cell>
          <cell r="I532">
            <v>1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1</v>
          </cell>
          <cell r="R532">
            <v>0</v>
          </cell>
          <cell r="S532">
            <v>1</v>
          </cell>
          <cell r="T532">
            <v>1</v>
          </cell>
          <cell r="U532">
            <v>0</v>
          </cell>
          <cell r="V532">
            <v>1</v>
          </cell>
          <cell r="W532">
            <v>1</v>
          </cell>
          <cell r="X532">
            <v>0</v>
          </cell>
          <cell r="Y532">
            <v>8</v>
          </cell>
          <cell r="AA532">
            <v>8</v>
          </cell>
          <cell r="AC532">
            <v>0</v>
          </cell>
          <cell r="AD532">
            <v>0</v>
          </cell>
          <cell r="AE532">
            <v>0</v>
          </cell>
          <cell r="AH532">
            <v>0.5</v>
          </cell>
          <cell r="AI532">
            <v>0.83333333333333337</v>
          </cell>
          <cell r="AJ532">
            <v>0.83333333333333337</v>
          </cell>
          <cell r="AK532">
            <v>0.83333333333333337</v>
          </cell>
          <cell r="AL532">
            <v>0.1924500897298751</v>
          </cell>
          <cell r="AM532">
            <v>0.72222222222222232</v>
          </cell>
          <cell r="AN532">
            <v>0.26646935501059626</v>
          </cell>
          <cell r="BC532" t="str">
            <v/>
          </cell>
          <cell r="BI532">
            <v>8</v>
          </cell>
          <cell r="BJ532">
            <v>9.6</v>
          </cell>
          <cell r="BK532">
            <v>0</v>
          </cell>
          <cell r="BL532">
            <v>1.8333333333333333</v>
          </cell>
          <cell r="BM532">
            <v>7</v>
          </cell>
          <cell r="BN532">
            <v>42</v>
          </cell>
          <cell r="BO532">
            <v>0</v>
          </cell>
          <cell r="BP532">
            <v>6.833333333333333</v>
          </cell>
          <cell r="BQ532">
            <v>5</v>
          </cell>
          <cell r="BR532">
            <v>6</v>
          </cell>
          <cell r="BS532">
            <v>0</v>
          </cell>
          <cell r="BT532">
            <v>4.833333333333333</v>
          </cell>
          <cell r="BU532">
            <v>16</v>
          </cell>
          <cell r="BV532">
            <v>48</v>
          </cell>
          <cell r="BW532">
            <v>0</v>
          </cell>
          <cell r="BX532">
            <v>0</v>
          </cell>
          <cell r="BY532">
            <v>15.666666666666666</v>
          </cell>
          <cell r="BZ532">
            <v>16</v>
          </cell>
          <cell r="CA532">
            <v>48</v>
          </cell>
          <cell r="CB532">
            <v>0</v>
          </cell>
          <cell r="CC532">
            <v>0</v>
          </cell>
          <cell r="CD532">
            <v>15.666666666666666</v>
          </cell>
          <cell r="CE532">
            <v>14</v>
          </cell>
          <cell r="CF532">
            <v>21</v>
          </cell>
          <cell r="CG532">
            <v>0</v>
          </cell>
          <cell r="CH532">
            <v>0</v>
          </cell>
          <cell r="CI532">
            <v>15</v>
          </cell>
          <cell r="CJ532">
            <v>12</v>
          </cell>
          <cell r="CK532">
            <v>14.399999999999999</v>
          </cell>
          <cell r="CL532">
            <v>0</v>
          </cell>
          <cell r="CM532">
            <v>0</v>
          </cell>
          <cell r="CN532">
            <v>11.166666666666666</v>
          </cell>
          <cell r="CO532">
            <v>11</v>
          </cell>
          <cell r="CP532">
            <v>11</v>
          </cell>
          <cell r="CQ532">
            <v>0</v>
          </cell>
          <cell r="CR532">
            <v>0</v>
          </cell>
          <cell r="CS532">
            <v>10</v>
          </cell>
          <cell r="CT532">
            <v>10</v>
          </cell>
          <cell r="CU532">
            <v>8.5714285714285712</v>
          </cell>
          <cell r="CV532">
            <v>0</v>
          </cell>
          <cell r="CW532">
            <v>0</v>
          </cell>
          <cell r="CX532">
            <v>8.8333333333333339</v>
          </cell>
          <cell r="CY532">
            <v>9</v>
          </cell>
          <cell r="CZ532">
            <v>9</v>
          </cell>
          <cell r="DA532">
            <v>0</v>
          </cell>
          <cell r="DB532">
            <v>0</v>
          </cell>
          <cell r="DC532">
            <v>8.1666666666666661</v>
          </cell>
          <cell r="DD532">
            <v>9</v>
          </cell>
          <cell r="DE532">
            <v>9.6</v>
          </cell>
          <cell r="DF532">
            <v>0</v>
          </cell>
          <cell r="DG532">
            <v>0</v>
          </cell>
          <cell r="DH532">
            <v>8.1666666666666661</v>
          </cell>
          <cell r="DI532">
            <v>9</v>
          </cell>
          <cell r="DJ532">
            <v>15.333333333333334</v>
          </cell>
          <cell r="DK532">
            <v>0</v>
          </cell>
          <cell r="DL532">
            <v>0</v>
          </cell>
          <cell r="DM532">
            <v>7.5666666666666664</v>
          </cell>
          <cell r="DN532">
            <v>8</v>
          </cell>
          <cell r="DO532">
            <v>10.4</v>
          </cell>
          <cell r="DP532">
            <v>0</v>
          </cell>
          <cell r="DQ532">
            <v>0</v>
          </cell>
          <cell r="DR532">
            <v>7.166666666666667</v>
          </cell>
          <cell r="DS532">
            <v>7.166666666666667</v>
          </cell>
          <cell r="DT532">
            <v>9.4</v>
          </cell>
          <cell r="DU532">
            <v>0</v>
          </cell>
          <cell r="DV532">
            <v>0</v>
          </cell>
          <cell r="DW532">
            <v>6.3333333333333339</v>
          </cell>
          <cell r="DX532">
            <v>6.3333333333333339</v>
          </cell>
          <cell r="DY532">
            <v>8.4</v>
          </cell>
          <cell r="DZ532">
            <v>0</v>
          </cell>
          <cell r="EA532">
            <v>0</v>
          </cell>
          <cell r="EB532">
            <v>5.5000000000000009</v>
          </cell>
          <cell r="EC532">
            <v>5.5000000000000009</v>
          </cell>
          <cell r="ED532">
            <v>7.4000000000000012</v>
          </cell>
          <cell r="EE532">
            <v>0</v>
          </cell>
          <cell r="EF532">
            <v>0</v>
          </cell>
          <cell r="EG532">
            <v>4.6666666666666679</v>
          </cell>
          <cell r="EH532">
            <v>4.6666666666666679</v>
          </cell>
          <cell r="EI532">
            <v>6.4000000000000012</v>
          </cell>
          <cell r="EJ532">
            <v>0</v>
          </cell>
          <cell r="EK532">
            <v>0</v>
          </cell>
          <cell r="EL532">
            <v>3.8333333333333344</v>
          </cell>
          <cell r="EM532">
            <v>3.8333333333333344</v>
          </cell>
          <cell r="EN532">
            <v>5.4000000000000012</v>
          </cell>
          <cell r="EO532">
            <v>0</v>
          </cell>
          <cell r="EP532">
            <v>0</v>
          </cell>
          <cell r="EQ532">
            <v>3.0000000000000009</v>
          </cell>
          <cell r="ER532">
            <v>3.0000000000000009</v>
          </cell>
          <cell r="ES532">
            <v>4.4000000000000004</v>
          </cell>
          <cell r="ET532">
            <v>0</v>
          </cell>
          <cell r="EU532">
            <v>0</v>
          </cell>
          <cell r="EV532">
            <v>2.1666666666666674</v>
          </cell>
          <cell r="EW532">
            <v>2.1666666666666674</v>
          </cell>
          <cell r="EX532">
            <v>3.4000000000000008</v>
          </cell>
          <cell r="EY532">
            <v>0</v>
          </cell>
          <cell r="EZ532">
            <v>0</v>
          </cell>
          <cell r="FA532">
            <v>1.3333333333333339</v>
          </cell>
          <cell r="FB532">
            <v>1.3333333333333339</v>
          </cell>
          <cell r="FC532">
            <v>2.4000000000000008</v>
          </cell>
          <cell r="FD532">
            <v>0</v>
          </cell>
          <cell r="FE532">
            <v>0</v>
          </cell>
          <cell r="FF532">
            <v>0.50000000000000056</v>
          </cell>
          <cell r="FG532">
            <v>0.50000000000000056</v>
          </cell>
          <cell r="FH532">
            <v>1.4000000000000008</v>
          </cell>
          <cell r="FI532">
            <v>0.49999999999999944</v>
          </cell>
          <cell r="FJ532">
            <v>0</v>
          </cell>
          <cell r="FK532">
            <v>-0.33333333333333282</v>
          </cell>
          <cell r="FL532">
            <v>-0.33333333333333282</v>
          </cell>
          <cell r="FM532">
            <v>0.4000000000000008</v>
          </cell>
          <cell r="FN532">
            <v>1.3333333333333328</v>
          </cell>
          <cell r="FO532">
            <v>0</v>
          </cell>
          <cell r="FP532">
            <v>-1.1666666666666661</v>
          </cell>
          <cell r="FQ532">
            <v>-1.1666666666666661</v>
          </cell>
          <cell r="FR532">
            <v>-0.5999999999999992</v>
          </cell>
          <cell r="FS532">
            <v>2.1666666666666661</v>
          </cell>
          <cell r="FT532">
            <v>1</v>
          </cell>
          <cell r="FU532">
            <v>1.0333333333333334</v>
          </cell>
          <cell r="FW532" t="str">
            <v>SOBRESTOCK</v>
          </cell>
          <cell r="FX532" t="str">
            <v>C</v>
          </cell>
          <cell r="FY532" t="str">
            <v>Si</v>
          </cell>
        </row>
        <row r="533">
          <cell r="B533" t="str">
            <v>REP-0550</v>
          </cell>
          <cell r="C533" t="str">
            <v>NACIONAL</v>
          </cell>
          <cell r="E533">
            <v>5</v>
          </cell>
          <cell r="F533">
            <v>0</v>
          </cell>
          <cell r="G533">
            <v>0</v>
          </cell>
          <cell r="H533">
            <v>1</v>
          </cell>
          <cell r="I533">
            <v>1</v>
          </cell>
          <cell r="J533">
            <v>0</v>
          </cell>
          <cell r="K533">
            <v>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10</v>
          </cell>
          <cell r="AA533">
            <v>10</v>
          </cell>
          <cell r="AC533">
            <v>0</v>
          </cell>
          <cell r="AD533">
            <v>0</v>
          </cell>
          <cell r="AE533">
            <v>0</v>
          </cell>
          <cell r="AH533">
            <v>1</v>
          </cell>
          <cell r="AI533">
            <v>1.3333333333333333</v>
          </cell>
          <cell r="AJ533">
            <v>1.3333333333333333</v>
          </cell>
          <cell r="AK533">
            <v>1.3333333333333333</v>
          </cell>
          <cell r="AL533">
            <v>0.19245008972987684</v>
          </cell>
          <cell r="AM533">
            <v>1.2222222222222221</v>
          </cell>
          <cell r="AN533">
            <v>0.15745916432444471</v>
          </cell>
          <cell r="BC533" t="str">
            <v/>
          </cell>
          <cell r="BI533">
            <v>10</v>
          </cell>
          <cell r="BJ533">
            <v>7.5</v>
          </cell>
          <cell r="BK533">
            <v>0</v>
          </cell>
          <cell r="BL533">
            <v>2.6666666666666665</v>
          </cell>
          <cell r="BM533">
            <v>6</v>
          </cell>
          <cell r="BN533">
            <v>5.1428571428571423</v>
          </cell>
          <cell r="BO533">
            <v>0</v>
          </cell>
          <cell r="BP533">
            <v>4.833333333333333</v>
          </cell>
          <cell r="BQ533">
            <v>4</v>
          </cell>
          <cell r="BR533">
            <v>3</v>
          </cell>
          <cell r="BS533">
            <v>0</v>
          </cell>
          <cell r="BT533">
            <v>2.5</v>
          </cell>
          <cell r="BU533">
            <v>14</v>
          </cell>
          <cell r="BV533">
            <v>9.3333333333333339</v>
          </cell>
          <cell r="BW533">
            <v>0</v>
          </cell>
          <cell r="BX533">
            <v>0</v>
          </cell>
          <cell r="BY533">
            <v>12.5</v>
          </cell>
          <cell r="BZ533">
            <v>13</v>
          </cell>
          <cell r="CA533">
            <v>7.8</v>
          </cell>
          <cell r="CB533">
            <v>0</v>
          </cell>
          <cell r="CC533">
            <v>0</v>
          </cell>
          <cell r="CD533">
            <v>11.333333333333334</v>
          </cell>
          <cell r="CE533">
            <v>11</v>
          </cell>
          <cell r="CF533">
            <v>5.5</v>
          </cell>
          <cell r="CG533">
            <v>0</v>
          </cell>
          <cell r="CH533">
            <v>0</v>
          </cell>
          <cell r="CI533">
            <v>9.3333333333333339</v>
          </cell>
          <cell r="CJ533">
            <v>11</v>
          </cell>
          <cell r="CK533">
            <v>6.6</v>
          </cell>
          <cell r="CL533">
            <v>0</v>
          </cell>
          <cell r="CM533">
            <v>0</v>
          </cell>
          <cell r="CN533">
            <v>9.3333333333333339</v>
          </cell>
          <cell r="CO533">
            <v>7</v>
          </cell>
          <cell r="CP533">
            <v>4.2</v>
          </cell>
          <cell r="CQ533">
            <v>0</v>
          </cell>
          <cell r="CR533">
            <v>0</v>
          </cell>
          <cell r="CS533">
            <v>5.333333333333333</v>
          </cell>
          <cell r="CT533">
            <v>7</v>
          </cell>
          <cell r="CU533">
            <v>7</v>
          </cell>
          <cell r="CV533">
            <v>0</v>
          </cell>
          <cell r="CW533">
            <v>10</v>
          </cell>
          <cell r="CX533">
            <v>16</v>
          </cell>
          <cell r="CY533">
            <v>15</v>
          </cell>
          <cell r="CZ533">
            <v>15</v>
          </cell>
          <cell r="DA533">
            <v>0</v>
          </cell>
          <cell r="DB533">
            <v>0</v>
          </cell>
          <cell r="DC533">
            <v>14</v>
          </cell>
          <cell r="DD533">
            <v>15</v>
          </cell>
          <cell r="DE533">
            <v>14</v>
          </cell>
          <cell r="DF533">
            <v>0</v>
          </cell>
          <cell r="DG533">
            <v>0</v>
          </cell>
          <cell r="DH533">
            <v>14</v>
          </cell>
          <cell r="DI533">
            <v>14</v>
          </cell>
          <cell r="DJ533">
            <v>15</v>
          </cell>
          <cell r="DK533">
            <v>0</v>
          </cell>
          <cell r="DL533">
            <v>0</v>
          </cell>
          <cell r="DM533">
            <v>13</v>
          </cell>
          <cell r="DN533">
            <v>10</v>
          </cell>
          <cell r="DO533">
            <v>8</v>
          </cell>
          <cell r="DP533">
            <v>0</v>
          </cell>
          <cell r="DQ533">
            <v>0</v>
          </cell>
          <cell r="DR533">
            <v>8.6666666666666661</v>
          </cell>
          <cell r="DS533">
            <v>8.6666666666666661</v>
          </cell>
          <cell r="DT533">
            <v>7</v>
          </cell>
          <cell r="DU533">
            <v>0</v>
          </cell>
          <cell r="DV533">
            <v>0</v>
          </cell>
          <cell r="DW533">
            <v>7.333333333333333</v>
          </cell>
          <cell r="DX533">
            <v>7.333333333333333</v>
          </cell>
          <cell r="DY533">
            <v>6</v>
          </cell>
          <cell r="DZ533">
            <v>0</v>
          </cell>
          <cell r="EA533">
            <v>0</v>
          </cell>
          <cell r="EB533">
            <v>6</v>
          </cell>
          <cell r="EC533">
            <v>6</v>
          </cell>
          <cell r="ED533">
            <v>5</v>
          </cell>
          <cell r="EE533">
            <v>0</v>
          </cell>
          <cell r="EF533">
            <v>0</v>
          </cell>
          <cell r="EG533">
            <v>4.666666666666667</v>
          </cell>
          <cell r="EH533">
            <v>4.666666666666667</v>
          </cell>
          <cell r="EI533">
            <v>4</v>
          </cell>
          <cell r="EJ533">
            <v>0</v>
          </cell>
          <cell r="EK533">
            <v>0</v>
          </cell>
          <cell r="EL533">
            <v>3.3333333333333339</v>
          </cell>
          <cell r="EM533">
            <v>3.3333333333333339</v>
          </cell>
          <cell r="EN533">
            <v>3.0000000000000004</v>
          </cell>
          <cell r="EO533">
            <v>0</v>
          </cell>
          <cell r="EP533">
            <v>0</v>
          </cell>
          <cell r="EQ533">
            <v>2.0000000000000009</v>
          </cell>
          <cell r="ER533">
            <v>2.0000000000000009</v>
          </cell>
          <cell r="ES533">
            <v>2.0000000000000009</v>
          </cell>
          <cell r="ET533">
            <v>0</v>
          </cell>
          <cell r="EU533">
            <v>0</v>
          </cell>
          <cell r="EV533">
            <v>0.66666666666666763</v>
          </cell>
          <cell r="EW533">
            <v>0.66666666666666763</v>
          </cell>
          <cell r="EX533">
            <v>1.0000000000000007</v>
          </cell>
          <cell r="EY533">
            <v>1.3333333333333324</v>
          </cell>
          <cell r="EZ533">
            <v>0</v>
          </cell>
          <cell r="FA533">
            <v>-0.66666666666666563</v>
          </cell>
          <cell r="FB533">
            <v>-0.66666666666666563</v>
          </cell>
          <cell r="FC533">
            <v>6.6613381477509392E-16</v>
          </cell>
          <cell r="FD533">
            <v>2.6666666666666656</v>
          </cell>
          <cell r="FE533">
            <v>0</v>
          </cell>
          <cell r="FF533">
            <v>-1.9999999999999989</v>
          </cell>
          <cell r="FG533">
            <v>-1.9999999999999989</v>
          </cell>
          <cell r="FH533">
            <v>-0.99999999999999956</v>
          </cell>
          <cell r="FI533">
            <v>3.9999999999999991</v>
          </cell>
          <cell r="FJ533">
            <v>0</v>
          </cell>
          <cell r="FK533">
            <v>-3.3333333333333321</v>
          </cell>
          <cell r="FL533">
            <v>-3.3333333333333321</v>
          </cell>
          <cell r="FM533">
            <v>-1.9999999999999991</v>
          </cell>
          <cell r="FN533">
            <v>5.3333333333333321</v>
          </cell>
          <cell r="FO533">
            <v>0</v>
          </cell>
          <cell r="FP533">
            <v>-4.6666666666666652</v>
          </cell>
          <cell r="FQ533">
            <v>-4.6666666666666652</v>
          </cell>
          <cell r="FR533">
            <v>-2.9999999999999991</v>
          </cell>
          <cell r="FS533">
            <v>6.6666666666666652</v>
          </cell>
          <cell r="FT533">
            <v>2</v>
          </cell>
          <cell r="FU533">
            <v>1</v>
          </cell>
          <cell r="FW533" t="str">
            <v>SOBRESTOCK</v>
          </cell>
          <cell r="FX533" t="str">
            <v>C</v>
          </cell>
          <cell r="FY533" t="str">
            <v>Si</v>
          </cell>
        </row>
        <row r="534">
          <cell r="B534" t="str">
            <v>REP-0551</v>
          </cell>
          <cell r="C534" t="str">
            <v>NACIONAL</v>
          </cell>
          <cell r="E534">
            <v>1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1</v>
          </cell>
          <cell r="AA534">
            <v>1</v>
          </cell>
          <cell r="AC534">
            <v>0</v>
          </cell>
          <cell r="AD534">
            <v>0</v>
          </cell>
          <cell r="AE534">
            <v>0</v>
          </cell>
          <cell r="AH534">
            <v>0.16666666666666666</v>
          </cell>
          <cell r="AI534">
            <v>0.33333333333333331</v>
          </cell>
          <cell r="AJ534">
            <v>0.33333333333333331</v>
          </cell>
          <cell r="AK534">
            <v>0.33333333333333331</v>
          </cell>
          <cell r="AL534">
            <v>9.622504486493777E-2</v>
          </cell>
          <cell r="AM534">
            <v>0.27777777777777773</v>
          </cell>
          <cell r="AN534">
            <v>0.34641016151377602</v>
          </cell>
          <cell r="BC534" t="str">
            <v/>
          </cell>
          <cell r="BI534">
            <v>1</v>
          </cell>
          <cell r="BJ534">
            <v>3</v>
          </cell>
          <cell r="BK534">
            <v>0</v>
          </cell>
          <cell r="BL534">
            <v>1</v>
          </cell>
          <cell r="BM534">
            <v>3</v>
          </cell>
          <cell r="BN534" t="str">
            <v/>
          </cell>
          <cell r="BO534">
            <v>0</v>
          </cell>
          <cell r="BP534">
            <v>3</v>
          </cell>
          <cell r="BQ534">
            <v>2</v>
          </cell>
          <cell r="BR534">
            <v>6</v>
          </cell>
          <cell r="BS534">
            <v>0</v>
          </cell>
          <cell r="BT534">
            <v>2</v>
          </cell>
          <cell r="BU534">
            <v>2</v>
          </cell>
          <cell r="BV534" t="str">
            <v/>
          </cell>
          <cell r="BW534">
            <v>0</v>
          </cell>
          <cell r="BX534">
            <v>0</v>
          </cell>
          <cell r="BY534">
            <v>2</v>
          </cell>
          <cell r="BZ534">
            <v>2</v>
          </cell>
          <cell r="CA534" t="str">
            <v/>
          </cell>
          <cell r="CB534">
            <v>0</v>
          </cell>
          <cell r="CC534">
            <v>0</v>
          </cell>
          <cell r="CD534">
            <v>2</v>
          </cell>
          <cell r="CE534">
            <v>0</v>
          </cell>
          <cell r="CF534">
            <v>0</v>
          </cell>
          <cell r="CG534">
            <v>2</v>
          </cell>
          <cell r="CH534">
            <v>0</v>
          </cell>
          <cell r="CI534">
            <v>3.6666666666666665</v>
          </cell>
          <cell r="CJ534">
            <v>0</v>
          </cell>
          <cell r="CK534">
            <v>0</v>
          </cell>
          <cell r="CL534">
            <v>2</v>
          </cell>
          <cell r="CM534">
            <v>0</v>
          </cell>
          <cell r="CN534">
            <v>-0.33333333333333331</v>
          </cell>
          <cell r="CO534">
            <v>1</v>
          </cell>
          <cell r="CP534">
            <v>3</v>
          </cell>
          <cell r="CQ534">
            <v>2.3333333333333335</v>
          </cell>
          <cell r="CR534">
            <v>0</v>
          </cell>
          <cell r="CS534">
            <v>0.66666666666666674</v>
          </cell>
          <cell r="CT534">
            <v>1</v>
          </cell>
          <cell r="CU534">
            <v>3</v>
          </cell>
          <cell r="CV534">
            <v>0</v>
          </cell>
          <cell r="CW534">
            <v>0</v>
          </cell>
          <cell r="CX534">
            <v>0.66666666666666674</v>
          </cell>
          <cell r="CY534">
            <v>1</v>
          </cell>
          <cell r="CZ534">
            <v>1.5</v>
          </cell>
          <cell r="DA534">
            <v>0.33333333333333326</v>
          </cell>
          <cell r="DB534">
            <v>0</v>
          </cell>
          <cell r="DC534">
            <v>0.33333333333333337</v>
          </cell>
          <cell r="DD534">
            <v>1</v>
          </cell>
          <cell r="DE534">
            <v>0</v>
          </cell>
          <cell r="DF534">
            <v>0</v>
          </cell>
          <cell r="DG534">
            <v>0</v>
          </cell>
          <cell r="DH534">
            <v>0.33333333333333337</v>
          </cell>
          <cell r="DI534">
            <v>1</v>
          </cell>
          <cell r="DJ534">
            <v>2</v>
          </cell>
          <cell r="DK534">
            <v>0</v>
          </cell>
          <cell r="DL534">
            <v>0</v>
          </cell>
          <cell r="DM534">
            <v>-6.6666666666666652E-2</v>
          </cell>
          <cell r="DN534">
            <v>1</v>
          </cell>
          <cell r="DO534">
            <v>2</v>
          </cell>
          <cell r="DP534">
            <v>0</v>
          </cell>
          <cell r="DQ534">
            <v>0</v>
          </cell>
          <cell r="DR534">
            <v>0.66666666666666674</v>
          </cell>
          <cell r="DS534">
            <v>0.66666666666666674</v>
          </cell>
          <cell r="DT534">
            <v>1.0000000000000002</v>
          </cell>
          <cell r="DU534">
            <v>0.33333333333333326</v>
          </cell>
          <cell r="DV534">
            <v>0</v>
          </cell>
          <cell r="DW534">
            <v>0.33333333333333343</v>
          </cell>
          <cell r="DX534">
            <v>0.33333333333333343</v>
          </cell>
          <cell r="DY534">
            <v>4.4408920985006262E-16</v>
          </cell>
          <cell r="DZ534">
            <v>0.66666666666666652</v>
          </cell>
          <cell r="EA534">
            <v>0</v>
          </cell>
          <cell r="EB534">
            <v>0</v>
          </cell>
          <cell r="EC534">
            <v>0</v>
          </cell>
          <cell r="ED534">
            <v>-1</v>
          </cell>
          <cell r="EE534">
            <v>1</v>
          </cell>
          <cell r="EF534">
            <v>0</v>
          </cell>
          <cell r="EG534">
            <v>-0.33333333333333331</v>
          </cell>
          <cell r="EH534">
            <v>-0.33333333333333331</v>
          </cell>
          <cell r="EI534">
            <v>-2</v>
          </cell>
          <cell r="EJ534">
            <v>1.3333333333333333</v>
          </cell>
          <cell r="EK534">
            <v>0</v>
          </cell>
          <cell r="EL534">
            <v>-0.66666666666666663</v>
          </cell>
          <cell r="EM534">
            <v>-0.66666666666666663</v>
          </cell>
          <cell r="EN534">
            <v>-3</v>
          </cell>
          <cell r="EO534">
            <v>1.6666666666666665</v>
          </cell>
          <cell r="EP534">
            <v>0</v>
          </cell>
          <cell r="EQ534">
            <v>-1</v>
          </cell>
          <cell r="ER534">
            <v>-1</v>
          </cell>
          <cell r="ES534">
            <v>-4</v>
          </cell>
          <cell r="ET534">
            <v>2</v>
          </cell>
          <cell r="EU534">
            <v>0</v>
          </cell>
          <cell r="EV534">
            <v>-1.3333333333333333</v>
          </cell>
          <cell r="EW534">
            <v>-1.3333333333333333</v>
          </cell>
          <cell r="EX534">
            <v>-4.9999999999999991</v>
          </cell>
          <cell r="EY534">
            <v>2.333333333333333</v>
          </cell>
          <cell r="EZ534">
            <v>0</v>
          </cell>
          <cell r="FA534">
            <v>-1.6666666666666665</v>
          </cell>
          <cell r="FB534">
            <v>-1.6666666666666665</v>
          </cell>
          <cell r="FC534">
            <v>-6</v>
          </cell>
          <cell r="FD534">
            <v>2.6666666666666665</v>
          </cell>
          <cell r="FE534">
            <v>0</v>
          </cell>
          <cell r="FF534">
            <v>-1.9999999999999998</v>
          </cell>
          <cell r="FG534">
            <v>-1.9999999999999998</v>
          </cell>
          <cell r="FH534">
            <v>-7</v>
          </cell>
          <cell r="FI534">
            <v>3</v>
          </cell>
          <cell r="FJ534">
            <v>0</v>
          </cell>
          <cell r="FK534">
            <v>-2.333333333333333</v>
          </cell>
          <cell r="FL534">
            <v>-2.333333333333333</v>
          </cell>
          <cell r="FM534">
            <v>-8</v>
          </cell>
          <cell r="FN534">
            <v>3.333333333333333</v>
          </cell>
          <cell r="FO534">
            <v>0</v>
          </cell>
          <cell r="FP534">
            <v>-2.6666666666666665</v>
          </cell>
          <cell r="FQ534">
            <v>-2.6666666666666665</v>
          </cell>
          <cell r="FR534">
            <v>-9</v>
          </cell>
          <cell r="FS534">
            <v>3.6666666666666665</v>
          </cell>
          <cell r="FT534">
            <v>1</v>
          </cell>
          <cell r="FU534">
            <v>1.0333333333333334</v>
          </cell>
          <cell r="FW534" t="str">
            <v>STOCK OK</v>
          </cell>
          <cell r="FX534" t="str">
            <v>C</v>
          </cell>
          <cell r="FY534" t="str">
            <v>Si</v>
          </cell>
        </row>
        <row r="535">
          <cell r="B535" t="str">
            <v>REP-0552</v>
          </cell>
          <cell r="C535" t="str">
            <v>NACIONAL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6</v>
          </cell>
          <cell r="P535">
            <v>3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5</v>
          </cell>
          <cell r="V535">
            <v>3</v>
          </cell>
          <cell r="W535">
            <v>4</v>
          </cell>
          <cell r="X535">
            <v>4</v>
          </cell>
          <cell r="Y535">
            <v>29</v>
          </cell>
          <cell r="AA535">
            <v>29</v>
          </cell>
          <cell r="AC535">
            <v>0</v>
          </cell>
          <cell r="AD535">
            <v>0</v>
          </cell>
          <cell r="AE535">
            <v>0</v>
          </cell>
          <cell r="AH535">
            <v>3</v>
          </cell>
          <cell r="AI535">
            <v>4.333333333333333</v>
          </cell>
          <cell r="AJ535">
            <v>4.333333333333333</v>
          </cell>
          <cell r="AK535">
            <v>4.333333333333333</v>
          </cell>
          <cell r="AL535">
            <v>0.76980035891950271</v>
          </cell>
          <cell r="AM535">
            <v>3.8888888888888888</v>
          </cell>
          <cell r="AN535">
            <v>0.19794866372215783</v>
          </cell>
          <cell r="BM535">
            <v>3</v>
          </cell>
          <cell r="BN535">
            <v>2.5714285714285712</v>
          </cell>
          <cell r="BO535">
            <v>0</v>
          </cell>
          <cell r="BP535">
            <v>1.8333333333333333</v>
          </cell>
          <cell r="BQ535">
            <v>84</v>
          </cell>
          <cell r="BR535">
            <v>19.384615384615387</v>
          </cell>
          <cell r="BS535">
            <v>0</v>
          </cell>
          <cell r="BT535">
            <v>80.166666666666671</v>
          </cell>
          <cell r="BU535">
            <v>82</v>
          </cell>
          <cell r="BV535">
            <v>19.68</v>
          </cell>
          <cell r="BW535">
            <v>0</v>
          </cell>
          <cell r="BX535">
            <v>0</v>
          </cell>
          <cell r="BY535">
            <v>77.833333333333329</v>
          </cell>
          <cell r="BZ535">
            <v>82</v>
          </cell>
          <cell r="CA535">
            <v>18.222222222222221</v>
          </cell>
          <cell r="CB535">
            <v>0</v>
          </cell>
          <cell r="CC535">
            <v>0</v>
          </cell>
          <cell r="CD535">
            <v>77.5</v>
          </cell>
          <cell r="CE535">
            <v>80</v>
          </cell>
          <cell r="CF535">
            <v>16.551724137931036</v>
          </cell>
          <cell r="CG535">
            <v>0</v>
          </cell>
          <cell r="CH535">
            <v>0</v>
          </cell>
          <cell r="CI535">
            <v>72.666666666666671</v>
          </cell>
          <cell r="CJ535">
            <v>66</v>
          </cell>
          <cell r="CK535">
            <v>11</v>
          </cell>
          <cell r="CL535">
            <v>0</v>
          </cell>
          <cell r="CM535">
            <v>0</v>
          </cell>
          <cell r="CN535">
            <v>60</v>
          </cell>
          <cell r="CO535">
            <v>58</v>
          </cell>
          <cell r="CP535">
            <v>9.6666666666666661</v>
          </cell>
          <cell r="CQ535">
            <v>0</v>
          </cell>
          <cell r="CR535">
            <v>0</v>
          </cell>
          <cell r="CS535">
            <v>52</v>
          </cell>
          <cell r="CT535">
            <v>44</v>
          </cell>
          <cell r="CU535">
            <v>8.8000000000000007</v>
          </cell>
          <cell r="CV535">
            <v>0</v>
          </cell>
          <cell r="CW535">
            <v>0</v>
          </cell>
          <cell r="CX535">
            <v>39</v>
          </cell>
          <cell r="CY535">
            <v>42</v>
          </cell>
          <cell r="CZ535">
            <v>8.4</v>
          </cell>
          <cell r="DA535">
            <v>0</v>
          </cell>
          <cell r="DB535">
            <v>0</v>
          </cell>
          <cell r="DC535">
            <v>36.25</v>
          </cell>
          <cell r="DD535">
            <v>32</v>
          </cell>
          <cell r="DE535">
            <v>4.333333333333333</v>
          </cell>
          <cell r="DF535">
            <v>0</v>
          </cell>
          <cell r="DG535">
            <v>0</v>
          </cell>
          <cell r="DH535">
            <v>26</v>
          </cell>
          <cell r="DI535">
            <v>30</v>
          </cell>
          <cell r="DJ535">
            <v>6.615384615384615</v>
          </cell>
          <cell r="DK535">
            <v>0</v>
          </cell>
          <cell r="DL535">
            <v>0</v>
          </cell>
          <cell r="DM535">
            <v>20.8</v>
          </cell>
          <cell r="DN535">
            <v>29</v>
          </cell>
          <cell r="DO535">
            <v>7.5384615384615392</v>
          </cell>
          <cell r="DP535">
            <v>0</v>
          </cell>
          <cell r="DQ535">
            <v>0</v>
          </cell>
          <cell r="DR535">
            <v>24.666666666666668</v>
          </cell>
          <cell r="DS535">
            <v>24.666666666666668</v>
          </cell>
          <cell r="DT535">
            <v>6.5384615384615392</v>
          </cell>
          <cell r="DU535">
            <v>0</v>
          </cell>
          <cell r="DV535">
            <v>0</v>
          </cell>
          <cell r="DW535">
            <v>20.333333333333336</v>
          </cell>
          <cell r="DX535">
            <v>20.333333333333336</v>
          </cell>
          <cell r="DY535">
            <v>5.5384615384615392</v>
          </cell>
          <cell r="DZ535">
            <v>0</v>
          </cell>
          <cell r="EA535">
            <v>0</v>
          </cell>
          <cell r="EB535">
            <v>16.000000000000004</v>
          </cell>
          <cell r="EC535">
            <v>16.000000000000004</v>
          </cell>
          <cell r="ED535">
            <v>4.5384615384615401</v>
          </cell>
          <cell r="EE535">
            <v>0</v>
          </cell>
          <cell r="EF535">
            <v>0</v>
          </cell>
          <cell r="EG535">
            <v>11.666666666666671</v>
          </cell>
          <cell r="EH535">
            <v>11.666666666666671</v>
          </cell>
          <cell r="EI535">
            <v>3.5384615384615397</v>
          </cell>
          <cell r="EJ535">
            <v>0</v>
          </cell>
          <cell r="EK535">
            <v>0</v>
          </cell>
          <cell r="EL535">
            <v>7.3333333333333384</v>
          </cell>
          <cell r="EM535">
            <v>7.3333333333333384</v>
          </cell>
          <cell r="EN535">
            <v>2.5384615384615397</v>
          </cell>
          <cell r="EO535">
            <v>0</v>
          </cell>
          <cell r="EP535">
            <v>0</v>
          </cell>
          <cell r="EQ535">
            <v>3.0000000000000053</v>
          </cell>
          <cell r="ER535">
            <v>3.0000000000000053</v>
          </cell>
          <cell r="ES535">
            <v>1.5384615384615397</v>
          </cell>
          <cell r="ET535">
            <v>1.9999999999999947</v>
          </cell>
          <cell r="EU535">
            <v>0</v>
          </cell>
          <cell r="EV535">
            <v>-1.3333333333333277</v>
          </cell>
          <cell r="EW535">
            <v>-1.3333333333333277</v>
          </cell>
          <cell r="EX535">
            <v>0.53846153846153966</v>
          </cell>
          <cell r="EY535">
            <v>6.3333333333333277</v>
          </cell>
          <cell r="EZ535">
            <v>0</v>
          </cell>
          <cell r="FA535">
            <v>-5.6666666666666607</v>
          </cell>
          <cell r="FB535">
            <v>-5.6666666666666607</v>
          </cell>
          <cell r="FC535">
            <v>-0.46153846153846034</v>
          </cell>
          <cell r="FD535">
            <v>10.666666666666661</v>
          </cell>
          <cell r="FE535">
            <v>0</v>
          </cell>
          <cell r="FF535">
            <v>-9.9999999999999929</v>
          </cell>
          <cell r="FG535">
            <v>-9.9999999999999929</v>
          </cell>
          <cell r="FH535">
            <v>-1.4615384615384603</v>
          </cell>
          <cell r="FI535">
            <v>14.999999999999993</v>
          </cell>
          <cell r="FJ535">
            <v>0</v>
          </cell>
          <cell r="FK535">
            <v>-14.333333333333325</v>
          </cell>
          <cell r="FL535">
            <v>-14.333333333333325</v>
          </cell>
          <cell r="FM535">
            <v>-2.4615384615384599</v>
          </cell>
          <cell r="FN535">
            <v>19.333333333333325</v>
          </cell>
          <cell r="FO535">
            <v>0</v>
          </cell>
          <cell r="FP535">
            <v>-18.666666666666657</v>
          </cell>
          <cell r="FQ535">
            <v>-18.666666666666657</v>
          </cell>
          <cell r="FR535">
            <v>-3.4615384615384599</v>
          </cell>
          <cell r="FS535">
            <v>23.666666666666657</v>
          </cell>
          <cell r="FT535">
            <v>5</v>
          </cell>
          <cell r="FU535">
            <v>1.0333333333333334</v>
          </cell>
          <cell r="FW535" t="str">
            <v>SOBRESTOCK</v>
          </cell>
          <cell r="FX535" t="str">
            <v>B</v>
          </cell>
          <cell r="FY535" t="str">
            <v>Si</v>
          </cell>
        </row>
        <row r="536">
          <cell r="B536" t="str">
            <v>REP-0553</v>
          </cell>
          <cell r="C536" t="str">
            <v>NACIONAL</v>
          </cell>
          <cell r="E536">
            <v>2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1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4</v>
          </cell>
          <cell r="AA536">
            <v>4</v>
          </cell>
          <cell r="AC536">
            <v>0</v>
          </cell>
          <cell r="AD536">
            <v>0</v>
          </cell>
          <cell r="AE536">
            <v>0</v>
          </cell>
          <cell r="AH536">
            <v>8.3333333333333329E-2</v>
          </cell>
          <cell r="AI536">
            <v>0</v>
          </cell>
          <cell r="AJ536">
            <v>0</v>
          </cell>
          <cell r="AK536">
            <v>8.3333333333333329E-2</v>
          </cell>
          <cell r="AL536">
            <v>4.8112522432468816E-2</v>
          </cell>
          <cell r="AM536">
            <v>2.7777777777777776E-2</v>
          </cell>
          <cell r="AN536">
            <v>1.7320508075688774</v>
          </cell>
          <cell r="BM536">
            <v>5</v>
          </cell>
          <cell r="BN536" t="str">
            <v/>
          </cell>
          <cell r="BO536">
            <v>0</v>
          </cell>
          <cell r="BP536">
            <v>5</v>
          </cell>
          <cell r="BQ536">
            <v>4</v>
          </cell>
          <cell r="BR536">
            <v>48</v>
          </cell>
          <cell r="BS536">
            <v>0</v>
          </cell>
          <cell r="BT536">
            <v>3.8333333333333335</v>
          </cell>
          <cell r="BU536">
            <v>4</v>
          </cell>
          <cell r="BV536">
            <v>24</v>
          </cell>
          <cell r="BW536">
            <v>0</v>
          </cell>
          <cell r="BX536">
            <v>0</v>
          </cell>
          <cell r="BY536">
            <v>3.8333333333333335</v>
          </cell>
          <cell r="BZ536">
            <v>4</v>
          </cell>
          <cell r="CA536">
            <v>24</v>
          </cell>
          <cell r="CB536">
            <v>0</v>
          </cell>
          <cell r="CC536">
            <v>0</v>
          </cell>
          <cell r="CD536">
            <v>3.8333333333333335</v>
          </cell>
          <cell r="CE536">
            <v>4</v>
          </cell>
          <cell r="CF536">
            <v>24</v>
          </cell>
          <cell r="CG536">
            <v>0</v>
          </cell>
          <cell r="CH536">
            <v>0</v>
          </cell>
          <cell r="CI536">
            <v>3.666666666666667</v>
          </cell>
          <cell r="CJ536">
            <v>4</v>
          </cell>
          <cell r="CK536">
            <v>24</v>
          </cell>
          <cell r="CL536">
            <v>0</v>
          </cell>
          <cell r="CM536">
            <v>0</v>
          </cell>
          <cell r="CN536">
            <v>3.8333333333333335</v>
          </cell>
          <cell r="CO536">
            <v>4</v>
          </cell>
          <cell r="CP536">
            <v>24</v>
          </cell>
          <cell r="CQ536">
            <v>0</v>
          </cell>
          <cell r="CR536">
            <v>0</v>
          </cell>
          <cell r="CS536">
            <v>3.8333333333333335</v>
          </cell>
          <cell r="CT536">
            <v>4</v>
          </cell>
          <cell r="CU536">
            <v>48</v>
          </cell>
          <cell r="CV536">
            <v>0</v>
          </cell>
          <cell r="CW536">
            <v>0</v>
          </cell>
          <cell r="CX536">
            <v>3.9166666666666665</v>
          </cell>
          <cell r="CY536">
            <v>3</v>
          </cell>
          <cell r="CZ536">
            <v>36</v>
          </cell>
          <cell r="DA536">
            <v>0</v>
          </cell>
          <cell r="DB536">
            <v>0</v>
          </cell>
          <cell r="DC536">
            <v>2.9166666666666665</v>
          </cell>
          <cell r="DD536">
            <v>4</v>
          </cell>
          <cell r="DE536">
            <v>36</v>
          </cell>
          <cell r="DF536">
            <v>0</v>
          </cell>
          <cell r="DG536">
            <v>0</v>
          </cell>
          <cell r="DH536">
            <v>3.9166666666666665</v>
          </cell>
          <cell r="DI536">
            <v>4</v>
          </cell>
          <cell r="DJ536">
            <v>38</v>
          </cell>
          <cell r="DK536">
            <v>0</v>
          </cell>
          <cell r="DL536">
            <v>0</v>
          </cell>
          <cell r="DM536">
            <v>3.833333333333333</v>
          </cell>
          <cell r="DN536">
            <v>4</v>
          </cell>
          <cell r="DO536">
            <v>38</v>
          </cell>
          <cell r="DP536">
            <v>0</v>
          </cell>
          <cell r="DQ536">
            <v>0</v>
          </cell>
          <cell r="DR536">
            <v>3.9166666666666665</v>
          </cell>
          <cell r="DS536">
            <v>3.9166666666666665</v>
          </cell>
          <cell r="DT536">
            <v>37</v>
          </cell>
          <cell r="DU536">
            <v>0</v>
          </cell>
          <cell r="DV536">
            <v>0</v>
          </cell>
          <cell r="DW536">
            <v>3.833333333333333</v>
          </cell>
          <cell r="DX536">
            <v>3.833333333333333</v>
          </cell>
          <cell r="DY536">
            <v>36</v>
          </cell>
          <cell r="DZ536">
            <v>0</v>
          </cell>
          <cell r="EA536">
            <v>0</v>
          </cell>
          <cell r="EB536">
            <v>3.7499999999999996</v>
          </cell>
          <cell r="EC536">
            <v>3.7499999999999996</v>
          </cell>
          <cell r="ED536">
            <v>35</v>
          </cell>
          <cell r="EE536">
            <v>0</v>
          </cell>
          <cell r="EF536">
            <v>0</v>
          </cell>
          <cell r="EG536">
            <v>3.6666666666666661</v>
          </cell>
          <cell r="EH536">
            <v>3.6666666666666661</v>
          </cell>
          <cell r="EI536">
            <v>33.999999999999993</v>
          </cell>
          <cell r="EJ536">
            <v>0</v>
          </cell>
          <cell r="EK536">
            <v>0</v>
          </cell>
          <cell r="EL536">
            <v>3.5833333333333326</v>
          </cell>
          <cell r="EM536">
            <v>3.5833333333333326</v>
          </cell>
          <cell r="EN536">
            <v>32.999999999999993</v>
          </cell>
          <cell r="EO536">
            <v>0</v>
          </cell>
          <cell r="EP536">
            <v>0</v>
          </cell>
          <cell r="EQ536">
            <v>3.4999999999999991</v>
          </cell>
          <cell r="ER536">
            <v>3.4999999999999991</v>
          </cell>
          <cell r="ES536">
            <v>31.999999999999989</v>
          </cell>
          <cell r="ET536">
            <v>0</v>
          </cell>
          <cell r="EU536">
            <v>0</v>
          </cell>
          <cell r="EV536">
            <v>3.4166666666666656</v>
          </cell>
          <cell r="EW536">
            <v>3.4166666666666656</v>
          </cell>
          <cell r="EX536">
            <v>30.999999999999989</v>
          </cell>
          <cell r="EY536">
            <v>0</v>
          </cell>
          <cell r="EZ536">
            <v>0</v>
          </cell>
          <cell r="FA536">
            <v>3.3333333333333321</v>
          </cell>
          <cell r="FB536">
            <v>3.3333333333333321</v>
          </cell>
          <cell r="FC536">
            <v>29.999999999999986</v>
          </cell>
          <cell r="FD536">
            <v>0</v>
          </cell>
          <cell r="FE536">
            <v>0</v>
          </cell>
          <cell r="FF536">
            <v>3.2499999999999987</v>
          </cell>
          <cell r="FG536">
            <v>3.2499999999999987</v>
          </cell>
          <cell r="FH536">
            <v>28.999999999999986</v>
          </cell>
          <cell r="FI536">
            <v>0</v>
          </cell>
          <cell r="FJ536">
            <v>0</v>
          </cell>
          <cell r="FK536">
            <v>3.1666666666666652</v>
          </cell>
          <cell r="FL536">
            <v>3.1666666666666652</v>
          </cell>
          <cell r="FM536">
            <v>27.999999999999982</v>
          </cell>
          <cell r="FN536">
            <v>0</v>
          </cell>
          <cell r="FO536">
            <v>0</v>
          </cell>
          <cell r="FP536">
            <v>3.0833333333333317</v>
          </cell>
          <cell r="FQ536">
            <v>3.0833333333333317</v>
          </cell>
          <cell r="FR536">
            <v>26.999999999999982</v>
          </cell>
          <cell r="FS536">
            <v>0</v>
          </cell>
          <cell r="FT536">
            <v>1</v>
          </cell>
          <cell r="FU536">
            <v>1.0333333333333334</v>
          </cell>
          <cell r="FW536" t="str">
            <v>SIN ROTACIÓN</v>
          </cell>
          <cell r="FX536" t="str">
            <v>STOCK MUERTO</v>
          </cell>
          <cell r="FY536" t="str">
            <v>Si</v>
          </cell>
        </row>
        <row r="537">
          <cell r="B537" t="str">
            <v>REP-0554</v>
          </cell>
          <cell r="C537" t="str">
            <v>NACIONAL</v>
          </cell>
          <cell r="E537">
            <v>1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1</v>
          </cell>
          <cell r="AA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BM537">
            <v>1</v>
          </cell>
          <cell r="BN537" t="str">
            <v/>
          </cell>
          <cell r="BO537">
            <v>0</v>
          </cell>
          <cell r="BP537">
            <v>1</v>
          </cell>
          <cell r="BQ537">
            <v>1</v>
          </cell>
          <cell r="BR537" t="str">
            <v/>
          </cell>
          <cell r="BS537">
            <v>0</v>
          </cell>
          <cell r="BT537">
            <v>1</v>
          </cell>
          <cell r="BU537">
            <v>1</v>
          </cell>
          <cell r="BV537" t="str">
            <v/>
          </cell>
          <cell r="BW537">
            <v>0</v>
          </cell>
          <cell r="BX537">
            <v>0</v>
          </cell>
          <cell r="BY537">
            <v>1</v>
          </cell>
          <cell r="BZ537">
            <v>1</v>
          </cell>
          <cell r="CA537" t="str">
            <v/>
          </cell>
          <cell r="CB537">
            <v>0</v>
          </cell>
          <cell r="CC537">
            <v>0</v>
          </cell>
          <cell r="CD537">
            <v>1</v>
          </cell>
          <cell r="CE537">
            <v>1</v>
          </cell>
          <cell r="CF537" t="str">
            <v/>
          </cell>
          <cell r="CG537">
            <v>0</v>
          </cell>
          <cell r="CH537">
            <v>0</v>
          </cell>
          <cell r="CI537">
            <v>1</v>
          </cell>
          <cell r="CJ537">
            <v>1</v>
          </cell>
          <cell r="CK537" t="str">
            <v/>
          </cell>
          <cell r="CL537">
            <v>0</v>
          </cell>
          <cell r="CM537">
            <v>0</v>
          </cell>
          <cell r="CN537">
            <v>1</v>
          </cell>
          <cell r="CO537">
            <v>1</v>
          </cell>
          <cell r="CP537" t="str">
            <v/>
          </cell>
          <cell r="CQ537">
            <v>0</v>
          </cell>
          <cell r="CR537">
            <v>0</v>
          </cell>
          <cell r="CS537">
            <v>1</v>
          </cell>
          <cell r="CT537">
            <v>1</v>
          </cell>
          <cell r="CU537" t="str">
            <v/>
          </cell>
          <cell r="CV537">
            <v>0</v>
          </cell>
          <cell r="CW537">
            <v>0</v>
          </cell>
          <cell r="CX537">
            <v>1</v>
          </cell>
          <cell r="CY537">
            <v>1</v>
          </cell>
          <cell r="CZ537" t="str">
            <v/>
          </cell>
          <cell r="DA537">
            <v>0</v>
          </cell>
          <cell r="DB537">
            <v>0</v>
          </cell>
          <cell r="DC537">
            <v>1</v>
          </cell>
          <cell r="DD537">
            <v>1</v>
          </cell>
          <cell r="DE537" t="str">
            <v/>
          </cell>
          <cell r="DF537">
            <v>0</v>
          </cell>
          <cell r="DG537">
            <v>0</v>
          </cell>
          <cell r="DH537">
            <v>1</v>
          </cell>
          <cell r="DI537">
            <v>1</v>
          </cell>
          <cell r="DJ537" t="str">
            <v/>
          </cell>
          <cell r="DK537">
            <v>0</v>
          </cell>
          <cell r="DL537">
            <v>0</v>
          </cell>
          <cell r="DM537">
            <v>1</v>
          </cell>
          <cell r="DN537">
            <v>1</v>
          </cell>
          <cell r="DO537" t="str">
            <v/>
          </cell>
          <cell r="DP537">
            <v>0</v>
          </cell>
          <cell r="DQ537">
            <v>0</v>
          </cell>
          <cell r="DR537">
            <v>1</v>
          </cell>
          <cell r="DS537">
            <v>1</v>
          </cell>
          <cell r="DT537" t="str">
            <v/>
          </cell>
          <cell r="DU537">
            <v>0</v>
          </cell>
          <cell r="DV537">
            <v>0</v>
          </cell>
          <cell r="DW537">
            <v>1</v>
          </cell>
          <cell r="DX537">
            <v>1</v>
          </cell>
          <cell r="DY537" t="str">
            <v/>
          </cell>
          <cell r="DZ537">
            <v>0</v>
          </cell>
          <cell r="EA537">
            <v>0</v>
          </cell>
          <cell r="EB537">
            <v>1</v>
          </cell>
          <cell r="EC537">
            <v>1</v>
          </cell>
          <cell r="ED537" t="str">
            <v/>
          </cell>
          <cell r="EE537">
            <v>0</v>
          </cell>
          <cell r="EF537">
            <v>0</v>
          </cell>
          <cell r="EG537">
            <v>1</v>
          </cell>
          <cell r="EH537">
            <v>1</v>
          </cell>
          <cell r="EI537" t="str">
            <v/>
          </cell>
          <cell r="EJ537">
            <v>0</v>
          </cell>
          <cell r="EK537">
            <v>0</v>
          </cell>
          <cell r="EL537">
            <v>1</v>
          </cell>
          <cell r="EM537">
            <v>1</v>
          </cell>
          <cell r="EN537" t="str">
            <v/>
          </cell>
          <cell r="EO537">
            <v>0</v>
          </cell>
          <cell r="EP537">
            <v>0</v>
          </cell>
          <cell r="EQ537">
            <v>1</v>
          </cell>
          <cell r="ER537">
            <v>1</v>
          </cell>
          <cell r="ES537" t="str">
            <v/>
          </cell>
          <cell r="ET537">
            <v>0</v>
          </cell>
          <cell r="EU537">
            <v>0</v>
          </cell>
          <cell r="EV537">
            <v>1</v>
          </cell>
          <cell r="EW537">
            <v>1</v>
          </cell>
          <cell r="EX537" t="str">
            <v/>
          </cell>
          <cell r="EY537">
            <v>0</v>
          </cell>
          <cell r="EZ537">
            <v>0</v>
          </cell>
          <cell r="FA537">
            <v>1</v>
          </cell>
          <cell r="FB537">
            <v>1</v>
          </cell>
          <cell r="FC537" t="str">
            <v/>
          </cell>
          <cell r="FD537">
            <v>0</v>
          </cell>
          <cell r="FE537">
            <v>0</v>
          </cell>
          <cell r="FF537">
            <v>1</v>
          </cell>
          <cell r="FG537">
            <v>1</v>
          </cell>
          <cell r="FH537" t="str">
            <v/>
          </cell>
          <cell r="FI537">
            <v>0</v>
          </cell>
          <cell r="FJ537">
            <v>0</v>
          </cell>
          <cell r="FK537">
            <v>1</v>
          </cell>
          <cell r="FL537">
            <v>1</v>
          </cell>
          <cell r="FM537" t="str">
            <v/>
          </cell>
          <cell r="FN537">
            <v>0</v>
          </cell>
          <cell r="FO537">
            <v>0</v>
          </cell>
          <cell r="FP537">
            <v>1</v>
          </cell>
          <cell r="FQ537">
            <v>1</v>
          </cell>
          <cell r="FR537" t="str">
            <v/>
          </cell>
          <cell r="FS537">
            <v>0</v>
          </cell>
          <cell r="FT537">
            <v>0</v>
          </cell>
          <cell r="FU537">
            <v>1.0333333333333334</v>
          </cell>
          <cell r="FW537" t="str">
            <v>SIN ROTACIÓN</v>
          </cell>
          <cell r="FX537" t="str">
            <v>STOCK MUERTO</v>
          </cell>
          <cell r="FY537" t="str">
            <v>Si</v>
          </cell>
        </row>
        <row r="538">
          <cell r="B538" t="str">
            <v>REP-0555</v>
          </cell>
          <cell r="C538" t="str">
            <v>NACIONAL</v>
          </cell>
          <cell r="E538">
            <v>20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3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23</v>
          </cell>
          <cell r="AA538">
            <v>23</v>
          </cell>
          <cell r="AC538">
            <v>0</v>
          </cell>
          <cell r="AD538">
            <v>0</v>
          </cell>
          <cell r="AE538">
            <v>0</v>
          </cell>
          <cell r="AH538">
            <v>0.58333333333333337</v>
          </cell>
          <cell r="AI538">
            <v>0</v>
          </cell>
          <cell r="AJ538">
            <v>0</v>
          </cell>
          <cell r="AK538">
            <v>0.58333333333333337</v>
          </cell>
          <cell r="AL538">
            <v>0.33678765702728175</v>
          </cell>
          <cell r="AM538">
            <v>0.19444444444444445</v>
          </cell>
          <cell r="AN538">
            <v>1.7320508075688776</v>
          </cell>
          <cell r="BM538">
            <v>30</v>
          </cell>
          <cell r="BN538" t="str">
            <v/>
          </cell>
          <cell r="BO538">
            <v>0</v>
          </cell>
          <cell r="BP538">
            <v>30</v>
          </cell>
          <cell r="BQ538">
            <v>30</v>
          </cell>
          <cell r="BR538">
            <v>51.428571428571423</v>
          </cell>
          <cell r="BS538">
            <v>0</v>
          </cell>
          <cell r="BT538">
            <v>30</v>
          </cell>
          <cell r="BU538">
            <v>30</v>
          </cell>
          <cell r="BV538" t="str">
            <v/>
          </cell>
          <cell r="BW538">
            <v>0</v>
          </cell>
          <cell r="BX538">
            <v>0</v>
          </cell>
          <cell r="BY538">
            <v>30</v>
          </cell>
          <cell r="BZ538">
            <v>30</v>
          </cell>
          <cell r="CA538" t="str">
            <v/>
          </cell>
          <cell r="CB538">
            <v>0</v>
          </cell>
          <cell r="CC538">
            <v>0</v>
          </cell>
          <cell r="CD538">
            <v>30</v>
          </cell>
          <cell r="CE538">
            <v>28</v>
          </cell>
          <cell r="CF538">
            <v>84</v>
          </cell>
          <cell r="CG538">
            <v>0</v>
          </cell>
          <cell r="CH538">
            <v>0</v>
          </cell>
          <cell r="CI538">
            <v>29.666666666666668</v>
          </cell>
          <cell r="CJ538">
            <v>23</v>
          </cell>
          <cell r="CK538">
            <v>19.714285714285712</v>
          </cell>
          <cell r="CL538">
            <v>0</v>
          </cell>
          <cell r="CM538">
            <v>0</v>
          </cell>
          <cell r="CN538">
            <v>21.833333333333332</v>
          </cell>
          <cell r="CO538">
            <v>23</v>
          </cell>
          <cell r="CP538">
            <v>19.714285714285712</v>
          </cell>
          <cell r="CQ538">
            <v>0</v>
          </cell>
          <cell r="CR538">
            <v>0</v>
          </cell>
          <cell r="CS538">
            <v>21.833333333333332</v>
          </cell>
          <cell r="CT538">
            <v>23</v>
          </cell>
          <cell r="CU538">
            <v>19.714285714285712</v>
          </cell>
          <cell r="CV538">
            <v>0</v>
          </cell>
          <cell r="CW538">
            <v>0</v>
          </cell>
          <cell r="CX538">
            <v>21.833333333333332</v>
          </cell>
          <cell r="CY538">
            <v>23</v>
          </cell>
          <cell r="CZ538">
            <v>39.428571428571423</v>
          </cell>
          <cell r="DA538">
            <v>0</v>
          </cell>
          <cell r="DB538">
            <v>0</v>
          </cell>
          <cell r="DC538">
            <v>22.416666666666668</v>
          </cell>
          <cell r="DD538">
            <v>23</v>
          </cell>
          <cell r="DE538">
            <v>37.714285714285715</v>
          </cell>
          <cell r="DF538">
            <v>0</v>
          </cell>
          <cell r="DG538">
            <v>0</v>
          </cell>
          <cell r="DH538">
            <v>22.416666666666668</v>
          </cell>
          <cell r="DI538">
            <v>23</v>
          </cell>
          <cell r="DJ538">
            <v>39.714285714285715</v>
          </cell>
          <cell r="DK538">
            <v>0</v>
          </cell>
          <cell r="DL538">
            <v>0</v>
          </cell>
          <cell r="DM538">
            <v>21.833333333333336</v>
          </cell>
          <cell r="DN538">
            <v>23</v>
          </cell>
          <cell r="DO538">
            <v>39.714285714285715</v>
          </cell>
          <cell r="DP538">
            <v>0</v>
          </cell>
          <cell r="DQ538">
            <v>0</v>
          </cell>
          <cell r="DR538">
            <v>22.416666666666668</v>
          </cell>
          <cell r="DS538">
            <v>22.416666666666668</v>
          </cell>
          <cell r="DT538">
            <v>38.714285714285715</v>
          </cell>
          <cell r="DU538">
            <v>0</v>
          </cell>
          <cell r="DV538">
            <v>0</v>
          </cell>
          <cell r="DW538">
            <v>21.833333333333336</v>
          </cell>
          <cell r="DX538">
            <v>21.833333333333336</v>
          </cell>
          <cell r="DY538">
            <v>37.714285714285715</v>
          </cell>
          <cell r="DZ538">
            <v>0</v>
          </cell>
          <cell r="EA538">
            <v>0</v>
          </cell>
          <cell r="EB538">
            <v>21.250000000000004</v>
          </cell>
          <cell r="EC538">
            <v>21.250000000000004</v>
          </cell>
          <cell r="ED538">
            <v>36.714285714285715</v>
          </cell>
          <cell r="EE538">
            <v>0</v>
          </cell>
          <cell r="EF538">
            <v>0</v>
          </cell>
          <cell r="EG538">
            <v>20.666666666666671</v>
          </cell>
          <cell r="EH538">
            <v>20.666666666666671</v>
          </cell>
          <cell r="EI538">
            <v>35.714285714285722</v>
          </cell>
          <cell r="EJ538">
            <v>0</v>
          </cell>
          <cell r="EK538">
            <v>0</v>
          </cell>
          <cell r="EL538">
            <v>20.083333333333339</v>
          </cell>
          <cell r="EM538">
            <v>20.083333333333339</v>
          </cell>
          <cell r="EN538">
            <v>34.714285714285722</v>
          </cell>
          <cell r="EO538">
            <v>0</v>
          </cell>
          <cell r="EP538">
            <v>0</v>
          </cell>
          <cell r="EQ538">
            <v>19.500000000000007</v>
          </cell>
          <cell r="ER538">
            <v>19.500000000000007</v>
          </cell>
          <cell r="ES538">
            <v>33.714285714285722</v>
          </cell>
          <cell r="ET538">
            <v>0</v>
          </cell>
          <cell r="EU538">
            <v>0</v>
          </cell>
          <cell r="EV538">
            <v>18.916666666666675</v>
          </cell>
          <cell r="EW538">
            <v>18.916666666666675</v>
          </cell>
          <cell r="EX538">
            <v>32.714285714285722</v>
          </cell>
          <cell r="EY538">
            <v>0</v>
          </cell>
          <cell r="EZ538">
            <v>0</v>
          </cell>
          <cell r="FA538">
            <v>18.333333333333343</v>
          </cell>
          <cell r="FB538">
            <v>18.333333333333343</v>
          </cell>
          <cell r="FC538">
            <v>31.71428571428573</v>
          </cell>
          <cell r="FD538">
            <v>0</v>
          </cell>
          <cell r="FE538">
            <v>0</v>
          </cell>
          <cell r="FF538">
            <v>17.750000000000011</v>
          </cell>
          <cell r="FG538">
            <v>17.750000000000011</v>
          </cell>
          <cell r="FH538">
            <v>30.71428571428573</v>
          </cell>
          <cell r="FI538">
            <v>0</v>
          </cell>
          <cell r="FJ538">
            <v>0</v>
          </cell>
          <cell r="FK538">
            <v>17.166666666666679</v>
          </cell>
          <cell r="FL538">
            <v>17.166666666666679</v>
          </cell>
          <cell r="FM538">
            <v>29.714285714285733</v>
          </cell>
          <cell r="FN538">
            <v>0</v>
          </cell>
          <cell r="FO538">
            <v>0</v>
          </cell>
          <cell r="FP538">
            <v>16.583333333333346</v>
          </cell>
          <cell r="FQ538">
            <v>16.583333333333346</v>
          </cell>
          <cell r="FR538">
            <v>28.714285714285737</v>
          </cell>
          <cell r="FS538">
            <v>0</v>
          </cell>
          <cell r="FT538">
            <v>1</v>
          </cell>
          <cell r="FU538">
            <v>1.0333333333333334</v>
          </cell>
          <cell r="FW538" t="str">
            <v>SIN ROTACIÓN</v>
          </cell>
          <cell r="FX538" t="str">
            <v>STOCK MUERTO</v>
          </cell>
          <cell r="FY538" t="str">
            <v>Si</v>
          </cell>
        </row>
        <row r="539">
          <cell r="B539" t="str">
            <v>REP-0556</v>
          </cell>
          <cell r="C539" t="str">
            <v>NACIONAL</v>
          </cell>
          <cell r="E539">
            <v>38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38</v>
          </cell>
          <cell r="AA539">
            <v>38</v>
          </cell>
          <cell r="AC539">
            <v>0</v>
          </cell>
          <cell r="AD539">
            <v>0</v>
          </cell>
          <cell r="AE539">
            <v>0</v>
          </cell>
          <cell r="AH539">
            <v>1</v>
          </cell>
          <cell r="AI539">
            <v>0</v>
          </cell>
          <cell r="AJ539">
            <v>0</v>
          </cell>
          <cell r="AK539">
            <v>1</v>
          </cell>
          <cell r="AL539">
            <v>0.57735026918962584</v>
          </cell>
          <cell r="AM539">
            <v>0.33333333333333331</v>
          </cell>
          <cell r="AN539">
            <v>1.7320508075688776</v>
          </cell>
          <cell r="BM539">
            <v>50</v>
          </cell>
          <cell r="BN539" t="str">
            <v/>
          </cell>
          <cell r="BO539">
            <v>0</v>
          </cell>
          <cell r="BP539">
            <v>50</v>
          </cell>
          <cell r="BQ539">
            <v>50</v>
          </cell>
          <cell r="BR539">
            <v>50</v>
          </cell>
          <cell r="BS539">
            <v>0</v>
          </cell>
          <cell r="BT539">
            <v>50</v>
          </cell>
          <cell r="BU539">
            <v>50</v>
          </cell>
          <cell r="BV539" t="str">
            <v/>
          </cell>
          <cell r="BW539">
            <v>0</v>
          </cell>
          <cell r="BX539">
            <v>0</v>
          </cell>
          <cell r="BY539">
            <v>50</v>
          </cell>
          <cell r="BZ539">
            <v>49</v>
          </cell>
          <cell r="CA539">
            <v>294</v>
          </cell>
          <cell r="CB539">
            <v>0</v>
          </cell>
          <cell r="CC539">
            <v>0</v>
          </cell>
          <cell r="CD539">
            <v>48.833333333333336</v>
          </cell>
          <cell r="CE539">
            <v>49</v>
          </cell>
          <cell r="CF539">
            <v>294</v>
          </cell>
          <cell r="CG539">
            <v>0</v>
          </cell>
          <cell r="CH539">
            <v>0</v>
          </cell>
          <cell r="CI539">
            <v>48.666666666666671</v>
          </cell>
          <cell r="CJ539">
            <v>38</v>
          </cell>
          <cell r="CK539">
            <v>19</v>
          </cell>
          <cell r="CL539">
            <v>0</v>
          </cell>
          <cell r="CM539">
            <v>0</v>
          </cell>
          <cell r="CN539">
            <v>36</v>
          </cell>
          <cell r="CO539">
            <v>38</v>
          </cell>
          <cell r="CP539">
            <v>19</v>
          </cell>
          <cell r="CQ539">
            <v>0</v>
          </cell>
          <cell r="CR539">
            <v>0</v>
          </cell>
          <cell r="CS539">
            <v>36</v>
          </cell>
          <cell r="CT539">
            <v>38</v>
          </cell>
          <cell r="CU539">
            <v>19</v>
          </cell>
          <cell r="CV539">
            <v>0</v>
          </cell>
          <cell r="CW539">
            <v>0</v>
          </cell>
          <cell r="CX539">
            <v>36</v>
          </cell>
          <cell r="CY539">
            <v>38</v>
          </cell>
          <cell r="CZ539">
            <v>38</v>
          </cell>
          <cell r="DA539">
            <v>0</v>
          </cell>
          <cell r="DB539">
            <v>0</v>
          </cell>
          <cell r="DC539">
            <v>37</v>
          </cell>
          <cell r="DD539">
            <v>38</v>
          </cell>
          <cell r="DE539">
            <v>36</v>
          </cell>
          <cell r="DF539">
            <v>0</v>
          </cell>
          <cell r="DG539">
            <v>0</v>
          </cell>
          <cell r="DH539">
            <v>37</v>
          </cell>
          <cell r="DI539">
            <v>38</v>
          </cell>
          <cell r="DJ539">
            <v>38</v>
          </cell>
          <cell r="DK539">
            <v>0</v>
          </cell>
          <cell r="DL539">
            <v>0</v>
          </cell>
          <cell r="DM539">
            <v>36</v>
          </cell>
          <cell r="DN539">
            <v>38</v>
          </cell>
          <cell r="DO539">
            <v>38</v>
          </cell>
          <cell r="DP539">
            <v>0</v>
          </cell>
          <cell r="DQ539">
            <v>0</v>
          </cell>
          <cell r="DR539">
            <v>37</v>
          </cell>
          <cell r="DS539">
            <v>37</v>
          </cell>
          <cell r="DT539">
            <v>37</v>
          </cell>
          <cell r="DU539">
            <v>0</v>
          </cell>
          <cell r="DV539">
            <v>0</v>
          </cell>
          <cell r="DW539">
            <v>36</v>
          </cell>
          <cell r="DX539">
            <v>36</v>
          </cell>
          <cell r="DY539">
            <v>36</v>
          </cell>
          <cell r="DZ539">
            <v>0</v>
          </cell>
          <cell r="EA539">
            <v>0</v>
          </cell>
          <cell r="EB539">
            <v>35</v>
          </cell>
          <cell r="EC539">
            <v>35</v>
          </cell>
          <cell r="ED539">
            <v>35</v>
          </cell>
          <cell r="EE539">
            <v>0</v>
          </cell>
          <cell r="EF539">
            <v>0</v>
          </cell>
          <cell r="EG539">
            <v>34</v>
          </cell>
          <cell r="EH539">
            <v>34</v>
          </cell>
          <cell r="EI539">
            <v>34</v>
          </cell>
          <cell r="EJ539">
            <v>0</v>
          </cell>
          <cell r="EK539">
            <v>0</v>
          </cell>
          <cell r="EL539">
            <v>33</v>
          </cell>
          <cell r="EM539">
            <v>33</v>
          </cell>
          <cell r="EN539">
            <v>33</v>
          </cell>
          <cell r="EO539">
            <v>0</v>
          </cell>
          <cell r="EP539">
            <v>0</v>
          </cell>
          <cell r="EQ539">
            <v>32</v>
          </cell>
          <cell r="ER539">
            <v>32</v>
          </cell>
          <cell r="ES539">
            <v>32</v>
          </cell>
          <cell r="ET539">
            <v>0</v>
          </cell>
          <cell r="EU539">
            <v>0</v>
          </cell>
          <cell r="EV539">
            <v>31</v>
          </cell>
          <cell r="EW539">
            <v>31</v>
          </cell>
          <cell r="EX539">
            <v>31</v>
          </cell>
          <cell r="EY539">
            <v>0</v>
          </cell>
          <cell r="EZ539">
            <v>0</v>
          </cell>
          <cell r="FA539">
            <v>30</v>
          </cell>
          <cell r="FB539">
            <v>30</v>
          </cell>
          <cell r="FC539">
            <v>30</v>
          </cell>
          <cell r="FD539">
            <v>0</v>
          </cell>
          <cell r="FE539">
            <v>0</v>
          </cell>
          <cell r="FF539">
            <v>29</v>
          </cell>
          <cell r="FG539">
            <v>29</v>
          </cell>
          <cell r="FH539">
            <v>29</v>
          </cell>
          <cell r="FI539">
            <v>0</v>
          </cell>
          <cell r="FJ539">
            <v>0</v>
          </cell>
          <cell r="FK539">
            <v>28</v>
          </cell>
          <cell r="FL539">
            <v>28</v>
          </cell>
          <cell r="FM539">
            <v>28</v>
          </cell>
          <cell r="FN539">
            <v>0</v>
          </cell>
          <cell r="FO539">
            <v>0</v>
          </cell>
          <cell r="FP539">
            <v>27</v>
          </cell>
          <cell r="FQ539">
            <v>27</v>
          </cell>
          <cell r="FR539">
            <v>27</v>
          </cell>
          <cell r="FS539">
            <v>0</v>
          </cell>
          <cell r="FT539">
            <v>2</v>
          </cell>
          <cell r="FU539">
            <v>1.0333333333333334</v>
          </cell>
          <cell r="FW539" t="str">
            <v>SIN ROTACIÓN</v>
          </cell>
          <cell r="FX539" t="str">
            <v>STOCK MUERTO</v>
          </cell>
          <cell r="FY539" t="str">
            <v>Si</v>
          </cell>
        </row>
        <row r="540">
          <cell r="B540" t="str">
            <v>REP-0557</v>
          </cell>
          <cell r="C540" t="str">
            <v>NACIONAL</v>
          </cell>
          <cell r="E540">
            <v>21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9</v>
          </cell>
          <cell r="L540">
            <v>0</v>
          </cell>
          <cell r="M540">
            <v>0</v>
          </cell>
          <cell r="N540">
            <v>0</v>
          </cell>
          <cell r="O540">
            <v>3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6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39</v>
          </cell>
          <cell r="AA540">
            <v>39</v>
          </cell>
          <cell r="AC540">
            <v>0</v>
          </cell>
          <cell r="AD540">
            <v>0</v>
          </cell>
          <cell r="AE540">
            <v>0</v>
          </cell>
          <cell r="AH540">
            <v>0.75</v>
          </cell>
          <cell r="AI540">
            <v>0.33333333333333331</v>
          </cell>
          <cell r="AJ540">
            <v>0.33333333333333331</v>
          </cell>
          <cell r="AK540">
            <v>0.75</v>
          </cell>
          <cell r="AL540">
            <v>0.24056261216234426</v>
          </cell>
          <cell r="AM540">
            <v>0.47222222222222215</v>
          </cell>
          <cell r="AN540">
            <v>0.50942670810849378</v>
          </cell>
          <cell r="BM540">
            <v>50</v>
          </cell>
          <cell r="BN540" t="str">
            <v/>
          </cell>
          <cell r="BO540">
            <v>0</v>
          </cell>
          <cell r="BP540">
            <v>50</v>
          </cell>
          <cell r="BQ540">
            <v>50</v>
          </cell>
          <cell r="BR540">
            <v>66.666666666666671</v>
          </cell>
          <cell r="BS540">
            <v>0</v>
          </cell>
          <cell r="BT540">
            <v>50</v>
          </cell>
          <cell r="BU540">
            <v>50</v>
          </cell>
          <cell r="BV540" t="str">
            <v/>
          </cell>
          <cell r="BW540">
            <v>0</v>
          </cell>
          <cell r="BX540">
            <v>0</v>
          </cell>
          <cell r="BY540">
            <v>50</v>
          </cell>
          <cell r="BZ540">
            <v>50</v>
          </cell>
          <cell r="CA540" t="str">
            <v/>
          </cell>
          <cell r="CB540">
            <v>0</v>
          </cell>
          <cell r="CC540">
            <v>0</v>
          </cell>
          <cell r="CD540">
            <v>50</v>
          </cell>
          <cell r="CE540">
            <v>44</v>
          </cell>
          <cell r="CF540">
            <v>44</v>
          </cell>
          <cell r="CG540">
            <v>0</v>
          </cell>
          <cell r="CH540">
            <v>0</v>
          </cell>
          <cell r="CI540">
            <v>49</v>
          </cell>
          <cell r="CJ540">
            <v>41</v>
          </cell>
          <cell r="CK540">
            <v>27.333333333333332</v>
          </cell>
          <cell r="CL540">
            <v>0</v>
          </cell>
          <cell r="CM540">
            <v>0</v>
          </cell>
          <cell r="CN540">
            <v>39.5</v>
          </cell>
          <cell r="CO540">
            <v>41</v>
          </cell>
          <cell r="CP540">
            <v>27.333333333333332</v>
          </cell>
          <cell r="CQ540">
            <v>0</v>
          </cell>
          <cell r="CR540">
            <v>0</v>
          </cell>
          <cell r="CS540">
            <v>39.5</v>
          </cell>
          <cell r="CT540">
            <v>39</v>
          </cell>
          <cell r="CU540">
            <v>21.272727272727273</v>
          </cell>
          <cell r="CV540">
            <v>0</v>
          </cell>
          <cell r="CW540">
            <v>0</v>
          </cell>
          <cell r="CX540">
            <v>37.166666666666664</v>
          </cell>
          <cell r="CY540">
            <v>38</v>
          </cell>
          <cell r="CZ540">
            <v>50.666666666666664</v>
          </cell>
          <cell r="DA540">
            <v>0</v>
          </cell>
          <cell r="DB540">
            <v>0</v>
          </cell>
          <cell r="DC540">
            <v>37.25</v>
          </cell>
          <cell r="DD540">
            <v>39</v>
          </cell>
          <cell r="DE540">
            <v>50.666666666666664</v>
          </cell>
          <cell r="DF540">
            <v>0</v>
          </cell>
          <cell r="DG540">
            <v>0</v>
          </cell>
          <cell r="DH540">
            <v>38.25</v>
          </cell>
          <cell r="DI540">
            <v>39</v>
          </cell>
          <cell r="DJ540">
            <v>52.666666666666664</v>
          </cell>
          <cell r="DK540">
            <v>0</v>
          </cell>
          <cell r="DL540">
            <v>0</v>
          </cell>
          <cell r="DM540">
            <v>37.5</v>
          </cell>
          <cell r="DN540">
            <v>39</v>
          </cell>
          <cell r="DO540">
            <v>52.666666666666664</v>
          </cell>
          <cell r="DP540">
            <v>0</v>
          </cell>
          <cell r="DQ540">
            <v>0</v>
          </cell>
          <cell r="DR540">
            <v>38.25</v>
          </cell>
          <cell r="DS540">
            <v>38.25</v>
          </cell>
          <cell r="DT540">
            <v>51.666666666666664</v>
          </cell>
          <cell r="DU540">
            <v>0</v>
          </cell>
          <cell r="DV540">
            <v>0</v>
          </cell>
          <cell r="DW540">
            <v>37.5</v>
          </cell>
          <cell r="DX540">
            <v>37.5</v>
          </cell>
          <cell r="DY540">
            <v>50.666666666666664</v>
          </cell>
          <cell r="DZ540">
            <v>0</v>
          </cell>
          <cell r="EA540">
            <v>0</v>
          </cell>
          <cell r="EB540">
            <v>36.75</v>
          </cell>
          <cell r="EC540">
            <v>36.75</v>
          </cell>
          <cell r="ED540">
            <v>49.666666666666664</v>
          </cell>
          <cell r="EE540">
            <v>0</v>
          </cell>
          <cell r="EF540">
            <v>0</v>
          </cell>
          <cell r="EG540">
            <v>36</v>
          </cell>
          <cell r="EH540">
            <v>36</v>
          </cell>
          <cell r="EI540">
            <v>48.666666666666664</v>
          </cell>
          <cell r="EJ540">
            <v>0</v>
          </cell>
          <cell r="EK540">
            <v>0</v>
          </cell>
          <cell r="EL540">
            <v>35.25</v>
          </cell>
          <cell r="EM540">
            <v>35.25</v>
          </cell>
          <cell r="EN540">
            <v>47.666666666666664</v>
          </cell>
          <cell r="EO540">
            <v>0</v>
          </cell>
          <cell r="EP540">
            <v>0</v>
          </cell>
          <cell r="EQ540">
            <v>34.5</v>
          </cell>
          <cell r="ER540">
            <v>34.5</v>
          </cell>
          <cell r="ES540">
            <v>46.666666666666664</v>
          </cell>
          <cell r="ET540">
            <v>0</v>
          </cell>
          <cell r="EU540">
            <v>0</v>
          </cell>
          <cell r="EV540">
            <v>33.75</v>
          </cell>
          <cell r="EW540">
            <v>33.75</v>
          </cell>
          <cell r="EX540">
            <v>45.666666666666664</v>
          </cell>
          <cell r="EY540">
            <v>0</v>
          </cell>
          <cell r="EZ540">
            <v>0</v>
          </cell>
          <cell r="FA540">
            <v>33</v>
          </cell>
          <cell r="FB540">
            <v>33</v>
          </cell>
          <cell r="FC540">
            <v>44.666666666666664</v>
          </cell>
          <cell r="FD540">
            <v>0</v>
          </cell>
          <cell r="FE540">
            <v>0</v>
          </cell>
          <cell r="FF540">
            <v>32.25</v>
          </cell>
          <cell r="FG540">
            <v>32.25</v>
          </cell>
          <cell r="FH540">
            <v>43.666666666666664</v>
          </cell>
          <cell r="FI540">
            <v>0</v>
          </cell>
          <cell r="FJ540">
            <v>0</v>
          </cell>
          <cell r="FK540">
            <v>31.5</v>
          </cell>
          <cell r="FL540">
            <v>31.5</v>
          </cell>
          <cell r="FM540">
            <v>42.666666666666664</v>
          </cell>
          <cell r="FN540">
            <v>0</v>
          </cell>
          <cell r="FO540">
            <v>0</v>
          </cell>
          <cell r="FP540">
            <v>30.75</v>
          </cell>
          <cell r="FQ540">
            <v>30.75</v>
          </cell>
          <cell r="FR540">
            <v>41.666666666666664</v>
          </cell>
          <cell r="FS540">
            <v>0</v>
          </cell>
          <cell r="FT540">
            <v>1</v>
          </cell>
          <cell r="FU540">
            <v>1.0333333333333334</v>
          </cell>
          <cell r="FW540" t="str">
            <v>SOBRESTOCK</v>
          </cell>
          <cell r="FX540" t="str">
            <v>C</v>
          </cell>
          <cell r="FY540" t="str">
            <v>Si</v>
          </cell>
        </row>
        <row r="541">
          <cell r="B541" t="str">
            <v>REP-0558</v>
          </cell>
          <cell r="C541" t="str">
            <v>NACIONAL</v>
          </cell>
          <cell r="E541">
            <v>35</v>
          </cell>
          <cell r="F541">
            <v>0</v>
          </cell>
          <cell r="G541">
            <v>0</v>
          </cell>
          <cell r="H541">
            <v>5</v>
          </cell>
          <cell r="I541">
            <v>5</v>
          </cell>
          <cell r="J541">
            <v>0</v>
          </cell>
          <cell r="K541">
            <v>2</v>
          </cell>
          <cell r="L541">
            <v>0</v>
          </cell>
          <cell r="M541">
            <v>5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1</v>
          </cell>
          <cell r="W541">
            <v>2</v>
          </cell>
          <cell r="X541">
            <v>0</v>
          </cell>
          <cell r="Y541">
            <v>55</v>
          </cell>
          <cell r="AA541">
            <v>55</v>
          </cell>
          <cell r="AC541">
            <v>0</v>
          </cell>
          <cell r="AD541">
            <v>0</v>
          </cell>
          <cell r="AE541">
            <v>0</v>
          </cell>
          <cell r="AH541">
            <v>3.3333333333333335</v>
          </cell>
          <cell r="AI541">
            <v>0.5</v>
          </cell>
          <cell r="AJ541">
            <v>0.5</v>
          </cell>
          <cell r="AK541">
            <v>0.5</v>
          </cell>
          <cell r="AL541">
            <v>1.6358257627039396</v>
          </cell>
          <cell r="AM541">
            <v>1.4444444444444446</v>
          </cell>
          <cell r="AN541">
            <v>1.1324947587950349</v>
          </cell>
          <cell r="BM541">
            <v>15</v>
          </cell>
          <cell r="BN541">
            <v>18</v>
          </cell>
          <cell r="BO541">
            <v>0</v>
          </cell>
          <cell r="BP541">
            <v>14.166666666666666</v>
          </cell>
          <cell r="BQ541">
            <v>53</v>
          </cell>
          <cell r="BR541">
            <v>106</v>
          </cell>
          <cell r="BS541">
            <v>0</v>
          </cell>
          <cell r="BT541">
            <v>50.166666666666664</v>
          </cell>
          <cell r="BU541">
            <v>40</v>
          </cell>
          <cell r="BV541">
            <v>8</v>
          </cell>
          <cell r="BW541">
            <v>0</v>
          </cell>
          <cell r="BX541">
            <v>0</v>
          </cell>
          <cell r="BY541">
            <v>35</v>
          </cell>
          <cell r="BZ541">
            <v>33</v>
          </cell>
          <cell r="CA541">
            <v>5.3513513513513509</v>
          </cell>
          <cell r="CB541">
            <v>0</v>
          </cell>
          <cell r="CC541">
            <v>0</v>
          </cell>
          <cell r="CD541">
            <v>26.833333333333332</v>
          </cell>
          <cell r="CE541">
            <v>32</v>
          </cell>
          <cell r="CF541">
            <v>5.052631578947369</v>
          </cell>
          <cell r="CG541">
            <v>0</v>
          </cell>
          <cell r="CH541">
            <v>0</v>
          </cell>
          <cell r="CI541">
            <v>20.5</v>
          </cell>
          <cell r="CJ541">
            <v>29</v>
          </cell>
          <cell r="CK541">
            <v>4.3499999999999996</v>
          </cell>
          <cell r="CL541">
            <v>0</v>
          </cell>
          <cell r="CM541">
            <v>0</v>
          </cell>
          <cell r="CN541">
            <v>22.333333333333332</v>
          </cell>
          <cell r="CO541">
            <v>26</v>
          </cell>
          <cell r="CP541">
            <v>3.9</v>
          </cell>
          <cell r="CQ541">
            <v>3.6666666666666679</v>
          </cell>
          <cell r="CR541">
            <v>0</v>
          </cell>
          <cell r="CS541">
            <v>19.333333333333332</v>
          </cell>
          <cell r="CT541">
            <v>24</v>
          </cell>
          <cell r="CU541">
            <v>5.76</v>
          </cell>
          <cell r="CV541">
            <v>0</v>
          </cell>
          <cell r="CW541">
            <v>0</v>
          </cell>
          <cell r="CX541">
            <v>19.833333333333332</v>
          </cell>
          <cell r="CY541">
            <v>24</v>
          </cell>
          <cell r="CZ541">
            <v>7.1999999999999993</v>
          </cell>
          <cell r="DA541">
            <v>0</v>
          </cell>
          <cell r="DB541">
            <v>0</v>
          </cell>
          <cell r="DC541">
            <v>22.305555555555557</v>
          </cell>
          <cell r="DD541">
            <v>53</v>
          </cell>
          <cell r="DE541">
            <v>30.0983606557377</v>
          </cell>
          <cell r="DF541">
            <v>0</v>
          </cell>
          <cell r="DG541">
            <v>0</v>
          </cell>
          <cell r="DH541">
            <v>51.305555555555557</v>
          </cell>
          <cell r="DI541">
            <v>53</v>
          </cell>
          <cell r="DJ541">
            <v>88.666666666666671</v>
          </cell>
          <cell r="DK541">
            <v>0</v>
          </cell>
          <cell r="DL541">
            <v>0</v>
          </cell>
          <cell r="DM541">
            <v>50.705555555555556</v>
          </cell>
          <cell r="DN541">
            <v>55</v>
          </cell>
          <cell r="DO541">
            <v>110</v>
          </cell>
          <cell r="DP541">
            <v>0</v>
          </cell>
          <cell r="DQ541">
            <v>0</v>
          </cell>
          <cell r="DR541">
            <v>54.5</v>
          </cell>
          <cell r="DS541">
            <v>54.5</v>
          </cell>
          <cell r="DT541">
            <v>109</v>
          </cell>
          <cell r="DU541">
            <v>0</v>
          </cell>
          <cell r="DV541">
            <v>0</v>
          </cell>
          <cell r="DW541">
            <v>54</v>
          </cell>
          <cell r="DX541">
            <v>54</v>
          </cell>
          <cell r="DY541">
            <v>108</v>
          </cell>
          <cell r="DZ541">
            <v>0</v>
          </cell>
          <cell r="EA541">
            <v>0</v>
          </cell>
          <cell r="EB541">
            <v>53.5</v>
          </cell>
          <cell r="EC541">
            <v>53.5</v>
          </cell>
          <cell r="ED541">
            <v>107</v>
          </cell>
          <cell r="EE541">
            <v>0</v>
          </cell>
          <cell r="EF541">
            <v>0</v>
          </cell>
          <cell r="EG541">
            <v>53</v>
          </cell>
          <cell r="EH541">
            <v>53</v>
          </cell>
          <cell r="EI541">
            <v>106</v>
          </cell>
          <cell r="EJ541">
            <v>0</v>
          </cell>
          <cell r="EK541">
            <v>0</v>
          </cell>
          <cell r="EL541">
            <v>52.5</v>
          </cell>
          <cell r="EM541">
            <v>52.5</v>
          </cell>
          <cell r="EN541">
            <v>105</v>
          </cell>
          <cell r="EO541">
            <v>0</v>
          </cell>
          <cell r="EP541">
            <v>0</v>
          </cell>
          <cell r="EQ541">
            <v>52</v>
          </cell>
          <cell r="ER541">
            <v>52</v>
          </cell>
          <cell r="ES541">
            <v>104</v>
          </cell>
          <cell r="ET541">
            <v>0</v>
          </cell>
          <cell r="EU541">
            <v>0</v>
          </cell>
          <cell r="EV541">
            <v>51.5</v>
          </cell>
          <cell r="EW541">
            <v>51.5</v>
          </cell>
          <cell r="EX541">
            <v>103</v>
          </cell>
          <cell r="EY541">
            <v>0</v>
          </cell>
          <cell r="EZ541">
            <v>0</v>
          </cell>
          <cell r="FA541">
            <v>51</v>
          </cell>
          <cell r="FB541">
            <v>51</v>
          </cell>
          <cell r="FC541">
            <v>102</v>
          </cell>
          <cell r="FD541">
            <v>0</v>
          </cell>
          <cell r="FE541">
            <v>0</v>
          </cell>
          <cell r="FF541">
            <v>50.5</v>
          </cell>
          <cell r="FG541">
            <v>50.5</v>
          </cell>
          <cell r="FH541">
            <v>101</v>
          </cell>
          <cell r="FI541">
            <v>0</v>
          </cell>
          <cell r="FJ541">
            <v>0</v>
          </cell>
          <cell r="FK541">
            <v>50</v>
          </cell>
          <cell r="FL541">
            <v>50</v>
          </cell>
          <cell r="FM541">
            <v>100</v>
          </cell>
          <cell r="FN541">
            <v>0</v>
          </cell>
          <cell r="FO541">
            <v>0</v>
          </cell>
          <cell r="FP541">
            <v>49.5</v>
          </cell>
          <cell r="FQ541">
            <v>49.5</v>
          </cell>
          <cell r="FR541">
            <v>99</v>
          </cell>
          <cell r="FS541">
            <v>0</v>
          </cell>
          <cell r="FT541">
            <v>1</v>
          </cell>
          <cell r="FU541">
            <v>1.0333333333333334</v>
          </cell>
          <cell r="FW541" t="str">
            <v>SOBRESTOCK</v>
          </cell>
          <cell r="FX541" t="str">
            <v>C</v>
          </cell>
          <cell r="FY541" t="str">
            <v>Si</v>
          </cell>
        </row>
        <row r="542">
          <cell r="B542" t="str">
            <v>REP-0559</v>
          </cell>
          <cell r="C542" t="str">
            <v>Nacional</v>
          </cell>
          <cell r="E542">
            <v>8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25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2</v>
          </cell>
          <cell r="U542">
            <v>0</v>
          </cell>
          <cell r="V542">
            <v>0</v>
          </cell>
          <cell r="W542">
            <v>3</v>
          </cell>
          <cell r="X542">
            <v>0</v>
          </cell>
          <cell r="Y542">
            <v>38</v>
          </cell>
          <cell r="AH542">
            <v>4.166666666666667</v>
          </cell>
          <cell r="AI542">
            <v>3.5</v>
          </cell>
          <cell r="AJ542">
            <v>3.5</v>
          </cell>
          <cell r="AK542">
            <v>3.7222222222222228</v>
          </cell>
          <cell r="AL542">
            <v>0.38490017945975069</v>
          </cell>
          <cell r="AM542">
            <v>3.7222222222222228</v>
          </cell>
          <cell r="AN542">
            <v>0.10340601836232106</v>
          </cell>
          <cell r="BQ542">
            <v>19</v>
          </cell>
          <cell r="BR542">
            <v>5.1044776119402977</v>
          </cell>
          <cell r="BS542">
            <v>0</v>
          </cell>
          <cell r="BT542">
            <v>19</v>
          </cell>
          <cell r="BU542">
            <v>19</v>
          </cell>
          <cell r="BV542" t="str">
            <v/>
          </cell>
          <cell r="BW542">
            <v>0</v>
          </cell>
          <cell r="BX542">
            <v>0</v>
          </cell>
          <cell r="BY542">
            <v>19</v>
          </cell>
          <cell r="BZ542">
            <v>9</v>
          </cell>
          <cell r="CA542" t="str">
            <v/>
          </cell>
          <cell r="CB542">
            <v>0</v>
          </cell>
          <cell r="CC542">
            <v>0</v>
          </cell>
          <cell r="CD542">
            <v>9</v>
          </cell>
          <cell r="CE542">
            <v>54</v>
          </cell>
          <cell r="CF542" t="str">
            <v/>
          </cell>
          <cell r="CG542">
            <v>0</v>
          </cell>
          <cell r="CH542">
            <v>0</v>
          </cell>
          <cell r="CI542">
            <v>9</v>
          </cell>
          <cell r="CJ542">
            <v>54</v>
          </cell>
          <cell r="CK542" t="str">
            <v/>
          </cell>
          <cell r="CL542">
            <v>0</v>
          </cell>
          <cell r="CM542">
            <v>0</v>
          </cell>
          <cell r="CN542">
            <v>54</v>
          </cell>
          <cell r="CO542">
            <v>54</v>
          </cell>
          <cell r="CP542" t="str">
            <v/>
          </cell>
          <cell r="CQ542">
            <v>0</v>
          </cell>
          <cell r="CR542">
            <v>0</v>
          </cell>
          <cell r="CS542">
            <v>54</v>
          </cell>
          <cell r="CT542">
            <v>54</v>
          </cell>
          <cell r="CU542">
            <v>6.6122448979591839</v>
          </cell>
          <cell r="CV542">
            <v>0</v>
          </cell>
          <cell r="CW542">
            <v>0</v>
          </cell>
          <cell r="CX542">
            <v>45.833333333333336</v>
          </cell>
          <cell r="CY542">
            <v>50</v>
          </cell>
          <cell r="CZ542">
            <v>6.25</v>
          </cell>
          <cell r="DA542">
            <v>0</v>
          </cell>
          <cell r="DB542">
            <v>0</v>
          </cell>
          <cell r="DC542">
            <v>45.472222222222221</v>
          </cell>
          <cell r="DD542">
            <v>47</v>
          </cell>
          <cell r="DE542">
            <v>9.4969325153374236</v>
          </cell>
          <cell r="DF542">
            <v>0</v>
          </cell>
          <cell r="DG542">
            <v>0</v>
          </cell>
          <cell r="DH542">
            <v>42.472222222222221</v>
          </cell>
          <cell r="DI542">
            <v>42</v>
          </cell>
          <cell r="DJ542">
            <v>14.258064516129032</v>
          </cell>
          <cell r="DK542">
            <v>0</v>
          </cell>
          <cell r="DL542">
            <v>0</v>
          </cell>
          <cell r="DM542">
            <v>39.37222222222222</v>
          </cell>
          <cell r="DN542">
            <v>38</v>
          </cell>
          <cell r="DO542">
            <v>11.134328358208954</v>
          </cell>
          <cell r="DP542">
            <v>0</v>
          </cell>
          <cell r="DQ542">
            <v>0</v>
          </cell>
          <cell r="DR542">
            <v>34.277777777777779</v>
          </cell>
          <cell r="DS542">
            <v>34.277777777777779</v>
          </cell>
          <cell r="DT542">
            <v>10.134328358208954</v>
          </cell>
          <cell r="DU542">
            <v>0</v>
          </cell>
          <cell r="DV542">
            <v>0</v>
          </cell>
          <cell r="DW542">
            <v>30.555555555555557</v>
          </cell>
          <cell r="DX542">
            <v>30.555555555555557</v>
          </cell>
          <cell r="DY542">
            <v>9.1343283582089541</v>
          </cell>
          <cell r="DZ542">
            <v>0</v>
          </cell>
          <cell r="EA542">
            <v>0</v>
          </cell>
          <cell r="EB542">
            <v>26.833333333333336</v>
          </cell>
          <cell r="EC542">
            <v>26.833333333333336</v>
          </cell>
          <cell r="ED542">
            <v>8.1343283582089541</v>
          </cell>
          <cell r="EE542">
            <v>0</v>
          </cell>
          <cell r="EF542">
            <v>0</v>
          </cell>
          <cell r="EG542">
            <v>23.111111111111114</v>
          </cell>
          <cell r="EH542">
            <v>23.111111111111114</v>
          </cell>
          <cell r="EI542">
            <v>7.1343283582089549</v>
          </cell>
          <cell r="EJ542">
            <v>0</v>
          </cell>
          <cell r="EK542">
            <v>0</v>
          </cell>
          <cell r="EL542">
            <v>19.388888888888893</v>
          </cell>
          <cell r="EM542">
            <v>19.388888888888893</v>
          </cell>
          <cell r="EN542">
            <v>6.1343283582089558</v>
          </cell>
          <cell r="EO542">
            <v>0</v>
          </cell>
          <cell r="EP542">
            <v>0</v>
          </cell>
          <cell r="EQ542">
            <v>15.66666666666667</v>
          </cell>
          <cell r="ER542">
            <v>15.66666666666667</v>
          </cell>
          <cell r="ES542">
            <v>5.1343283582089558</v>
          </cell>
          <cell r="ET542">
            <v>0</v>
          </cell>
          <cell r="EU542">
            <v>0</v>
          </cell>
          <cell r="EV542">
            <v>11.944444444444446</v>
          </cell>
          <cell r="EW542">
            <v>11.944444444444446</v>
          </cell>
          <cell r="EX542">
            <v>4.1343283582089558</v>
          </cell>
          <cell r="EY542">
            <v>0</v>
          </cell>
          <cell r="EZ542">
            <v>0</v>
          </cell>
          <cell r="FA542">
            <v>8.2222222222222232</v>
          </cell>
          <cell r="FB542">
            <v>8.2222222222222232</v>
          </cell>
          <cell r="FC542">
            <v>3.1343283582089554</v>
          </cell>
          <cell r="FD542">
            <v>0</v>
          </cell>
          <cell r="FE542">
            <v>0</v>
          </cell>
          <cell r="FF542">
            <v>4.5</v>
          </cell>
          <cell r="FG542">
            <v>4.5</v>
          </cell>
          <cell r="FH542">
            <v>2.1343283582089554</v>
          </cell>
          <cell r="FI542">
            <v>0</v>
          </cell>
          <cell r="FJ542">
            <v>0</v>
          </cell>
          <cell r="FK542">
            <v>0.77777777777777724</v>
          </cell>
          <cell r="FL542">
            <v>0.77777777777777724</v>
          </cell>
          <cell r="FM542">
            <v>1.1343283582089552</v>
          </cell>
          <cell r="FN542">
            <v>3.2222222222222228</v>
          </cell>
          <cell r="FO542">
            <v>0</v>
          </cell>
          <cell r="FP542">
            <v>-2.9444444444444455</v>
          </cell>
          <cell r="FQ542">
            <v>-2.9444444444444455</v>
          </cell>
          <cell r="FR542">
            <v>0.13432835820895517</v>
          </cell>
          <cell r="FS542">
            <v>6.9444444444444455</v>
          </cell>
          <cell r="FT542">
            <v>4</v>
          </cell>
          <cell r="FU542">
            <v>1.0333333333333334</v>
          </cell>
          <cell r="FW542" t="str">
            <v>SOBRESTOCK</v>
          </cell>
          <cell r="FX542" t="str">
            <v>B</v>
          </cell>
          <cell r="FY542" t="str">
            <v>Si</v>
          </cell>
        </row>
        <row r="543">
          <cell r="B543" t="str">
            <v>REP-0560</v>
          </cell>
          <cell r="C543" t="str">
            <v>Nacional</v>
          </cell>
          <cell r="E543">
            <v>9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25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5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39</v>
          </cell>
          <cell r="AH543">
            <v>4</v>
          </cell>
          <cell r="AI543">
            <v>3.1666666666666665</v>
          </cell>
          <cell r="AJ543">
            <v>3.1666666666666665</v>
          </cell>
          <cell r="AK543">
            <v>4</v>
          </cell>
          <cell r="AL543">
            <v>0.48112522432469129</v>
          </cell>
          <cell r="AM543">
            <v>3.4444444444444442</v>
          </cell>
          <cell r="AN543">
            <v>0.13968151673942653</v>
          </cell>
          <cell r="BQ543">
            <v>20</v>
          </cell>
          <cell r="BR543">
            <v>5</v>
          </cell>
          <cell r="BS543">
            <v>0</v>
          </cell>
          <cell r="BT543">
            <v>20</v>
          </cell>
          <cell r="BU543">
            <v>20</v>
          </cell>
          <cell r="BV543" t="str">
            <v/>
          </cell>
          <cell r="BW543">
            <v>0</v>
          </cell>
          <cell r="BX543">
            <v>0</v>
          </cell>
          <cell r="BY543">
            <v>20</v>
          </cell>
          <cell r="BZ543">
            <v>10</v>
          </cell>
          <cell r="CA543" t="str">
            <v/>
          </cell>
          <cell r="CB543">
            <v>0</v>
          </cell>
          <cell r="CC543">
            <v>0</v>
          </cell>
          <cell r="CD543">
            <v>10</v>
          </cell>
          <cell r="CE543">
            <v>56</v>
          </cell>
          <cell r="CF543" t="str">
            <v/>
          </cell>
          <cell r="CG543">
            <v>0</v>
          </cell>
          <cell r="CH543">
            <v>0</v>
          </cell>
          <cell r="CI543">
            <v>10</v>
          </cell>
          <cell r="CJ543">
            <v>56</v>
          </cell>
          <cell r="CK543" t="str">
            <v/>
          </cell>
          <cell r="CL543">
            <v>0</v>
          </cell>
          <cell r="CM543">
            <v>0</v>
          </cell>
          <cell r="CN543">
            <v>56</v>
          </cell>
          <cell r="CO543">
            <v>56</v>
          </cell>
          <cell r="CP543" t="str">
            <v/>
          </cell>
          <cell r="CQ543">
            <v>0</v>
          </cell>
          <cell r="CR543">
            <v>0</v>
          </cell>
          <cell r="CS543">
            <v>56</v>
          </cell>
          <cell r="CT543">
            <v>56</v>
          </cell>
          <cell r="CU543">
            <v>7</v>
          </cell>
          <cell r="CV543">
            <v>0</v>
          </cell>
          <cell r="CW543">
            <v>0</v>
          </cell>
          <cell r="CX543">
            <v>48</v>
          </cell>
          <cell r="CY543">
            <v>52</v>
          </cell>
          <cell r="CZ543">
            <v>6.6382978723404253</v>
          </cell>
          <cell r="DA543">
            <v>0</v>
          </cell>
          <cell r="DB543">
            <v>0</v>
          </cell>
          <cell r="DC543">
            <v>45</v>
          </cell>
          <cell r="DD543">
            <v>48</v>
          </cell>
          <cell r="DE543">
            <v>6.1428571428571432</v>
          </cell>
          <cell r="DF543">
            <v>0</v>
          </cell>
          <cell r="DG543">
            <v>0</v>
          </cell>
          <cell r="DH543">
            <v>41</v>
          </cell>
          <cell r="DI543">
            <v>43</v>
          </cell>
          <cell r="DJ543">
            <v>11.5</v>
          </cell>
          <cell r="DK543">
            <v>0</v>
          </cell>
          <cell r="DL543">
            <v>0</v>
          </cell>
          <cell r="DM543">
            <v>37</v>
          </cell>
          <cell r="DN543">
            <v>39</v>
          </cell>
          <cell r="DO543">
            <v>10.5</v>
          </cell>
          <cell r="DP543">
            <v>0</v>
          </cell>
          <cell r="DQ543">
            <v>0</v>
          </cell>
          <cell r="DR543">
            <v>35</v>
          </cell>
          <cell r="DS543">
            <v>35</v>
          </cell>
          <cell r="DT543">
            <v>9.5</v>
          </cell>
          <cell r="DU543">
            <v>0</v>
          </cell>
          <cell r="DV543">
            <v>0</v>
          </cell>
          <cell r="DW543">
            <v>31</v>
          </cell>
          <cell r="DX543">
            <v>31</v>
          </cell>
          <cell r="DY543">
            <v>8.5</v>
          </cell>
          <cell r="DZ543">
            <v>0</v>
          </cell>
          <cell r="EA543">
            <v>0</v>
          </cell>
          <cell r="EB543">
            <v>27</v>
          </cell>
          <cell r="EC543">
            <v>27</v>
          </cell>
          <cell r="ED543">
            <v>7.5</v>
          </cell>
          <cell r="EE543">
            <v>0</v>
          </cell>
          <cell r="EF543">
            <v>0</v>
          </cell>
          <cell r="EG543">
            <v>23</v>
          </cell>
          <cell r="EH543">
            <v>23</v>
          </cell>
          <cell r="EI543">
            <v>6.5</v>
          </cell>
          <cell r="EJ543">
            <v>0</v>
          </cell>
          <cell r="EK543">
            <v>0</v>
          </cell>
          <cell r="EL543">
            <v>19</v>
          </cell>
          <cell r="EM543">
            <v>19</v>
          </cell>
          <cell r="EN543">
            <v>5.5</v>
          </cell>
          <cell r="EO543">
            <v>0</v>
          </cell>
          <cell r="EP543">
            <v>0</v>
          </cell>
          <cell r="EQ543">
            <v>15</v>
          </cell>
          <cell r="ER543">
            <v>15</v>
          </cell>
          <cell r="ES543">
            <v>4.5</v>
          </cell>
          <cell r="ET543">
            <v>0</v>
          </cell>
          <cell r="EU543">
            <v>0</v>
          </cell>
          <cell r="EV543">
            <v>11</v>
          </cell>
          <cell r="EW543">
            <v>11</v>
          </cell>
          <cell r="EX543">
            <v>3.5</v>
          </cell>
          <cell r="EY543">
            <v>0</v>
          </cell>
          <cell r="EZ543">
            <v>0</v>
          </cell>
          <cell r="FA543">
            <v>7</v>
          </cell>
          <cell r="FB543">
            <v>7</v>
          </cell>
          <cell r="FC543">
            <v>2.5</v>
          </cell>
          <cell r="FD543">
            <v>0</v>
          </cell>
          <cell r="FE543">
            <v>0</v>
          </cell>
          <cell r="FF543">
            <v>3</v>
          </cell>
          <cell r="FG543">
            <v>3</v>
          </cell>
          <cell r="FH543">
            <v>1.5</v>
          </cell>
          <cell r="FI543">
            <v>2</v>
          </cell>
          <cell r="FJ543">
            <v>0</v>
          </cell>
          <cell r="FK543">
            <v>-1</v>
          </cell>
          <cell r="FL543">
            <v>-1</v>
          </cell>
          <cell r="FM543">
            <v>0.5</v>
          </cell>
          <cell r="FN543">
            <v>6</v>
          </cell>
          <cell r="FO543">
            <v>0</v>
          </cell>
          <cell r="FP543">
            <v>-5</v>
          </cell>
          <cell r="FQ543">
            <v>-5</v>
          </cell>
          <cell r="FR543">
            <v>-0.5</v>
          </cell>
          <cell r="FS543">
            <v>10</v>
          </cell>
          <cell r="FT543">
            <v>5</v>
          </cell>
          <cell r="FU543">
            <v>1.0333333333333334</v>
          </cell>
          <cell r="FW543" t="str">
            <v>SOBRESTOCK</v>
          </cell>
          <cell r="FX543" t="str">
            <v>B</v>
          </cell>
          <cell r="FY543" t="str">
            <v>Si</v>
          </cell>
        </row>
        <row r="544">
          <cell r="B544" t="str">
            <v>REP-0561</v>
          </cell>
          <cell r="C544" t="str">
            <v>MIX</v>
          </cell>
          <cell r="E544">
            <v>2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2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BQ544">
            <v>2</v>
          </cell>
          <cell r="BR544" t="str">
            <v/>
          </cell>
          <cell r="BS544">
            <v>0</v>
          </cell>
          <cell r="BT544">
            <v>2</v>
          </cell>
          <cell r="BU544">
            <v>2</v>
          </cell>
          <cell r="BV544" t="str">
            <v/>
          </cell>
          <cell r="BW544">
            <v>0</v>
          </cell>
          <cell r="BX544">
            <v>0</v>
          </cell>
          <cell r="BY544">
            <v>2</v>
          </cell>
          <cell r="BZ544">
            <v>2</v>
          </cell>
          <cell r="CA544" t="str">
            <v/>
          </cell>
          <cell r="CB544">
            <v>0</v>
          </cell>
          <cell r="CC544">
            <v>0</v>
          </cell>
          <cell r="CD544">
            <v>2</v>
          </cell>
          <cell r="CE544">
            <v>2</v>
          </cell>
          <cell r="CF544" t="str">
            <v/>
          </cell>
          <cell r="CG544">
            <v>0</v>
          </cell>
          <cell r="CH544">
            <v>0</v>
          </cell>
          <cell r="CI544">
            <v>2</v>
          </cell>
          <cell r="CJ544">
            <v>2</v>
          </cell>
          <cell r="CK544" t="str">
            <v/>
          </cell>
          <cell r="CL544">
            <v>0</v>
          </cell>
          <cell r="CM544">
            <v>0</v>
          </cell>
          <cell r="CN544">
            <v>2</v>
          </cell>
          <cell r="CO544">
            <v>2</v>
          </cell>
          <cell r="CP544" t="str">
            <v/>
          </cell>
          <cell r="CQ544">
            <v>0</v>
          </cell>
          <cell r="CR544">
            <v>0</v>
          </cell>
          <cell r="CS544">
            <v>2</v>
          </cell>
          <cell r="CT544">
            <v>2</v>
          </cell>
          <cell r="CU544" t="str">
            <v/>
          </cell>
          <cell r="CV544">
            <v>0</v>
          </cell>
          <cell r="CW544">
            <v>0</v>
          </cell>
          <cell r="CX544">
            <v>2</v>
          </cell>
          <cell r="CY544">
            <v>2</v>
          </cell>
          <cell r="CZ544" t="str">
            <v/>
          </cell>
          <cell r="DA544">
            <v>0</v>
          </cell>
          <cell r="DB544">
            <v>0</v>
          </cell>
          <cell r="DC544">
            <v>2</v>
          </cell>
          <cell r="DD544">
            <v>2</v>
          </cell>
          <cell r="DE544" t="str">
            <v/>
          </cell>
          <cell r="DF544">
            <v>0</v>
          </cell>
          <cell r="DG544">
            <v>0</v>
          </cell>
          <cell r="DH544">
            <v>2</v>
          </cell>
          <cell r="DI544">
            <v>2</v>
          </cell>
          <cell r="DJ544" t="str">
            <v/>
          </cell>
          <cell r="DK544">
            <v>0</v>
          </cell>
          <cell r="DL544">
            <v>0</v>
          </cell>
          <cell r="DM544">
            <v>2</v>
          </cell>
          <cell r="DN544">
            <v>2</v>
          </cell>
          <cell r="DO544" t="str">
            <v/>
          </cell>
          <cell r="DP544">
            <v>0</v>
          </cell>
          <cell r="DQ544">
            <v>0</v>
          </cell>
          <cell r="DR544">
            <v>2</v>
          </cell>
          <cell r="DS544">
            <v>2</v>
          </cell>
          <cell r="DT544" t="str">
            <v/>
          </cell>
          <cell r="DU544">
            <v>0</v>
          </cell>
          <cell r="DV544">
            <v>0</v>
          </cell>
          <cell r="DW544">
            <v>2</v>
          </cell>
          <cell r="DX544">
            <v>2</v>
          </cell>
          <cell r="DY544" t="str">
            <v/>
          </cell>
          <cell r="DZ544">
            <v>0</v>
          </cell>
          <cell r="EA544">
            <v>0</v>
          </cell>
          <cell r="EB544">
            <v>2</v>
          </cell>
          <cell r="EC544">
            <v>2</v>
          </cell>
          <cell r="ED544" t="str">
            <v/>
          </cell>
          <cell r="EE544">
            <v>0</v>
          </cell>
          <cell r="EF544">
            <v>0</v>
          </cell>
          <cell r="EG544">
            <v>2</v>
          </cell>
          <cell r="EH544">
            <v>2</v>
          </cell>
          <cell r="EI544" t="str">
            <v/>
          </cell>
          <cell r="EJ544">
            <v>0</v>
          </cell>
          <cell r="EK544">
            <v>0</v>
          </cell>
          <cell r="EL544">
            <v>2</v>
          </cell>
          <cell r="EM544">
            <v>2</v>
          </cell>
          <cell r="EN544" t="str">
            <v/>
          </cell>
          <cell r="EO544">
            <v>0</v>
          </cell>
          <cell r="EP544">
            <v>0</v>
          </cell>
          <cell r="EQ544">
            <v>2</v>
          </cell>
          <cell r="ER544">
            <v>2</v>
          </cell>
          <cell r="ES544" t="str">
            <v/>
          </cell>
          <cell r="ET544">
            <v>0</v>
          </cell>
          <cell r="EU544">
            <v>0</v>
          </cell>
          <cell r="EV544">
            <v>2</v>
          </cell>
          <cell r="EW544">
            <v>2</v>
          </cell>
          <cell r="EX544" t="str">
            <v/>
          </cell>
          <cell r="EY544">
            <v>0</v>
          </cell>
          <cell r="EZ544">
            <v>0</v>
          </cell>
          <cell r="FA544">
            <v>2</v>
          </cell>
          <cell r="FB544">
            <v>2</v>
          </cell>
          <cell r="FC544" t="str">
            <v/>
          </cell>
          <cell r="FD544">
            <v>0</v>
          </cell>
          <cell r="FE544">
            <v>0</v>
          </cell>
          <cell r="FF544">
            <v>2</v>
          </cell>
          <cell r="FG544">
            <v>2</v>
          </cell>
          <cell r="FH544" t="str">
            <v/>
          </cell>
          <cell r="FI544">
            <v>0</v>
          </cell>
          <cell r="FJ544">
            <v>0</v>
          </cell>
          <cell r="FK544">
            <v>2</v>
          </cell>
          <cell r="FL544">
            <v>2</v>
          </cell>
          <cell r="FM544" t="str">
            <v/>
          </cell>
          <cell r="FN544">
            <v>0</v>
          </cell>
          <cell r="FO544">
            <v>0</v>
          </cell>
          <cell r="FP544">
            <v>2</v>
          </cell>
          <cell r="FQ544">
            <v>2</v>
          </cell>
          <cell r="FR544" t="str">
            <v/>
          </cell>
          <cell r="FS544">
            <v>0</v>
          </cell>
          <cell r="FT544">
            <v>0</v>
          </cell>
          <cell r="FU544">
            <v>2.0333333333333332</v>
          </cell>
          <cell r="FW544" t="str">
            <v>SIN ROTACIÓN</v>
          </cell>
          <cell r="FX544" t="str">
            <v>STOCK MUERTO</v>
          </cell>
          <cell r="FY544" t="str">
            <v>Si</v>
          </cell>
        </row>
        <row r="545">
          <cell r="B545" t="str">
            <v>REP-0562</v>
          </cell>
          <cell r="C545" t="str">
            <v>MIX</v>
          </cell>
          <cell r="E545">
            <v>2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2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BQ545">
            <v>0</v>
          </cell>
          <cell r="BR545" t="str">
            <v/>
          </cell>
          <cell r="BS545">
            <v>0</v>
          </cell>
          <cell r="BT545">
            <v>0</v>
          </cell>
          <cell r="BU545">
            <v>0</v>
          </cell>
          <cell r="BV545" t="str">
            <v/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 t="str">
            <v/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 t="str">
            <v/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 t="str">
            <v/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 t="str">
            <v/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 t="str">
            <v/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 t="str">
            <v/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 t="str">
            <v/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 t="str">
            <v/>
          </cell>
          <cell r="DK545">
            <v>0</v>
          </cell>
          <cell r="DL545">
            <v>0</v>
          </cell>
          <cell r="DM545">
            <v>0</v>
          </cell>
          <cell r="DN545">
            <v>2</v>
          </cell>
          <cell r="DO545" t="str">
            <v/>
          </cell>
          <cell r="DP545">
            <v>0</v>
          </cell>
          <cell r="DQ545">
            <v>0</v>
          </cell>
          <cell r="DR545">
            <v>2</v>
          </cell>
          <cell r="DS545">
            <v>2</v>
          </cell>
          <cell r="DT545" t="str">
            <v/>
          </cell>
          <cell r="DU545">
            <v>0</v>
          </cell>
          <cell r="DV545">
            <v>0</v>
          </cell>
          <cell r="DW545">
            <v>2</v>
          </cell>
          <cell r="DX545">
            <v>2</v>
          </cell>
          <cell r="DY545" t="str">
            <v/>
          </cell>
          <cell r="DZ545">
            <v>0</v>
          </cell>
          <cell r="EA545">
            <v>0</v>
          </cell>
          <cell r="EB545">
            <v>2</v>
          </cell>
          <cell r="EC545">
            <v>2</v>
          </cell>
          <cell r="ED545" t="str">
            <v/>
          </cell>
          <cell r="EE545">
            <v>0</v>
          </cell>
          <cell r="EF545">
            <v>0</v>
          </cell>
          <cell r="EG545">
            <v>2</v>
          </cell>
          <cell r="EH545">
            <v>2</v>
          </cell>
          <cell r="EI545" t="str">
            <v/>
          </cell>
          <cell r="EJ545">
            <v>0</v>
          </cell>
          <cell r="EK545">
            <v>0</v>
          </cell>
          <cell r="EL545">
            <v>2</v>
          </cell>
          <cell r="EM545">
            <v>2</v>
          </cell>
          <cell r="EN545" t="str">
            <v/>
          </cell>
          <cell r="EO545">
            <v>0</v>
          </cell>
          <cell r="EP545">
            <v>0</v>
          </cell>
          <cell r="EQ545">
            <v>2</v>
          </cell>
          <cell r="ER545">
            <v>2</v>
          </cell>
          <cell r="ES545" t="str">
            <v/>
          </cell>
          <cell r="ET545">
            <v>0</v>
          </cell>
          <cell r="EU545">
            <v>0</v>
          </cell>
          <cell r="EV545">
            <v>2</v>
          </cell>
          <cell r="EW545">
            <v>2</v>
          </cell>
          <cell r="EX545" t="str">
            <v/>
          </cell>
          <cell r="EY545">
            <v>0</v>
          </cell>
          <cell r="EZ545">
            <v>0</v>
          </cell>
          <cell r="FA545">
            <v>2</v>
          </cell>
          <cell r="FB545">
            <v>2</v>
          </cell>
          <cell r="FC545" t="str">
            <v/>
          </cell>
          <cell r="FD545">
            <v>0</v>
          </cell>
          <cell r="FE545">
            <v>0</v>
          </cell>
          <cell r="FF545">
            <v>2</v>
          </cell>
          <cell r="FG545">
            <v>2</v>
          </cell>
          <cell r="FH545" t="str">
            <v/>
          </cell>
          <cell r="FI545">
            <v>0</v>
          </cell>
          <cell r="FJ545">
            <v>0</v>
          </cell>
          <cell r="FK545">
            <v>2</v>
          </cell>
          <cell r="FL545">
            <v>2</v>
          </cell>
          <cell r="FM545" t="str">
            <v/>
          </cell>
          <cell r="FN545">
            <v>0</v>
          </cell>
          <cell r="FO545">
            <v>0</v>
          </cell>
          <cell r="FP545">
            <v>2</v>
          </cell>
          <cell r="FQ545">
            <v>2</v>
          </cell>
          <cell r="FR545" t="str">
            <v/>
          </cell>
          <cell r="FS545">
            <v>0</v>
          </cell>
          <cell r="FT545">
            <v>0</v>
          </cell>
          <cell r="FU545">
            <v>2.0333333333333332</v>
          </cell>
          <cell r="FW545" t="str">
            <v>SIN ROTACIÓN</v>
          </cell>
          <cell r="FX545" t="str">
            <v>STOCK MUERTO</v>
          </cell>
          <cell r="FY545" t="str">
            <v>Si</v>
          </cell>
        </row>
        <row r="546">
          <cell r="B546" t="str">
            <v>REP-0563</v>
          </cell>
          <cell r="C546" t="str">
            <v>Nacional</v>
          </cell>
          <cell r="E546">
            <v>3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3</v>
          </cell>
          <cell r="M546">
            <v>2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8</v>
          </cell>
          <cell r="AH546">
            <v>0.25</v>
          </cell>
          <cell r="AI546">
            <v>0</v>
          </cell>
          <cell r="AJ546">
            <v>0</v>
          </cell>
          <cell r="AK546">
            <v>0.25</v>
          </cell>
          <cell r="AL546">
            <v>0.14433756729740646</v>
          </cell>
          <cell r="AM546">
            <v>8.3333333333333329E-2</v>
          </cell>
          <cell r="AN546">
            <v>1.7320508075688776</v>
          </cell>
          <cell r="BQ546">
            <v>12</v>
          </cell>
          <cell r="BR546">
            <v>48</v>
          </cell>
          <cell r="BS546">
            <v>0</v>
          </cell>
          <cell r="BT546">
            <v>12</v>
          </cell>
          <cell r="BU546">
            <v>12</v>
          </cell>
          <cell r="BV546" t="str">
            <v/>
          </cell>
          <cell r="BW546">
            <v>0</v>
          </cell>
          <cell r="BX546">
            <v>0</v>
          </cell>
          <cell r="BY546">
            <v>12</v>
          </cell>
          <cell r="BZ546">
            <v>12</v>
          </cell>
          <cell r="CA546" t="str">
            <v/>
          </cell>
          <cell r="CB546">
            <v>0</v>
          </cell>
          <cell r="CC546">
            <v>0</v>
          </cell>
          <cell r="CD546">
            <v>12</v>
          </cell>
          <cell r="CE546">
            <v>12</v>
          </cell>
          <cell r="CF546" t="str">
            <v/>
          </cell>
          <cell r="CG546">
            <v>0</v>
          </cell>
          <cell r="CH546">
            <v>0</v>
          </cell>
          <cell r="CI546">
            <v>12</v>
          </cell>
          <cell r="CJ546">
            <v>9</v>
          </cell>
          <cell r="CK546" t="str">
            <v/>
          </cell>
          <cell r="CL546">
            <v>0</v>
          </cell>
          <cell r="CM546">
            <v>0</v>
          </cell>
          <cell r="CN546">
            <v>9</v>
          </cell>
          <cell r="CO546">
            <v>9</v>
          </cell>
          <cell r="CP546" t="str">
            <v/>
          </cell>
          <cell r="CQ546">
            <v>0</v>
          </cell>
          <cell r="CR546">
            <v>0</v>
          </cell>
          <cell r="CS546">
            <v>9</v>
          </cell>
          <cell r="CT546">
            <v>9</v>
          </cell>
          <cell r="CU546">
            <v>18</v>
          </cell>
          <cell r="CV546">
            <v>0</v>
          </cell>
          <cell r="CW546">
            <v>0</v>
          </cell>
          <cell r="CX546">
            <v>8.5</v>
          </cell>
          <cell r="CY546">
            <v>9</v>
          </cell>
          <cell r="CZ546">
            <v>36</v>
          </cell>
          <cell r="DA546">
            <v>0</v>
          </cell>
          <cell r="DB546">
            <v>0</v>
          </cell>
          <cell r="DC546">
            <v>8.75</v>
          </cell>
          <cell r="DD546">
            <v>8</v>
          </cell>
          <cell r="DE546">
            <v>28</v>
          </cell>
          <cell r="DF546">
            <v>0</v>
          </cell>
          <cell r="DG546">
            <v>0</v>
          </cell>
          <cell r="DH546">
            <v>7.75</v>
          </cell>
          <cell r="DI546">
            <v>8</v>
          </cell>
          <cell r="DJ546">
            <v>30</v>
          </cell>
          <cell r="DK546">
            <v>0</v>
          </cell>
          <cell r="DL546">
            <v>0</v>
          </cell>
          <cell r="DM546">
            <v>7.5</v>
          </cell>
          <cell r="DN546">
            <v>8</v>
          </cell>
          <cell r="DO546">
            <v>30</v>
          </cell>
          <cell r="DP546">
            <v>0</v>
          </cell>
          <cell r="DQ546">
            <v>0</v>
          </cell>
          <cell r="DR546">
            <v>7.75</v>
          </cell>
          <cell r="DS546">
            <v>7.75</v>
          </cell>
          <cell r="DT546">
            <v>29</v>
          </cell>
          <cell r="DU546">
            <v>0</v>
          </cell>
          <cell r="DV546">
            <v>0</v>
          </cell>
          <cell r="DW546">
            <v>7.5</v>
          </cell>
          <cell r="DX546">
            <v>7.5</v>
          </cell>
          <cell r="DY546">
            <v>28</v>
          </cell>
          <cell r="DZ546">
            <v>0</v>
          </cell>
          <cell r="EA546">
            <v>0</v>
          </cell>
          <cell r="EB546">
            <v>7.25</v>
          </cell>
          <cell r="EC546">
            <v>7.25</v>
          </cell>
          <cell r="ED546">
            <v>27</v>
          </cell>
          <cell r="EE546">
            <v>0</v>
          </cell>
          <cell r="EF546">
            <v>0</v>
          </cell>
          <cell r="EG546">
            <v>7</v>
          </cell>
          <cell r="EH546">
            <v>7</v>
          </cell>
          <cell r="EI546">
            <v>26</v>
          </cell>
          <cell r="EJ546">
            <v>0</v>
          </cell>
          <cell r="EK546">
            <v>0</v>
          </cell>
          <cell r="EL546">
            <v>6.75</v>
          </cell>
          <cell r="EM546">
            <v>6.75</v>
          </cell>
          <cell r="EN546">
            <v>25</v>
          </cell>
          <cell r="EO546">
            <v>0</v>
          </cell>
          <cell r="EP546">
            <v>0</v>
          </cell>
          <cell r="EQ546">
            <v>6.5</v>
          </cell>
          <cell r="ER546">
            <v>6.5</v>
          </cell>
          <cell r="ES546">
            <v>24</v>
          </cell>
          <cell r="ET546">
            <v>0</v>
          </cell>
          <cell r="EU546">
            <v>0</v>
          </cell>
          <cell r="EV546">
            <v>6.25</v>
          </cell>
          <cell r="EW546">
            <v>6.25</v>
          </cell>
          <cell r="EX546">
            <v>23</v>
          </cell>
          <cell r="EY546">
            <v>0</v>
          </cell>
          <cell r="EZ546">
            <v>0</v>
          </cell>
          <cell r="FA546">
            <v>6</v>
          </cell>
          <cell r="FB546">
            <v>6</v>
          </cell>
          <cell r="FC546">
            <v>22</v>
          </cell>
          <cell r="FD546">
            <v>0</v>
          </cell>
          <cell r="FE546">
            <v>0</v>
          </cell>
          <cell r="FF546">
            <v>5.75</v>
          </cell>
          <cell r="FG546">
            <v>5.75</v>
          </cell>
          <cell r="FH546">
            <v>21</v>
          </cell>
          <cell r="FI546">
            <v>0</v>
          </cell>
          <cell r="FJ546">
            <v>0</v>
          </cell>
          <cell r="FK546">
            <v>5.5</v>
          </cell>
          <cell r="FL546">
            <v>5.5</v>
          </cell>
          <cell r="FM546">
            <v>20</v>
          </cell>
          <cell r="FN546">
            <v>0</v>
          </cell>
          <cell r="FO546">
            <v>0</v>
          </cell>
          <cell r="FP546">
            <v>5.25</v>
          </cell>
          <cell r="FQ546">
            <v>5.25</v>
          </cell>
          <cell r="FR546">
            <v>19</v>
          </cell>
          <cell r="FS546">
            <v>0</v>
          </cell>
          <cell r="FT546">
            <v>1</v>
          </cell>
          <cell r="FU546">
            <v>1</v>
          </cell>
          <cell r="FW546" t="str">
            <v>SIN ROTACIÓN</v>
          </cell>
          <cell r="FX546" t="str">
            <v>STOCK MUERTO</v>
          </cell>
          <cell r="FY546" t="str">
            <v>Si</v>
          </cell>
        </row>
        <row r="547">
          <cell r="B547" t="str">
            <v>REP-0564</v>
          </cell>
          <cell r="C547" t="str">
            <v>MIX</v>
          </cell>
          <cell r="E547">
            <v>1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1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BQ547">
            <v>1</v>
          </cell>
          <cell r="BR547" t="str">
            <v/>
          </cell>
          <cell r="BS547">
            <v>0</v>
          </cell>
          <cell r="BT547">
            <v>1</v>
          </cell>
          <cell r="BU547">
            <v>1</v>
          </cell>
          <cell r="BV547" t="str">
            <v/>
          </cell>
          <cell r="BW547">
            <v>0</v>
          </cell>
          <cell r="BX547">
            <v>0</v>
          </cell>
          <cell r="BY547">
            <v>1</v>
          </cell>
          <cell r="BZ547">
            <v>1</v>
          </cell>
          <cell r="CA547" t="str">
            <v/>
          </cell>
          <cell r="CB547">
            <v>0</v>
          </cell>
          <cell r="CC547">
            <v>0</v>
          </cell>
          <cell r="CD547">
            <v>1</v>
          </cell>
          <cell r="CE547">
            <v>1</v>
          </cell>
          <cell r="CF547" t="str">
            <v/>
          </cell>
          <cell r="CG547">
            <v>0</v>
          </cell>
          <cell r="CH547">
            <v>0</v>
          </cell>
          <cell r="CI547">
            <v>1</v>
          </cell>
          <cell r="CJ547">
            <v>1</v>
          </cell>
          <cell r="CK547" t="str">
            <v/>
          </cell>
          <cell r="CL547">
            <v>0</v>
          </cell>
          <cell r="CM547">
            <v>0</v>
          </cell>
          <cell r="CN547">
            <v>1</v>
          </cell>
          <cell r="CO547">
            <v>1</v>
          </cell>
          <cell r="CP547" t="str">
            <v/>
          </cell>
          <cell r="CQ547">
            <v>0</v>
          </cell>
          <cell r="CR547">
            <v>0</v>
          </cell>
          <cell r="CS547">
            <v>1</v>
          </cell>
          <cell r="CT547">
            <v>1</v>
          </cell>
          <cell r="CU547" t="str">
            <v/>
          </cell>
          <cell r="CV547">
            <v>0</v>
          </cell>
          <cell r="CW547">
            <v>0</v>
          </cell>
          <cell r="CX547">
            <v>1</v>
          </cell>
          <cell r="CY547">
            <v>1</v>
          </cell>
          <cell r="CZ547" t="str">
            <v/>
          </cell>
          <cell r="DA547">
            <v>0</v>
          </cell>
          <cell r="DB547">
            <v>0</v>
          </cell>
          <cell r="DC547">
            <v>1</v>
          </cell>
          <cell r="DD547">
            <v>1</v>
          </cell>
          <cell r="DE547" t="str">
            <v/>
          </cell>
          <cell r="DF547">
            <v>0</v>
          </cell>
          <cell r="DG547">
            <v>0</v>
          </cell>
          <cell r="DH547">
            <v>1</v>
          </cell>
          <cell r="DI547">
            <v>1</v>
          </cell>
          <cell r="DJ547" t="str">
            <v/>
          </cell>
          <cell r="DK547">
            <v>0</v>
          </cell>
          <cell r="DL547">
            <v>0</v>
          </cell>
          <cell r="DM547">
            <v>1</v>
          </cell>
          <cell r="DN547">
            <v>1</v>
          </cell>
          <cell r="DO547" t="str">
            <v/>
          </cell>
          <cell r="DP547">
            <v>0</v>
          </cell>
          <cell r="DQ547">
            <v>0</v>
          </cell>
          <cell r="DR547">
            <v>1</v>
          </cell>
          <cell r="DS547">
            <v>1</v>
          </cell>
          <cell r="DT547" t="str">
            <v/>
          </cell>
          <cell r="DU547">
            <v>0</v>
          </cell>
          <cell r="DV547">
            <v>0</v>
          </cell>
          <cell r="DW547">
            <v>1</v>
          </cell>
          <cell r="DX547">
            <v>1</v>
          </cell>
          <cell r="DY547" t="str">
            <v/>
          </cell>
          <cell r="DZ547">
            <v>0</v>
          </cell>
          <cell r="EA547">
            <v>0</v>
          </cell>
          <cell r="EB547">
            <v>1</v>
          </cell>
          <cell r="EC547">
            <v>1</v>
          </cell>
          <cell r="ED547" t="str">
            <v/>
          </cell>
          <cell r="EE547">
            <v>0</v>
          </cell>
          <cell r="EF547">
            <v>0</v>
          </cell>
          <cell r="EG547">
            <v>1</v>
          </cell>
          <cell r="EH547">
            <v>1</v>
          </cell>
          <cell r="EI547" t="str">
            <v/>
          </cell>
          <cell r="EJ547">
            <v>0</v>
          </cell>
          <cell r="EK547">
            <v>0</v>
          </cell>
          <cell r="EL547">
            <v>1</v>
          </cell>
          <cell r="EM547">
            <v>1</v>
          </cell>
          <cell r="EN547" t="str">
            <v/>
          </cell>
          <cell r="EO547">
            <v>0</v>
          </cell>
          <cell r="EP547">
            <v>0</v>
          </cell>
          <cell r="EQ547">
            <v>1</v>
          </cell>
          <cell r="ER547">
            <v>1</v>
          </cell>
          <cell r="ES547" t="str">
            <v/>
          </cell>
          <cell r="ET547">
            <v>0</v>
          </cell>
          <cell r="EU547">
            <v>0</v>
          </cell>
          <cell r="EV547">
            <v>1</v>
          </cell>
          <cell r="EW547">
            <v>1</v>
          </cell>
          <cell r="EX547" t="str">
            <v/>
          </cell>
          <cell r="EY547">
            <v>0</v>
          </cell>
          <cell r="EZ547">
            <v>0</v>
          </cell>
          <cell r="FA547">
            <v>1</v>
          </cell>
          <cell r="FB547">
            <v>1</v>
          </cell>
          <cell r="FC547" t="str">
            <v/>
          </cell>
          <cell r="FD547">
            <v>0</v>
          </cell>
          <cell r="FE547">
            <v>0</v>
          </cell>
          <cell r="FF547">
            <v>1</v>
          </cell>
          <cell r="FG547">
            <v>1</v>
          </cell>
          <cell r="FH547" t="str">
            <v/>
          </cell>
          <cell r="FI547">
            <v>0</v>
          </cell>
          <cell r="FJ547">
            <v>0</v>
          </cell>
          <cell r="FK547">
            <v>1</v>
          </cell>
          <cell r="FL547">
            <v>1</v>
          </cell>
          <cell r="FM547" t="str">
            <v/>
          </cell>
          <cell r="FN547">
            <v>0</v>
          </cell>
          <cell r="FO547">
            <v>0</v>
          </cell>
          <cell r="FP547">
            <v>1</v>
          </cell>
          <cell r="FQ547">
            <v>1</v>
          </cell>
          <cell r="FR547" t="str">
            <v/>
          </cell>
          <cell r="FS547">
            <v>0</v>
          </cell>
          <cell r="FT547">
            <v>0</v>
          </cell>
          <cell r="FU547">
            <v>2.0333333333333332</v>
          </cell>
          <cell r="FW547" t="str">
            <v>SIN ROTACIÓN</v>
          </cell>
          <cell r="FX547" t="str">
            <v>STOCK MUERTO</v>
          </cell>
          <cell r="FY547" t="str">
            <v>Si</v>
          </cell>
        </row>
        <row r="548">
          <cell r="B548" t="str">
            <v>REP-0565</v>
          </cell>
          <cell r="C548" t="str">
            <v>NACIONAL</v>
          </cell>
          <cell r="E548">
            <v>8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3</v>
          </cell>
          <cell r="O548">
            <v>2</v>
          </cell>
          <cell r="P548">
            <v>0</v>
          </cell>
          <cell r="Q548">
            <v>0</v>
          </cell>
          <cell r="R548">
            <v>3</v>
          </cell>
          <cell r="S548">
            <v>2</v>
          </cell>
          <cell r="T548">
            <v>0</v>
          </cell>
          <cell r="U548">
            <v>5</v>
          </cell>
          <cell r="V548">
            <v>3</v>
          </cell>
          <cell r="W548">
            <v>3</v>
          </cell>
          <cell r="X548">
            <v>3</v>
          </cell>
          <cell r="Y548">
            <v>32</v>
          </cell>
          <cell r="AC548">
            <v>0</v>
          </cell>
          <cell r="AD548">
            <v>0</v>
          </cell>
          <cell r="AE548">
            <v>0</v>
          </cell>
          <cell r="AH548">
            <v>1.0833333333333333</v>
          </cell>
          <cell r="AI548">
            <v>1.5</v>
          </cell>
          <cell r="AJ548">
            <v>1.5</v>
          </cell>
          <cell r="AK548">
            <v>1.5</v>
          </cell>
          <cell r="AL548">
            <v>0.24056261216234473</v>
          </cell>
          <cell r="AM548">
            <v>1.3611111111111109</v>
          </cell>
          <cell r="AN548">
            <v>0.17673987832335533</v>
          </cell>
          <cell r="BQ548">
            <v>2</v>
          </cell>
          <cell r="BR548">
            <v>1.3333333333333333</v>
          </cell>
          <cell r="BS548">
            <v>0</v>
          </cell>
          <cell r="BT548">
            <v>2</v>
          </cell>
          <cell r="BU548">
            <v>30</v>
          </cell>
          <cell r="BV548" t="str">
            <v/>
          </cell>
          <cell r="BW548">
            <v>0</v>
          </cell>
          <cell r="BX548">
            <v>0</v>
          </cell>
          <cell r="BY548">
            <v>30</v>
          </cell>
          <cell r="BZ548">
            <v>28</v>
          </cell>
          <cell r="CA548" t="str">
            <v/>
          </cell>
          <cell r="CB548">
            <v>0</v>
          </cell>
          <cell r="CC548">
            <v>0</v>
          </cell>
          <cell r="CD548">
            <v>28</v>
          </cell>
          <cell r="CE548">
            <v>28</v>
          </cell>
          <cell r="CF548" t="str">
            <v/>
          </cell>
          <cell r="CG548">
            <v>0</v>
          </cell>
          <cell r="CH548">
            <v>0</v>
          </cell>
          <cell r="CI548">
            <v>28</v>
          </cell>
          <cell r="CJ548">
            <v>17</v>
          </cell>
          <cell r="CK548">
            <v>5.2307692307692308</v>
          </cell>
          <cell r="CL548">
            <v>0</v>
          </cell>
          <cell r="CM548">
            <v>0</v>
          </cell>
          <cell r="CN548">
            <v>13.75</v>
          </cell>
          <cell r="CO548">
            <v>12</v>
          </cell>
          <cell r="CP548">
            <v>3.6923076923076925</v>
          </cell>
          <cell r="CQ548">
            <v>0.25</v>
          </cell>
          <cell r="CR548">
            <v>0</v>
          </cell>
          <cell r="CS548">
            <v>8.75</v>
          </cell>
          <cell r="CT548">
            <v>10</v>
          </cell>
          <cell r="CU548">
            <v>4</v>
          </cell>
          <cell r="CV548">
            <v>85</v>
          </cell>
          <cell r="CW548">
            <v>30</v>
          </cell>
          <cell r="CX548">
            <v>37.5</v>
          </cell>
          <cell r="CY548">
            <v>41</v>
          </cell>
          <cell r="CZ548">
            <v>30.75</v>
          </cell>
          <cell r="DA548">
            <v>57.5</v>
          </cell>
          <cell r="DB548">
            <v>0</v>
          </cell>
          <cell r="DC548">
            <v>39.5</v>
          </cell>
          <cell r="DD548">
            <v>35</v>
          </cell>
          <cell r="DE548">
            <v>-40</v>
          </cell>
          <cell r="DF548">
            <v>55.5</v>
          </cell>
          <cell r="DG548">
            <v>0</v>
          </cell>
          <cell r="DH548">
            <v>33.5</v>
          </cell>
          <cell r="DI548">
            <v>33</v>
          </cell>
          <cell r="DJ548">
            <v>-36.75</v>
          </cell>
          <cell r="DK548">
            <v>61.5</v>
          </cell>
          <cell r="DL548">
            <v>0</v>
          </cell>
          <cell r="DM548">
            <v>93.4</v>
          </cell>
          <cell r="DN548">
            <v>32</v>
          </cell>
          <cell r="DO548">
            <v>-40</v>
          </cell>
          <cell r="DP548">
            <v>63</v>
          </cell>
          <cell r="DQ548">
            <v>0</v>
          </cell>
          <cell r="DR548">
            <v>30.5</v>
          </cell>
          <cell r="DS548">
            <v>30.5</v>
          </cell>
          <cell r="DT548">
            <v>-41</v>
          </cell>
          <cell r="DU548">
            <v>64.5</v>
          </cell>
          <cell r="DV548">
            <v>0</v>
          </cell>
          <cell r="DW548">
            <v>29</v>
          </cell>
          <cell r="DX548">
            <v>29</v>
          </cell>
          <cell r="DY548">
            <v>-42</v>
          </cell>
          <cell r="DZ548">
            <v>66</v>
          </cell>
          <cell r="EA548">
            <v>0</v>
          </cell>
          <cell r="EB548">
            <v>27.5</v>
          </cell>
          <cell r="EC548">
            <v>27.5</v>
          </cell>
          <cell r="ED548">
            <v>-43</v>
          </cell>
          <cell r="EE548">
            <v>67.5</v>
          </cell>
          <cell r="EF548">
            <v>0</v>
          </cell>
          <cell r="EG548">
            <v>26</v>
          </cell>
          <cell r="EH548">
            <v>26</v>
          </cell>
          <cell r="EI548">
            <v>-44</v>
          </cell>
          <cell r="EJ548">
            <v>69</v>
          </cell>
          <cell r="EK548">
            <v>0</v>
          </cell>
          <cell r="EL548">
            <v>24.5</v>
          </cell>
          <cell r="EM548">
            <v>24.5</v>
          </cell>
          <cell r="EN548">
            <v>-45</v>
          </cell>
          <cell r="EO548">
            <v>70.5</v>
          </cell>
          <cell r="EP548">
            <v>0</v>
          </cell>
          <cell r="EQ548">
            <v>23</v>
          </cell>
          <cell r="ER548">
            <v>23</v>
          </cell>
          <cell r="ES548">
            <v>-46</v>
          </cell>
          <cell r="ET548">
            <v>72</v>
          </cell>
          <cell r="EU548">
            <v>0</v>
          </cell>
          <cell r="EV548">
            <v>21.5</v>
          </cell>
          <cell r="EW548">
            <v>21.5</v>
          </cell>
          <cell r="EX548">
            <v>-47</v>
          </cell>
          <cell r="EY548">
            <v>73.5</v>
          </cell>
          <cell r="EZ548">
            <v>0</v>
          </cell>
          <cell r="FA548">
            <v>20</v>
          </cell>
          <cell r="FB548">
            <v>20</v>
          </cell>
          <cell r="FC548">
            <v>-48</v>
          </cell>
          <cell r="FD548">
            <v>75</v>
          </cell>
          <cell r="FE548">
            <v>0</v>
          </cell>
          <cell r="FF548">
            <v>18.5</v>
          </cell>
          <cell r="FG548">
            <v>18.5</v>
          </cell>
          <cell r="FH548">
            <v>-49</v>
          </cell>
          <cell r="FI548">
            <v>76.5</v>
          </cell>
          <cell r="FJ548">
            <v>0</v>
          </cell>
          <cell r="FK548">
            <v>17</v>
          </cell>
          <cell r="FL548">
            <v>17</v>
          </cell>
          <cell r="FM548">
            <v>-50</v>
          </cell>
          <cell r="FN548">
            <v>78</v>
          </cell>
          <cell r="FO548">
            <v>0</v>
          </cell>
          <cell r="FP548">
            <v>15.5</v>
          </cell>
          <cell r="FQ548">
            <v>15.5</v>
          </cell>
          <cell r="FR548">
            <v>-51</v>
          </cell>
          <cell r="FS548">
            <v>79.5</v>
          </cell>
          <cell r="FT548">
            <v>95</v>
          </cell>
          <cell r="FU548">
            <v>1.0333333333333334</v>
          </cell>
          <cell r="FW548" t="str">
            <v>BAJO STOCK</v>
          </cell>
          <cell r="FX548" t="str">
            <v>C</v>
          </cell>
          <cell r="FY548" t="str">
            <v>Si</v>
          </cell>
        </row>
        <row r="549">
          <cell r="B549" t="str">
            <v>REP-0566</v>
          </cell>
          <cell r="C549" t="str">
            <v>NACIONAL</v>
          </cell>
          <cell r="E549">
            <v>8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4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12</v>
          </cell>
          <cell r="AC549">
            <v>0</v>
          </cell>
          <cell r="AD549">
            <v>0</v>
          </cell>
          <cell r="AE549">
            <v>0</v>
          </cell>
          <cell r="AH549">
            <v>0</v>
          </cell>
          <cell r="AI549">
            <v>0.33333333333333331</v>
          </cell>
          <cell r="AJ549">
            <v>0.33333333333333331</v>
          </cell>
          <cell r="AK549">
            <v>0.33333333333333331</v>
          </cell>
          <cell r="AL549">
            <v>0.19245008972987526</v>
          </cell>
          <cell r="AM549">
            <v>0.22222222222222221</v>
          </cell>
          <cell r="AN549">
            <v>0.86602540378443871</v>
          </cell>
          <cell r="BQ549">
            <v>3</v>
          </cell>
          <cell r="BR549">
            <v>9</v>
          </cell>
          <cell r="BS549">
            <v>0</v>
          </cell>
          <cell r="BT549">
            <v>3</v>
          </cell>
          <cell r="BU549">
            <v>15</v>
          </cell>
          <cell r="BV549" t="str">
            <v/>
          </cell>
          <cell r="BW549">
            <v>0</v>
          </cell>
          <cell r="BX549">
            <v>0</v>
          </cell>
          <cell r="BY549">
            <v>15</v>
          </cell>
          <cell r="BZ549">
            <v>15</v>
          </cell>
          <cell r="CA549" t="str">
            <v/>
          </cell>
          <cell r="CB549">
            <v>0</v>
          </cell>
          <cell r="CC549">
            <v>0</v>
          </cell>
          <cell r="CD549">
            <v>15</v>
          </cell>
          <cell r="CE549">
            <v>15</v>
          </cell>
          <cell r="CF549" t="str">
            <v/>
          </cell>
          <cell r="CG549">
            <v>0</v>
          </cell>
          <cell r="CH549">
            <v>0</v>
          </cell>
          <cell r="CI549">
            <v>15</v>
          </cell>
          <cell r="CJ549">
            <v>15</v>
          </cell>
          <cell r="CK549" t="str">
            <v/>
          </cell>
          <cell r="CL549">
            <v>0</v>
          </cell>
          <cell r="CM549">
            <v>0</v>
          </cell>
          <cell r="CN549">
            <v>15</v>
          </cell>
          <cell r="CO549">
            <v>14</v>
          </cell>
          <cell r="CP549" t="str">
            <v/>
          </cell>
          <cell r="CQ549">
            <v>0</v>
          </cell>
          <cell r="CR549">
            <v>0</v>
          </cell>
          <cell r="CS549">
            <v>14</v>
          </cell>
          <cell r="CT549">
            <v>13</v>
          </cell>
          <cell r="CU549">
            <v>26</v>
          </cell>
          <cell r="CV549">
            <v>0</v>
          </cell>
          <cell r="CW549">
            <v>0</v>
          </cell>
          <cell r="CX549">
            <v>12.5</v>
          </cell>
          <cell r="CY549">
            <v>13</v>
          </cell>
          <cell r="CZ549">
            <v>39</v>
          </cell>
          <cell r="DA549">
            <v>0</v>
          </cell>
          <cell r="DB549">
            <v>0</v>
          </cell>
          <cell r="DC549">
            <v>12.75</v>
          </cell>
          <cell r="DD549">
            <v>13</v>
          </cell>
          <cell r="DE549">
            <v>48</v>
          </cell>
          <cell r="DF549">
            <v>0</v>
          </cell>
          <cell r="DG549">
            <v>0</v>
          </cell>
          <cell r="DH549">
            <v>12.75</v>
          </cell>
          <cell r="DI549">
            <v>12</v>
          </cell>
          <cell r="DJ549">
            <v>29.5</v>
          </cell>
          <cell r="DK549">
            <v>0</v>
          </cell>
          <cell r="DL549">
            <v>0</v>
          </cell>
          <cell r="DM549">
            <v>12.35</v>
          </cell>
          <cell r="DN549">
            <v>12</v>
          </cell>
          <cell r="DO549">
            <v>35</v>
          </cell>
          <cell r="DP549">
            <v>0</v>
          </cell>
          <cell r="DQ549">
            <v>0</v>
          </cell>
          <cell r="DR549">
            <v>11.666666666666666</v>
          </cell>
          <cell r="DS549">
            <v>11.666666666666666</v>
          </cell>
          <cell r="DT549">
            <v>34</v>
          </cell>
          <cell r="DU549">
            <v>0</v>
          </cell>
          <cell r="DV549">
            <v>0</v>
          </cell>
          <cell r="DW549">
            <v>11.333333333333332</v>
          </cell>
          <cell r="DX549">
            <v>11.333333333333332</v>
          </cell>
          <cell r="DY549">
            <v>33</v>
          </cell>
          <cell r="DZ549">
            <v>0</v>
          </cell>
          <cell r="EA549">
            <v>0</v>
          </cell>
          <cell r="EB549">
            <v>10.999999999999998</v>
          </cell>
          <cell r="EC549">
            <v>10.999999999999998</v>
          </cell>
          <cell r="ED549">
            <v>31.999999999999996</v>
          </cell>
          <cell r="EE549">
            <v>0</v>
          </cell>
          <cell r="EF549">
            <v>0</v>
          </cell>
          <cell r="EG549">
            <v>10.666666666666664</v>
          </cell>
          <cell r="EH549">
            <v>10.666666666666664</v>
          </cell>
          <cell r="EI549">
            <v>30.999999999999993</v>
          </cell>
          <cell r="EJ549">
            <v>0</v>
          </cell>
          <cell r="EK549">
            <v>0</v>
          </cell>
          <cell r="EL549">
            <v>10.33333333333333</v>
          </cell>
          <cell r="EM549">
            <v>10.33333333333333</v>
          </cell>
          <cell r="EN549">
            <v>29.999999999999993</v>
          </cell>
          <cell r="EO549">
            <v>0</v>
          </cell>
          <cell r="EP549">
            <v>0</v>
          </cell>
          <cell r="EQ549">
            <v>9.9999999999999964</v>
          </cell>
          <cell r="ER549">
            <v>9.9999999999999964</v>
          </cell>
          <cell r="ES549">
            <v>28.999999999999989</v>
          </cell>
          <cell r="ET549">
            <v>0</v>
          </cell>
          <cell r="EU549">
            <v>0</v>
          </cell>
          <cell r="EV549">
            <v>9.6666666666666625</v>
          </cell>
          <cell r="EW549">
            <v>9.6666666666666625</v>
          </cell>
          <cell r="EX549">
            <v>27.999999999999989</v>
          </cell>
          <cell r="EY549">
            <v>0</v>
          </cell>
          <cell r="EZ549">
            <v>0</v>
          </cell>
          <cell r="FA549">
            <v>9.3333333333333286</v>
          </cell>
          <cell r="FB549">
            <v>9.3333333333333286</v>
          </cell>
          <cell r="FC549">
            <v>26.999999999999986</v>
          </cell>
          <cell r="FD549">
            <v>0</v>
          </cell>
          <cell r="FE549">
            <v>0</v>
          </cell>
          <cell r="FF549">
            <v>8.9999999999999947</v>
          </cell>
          <cell r="FG549">
            <v>8.9999999999999947</v>
          </cell>
          <cell r="FH549">
            <v>25.999999999999986</v>
          </cell>
          <cell r="FI549">
            <v>0</v>
          </cell>
          <cell r="FJ549">
            <v>0</v>
          </cell>
          <cell r="FK549">
            <v>8.6666666666666607</v>
          </cell>
          <cell r="FL549">
            <v>8.6666666666666607</v>
          </cell>
          <cell r="FM549">
            <v>24.999999999999982</v>
          </cell>
          <cell r="FN549">
            <v>0</v>
          </cell>
          <cell r="FO549">
            <v>0</v>
          </cell>
          <cell r="FP549">
            <v>8.3333333333333268</v>
          </cell>
          <cell r="FQ549">
            <v>8.3333333333333268</v>
          </cell>
          <cell r="FR549">
            <v>23.999999999999982</v>
          </cell>
          <cell r="FS549">
            <v>0</v>
          </cell>
          <cell r="FT549">
            <v>1</v>
          </cell>
          <cell r="FU549">
            <v>1.0333333333333334</v>
          </cell>
          <cell r="FW549" t="str">
            <v>SOBRESTOCK</v>
          </cell>
          <cell r="FX549" t="str">
            <v>C</v>
          </cell>
          <cell r="FY549" t="str">
            <v>Si</v>
          </cell>
        </row>
        <row r="550">
          <cell r="B550" t="str">
            <v>REP-0567</v>
          </cell>
          <cell r="C550" t="str">
            <v>NACIONAL</v>
          </cell>
          <cell r="E550">
            <v>8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5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13</v>
          </cell>
          <cell r="AC550">
            <v>0</v>
          </cell>
          <cell r="AD550">
            <v>0</v>
          </cell>
          <cell r="AE550">
            <v>0</v>
          </cell>
          <cell r="AH550">
            <v>0</v>
          </cell>
          <cell r="AI550">
            <v>0.33333333333333331</v>
          </cell>
          <cell r="AJ550">
            <v>0.33333333333333331</v>
          </cell>
          <cell r="AK550">
            <v>0.33333333333333331</v>
          </cell>
          <cell r="AL550">
            <v>0.19245008972987526</v>
          </cell>
          <cell r="AM550">
            <v>0.22222222222222221</v>
          </cell>
          <cell r="AN550">
            <v>0.86602540378443871</v>
          </cell>
          <cell r="BQ550">
            <v>4</v>
          </cell>
          <cell r="BR550">
            <v>12</v>
          </cell>
          <cell r="BS550">
            <v>0</v>
          </cell>
          <cell r="BT550">
            <v>3</v>
          </cell>
          <cell r="BU550">
            <v>15</v>
          </cell>
          <cell r="BV550" t="str">
            <v/>
          </cell>
          <cell r="BW550">
            <v>1</v>
          </cell>
          <cell r="BX550">
            <v>0</v>
          </cell>
          <cell r="BY550">
            <v>15</v>
          </cell>
          <cell r="BZ550">
            <v>15</v>
          </cell>
          <cell r="CA550" t="str">
            <v/>
          </cell>
          <cell r="CB550">
            <v>1</v>
          </cell>
          <cell r="CC550">
            <v>0</v>
          </cell>
          <cell r="CD550">
            <v>15</v>
          </cell>
          <cell r="CE550">
            <v>15</v>
          </cell>
          <cell r="CF550" t="str">
            <v/>
          </cell>
          <cell r="CG550">
            <v>0</v>
          </cell>
          <cell r="CH550">
            <v>0</v>
          </cell>
          <cell r="CI550">
            <v>15</v>
          </cell>
          <cell r="CJ550">
            <v>15</v>
          </cell>
          <cell r="CK550" t="str">
            <v/>
          </cell>
          <cell r="CL550">
            <v>0</v>
          </cell>
          <cell r="CM550">
            <v>0</v>
          </cell>
          <cell r="CN550">
            <v>15</v>
          </cell>
          <cell r="CO550">
            <v>15</v>
          </cell>
          <cell r="CP550" t="str">
            <v/>
          </cell>
          <cell r="CQ550">
            <v>0</v>
          </cell>
          <cell r="CR550">
            <v>0</v>
          </cell>
          <cell r="CS550">
            <v>15</v>
          </cell>
          <cell r="CT550">
            <v>13</v>
          </cell>
          <cell r="CU550">
            <v>13</v>
          </cell>
          <cell r="CV550">
            <v>0</v>
          </cell>
          <cell r="CW550">
            <v>0</v>
          </cell>
          <cell r="CX550">
            <v>12</v>
          </cell>
          <cell r="CY550">
            <v>13</v>
          </cell>
          <cell r="CZ550">
            <v>19.5</v>
          </cell>
          <cell r="DA550">
            <v>0</v>
          </cell>
          <cell r="DB550">
            <v>0</v>
          </cell>
          <cell r="DC550">
            <v>12.5</v>
          </cell>
          <cell r="DD550">
            <v>13</v>
          </cell>
          <cell r="DE550">
            <v>24</v>
          </cell>
          <cell r="DF550">
            <v>0</v>
          </cell>
          <cell r="DG550">
            <v>0</v>
          </cell>
          <cell r="DH550">
            <v>12.5</v>
          </cell>
          <cell r="DI550">
            <v>13</v>
          </cell>
          <cell r="DJ550">
            <v>32</v>
          </cell>
          <cell r="DK550">
            <v>0</v>
          </cell>
          <cell r="DL550">
            <v>0</v>
          </cell>
          <cell r="DM550">
            <v>12.1</v>
          </cell>
          <cell r="DN550">
            <v>13</v>
          </cell>
          <cell r="DO550">
            <v>38</v>
          </cell>
          <cell r="DP550">
            <v>0</v>
          </cell>
          <cell r="DQ550">
            <v>0</v>
          </cell>
          <cell r="DR550">
            <v>12.666666666666666</v>
          </cell>
          <cell r="DS550">
            <v>12.666666666666666</v>
          </cell>
          <cell r="DT550">
            <v>37</v>
          </cell>
          <cell r="DU550">
            <v>0</v>
          </cell>
          <cell r="DV550">
            <v>0</v>
          </cell>
          <cell r="DW550">
            <v>12.333333333333332</v>
          </cell>
          <cell r="DX550">
            <v>12.333333333333332</v>
          </cell>
          <cell r="DY550">
            <v>36</v>
          </cell>
          <cell r="DZ550">
            <v>0</v>
          </cell>
          <cell r="EA550">
            <v>0</v>
          </cell>
          <cell r="EB550">
            <v>11.999999999999998</v>
          </cell>
          <cell r="EC550">
            <v>11.999999999999998</v>
          </cell>
          <cell r="ED550">
            <v>35</v>
          </cell>
          <cell r="EE550">
            <v>0</v>
          </cell>
          <cell r="EF550">
            <v>0</v>
          </cell>
          <cell r="EG550">
            <v>11.666666666666664</v>
          </cell>
          <cell r="EH550">
            <v>11.666666666666664</v>
          </cell>
          <cell r="EI550">
            <v>33.999999999999993</v>
          </cell>
          <cell r="EJ550">
            <v>0</v>
          </cell>
          <cell r="EK550">
            <v>0</v>
          </cell>
          <cell r="EL550">
            <v>11.33333333333333</v>
          </cell>
          <cell r="EM550">
            <v>11.33333333333333</v>
          </cell>
          <cell r="EN550">
            <v>32.999999999999993</v>
          </cell>
          <cell r="EO550">
            <v>0</v>
          </cell>
          <cell r="EP550">
            <v>0</v>
          </cell>
          <cell r="EQ550">
            <v>10.999999999999996</v>
          </cell>
          <cell r="ER550">
            <v>10.999999999999996</v>
          </cell>
          <cell r="ES550">
            <v>31.999999999999989</v>
          </cell>
          <cell r="ET550">
            <v>0</v>
          </cell>
          <cell r="EU550">
            <v>0</v>
          </cell>
          <cell r="EV550">
            <v>10.666666666666663</v>
          </cell>
          <cell r="EW550">
            <v>10.666666666666663</v>
          </cell>
          <cell r="EX550">
            <v>30.999999999999989</v>
          </cell>
          <cell r="EY550">
            <v>0</v>
          </cell>
          <cell r="EZ550">
            <v>0</v>
          </cell>
          <cell r="FA550">
            <v>10.333333333333329</v>
          </cell>
          <cell r="FB550">
            <v>10.333333333333329</v>
          </cell>
          <cell r="FC550">
            <v>29.999999999999986</v>
          </cell>
          <cell r="FD550">
            <v>0</v>
          </cell>
          <cell r="FE550">
            <v>0</v>
          </cell>
          <cell r="FF550">
            <v>9.9999999999999947</v>
          </cell>
          <cell r="FG550">
            <v>9.9999999999999947</v>
          </cell>
          <cell r="FH550">
            <v>28.999999999999986</v>
          </cell>
          <cell r="FI550">
            <v>0</v>
          </cell>
          <cell r="FJ550">
            <v>0</v>
          </cell>
          <cell r="FK550">
            <v>9.6666666666666607</v>
          </cell>
          <cell r="FL550">
            <v>9.6666666666666607</v>
          </cell>
          <cell r="FM550">
            <v>27.999999999999982</v>
          </cell>
          <cell r="FN550">
            <v>0</v>
          </cell>
          <cell r="FO550">
            <v>0</v>
          </cell>
          <cell r="FP550">
            <v>9.3333333333333268</v>
          </cell>
          <cell r="FQ550">
            <v>9.3333333333333268</v>
          </cell>
          <cell r="FR550">
            <v>26.999999999999982</v>
          </cell>
          <cell r="FS550">
            <v>0</v>
          </cell>
          <cell r="FT550">
            <v>1</v>
          </cell>
          <cell r="FU550">
            <v>1.0333333333333334</v>
          </cell>
          <cell r="FW550" t="str">
            <v>STOCK OK</v>
          </cell>
          <cell r="FX550" t="str">
            <v>C</v>
          </cell>
          <cell r="FY550" t="str">
            <v>Si</v>
          </cell>
        </row>
        <row r="551">
          <cell r="B551" t="str">
            <v>REP-0568</v>
          </cell>
          <cell r="C551" t="str">
            <v>NACIONAL</v>
          </cell>
          <cell r="E551">
            <v>1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1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2</v>
          </cell>
          <cell r="AC551">
            <v>0</v>
          </cell>
          <cell r="AD551">
            <v>0</v>
          </cell>
          <cell r="AE551">
            <v>0</v>
          </cell>
          <cell r="AH551">
            <v>0.33333333333333331</v>
          </cell>
          <cell r="AI551">
            <v>1.3333333333333333</v>
          </cell>
          <cell r="AJ551">
            <v>1.3333333333333333</v>
          </cell>
          <cell r="AK551">
            <v>1.3333333333333333</v>
          </cell>
          <cell r="AL551">
            <v>0.57735026918962573</v>
          </cell>
          <cell r="AM551">
            <v>1</v>
          </cell>
          <cell r="AN551">
            <v>0.57735026918962573</v>
          </cell>
          <cell r="BQ551">
            <v>5</v>
          </cell>
          <cell r="BR551">
            <v>3.75</v>
          </cell>
          <cell r="BS551">
            <v>0</v>
          </cell>
          <cell r="BT551">
            <v>3</v>
          </cell>
          <cell r="CJ551">
            <v>11</v>
          </cell>
          <cell r="CK551">
            <v>8.25</v>
          </cell>
          <cell r="CL551">
            <v>0</v>
          </cell>
          <cell r="CM551">
            <v>0</v>
          </cell>
          <cell r="CN551">
            <v>9.6666666666666661</v>
          </cell>
          <cell r="CO551">
            <v>7</v>
          </cell>
          <cell r="CP551">
            <v>1.75</v>
          </cell>
          <cell r="CQ551">
            <v>0</v>
          </cell>
          <cell r="CR551">
            <v>0</v>
          </cell>
          <cell r="CS551">
            <v>3</v>
          </cell>
          <cell r="CT551">
            <v>6</v>
          </cell>
          <cell r="CU551">
            <v>2.4</v>
          </cell>
          <cell r="CV551">
            <v>0</v>
          </cell>
          <cell r="CW551">
            <v>3</v>
          </cell>
          <cell r="CX551">
            <v>6.5</v>
          </cell>
          <cell r="CY551">
            <v>6</v>
          </cell>
          <cell r="CZ551">
            <v>3.5999999999999996</v>
          </cell>
          <cell r="DA551">
            <v>0</v>
          </cell>
          <cell r="DB551">
            <v>0</v>
          </cell>
          <cell r="DC551">
            <v>4.166666666666667</v>
          </cell>
          <cell r="DD551">
            <v>4</v>
          </cell>
          <cell r="DE551">
            <v>1.0909090909090911</v>
          </cell>
          <cell r="DF551">
            <v>0</v>
          </cell>
          <cell r="DG551">
            <v>0</v>
          </cell>
          <cell r="DH551">
            <v>2.166666666666667</v>
          </cell>
          <cell r="DI551">
            <v>4</v>
          </cell>
          <cell r="DJ551">
            <v>3.2</v>
          </cell>
          <cell r="DK551">
            <v>0</v>
          </cell>
          <cell r="DL551">
            <v>0</v>
          </cell>
          <cell r="DM551">
            <v>0.50000000000000022</v>
          </cell>
          <cell r="DN551">
            <v>2</v>
          </cell>
          <cell r="DO551">
            <v>2</v>
          </cell>
          <cell r="DP551">
            <v>0</v>
          </cell>
          <cell r="DQ551">
            <v>0</v>
          </cell>
          <cell r="DR551">
            <v>0.66666666666666674</v>
          </cell>
          <cell r="DS551">
            <v>0.66666666666666674</v>
          </cell>
          <cell r="DT551">
            <v>1</v>
          </cell>
          <cell r="DU551">
            <v>1.3333333333333333</v>
          </cell>
          <cell r="DV551">
            <v>0</v>
          </cell>
          <cell r="DW551">
            <v>-0.66666666666666652</v>
          </cell>
          <cell r="DX551">
            <v>-0.66666666666666652</v>
          </cell>
          <cell r="DY551">
            <v>0</v>
          </cell>
          <cell r="DZ551">
            <v>2.6666666666666665</v>
          </cell>
          <cell r="EA551">
            <v>0</v>
          </cell>
          <cell r="EB551">
            <v>-1.9999999999999998</v>
          </cell>
          <cell r="EC551">
            <v>-1.9999999999999998</v>
          </cell>
          <cell r="ED551">
            <v>-1</v>
          </cell>
          <cell r="EE551">
            <v>4</v>
          </cell>
          <cell r="EF551">
            <v>0</v>
          </cell>
          <cell r="EG551">
            <v>-3.333333333333333</v>
          </cell>
          <cell r="EH551">
            <v>-3.333333333333333</v>
          </cell>
          <cell r="EI551">
            <v>-2</v>
          </cell>
          <cell r="EJ551">
            <v>5.333333333333333</v>
          </cell>
          <cell r="EK551">
            <v>0</v>
          </cell>
          <cell r="EL551">
            <v>-4.6666666666666661</v>
          </cell>
          <cell r="EM551">
            <v>-4.6666666666666661</v>
          </cell>
          <cell r="EN551">
            <v>-3</v>
          </cell>
          <cell r="EO551">
            <v>6.6666666666666661</v>
          </cell>
          <cell r="EP551">
            <v>0</v>
          </cell>
          <cell r="EQ551">
            <v>-5.9999999999999991</v>
          </cell>
          <cell r="ER551">
            <v>-5.9999999999999991</v>
          </cell>
          <cell r="ES551">
            <v>-4</v>
          </cell>
          <cell r="ET551">
            <v>7.9999999999999991</v>
          </cell>
          <cell r="EU551">
            <v>0</v>
          </cell>
          <cell r="EV551">
            <v>-7.3333333333333321</v>
          </cell>
          <cell r="EW551">
            <v>-7.3333333333333321</v>
          </cell>
          <cell r="EX551">
            <v>-4.9999999999999991</v>
          </cell>
          <cell r="EY551">
            <v>9.3333333333333321</v>
          </cell>
          <cell r="EZ551">
            <v>0</v>
          </cell>
          <cell r="FA551">
            <v>-8.6666666666666661</v>
          </cell>
          <cell r="FB551">
            <v>-8.6666666666666661</v>
          </cell>
          <cell r="FC551">
            <v>-6</v>
          </cell>
          <cell r="FD551">
            <v>10.666666666666666</v>
          </cell>
          <cell r="FE551">
            <v>0</v>
          </cell>
          <cell r="FF551">
            <v>-10</v>
          </cell>
          <cell r="FG551">
            <v>-10</v>
          </cell>
          <cell r="FH551">
            <v>-7</v>
          </cell>
          <cell r="FI551">
            <v>12</v>
          </cell>
          <cell r="FJ551">
            <v>0</v>
          </cell>
          <cell r="FK551">
            <v>-11.333333333333334</v>
          </cell>
          <cell r="FL551">
            <v>-11.333333333333334</v>
          </cell>
          <cell r="FM551">
            <v>-8.0000000000000018</v>
          </cell>
          <cell r="FN551">
            <v>13.333333333333334</v>
          </cell>
          <cell r="FO551">
            <v>0</v>
          </cell>
          <cell r="FP551">
            <v>-12.666666666666668</v>
          </cell>
          <cell r="FQ551">
            <v>-12.666666666666668</v>
          </cell>
          <cell r="FR551">
            <v>-9.0000000000000018</v>
          </cell>
          <cell r="FS551">
            <v>14.666666666666668</v>
          </cell>
          <cell r="FT551">
            <v>2</v>
          </cell>
          <cell r="FU551">
            <v>1</v>
          </cell>
          <cell r="FW551" t="str">
            <v>STOCK OK</v>
          </cell>
          <cell r="FX551" t="str">
            <v>C</v>
          </cell>
          <cell r="FY551" t="str">
            <v>Si</v>
          </cell>
        </row>
        <row r="552">
          <cell r="B552" t="str">
            <v>REP-0569</v>
          </cell>
          <cell r="C552" t="str">
            <v>NACIONAL</v>
          </cell>
          <cell r="E552">
            <v>3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3</v>
          </cell>
          <cell r="AC552">
            <v>0</v>
          </cell>
          <cell r="AD552">
            <v>0</v>
          </cell>
          <cell r="AE552">
            <v>0</v>
          </cell>
          <cell r="AH552">
            <v>8.3333333333333329E-2</v>
          </cell>
          <cell r="AI552">
            <v>0.83333333333333337</v>
          </cell>
          <cell r="AJ552">
            <v>0.83333333333333337</v>
          </cell>
          <cell r="AK552">
            <v>0.83333333333333337</v>
          </cell>
          <cell r="AL552">
            <v>0.43301270189221946</v>
          </cell>
          <cell r="AM552">
            <v>0.58333333333333337</v>
          </cell>
          <cell r="AN552">
            <v>0.74230748895809051</v>
          </cell>
          <cell r="BQ552">
            <v>6</v>
          </cell>
          <cell r="BR552">
            <v>7.1999999999999993</v>
          </cell>
          <cell r="BS552">
            <v>0</v>
          </cell>
          <cell r="BT552">
            <v>3</v>
          </cell>
          <cell r="CJ552">
            <v>4</v>
          </cell>
          <cell r="CK552">
            <v>8</v>
          </cell>
          <cell r="CL552">
            <v>0</v>
          </cell>
          <cell r="CM552">
            <v>0</v>
          </cell>
          <cell r="CN552">
            <v>3.5</v>
          </cell>
          <cell r="CO552">
            <v>3</v>
          </cell>
          <cell r="CP552">
            <v>3</v>
          </cell>
          <cell r="CQ552">
            <v>0</v>
          </cell>
          <cell r="CR552">
            <v>0</v>
          </cell>
          <cell r="CS552">
            <v>2</v>
          </cell>
          <cell r="CT552">
            <v>3</v>
          </cell>
          <cell r="CU552">
            <v>6</v>
          </cell>
          <cell r="CV552">
            <v>0</v>
          </cell>
          <cell r="CW552">
            <v>0</v>
          </cell>
          <cell r="CX552">
            <v>2.5</v>
          </cell>
          <cell r="CY552">
            <v>2</v>
          </cell>
          <cell r="CZ552">
            <v>3</v>
          </cell>
          <cell r="DA552">
            <v>0</v>
          </cell>
          <cell r="DB552">
            <v>0</v>
          </cell>
          <cell r="DC552">
            <v>1.25</v>
          </cell>
          <cell r="DD552">
            <v>0</v>
          </cell>
          <cell r="DE552">
            <v>-1</v>
          </cell>
          <cell r="DF552">
            <v>-0.25</v>
          </cell>
          <cell r="DG552">
            <v>0</v>
          </cell>
          <cell r="DH552">
            <v>-1</v>
          </cell>
          <cell r="DI552">
            <v>4</v>
          </cell>
          <cell r="DJ552">
            <v>5.6</v>
          </cell>
          <cell r="DK552">
            <v>0</v>
          </cell>
          <cell r="DL552">
            <v>0</v>
          </cell>
          <cell r="DM552">
            <v>-1.8333333333333335</v>
          </cell>
          <cell r="DN552">
            <v>3</v>
          </cell>
          <cell r="DO552">
            <v>4.4000000000000004</v>
          </cell>
          <cell r="DP552">
            <v>0</v>
          </cell>
          <cell r="DQ552">
            <v>0</v>
          </cell>
          <cell r="DR552">
            <v>2.1666666666666665</v>
          </cell>
          <cell r="DS552">
            <v>2.1666666666666665</v>
          </cell>
          <cell r="DT552">
            <v>3.3999999999999995</v>
          </cell>
          <cell r="DU552">
            <v>0</v>
          </cell>
          <cell r="DV552">
            <v>0</v>
          </cell>
          <cell r="DW552">
            <v>1.333333333333333</v>
          </cell>
          <cell r="DX552">
            <v>1.333333333333333</v>
          </cell>
          <cell r="DY552">
            <v>2.3999999999999995</v>
          </cell>
          <cell r="DZ552">
            <v>0</v>
          </cell>
          <cell r="EA552">
            <v>0</v>
          </cell>
          <cell r="EB552">
            <v>0.49999999999999967</v>
          </cell>
          <cell r="EC552">
            <v>0.49999999999999967</v>
          </cell>
          <cell r="ED552">
            <v>1.3999999999999995</v>
          </cell>
          <cell r="EE552">
            <v>0.50000000000000033</v>
          </cell>
          <cell r="EF552">
            <v>0</v>
          </cell>
          <cell r="EG552">
            <v>-0.3333333333333337</v>
          </cell>
          <cell r="EH552">
            <v>-0.3333333333333337</v>
          </cell>
          <cell r="EI552">
            <v>0.39999999999999969</v>
          </cell>
          <cell r="EJ552">
            <v>1.3333333333333337</v>
          </cell>
          <cell r="EK552">
            <v>0</v>
          </cell>
          <cell r="EL552">
            <v>-1.166666666666667</v>
          </cell>
          <cell r="EM552">
            <v>-1.166666666666667</v>
          </cell>
          <cell r="EN552">
            <v>-0.60000000000000009</v>
          </cell>
          <cell r="EO552">
            <v>2.166666666666667</v>
          </cell>
          <cell r="EP552">
            <v>0</v>
          </cell>
          <cell r="EQ552">
            <v>-2.0000000000000004</v>
          </cell>
          <cell r="ER552">
            <v>-2.0000000000000004</v>
          </cell>
          <cell r="ES552">
            <v>-1.6000000000000005</v>
          </cell>
          <cell r="ET552">
            <v>3.0000000000000004</v>
          </cell>
          <cell r="EU552">
            <v>0</v>
          </cell>
          <cell r="EV552">
            <v>-2.8333333333333339</v>
          </cell>
          <cell r="EW552">
            <v>-2.8333333333333339</v>
          </cell>
          <cell r="EX552">
            <v>-2.6000000000000005</v>
          </cell>
          <cell r="EY552">
            <v>3.8333333333333339</v>
          </cell>
          <cell r="EZ552">
            <v>0</v>
          </cell>
          <cell r="FA552">
            <v>-3.6666666666666674</v>
          </cell>
          <cell r="FB552">
            <v>-3.6666666666666674</v>
          </cell>
          <cell r="FC552">
            <v>-3.6000000000000014</v>
          </cell>
          <cell r="FD552">
            <v>4.6666666666666679</v>
          </cell>
          <cell r="FE552">
            <v>0</v>
          </cell>
          <cell r="FF552">
            <v>-4.5000000000000009</v>
          </cell>
          <cell r="FG552">
            <v>-4.5000000000000009</v>
          </cell>
          <cell r="FH552">
            <v>-4.6000000000000005</v>
          </cell>
          <cell r="FI552">
            <v>5.5000000000000009</v>
          </cell>
          <cell r="FJ552">
            <v>0</v>
          </cell>
          <cell r="FK552">
            <v>-5.3333333333333339</v>
          </cell>
          <cell r="FL552">
            <v>-5.3333333333333339</v>
          </cell>
          <cell r="FM552">
            <v>-5.6000000000000005</v>
          </cell>
          <cell r="FN552">
            <v>6.3333333333333339</v>
          </cell>
          <cell r="FO552">
            <v>0</v>
          </cell>
          <cell r="FP552">
            <v>-6.166666666666667</v>
          </cell>
          <cell r="FQ552">
            <v>-6.166666666666667</v>
          </cell>
          <cell r="FR552">
            <v>-6.6</v>
          </cell>
          <cell r="FS552">
            <v>7.166666666666667</v>
          </cell>
          <cell r="FT552">
            <v>1</v>
          </cell>
          <cell r="FU552">
            <v>1</v>
          </cell>
          <cell r="FW552" t="str">
            <v>STOCK OK</v>
          </cell>
          <cell r="FX552" t="str">
            <v>C</v>
          </cell>
          <cell r="FY552" t="str">
            <v>Si</v>
          </cell>
        </row>
        <row r="553">
          <cell r="B553" t="str">
            <v>REP-0570</v>
          </cell>
          <cell r="C553" t="str">
            <v>NACIONAL</v>
          </cell>
          <cell r="E553">
            <v>1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1</v>
          </cell>
          <cell r="AC553">
            <v>0</v>
          </cell>
          <cell r="AD553">
            <v>0</v>
          </cell>
          <cell r="AE553">
            <v>0</v>
          </cell>
          <cell r="AI553">
            <v>1.5</v>
          </cell>
          <cell r="AJ553">
            <v>1.5</v>
          </cell>
          <cell r="AK553">
            <v>1.5</v>
          </cell>
          <cell r="AL553">
            <v>0</v>
          </cell>
          <cell r="AM553">
            <v>1.5</v>
          </cell>
          <cell r="AN553">
            <v>0</v>
          </cell>
          <cell r="BQ553">
            <v>7</v>
          </cell>
          <cell r="BR553">
            <v>4.666666666666667</v>
          </cell>
          <cell r="BS553">
            <v>0</v>
          </cell>
          <cell r="BT553">
            <v>3</v>
          </cell>
          <cell r="CJ553">
            <v>2</v>
          </cell>
          <cell r="CK553" t="str">
            <v/>
          </cell>
          <cell r="CL553">
            <v>0</v>
          </cell>
          <cell r="CM553">
            <v>0</v>
          </cell>
          <cell r="CN553">
            <v>2</v>
          </cell>
          <cell r="CO553">
            <v>2</v>
          </cell>
          <cell r="CP553" t="str">
            <v/>
          </cell>
          <cell r="CQ553">
            <v>0</v>
          </cell>
          <cell r="CR553">
            <v>0</v>
          </cell>
          <cell r="CS553">
            <v>2</v>
          </cell>
          <cell r="CT553">
            <v>0</v>
          </cell>
          <cell r="CU553">
            <v>0</v>
          </cell>
          <cell r="CV553">
            <v>2</v>
          </cell>
          <cell r="CW553">
            <v>6</v>
          </cell>
          <cell r="CX553">
            <v>4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-1</v>
          </cell>
          <cell r="DD553">
            <v>4</v>
          </cell>
          <cell r="DE553">
            <v>1.3333333333333333</v>
          </cell>
          <cell r="DF553">
            <v>0</v>
          </cell>
          <cell r="DG553">
            <v>0</v>
          </cell>
          <cell r="DH553">
            <v>2.5</v>
          </cell>
          <cell r="DI553">
            <v>4</v>
          </cell>
          <cell r="DJ553">
            <v>3.666666666666667</v>
          </cell>
          <cell r="DK553">
            <v>0</v>
          </cell>
          <cell r="DL553">
            <v>0</v>
          </cell>
          <cell r="DM553">
            <v>1.3</v>
          </cell>
          <cell r="DN553">
            <v>1</v>
          </cell>
          <cell r="DO553">
            <v>1.3333333333333335</v>
          </cell>
          <cell r="DP553">
            <v>1</v>
          </cell>
          <cell r="DQ553">
            <v>0</v>
          </cell>
          <cell r="DR553">
            <v>-0.5</v>
          </cell>
          <cell r="DS553">
            <v>-0.5</v>
          </cell>
          <cell r="DT553">
            <v>0.33333333333333326</v>
          </cell>
          <cell r="DU553">
            <v>2.5</v>
          </cell>
          <cell r="DV553">
            <v>0</v>
          </cell>
          <cell r="DW553">
            <v>-2</v>
          </cell>
          <cell r="DX553">
            <v>-2</v>
          </cell>
          <cell r="DY553">
            <v>-0.66666666666666652</v>
          </cell>
          <cell r="DZ553">
            <v>4</v>
          </cell>
          <cell r="EA553">
            <v>0</v>
          </cell>
          <cell r="EB553">
            <v>-3.5</v>
          </cell>
          <cell r="EC553">
            <v>-3.5</v>
          </cell>
          <cell r="ED553">
            <v>-1.6666666666666665</v>
          </cell>
          <cell r="EE553">
            <v>5.5</v>
          </cell>
          <cell r="EF553">
            <v>0</v>
          </cell>
          <cell r="EG553">
            <v>-5</v>
          </cell>
          <cell r="EH553">
            <v>-5</v>
          </cell>
          <cell r="EI553">
            <v>-2.666666666666667</v>
          </cell>
          <cell r="EJ553">
            <v>7</v>
          </cell>
          <cell r="EK553">
            <v>0</v>
          </cell>
          <cell r="EL553">
            <v>-6.5</v>
          </cell>
          <cell r="EM553">
            <v>-6.5</v>
          </cell>
          <cell r="EN553">
            <v>-3.666666666666667</v>
          </cell>
          <cell r="EO553">
            <v>8.5</v>
          </cell>
          <cell r="EP553">
            <v>0</v>
          </cell>
          <cell r="EQ553">
            <v>-8</v>
          </cell>
          <cell r="ER553">
            <v>-8</v>
          </cell>
          <cell r="ES553">
            <v>-4.666666666666667</v>
          </cell>
          <cell r="ET553">
            <v>10</v>
          </cell>
          <cell r="EU553">
            <v>0</v>
          </cell>
          <cell r="EV553">
            <v>-9.5</v>
          </cell>
          <cell r="EW553">
            <v>-9.5</v>
          </cell>
          <cell r="EX553">
            <v>-5.666666666666667</v>
          </cell>
          <cell r="EY553">
            <v>11.5</v>
          </cell>
          <cell r="EZ553">
            <v>0</v>
          </cell>
          <cell r="FA553">
            <v>-11</v>
          </cell>
          <cell r="FB553">
            <v>-11</v>
          </cell>
          <cell r="FC553">
            <v>-6.6666666666666661</v>
          </cell>
          <cell r="FD553">
            <v>13</v>
          </cell>
          <cell r="FE553">
            <v>0</v>
          </cell>
          <cell r="FF553">
            <v>-12.5</v>
          </cell>
          <cell r="FG553">
            <v>-12.5</v>
          </cell>
          <cell r="FH553">
            <v>-7.6666666666666661</v>
          </cell>
          <cell r="FI553">
            <v>14.5</v>
          </cell>
          <cell r="FJ553">
            <v>0</v>
          </cell>
          <cell r="FK553">
            <v>-14</v>
          </cell>
          <cell r="FL553">
            <v>-14</v>
          </cell>
          <cell r="FM553">
            <v>-8.6666666666666661</v>
          </cell>
          <cell r="FN553">
            <v>16</v>
          </cell>
          <cell r="FO553">
            <v>0</v>
          </cell>
          <cell r="FP553">
            <v>-15.5</v>
          </cell>
          <cell r="FQ553">
            <v>-15.5</v>
          </cell>
          <cell r="FR553">
            <v>-9.6666666666666661</v>
          </cell>
          <cell r="FS553">
            <v>17.5</v>
          </cell>
          <cell r="FT553">
            <v>2</v>
          </cell>
          <cell r="FU553">
            <v>1</v>
          </cell>
          <cell r="FW553" t="str">
            <v>STOCK OK</v>
          </cell>
          <cell r="FX553" t="str">
            <v>C</v>
          </cell>
          <cell r="FY553" t="str">
            <v>Si</v>
          </cell>
        </row>
        <row r="554">
          <cell r="B554" t="str">
            <v>REP-0571</v>
          </cell>
          <cell r="C554" t="str">
            <v>MIX</v>
          </cell>
          <cell r="E554">
            <v>1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1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BQ554">
            <v>8</v>
          </cell>
          <cell r="BR554" t="str">
            <v/>
          </cell>
          <cell r="BS554">
            <v>0</v>
          </cell>
          <cell r="BT554">
            <v>3</v>
          </cell>
          <cell r="CJ554">
            <v>0</v>
          </cell>
          <cell r="CK554" t="str">
            <v/>
          </cell>
          <cell r="CL554">
            <v>0</v>
          </cell>
          <cell r="CM554">
            <v>0</v>
          </cell>
          <cell r="CN554">
            <v>0</v>
          </cell>
          <cell r="CO554">
            <v>1</v>
          </cell>
          <cell r="CP554" t="str">
            <v/>
          </cell>
          <cell r="CQ554">
            <v>0</v>
          </cell>
          <cell r="CR554">
            <v>0</v>
          </cell>
          <cell r="CS554">
            <v>1</v>
          </cell>
          <cell r="CT554">
            <v>1</v>
          </cell>
          <cell r="CU554" t="str">
            <v/>
          </cell>
          <cell r="CV554">
            <v>0</v>
          </cell>
          <cell r="CW554">
            <v>0</v>
          </cell>
          <cell r="CX554">
            <v>1</v>
          </cell>
          <cell r="CY554">
            <v>1</v>
          </cell>
          <cell r="CZ554" t="str">
            <v/>
          </cell>
          <cell r="DA554">
            <v>0</v>
          </cell>
          <cell r="DB554">
            <v>0</v>
          </cell>
          <cell r="DC554">
            <v>1</v>
          </cell>
          <cell r="DD554">
            <v>1</v>
          </cell>
          <cell r="DE554" t="str">
            <v/>
          </cell>
          <cell r="DF554">
            <v>0</v>
          </cell>
          <cell r="DG554">
            <v>0</v>
          </cell>
          <cell r="DH554">
            <v>1</v>
          </cell>
          <cell r="DI554">
            <v>1</v>
          </cell>
          <cell r="DJ554" t="str">
            <v/>
          </cell>
          <cell r="DK554">
            <v>0</v>
          </cell>
          <cell r="DL554">
            <v>0</v>
          </cell>
          <cell r="DM554">
            <v>1</v>
          </cell>
          <cell r="DN554">
            <v>1</v>
          </cell>
          <cell r="DO554" t="str">
            <v/>
          </cell>
          <cell r="DP554">
            <v>0</v>
          </cell>
          <cell r="DQ554">
            <v>0</v>
          </cell>
          <cell r="DR554">
            <v>1</v>
          </cell>
          <cell r="DS554">
            <v>1</v>
          </cell>
          <cell r="DT554" t="str">
            <v/>
          </cell>
          <cell r="DU554">
            <v>0</v>
          </cell>
          <cell r="DV554">
            <v>0</v>
          </cell>
          <cell r="DW554">
            <v>1</v>
          </cell>
          <cell r="DX554">
            <v>1</v>
          </cell>
          <cell r="DY554" t="str">
            <v/>
          </cell>
          <cell r="DZ554">
            <v>0</v>
          </cell>
          <cell r="EA554">
            <v>0</v>
          </cell>
          <cell r="EB554">
            <v>1</v>
          </cell>
          <cell r="EC554">
            <v>1</v>
          </cell>
          <cell r="ED554" t="str">
            <v/>
          </cell>
          <cell r="EE554">
            <v>0</v>
          </cell>
          <cell r="EF554">
            <v>0</v>
          </cell>
          <cell r="EG554">
            <v>1</v>
          </cell>
          <cell r="EH554">
            <v>1</v>
          </cell>
          <cell r="EI554" t="str">
            <v/>
          </cell>
          <cell r="EJ554">
            <v>0</v>
          </cell>
          <cell r="EK554">
            <v>0</v>
          </cell>
          <cell r="EL554">
            <v>1</v>
          </cell>
          <cell r="EM554">
            <v>1</v>
          </cell>
          <cell r="EN554" t="str">
            <v/>
          </cell>
          <cell r="EO554">
            <v>0</v>
          </cell>
          <cell r="EP554">
            <v>0</v>
          </cell>
          <cell r="EQ554">
            <v>1</v>
          </cell>
          <cell r="ER554">
            <v>1</v>
          </cell>
          <cell r="ES554" t="str">
            <v/>
          </cell>
          <cell r="ET554">
            <v>0</v>
          </cell>
          <cell r="EU554">
            <v>0</v>
          </cell>
          <cell r="EV554">
            <v>1</v>
          </cell>
          <cell r="EW554">
            <v>1</v>
          </cell>
          <cell r="EX554" t="str">
            <v/>
          </cell>
          <cell r="EY554">
            <v>0</v>
          </cell>
          <cell r="EZ554">
            <v>0</v>
          </cell>
          <cell r="FA554">
            <v>1</v>
          </cell>
          <cell r="FB554">
            <v>1</v>
          </cell>
          <cell r="FC554" t="str">
            <v/>
          </cell>
          <cell r="FD554">
            <v>0</v>
          </cell>
          <cell r="FE554">
            <v>0</v>
          </cell>
          <cell r="FF554">
            <v>1</v>
          </cell>
          <cell r="FG554">
            <v>1</v>
          </cell>
          <cell r="FH554" t="str">
            <v/>
          </cell>
          <cell r="FI554">
            <v>0</v>
          </cell>
          <cell r="FJ554">
            <v>0</v>
          </cell>
          <cell r="FK554">
            <v>1</v>
          </cell>
          <cell r="FL554">
            <v>1</v>
          </cell>
          <cell r="FM554" t="str">
            <v/>
          </cell>
          <cell r="FN554">
            <v>0</v>
          </cell>
          <cell r="FO554">
            <v>0</v>
          </cell>
          <cell r="FP554">
            <v>1</v>
          </cell>
          <cell r="FQ554">
            <v>1</v>
          </cell>
          <cell r="FR554" t="str">
            <v/>
          </cell>
          <cell r="FS554">
            <v>0</v>
          </cell>
          <cell r="FT554">
            <v>0</v>
          </cell>
          <cell r="FU554">
            <v>2.0333333333333332</v>
          </cell>
          <cell r="FW554" t="str">
            <v>STOCK OK</v>
          </cell>
          <cell r="FX554" t="str">
            <v>NUEVO</v>
          </cell>
          <cell r="FY554" t="str">
            <v>Si</v>
          </cell>
        </row>
        <row r="555">
          <cell r="B555" t="str">
            <v>REP-0572</v>
          </cell>
          <cell r="C555" t="str">
            <v>MIX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1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1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BQ555">
            <v>9</v>
          </cell>
          <cell r="BR555" t="str">
            <v/>
          </cell>
          <cell r="BS555">
            <v>0</v>
          </cell>
          <cell r="BT555">
            <v>3</v>
          </cell>
          <cell r="CJ555">
            <v>0</v>
          </cell>
          <cell r="CK555" t="str">
            <v/>
          </cell>
          <cell r="CL555">
            <v>0</v>
          </cell>
          <cell r="CM555">
            <v>0</v>
          </cell>
          <cell r="CN555">
            <v>0</v>
          </cell>
          <cell r="CO555">
            <v>1</v>
          </cell>
          <cell r="CP555" t="str">
            <v/>
          </cell>
          <cell r="CQ555">
            <v>0</v>
          </cell>
          <cell r="CR555">
            <v>0</v>
          </cell>
          <cell r="CS555">
            <v>1</v>
          </cell>
          <cell r="CT555">
            <v>1</v>
          </cell>
          <cell r="CU555" t="str">
            <v/>
          </cell>
          <cell r="CV555">
            <v>0</v>
          </cell>
          <cell r="CW555">
            <v>0</v>
          </cell>
          <cell r="CX555">
            <v>1</v>
          </cell>
          <cell r="CY555">
            <v>1</v>
          </cell>
          <cell r="CZ555" t="str">
            <v/>
          </cell>
          <cell r="DA555">
            <v>0</v>
          </cell>
          <cell r="DB555">
            <v>0</v>
          </cell>
          <cell r="DC555">
            <v>1</v>
          </cell>
          <cell r="DD555">
            <v>1</v>
          </cell>
          <cell r="DE555" t="str">
            <v/>
          </cell>
          <cell r="DF555">
            <v>0</v>
          </cell>
          <cell r="DG555">
            <v>0</v>
          </cell>
          <cell r="DH555">
            <v>1</v>
          </cell>
          <cell r="DI555">
            <v>1</v>
          </cell>
          <cell r="DJ555" t="str">
            <v/>
          </cell>
          <cell r="DK555">
            <v>0</v>
          </cell>
          <cell r="DL555">
            <v>0</v>
          </cell>
          <cell r="DM555">
            <v>1</v>
          </cell>
          <cell r="DN555">
            <v>1</v>
          </cell>
          <cell r="DO555" t="str">
            <v/>
          </cell>
          <cell r="DP555">
            <v>0</v>
          </cell>
          <cell r="DQ555">
            <v>0</v>
          </cell>
          <cell r="DR555">
            <v>1</v>
          </cell>
          <cell r="DS555">
            <v>1</v>
          </cell>
          <cell r="DT555" t="str">
            <v/>
          </cell>
          <cell r="DU555">
            <v>0</v>
          </cell>
          <cell r="DV555">
            <v>0</v>
          </cell>
          <cell r="DW555">
            <v>1</v>
          </cell>
          <cell r="DX555">
            <v>1</v>
          </cell>
          <cell r="DY555" t="str">
            <v/>
          </cell>
          <cell r="DZ555">
            <v>0</v>
          </cell>
          <cell r="EA555">
            <v>0</v>
          </cell>
          <cell r="EB555">
            <v>1</v>
          </cell>
          <cell r="EC555">
            <v>1</v>
          </cell>
          <cell r="ED555" t="str">
            <v/>
          </cell>
          <cell r="EE555">
            <v>0</v>
          </cell>
          <cell r="EF555">
            <v>0</v>
          </cell>
          <cell r="EG555">
            <v>1</v>
          </cell>
          <cell r="EH555">
            <v>1</v>
          </cell>
          <cell r="EI555" t="str">
            <v/>
          </cell>
          <cell r="EJ555">
            <v>0</v>
          </cell>
          <cell r="EK555">
            <v>0</v>
          </cell>
          <cell r="EL555">
            <v>1</v>
          </cell>
          <cell r="EM555">
            <v>1</v>
          </cell>
          <cell r="EN555" t="str">
            <v/>
          </cell>
          <cell r="EO555">
            <v>0</v>
          </cell>
          <cell r="EP555">
            <v>0</v>
          </cell>
          <cell r="EQ555">
            <v>1</v>
          </cell>
          <cell r="ER555">
            <v>1</v>
          </cell>
          <cell r="ES555" t="str">
            <v/>
          </cell>
          <cell r="ET555">
            <v>0</v>
          </cell>
          <cell r="EU555">
            <v>0</v>
          </cell>
          <cell r="EV555">
            <v>1</v>
          </cell>
          <cell r="EW555">
            <v>1</v>
          </cell>
          <cell r="EX555" t="str">
            <v/>
          </cell>
          <cell r="EY555">
            <v>0</v>
          </cell>
          <cell r="EZ555">
            <v>0</v>
          </cell>
          <cell r="FA555">
            <v>1</v>
          </cell>
          <cell r="FB555">
            <v>1</v>
          </cell>
          <cell r="FC555" t="str">
            <v/>
          </cell>
          <cell r="FD555">
            <v>0</v>
          </cell>
          <cell r="FE555">
            <v>0</v>
          </cell>
          <cell r="FF555">
            <v>1</v>
          </cell>
          <cell r="FG555">
            <v>1</v>
          </cell>
          <cell r="FH555" t="str">
            <v/>
          </cell>
          <cell r="FI555">
            <v>0</v>
          </cell>
          <cell r="FJ555">
            <v>0</v>
          </cell>
          <cell r="FK555">
            <v>1</v>
          </cell>
          <cell r="FL555">
            <v>1</v>
          </cell>
          <cell r="FM555" t="str">
            <v/>
          </cell>
          <cell r="FN555">
            <v>0</v>
          </cell>
          <cell r="FO555">
            <v>0</v>
          </cell>
          <cell r="FP555">
            <v>1</v>
          </cell>
          <cell r="FQ555">
            <v>1</v>
          </cell>
          <cell r="FR555" t="str">
            <v/>
          </cell>
          <cell r="FS555">
            <v>0</v>
          </cell>
          <cell r="FT555">
            <v>0</v>
          </cell>
          <cell r="FU555">
            <v>2.0333333333333332</v>
          </cell>
          <cell r="FW555" t="str">
            <v>STOCK OK</v>
          </cell>
          <cell r="FX555" t="str">
            <v>NUEVO</v>
          </cell>
          <cell r="FY555" t="str">
            <v>Si</v>
          </cell>
        </row>
        <row r="556">
          <cell r="B556" t="str">
            <v>REP-0573</v>
          </cell>
          <cell r="C556" t="str">
            <v>MIX</v>
          </cell>
          <cell r="E556">
            <v>1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1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BQ556">
            <v>10</v>
          </cell>
          <cell r="BR556" t="str">
            <v/>
          </cell>
          <cell r="BS556">
            <v>0</v>
          </cell>
          <cell r="BT556">
            <v>3</v>
          </cell>
          <cell r="CJ556">
            <v>0</v>
          </cell>
          <cell r="CK556" t="str">
            <v/>
          </cell>
          <cell r="CL556">
            <v>0</v>
          </cell>
          <cell r="CM556">
            <v>0</v>
          </cell>
          <cell r="CN556">
            <v>0</v>
          </cell>
          <cell r="CO556">
            <v>1</v>
          </cell>
          <cell r="CP556" t="str">
            <v/>
          </cell>
          <cell r="CQ556">
            <v>0</v>
          </cell>
          <cell r="CR556">
            <v>0</v>
          </cell>
          <cell r="CS556">
            <v>1</v>
          </cell>
          <cell r="CT556">
            <v>1</v>
          </cell>
          <cell r="CU556" t="str">
            <v/>
          </cell>
          <cell r="CV556">
            <v>0</v>
          </cell>
          <cell r="CW556">
            <v>0</v>
          </cell>
          <cell r="CX556">
            <v>1</v>
          </cell>
          <cell r="CY556">
            <v>1</v>
          </cell>
          <cell r="CZ556" t="str">
            <v/>
          </cell>
          <cell r="DA556">
            <v>0</v>
          </cell>
          <cell r="DB556">
            <v>0</v>
          </cell>
          <cell r="DC556">
            <v>1</v>
          </cell>
          <cell r="DD556">
            <v>1</v>
          </cell>
          <cell r="DE556" t="str">
            <v/>
          </cell>
          <cell r="DF556">
            <v>0</v>
          </cell>
          <cell r="DG556">
            <v>0</v>
          </cell>
          <cell r="DH556">
            <v>1</v>
          </cell>
          <cell r="DI556">
            <v>1</v>
          </cell>
          <cell r="DJ556" t="str">
            <v/>
          </cell>
          <cell r="DK556">
            <v>0</v>
          </cell>
          <cell r="DL556">
            <v>0</v>
          </cell>
          <cell r="DM556">
            <v>1</v>
          </cell>
          <cell r="DN556">
            <v>1</v>
          </cell>
          <cell r="DO556" t="str">
            <v/>
          </cell>
          <cell r="DP556">
            <v>0</v>
          </cell>
          <cell r="DQ556">
            <v>0</v>
          </cell>
          <cell r="DR556">
            <v>1</v>
          </cell>
          <cell r="DS556">
            <v>1</v>
          </cell>
          <cell r="DT556" t="str">
            <v/>
          </cell>
          <cell r="DU556">
            <v>0</v>
          </cell>
          <cell r="DV556">
            <v>0</v>
          </cell>
          <cell r="DW556">
            <v>1</v>
          </cell>
          <cell r="DX556">
            <v>1</v>
          </cell>
          <cell r="DY556" t="str">
            <v/>
          </cell>
          <cell r="DZ556">
            <v>0</v>
          </cell>
          <cell r="EA556">
            <v>0</v>
          </cell>
          <cell r="EB556">
            <v>1</v>
          </cell>
          <cell r="EC556">
            <v>1</v>
          </cell>
          <cell r="ED556" t="str">
            <v/>
          </cell>
          <cell r="EE556">
            <v>0</v>
          </cell>
          <cell r="EF556">
            <v>0</v>
          </cell>
          <cell r="EG556">
            <v>1</v>
          </cell>
          <cell r="EH556">
            <v>1</v>
          </cell>
          <cell r="EI556" t="str">
            <v/>
          </cell>
          <cell r="EJ556">
            <v>0</v>
          </cell>
          <cell r="EK556">
            <v>0</v>
          </cell>
          <cell r="EL556">
            <v>1</v>
          </cell>
          <cell r="EM556">
            <v>1</v>
          </cell>
          <cell r="EN556" t="str">
            <v/>
          </cell>
          <cell r="EO556">
            <v>0</v>
          </cell>
          <cell r="EP556">
            <v>0</v>
          </cell>
          <cell r="EQ556">
            <v>1</v>
          </cell>
          <cell r="ER556">
            <v>1</v>
          </cell>
          <cell r="ES556" t="str">
            <v/>
          </cell>
          <cell r="ET556">
            <v>0</v>
          </cell>
          <cell r="EU556">
            <v>0</v>
          </cell>
          <cell r="EV556">
            <v>1</v>
          </cell>
          <cell r="EW556">
            <v>1</v>
          </cell>
          <cell r="EX556" t="str">
            <v/>
          </cell>
          <cell r="EY556">
            <v>0</v>
          </cell>
          <cell r="EZ556">
            <v>0</v>
          </cell>
          <cell r="FA556">
            <v>1</v>
          </cell>
          <cell r="FB556">
            <v>1</v>
          </cell>
          <cell r="FC556" t="str">
            <v/>
          </cell>
          <cell r="FD556">
            <v>0</v>
          </cell>
          <cell r="FE556">
            <v>0</v>
          </cell>
          <cell r="FF556">
            <v>1</v>
          </cell>
          <cell r="FG556">
            <v>1</v>
          </cell>
          <cell r="FH556" t="str">
            <v/>
          </cell>
          <cell r="FI556">
            <v>0</v>
          </cell>
          <cell r="FJ556">
            <v>0</v>
          </cell>
          <cell r="FK556">
            <v>1</v>
          </cell>
          <cell r="FL556">
            <v>1</v>
          </cell>
          <cell r="FM556" t="str">
            <v/>
          </cell>
          <cell r="FN556">
            <v>0</v>
          </cell>
          <cell r="FO556">
            <v>0</v>
          </cell>
          <cell r="FP556">
            <v>1</v>
          </cell>
          <cell r="FQ556">
            <v>1</v>
          </cell>
          <cell r="FR556" t="str">
            <v/>
          </cell>
          <cell r="FS556">
            <v>0</v>
          </cell>
          <cell r="FT556">
            <v>0</v>
          </cell>
          <cell r="FU556">
            <v>2.0333333333333332</v>
          </cell>
          <cell r="FW556" t="str">
            <v>STOCK OK</v>
          </cell>
          <cell r="FX556" t="str">
            <v>NUEVO</v>
          </cell>
          <cell r="FY556" t="str">
            <v>Si</v>
          </cell>
        </row>
        <row r="557">
          <cell r="B557" t="str">
            <v>REP-0574</v>
          </cell>
          <cell r="C557" t="str">
            <v>MIX</v>
          </cell>
          <cell r="E557">
            <v>1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1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BQ557">
            <v>11</v>
          </cell>
          <cell r="BR557" t="str">
            <v/>
          </cell>
          <cell r="BS557">
            <v>0</v>
          </cell>
          <cell r="BT557">
            <v>3</v>
          </cell>
          <cell r="CJ557">
            <v>0</v>
          </cell>
          <cell r="CK557" t="str">
            <v/>
          </cell>
          <cell r="CL557">
            <v>0</v>
          </cell>
          <cell r="CM557">
            <v>0</v>
          </cell>
          <cell r="CN557">
            <v>0</v>
          </cell>
          <cell r="CO557">
            <v>1</v>
          </cell>
          <cell r="CP557" t="str">
            <v/>
          </cell>
          <cell r="CQ557">
            <v>0</v>
          </cell>
          <cell r="CR557">
            <v>0</v>
          </cell>
          <cell r="CS557">
            <v>1</v>
          </cell>
          <cell r="CT557">
            <v>1</v>
          </cell>
          <cell r="CU557" t="str">
            <v/>
          </cell>
          <cell r="CV557">
            <v>0</v>
          </cell>
          <cell r="CW557">
            <v>0</v>
          </cell>
          <cell r="CX557">
            <v>1</v>
          </cell>
          <cell r="CY557">
            <v>1</v>
          </cell>
          <cell r="CZ557" t="str">
            <v/>
          </cell>
          <cell r="DA557">
            <v>0</v>
          </cell>
          <cell r="DB557">
            <v>0</v>
          </cell>
          <cell r="DC557">
            <v>1</v>
          </cell>
          <cell r="DD557">
            <v>1</v>
          </cell>
          <cell r="DE557" t="str">
            <v/>
          </cell>
          <cell r="DF557">
            <v>0</v>
          </cell>
          <cell r="DG557">
            <v>0</v>
          </cell>
          <cell r="DH557">
            <v>1</v>
          </cell>
          <cell r="DI557">
            <v>1</v>
          </cell>
          <cell r="DJ557" t="str">
            <v/>
          </cell>
          <cell r="DK557">
            <v>0</v>
          </cell>
          <cell r="DL557">
            <v>0</v>
          </cell>
          <cell r="DM557">
            <v>1</v>
          </cell>
          <cell r="DN557">
            <v>1</v>
          </cell>
          <cell r="DO557" t="str">
            <v/>
          </cell>
          <cell r="DP557">
            <v>0</v>
          </cell>
          <cell r="DQ557">
            <v>0</v>
          </cell>
          <cell r="DR557">
            <v>1</v>
          </cell>
          <cell r="DS557">
            <v>1</v>
          </cell>
          <cell r="DT557" t="str">
            <v/>
          </cell>
          <cell r="DU557">
            <v>0</v>
          </cell>
          <cell r="DV557">
            <v>0</v>
          </cell>
          <cell r="DW557">
            <v>1</v>
          </cell>
          <cell r="DX557">
            <v>1</v>
          </cell>
          <cell r="DY557" t="str">
            <v/>
          </cell>
          <cell r="DZ557">
            <v>0</v>
          </cell>
          <cell r="EA557">
            <v>0</v>
          </cell>
          <cell r="EB557">
            <v>1</v>
          </cell>
          <cell r="EC557">
            <v>1</v>
          </cell>
          <cell r="ED557" t="str">
            <v/>
          </cell>
          <cell r="EE557">
            <v>0</v>
          </cell>
          <cell r="EF557">
            <v>0</v>
          </cell>
          <cell r="EG557">
            <v>1</v>
          </cell>
          <cell r="EH557">
            <v>1</v>
          </cell>
          <cell r="EI557" t="str">
            <v/>
          </cell>
          <cell r="EJ557">
            <v>0</v>
          </cell>
          <cell r="EK557">
            <v>0</v>
          </cell>
          <cell r="EL557">
            <v>1</v>
          </cell>
          <cell r="EM557">
            <v>1</v>
          </cell>
          <cell r="EN557" t="str">
            <v/>
          </cell>
          <cell r="EO557">
            <v>0</v>
          </cell>
          <cell r="EP557">
            <v>0</v>
          </cell>
          <cell r="EQ557">
            <v>1</v>
          </cell>
          <cell r="ER557">
            <v>1</v>
          </cell>
          <cell r="ES557" t="str">
            <v/>
          </cell>
          <cell r="ET557">
            <v>0</v>
          </cell>
          <cell r="EU557">
            <v>0</v>
          </cell>
          <cell r="EV557">
            <v>1</v>
          </cell>
          <cell r="EW557">
            <v>1</v>
          </cell>
          <cell r="EX557" t="str">
            <v/>
          </cell>
          <cell r="EY557">
            <v>0</v>
          </cell>
          <cell r="EZ557">
            <v>0</v>
          </cell>
          <cell r="FA557">
            <v>1</v>
          </cell>
          <cell r="FB557">
            <v>1</v>
          </cell>
          <cell r="FC557" t="str">
            <v/>
          </cell>
          <cell r="FD557">
            <v>0</v>
          </cell>
          <cell r="FE557">
            <v>0</v>
          </cell>
          <cell r="FF557">
            <v>1</v>
          </cell>
          <cell r="FG557">
            <v>1</v>
          </cell>
          <cell r="FH557" t="str">
            <v/>
          </cell>
          <cell r="FI557">
            <v>0</v>
          </cell>
          <cell r="FJ557">
            <v>0</v>
          </cell>
          <cell r="FK557">
            <v>1</v>
          </cell>
          <cell r="FL557">
            <v>1</v>
          </cell>
          <cell r="FM557" t="str">
            <v/>
          </cell>
          <cell r="FN557">
            <v>0</v>
          </cell>
          <cell r="FO557">
            <v>0</v>
          </cell>
          <cell r="FP557">
            <v>1</v>
          </cell>
          <cell r="FQ557">
            <v>1</v>
          </cell>
          <cell r="FR557" t="str">
            <v/>
          </cell>
          <cell r="FS557">
            <v>0</v>
          </cell>
          <cell r="FT557">
            <v>0</v>
          </cell>
          <cell r="FU557">
            <v>2.0333333333333332</v>
          </cell>
          <cell r="FW557" t="str">
            <v>STOCK OK</v>
          </cell>
          <cell r="FX557" t="str">
            <v>NUEVO</v>
          </cell>
          <cell r="FY557" t="str">
            <v>Si</v>
          </cell>
        </row>
        <row r="558">
          <cell r="B558" t="str">
            <v>REP-0575</v>
          </cell>
          <cell r="C558" t="str">
            <v>MIX</v>
          </cell>
          <cell r="E558">
            <v>2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2</v>
          </cell>
          <cell r="AC558">
            <v>0</v>
          </cell>
          <cell r="AD558">
            <v>0</v>
          </cell>
          <cell r="AE558">
            <v>0</v>
          </cell>
          <cell r="AI558">
            <v>0.16666666666666666</v>
          </cell>
          <cell r="AJ558">
            <v>0.16666666666666666</v>
          </cell>
          <cell r="AK558">
            <v>0.16666666666666666</v>
          </cell>
          <cell r="AL558">
            <v>0</v>
          </cell>
          <cell r="AM558">
            <v>0.16666666666666666</v>
          </cell>
          <cell r="AN558">
            <v>0</v>
          </cell>
          <cell r="BQ558">
            <v>12</v>
          </cell>
          <cell r="BR558">
            <v>72</v>
          </cell>
          <cell r="BS558">
            <v>0</v>
          </cell>
          <cell r="BT558">
            <v>3</v>
          </cell>
          <cell r="CJ558">
            <v>0</v>
          </cell>
          <cell r="CK558" t="str">
            <v/>
          </cell>
          <cell r="CL558">
            <v>0</v>
          </cell>
          <cell r="CM558">
            <v>0</v>
          </cell>
          <cell r="CN558">
            <v>0</v>
          </cell>
          <cell r="CO558">
            <v>1</v>
          </cell>
          <cell r="CP558" t="str">
            <v/>
          </cell>
          <cell r="CQ558">
            <v>0</v>
          </cell>
          <cell r="CR558">
            <v>0</v>
          </cell>
          <cell r="CS558">
            <v>1</v>
          </cell>
          <cell r="CT558">
            <v>0</v>
          </cell>
          <cell r="CU558">
            <v>0</v>
          </cell>
          <cell r="CV558">
            <v>2</v>
          </cell>
          <cell r="CW558">
            <v>0</v>
          </cell>
          <cell r="CX558">
            <v>-0.5</v>
          </cell>
          <cell r="CY558">
            <v>0</v>
          </cell>
          <cell r="CZ558">
            <v>0</v>
          </cell>
          <cell r="DA558">
            <v>1.5</v>
          </cell>
          <cell r="DB558">
            <v>0</v>
          </cell>
          <cell r="DC558">
            <v>-0.25</v>
          </cell>
          <cell r="DD558">
            <v>0</v>
          </cell>
          <cell r="DE558">
            <v>-4</v>
          </cell>
          <cell r="DF558">
            <v>1.25</v>
          </cell>
          <cell r="DG558">
            <v>2</v>
          </cell>
          <cell r="DH558">
            <v>1.75</v>
          </cell>
          <cell r="DI558">
            <v>2</v>
          </cell>
          <cell r="DJ558">
            <v>7</v>
          </cell>
          <cell r="DK558">
            <v>0</v>
          </cell>
          <cell r="DL558">
            <v>0</v>
          </cell>
          <cell r="DM558">
            <v>1.55</v>
          </cell>
          <cell r="DN558">
            <v>2</v>
          </cell>
          <cell r="DO558">
            <v>8</v>
          </cell>
          <cell r="DP558">
            <v>0</v>
          </cell>
          <cell r="DQ558">
            <v>0</v>
          </cell>
          <cell r="DR558">
            <v>1.8333333333333333</v>
          </cell>
          <cell r="DS558">
            <v>1.8333333333333333</v>
          </cell>
          <cell r="DT558">
            <v>7</v>
          </cell>
          <cell r="DU558">
            <v>0</v>
          </cell>
          <cell r="DV558">
            <v>1</v>
          </cell>
          <cell r="DW558">
            <v>2.6666666666666665</v>
          </cell>
          <cell r="DX558">
            <v>2.6666666666666665</v>
          </cell>
          <cell r="DY558">
            <v>12</v>
          </cell>
          <cell r="DZ558">
            <v>0</v>
          </cell>
          <cell r="EA558">
            <v>0</v>
          </cell>
          <cell r="EB558">
            <v>2.5</v>
          </cell>
          <cell r="EC558">
            <v>2.5</v>
          </cell>
          <cell r="ED558">
            <v>11</v>
          </cell>
          <cell r="EE558">
            <v>0</v>
          </cell>
          <cell r="EF558">
            <v>0</v>
          </cell>
          <cell r="EG558">
            <v>2.3333333333333335</v>
          </cell>
          <cell r="EH558">
            <v>2.3333333333333335</v>
          </cell>
          <cell r="EI558">
            <v>10.000000000000002</v>
          </cell>
          <cell r="EJ558">
            <v>0</v>
          </cell>
          <cell r="EK558">
            <v>0</v>
          </cell>
          <cell r="EL558">
            <v>2.166666666666667</v>
          </cell>
          <cell r="EM558">
            <v>2.166666666666667</v>
          </cell>
          <cell r="EN558">
            <v>9.0000000000000018</v>
          </cell>
          <cell r="EO558">
            <v>0</v>
          </cell>
          <cell r="EP558">
            <v>0</v>
          </cell>
          <cell r="EQ558">
            <v>2.0000000000000004</v>
          </cell>
          <cell r="ER558">
            <v>2.0000000000000004</v>
          </cell>
          <cell r="ES558">
            <v>8.0000000000000036</v>
          </cell>
          <cell r="ET558">
            <v>0</v>
          </cell>
          <cell r="EU558">
            <v>0</v>
          </cell>
          <cell r="EV558">
            <v>1.8333333333333337</v>
          </cell>
          <cell r="EW558">
            <v>1.8333333333333337</v>
          </cell>
          <cell r="EX558">
            <v>7.0000000000000027</v>
          </cell>
          <cell r="EY558">
            <v>0</v>
          </cell>
          <cell r="EZ558">
            <v>0</v>
          </cell>
          <cell r="FA558">
            <v>1.666666666666667</v>
          </cell>
          <cell r="FB558">
            <v>1.666666666666667</v>
          </cell>
          <cell r="FC558">
            <v>6.0000000000000018</v>
          </cell>
          <cell r="FD558">
            <v>0</v>
          </cell>
          <cell r="FE558">
            <v>1</v>
          </cell>
          <cell r="FF558">
            <v>2.5000000000000004</v>
          </cell>
          <cell r="FG558">
            <v>2.5000000000000004</v>
          </cell>
          <cell r="FH558">
            <v>11.000000000000004</v>
          </cell>
          <cell r="FI558">
            <v>0</v>
          </cell>
          <cell r="FJ558">
            <v>0</v>
          </cell>
          <cell r="FK558">
            <v>2.3333333333333339</v>
          </cell>
          <cell r="FL558">
            <v>2.3333333333333339</v>
          </cell>
          <cell r="FM558">
            <v>10.000000000000004</v>
          </cell>
          <cell r="FN558">
            <v>0</v>
          </cell>
          <cell r="FO558">
            <v>0</v>
          </cell>
          <cell r="FP558">
            <v>2.1666666666666674</v>
          </cell>
          <cell r="FQ558">
            <v>2.1666666666666674</v>
          </cell>
          <cell r="FR558">
            <v>9.0000000000000036</v>
          </cell>
          <cell r="FS558">
            <v>0</v>
          </cell>
          <cell r="FT558">
            <v>1</v>
          </cell>
          <cell r="FU558">
            <v>2.0333333333333332</v>
          </cell>
          <cell r="FW558" t="str">
            <v>STOCK OK</v>
          </cell>
          <cell r="FX558" t="str">
            <v>C</v>
          </cell>
          <cell r="FY558" t="str">
            <v>Si</v>
          </cell>
        </row>
        <row r="559">
          <cell r="B559" t="str">
            <v>REP-0576</v>
          </cell>
          <cell r="C559" t="str">
            <v>MIX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1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BQ559">
            <v>13</v>
          </cell>
          <cell r="BR559" t="str">
            <v/>
          </cell>
          <cell r="BS559">
            <v>0</v>
          </cell>
          <cell r="BT559">
            <v>3</v>
          </cell>
          <cell r="CJ559">
            <v>0</v>
          </cell>
          <cell r="CK559" t="str">
            <v/>
          </cell>
          <cell r="CL559">
            <v>0</v>
          </cell>
          <cell r="CM559">
            <v>0</v>
          </cell>
          <cell r="CN559">
            <v>0</v>
          </cell>
          <cell r="CO559">
            <v>1</v>
          </cell>
          <cell r="CP559" t="str">
            <v/>
          </cell>
          <cell r="CQ559">
            <v>0</v>
          </cell>
          <cell r="CR559">
            <v>0</v>
          </cell>
          <cell r="CS559">
            <v>1</v>
          </cell>
          <cell r="CT559">
            <v>1</v>
          </cell>
          <cell r="CU559" t="str">
            <v/>
          </cell>
          <cell r="CV559">
            <v>0</v>
          </cell>
          <cell r="CW559">
            <v>0</v>
          </cell>
          <cell r="CX559">
            <v>1</v>
          </cell>
          <cell r="CY559">
            <v>1</v>
          </cell>
          <cell r="CZ559" t="str">
            <v/>
          </cell>
          <cell r="DA559">
            <v>0</v>
          </cell>
          <cell r="DB559">
            <v>0</v>
          </cell>
          <cell r="DC559">
            <v>1</v>
          </cell>
          <cell r="DD559">
            <v>1</v>
          </cell>
          <cell r="DE559" t="str">
            <v/>
          </cell>
          <cell r="DF559">
            <v>0</v>
          </cell>
          <cell r="DG559">
            <v>0</v>
          </cell>
          <cell r="DH559">
            <v>1</v>
          </cell>
          <cell r="DI559">
            <v>1</v>
          </cell>
          <cell r="DJ559" t="str">
            <v/>
          </cell>
          <cell r="DK559">
            <v>0</v>
          </cell>
          <cell r="DL559">
            <v>0</v>
          </cell>
          <cell r="DM559">
            <v>1</v>
          </cell>
          <cell r="DN559">
            <v>1</v>
          </cell>
          <cell r="DO559" t="str">
            <v/>
          </cell>
          <cell r="DP559">
            <v>0</v>
          </cell>
          <cell r="DQ559">
            <v>0</v>
          </cell>
          <cell r="DR559">
            <v>1</v>
          </cell>
          <cell r="DS559">
            <v>1</v>
          </cell>
          <cell r="DT559" t="str">
            <v/>
          </cell>
          <cell r="DU559">
            <v>0</v>
          </cell>
          <cell r="DV559">
            <v>0</v>
          </cell>
          <cell r="DW559">
            <v>1</v>
          </cell>
          <cell r="DX559">
            <v>1</v>
          </cell>
          <cell r="DY559" t="str">
            <v/>
          </cell>
          <cell r="DZ559">
            <v>0</v>
          </cell>
          <cell r="EA559">
            <v>0</v>
          </cell>
          <cell r="EB559">
            <v>1</v>
          </cell>
          <cell r="EC559">
            <v>1</v>
          </cell>
          <cell r="ED559" t="str">
            <v/>
          </cell>
          <cell r="EE559">
            <v>0</v>
          </cell>
          <cell r="EF559">
            <v>0</v>
          </cell>
          <cell r="EG559">
            <v>1</v>
          </cell>
          <cell r="EH559">
            <v>1</v>
          </cell>
          <cell r="EI559" t="str">
            <v/>
          </cell>
          <cell r="EJ559">
            <v>0</v>
          </cell>
          <cell r="EK559">
            <v>0</v>
          </cell>
          <cell r="EL559">
            <v>1</v>
          </cell>
          <cell r="EM559">
            <v>1</v>
          </cell>
          <cell r="EN559" t="str">
            <v/>
          </cell>
          <cell r="EO559">
            <v>0</v>
          </cell>
          <cell r="EP559">
            <v>0</v>
          </cell>
          <cell r="EQ559">
            <v>1</v>
          </cell>
          <cell r="ER559">
            <v>1</v>
          </cell>
          <cell r="ES559" t="str">
            <v/>
          </cell>
          <cell r="ET559">
            <v>0</v>
          </cell>
          <cell r="EU559">
            <v>0</v>
          </cell>
          <cell r="EV559">
            <v>1</v>
          </cell>
          <cell r="EW559">
            <v>1</v>
          </cell>
          <cell r="EX559" t="str">
            <v/>
          </cell>
          <cell r="EY559">
            <v>0</v>
          </cell>
          <cell r="EZ559">
            <v>0</v>
          </cell>
          <cell r="FA559">
            <v>1</v>
          </cell>
          <cell r="FB559">
            <v>1</v>
          </cell>
          <cell r="FC559" t="str">
            <v/>
          </cell>
          <cell r="FD559">
            <v>0</v>
          </cell>
          <cell r="FE559">
            <v>0</v>
          </cell>
          <cell r="FF559">
            <v>1</v>
          </cell>
          <cell r="FG559">
            <v>1</v>
          </cell>
          <cell r="FH559" t="str">
            <v/>
          </cell>
          <cell r="FI559">
            <v>0</v>
          </cell>
          <cell r="FJ559">
            <v>0</v>
          </cell>
          <cell r="FK559">
            <v>1</v>
          </cell>
          <cell r="FL559">
            <v>1</v>
          </cell>
          <cell r="FM559" t="str">
            <v/>
          </cell>
          <cell r="FN559">
            <v>0</v>
          </cell>
          <cell r="FO559">
            <v>0</v>
          </cell>
          <cell r="FP559">
            <v>1</v>
          </cell>
          <cell r="FQ559">
            <v>1</v>
          </cell>
          <cell r="FR559" t="str">
            <v/>
          </cell>
          <cell r="FS559">
            <v>0</v>
          </cell>
          <cell r="FT559">
            <v>0</v>
          </cell>
          <cell r="FU559">
            <v>2.0333333333333332</v>
          </cell>
          <cell r="FW559" t="str">
            <v>STOCK OK</v>
          </cell>
          <cell r="FX559" t="str">
            <v>NUEVO</v>
          </cell>
          <cell r="FY559" t="str">
            <v>Si</v>
          </cell>
        </row>
        <row r="560">
          <cell r="B560" t="str">
            <v>REP-0577</v>
          </cell>
          <cell r="C560" t="str">
            <v>MIX</v>
          </cell>
          <cell r="E560">
            <v>1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1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BQ560">
            <v>14</v>
          </cell>
          <cell r="BR560" t="str">
            <v/>
          </cell>
          <cell r="BS560">
            <v>0</v>
          </cell>
          <cell r="BT560">
            <v>3</v>
          </cell>
          <cell r="CJ560">
            <v>0</v>
          </cell>
          <cell r="CK560" t="str">
            <v/>
          </cell>
          <cell r="CL560">
            <v>0</v>
          </cell>
          <cell r="CM560">
            <v>0</v>
          </cell>
          <cell r="CN560">
            <v>0</v>
          </cell>
          <cell r="CO560">
            <v>1</v>
          </cell>
          <cell r="CP560" t="str">
            <v/>
          </cell>
          <cell r="CQ560">
            <v>0</v>
          </cell>
          <cell r="CR560">
            <v>0</v>
          </cell>
          <cell r="CS560">
            <v>1</v>
          </cell>
          <cell r="CT560">
            <v>1</v>
          </cell>
          <cell r="CU560" t="str">
            <v/>
          </cell>
          <cell r="CV560">
            <v>0</v>
          </cell>
          <cell r="CW560">
            <v>0</v>
          </cell>
          <cell r="CX560">
            <v>1</v>
          </cell>
          <cell r="CY560">
            <v>1</v>
          </cell>
          <cell r="CZ560" t="str">
            <v/>
          </cell>
          <cell r="DA560">
            <v>0</v>
          </cell>
          <cell r="DB560">
            <v>0</v>
          </cell>
          <cell r="DC560">
            <v>1</v>
          </cell>
          <cell r="DD560">
            <v>1</v>
          </cell>
          <cell r="DE560" t="str">
            <v/>
          </cell>
          <cell r="DF560">
            <v>0</v>
          </cell>
          <cell r="DG560">
            <v>0</v>
          </cell>
          <cell r="DH560">
            <v>1</v>
          </cell>
          <cell r="DI560">
            <v>1</v>
          </cell>
          <cell r="DJ560" t="str">
            <v/>
          </cell>
          <cell r="DK560">
            <v>0</v>
          </cell>
          <cell r="DL560">
            <v>0</v>
          </cell>
          <cell r="DM560">
            <v>1</v>
          </cell>
          <cell r="DN560">
            <v>1</v>
          </cell>
          <cell r="DO560" t="str">
            <v/>
          </cell>
          <cell r="DP560">
            <v>0</v>
          </cell>
          <cell r="DQ560">
            <v>0</v>
          </cell>
          <cell r="DR560">
            <v>1</v>
          </cell>
          <cell r="DS560">
            <v>1</v>
          </cell>
          <cell r="DT560" t="str">
            <v/>
          </cell>
          <cell r="DU560">
            <v>0</v>
          </cell>
          <cell r="DV560">
            <v>0</v>
          </cell>
          <cell r="DW560">
            <v>1</v>
          </cell>
          <cell r="DX560">
            <v>1</v>
          </cell>
          <cell r="DY560" t="str">
            <v/>
          </cell>
          <cell r="DZ560">
            <v>0</v>
          </cell>
          <cell r="EA560">
            <v>0</v>
          </cell>
          <cell r="EB560">
            <v>1</v>
          </cell>
          <cell r="EC560">
            <v>1</v>
          </cell>
          <cell r="ED560" t="str">
            <v/>
          </cell>
          <cell r="EE560">
            <v>0</v>
          </cell>
          <cell r="EF560">
            <v>0</v>
          </cell>
          <cell r="EG560">
            <v>1</v>
          </cell>
          <cell r="EH560">
            <v>1</v>
          </cell>
          <cell r="EI560" t="str">
            <v/>
          </cell>
          <cell r="EJ560">
            <v>0</v>
          </cell>
          <cell r="EK560">
            <v>0</v>
          </cell>
          <cell r="EL560">
            <v>1</v>
          </cell>
          <cell r="EM560">
            <v>1</v>
          </cell>
          <cell r="EN560" t="str">
            <v/>
          </cell>
          <cell r="EO560">
            <v>0</v>
          </cell>
          <cell r="EP560">
            <v>0</v>
          </cell>
          <cell r="EQ560">
            <v>1</v>
          </cell>
          <cell r="ER560">
            <v>1</v>
          </cell>
          <cell r="ES560" t="str">
            <v/>
          </cell>
          <cell r="ET560">
            <v>0</v>
          </cell>
          <cell r="EU560">
            <v>0</v>
          </cell>
          <cell r="EV560">
            <v>1</v>
          </cell>
          <cell r="EW560">
            <v>1</v>
          </cell>
          <cell r="EX560" t="str">
            <v/>
          </cell>
          <cell r="EY560">
            <v>0</v>
          </cell>
          <cell r="EZ560">
            <v>0</v>
          </cell>
          <cell r="FA560">
            <v>1</v>
          </cell>
          <cell r="FB560">
            <v>1</v>
          </cell>
          <cell r="FC560" t="str">
            <v/>
          </cell>
          <cell r="FD560">
            <v>0</v>
          </cell>
          <cell r="FE560">
            <v>0</v>
          </cell>
          <cell r="FF560">
            <v>1</v>
          </cell>
          <cell r="FG560">
            <v>1</v>
          </cell>
          <cell r="FH560" t="str">
            <v/>
          </cell>
          <cell r="FI560">
            <v>0</v>
          </cell>
          <cell r="FJ560">
            <v>0</v>
          </cell>
          <cell r="FK560">
            <v>1</v>
          </cell>
          <cell r="FL560">
            <v>1</v>
          </cell>
          <cell r="FM560" t="str">
            <v/>
          </cell>
          <cell r="FN560">
            <v>0</v>
          </cell>
          <cell r="FO560">
            <v>0</v>
          </cell>
          <cell r="FP560">
            <v>1</v>
          </cell>
          <cell r="FQ560">
            <v>1</v>
          </cell>
          <cell r="FR560" t="str">
            <v/>
          </cell>
          <cell r="FS560">
            <v>0</v>
          </cell>
          <cell r="FT560">
            <v>0</v>
          </cell>
          <cell r="FU560">
            <v>2.0333333333333332</v>
          </cell>
          <cell r="FW560" t="str">
            <v>STOCK OK</v>
          </cell>
          <cell r="FX560" t="str">
            <v>NUEVO</v>
          </cell>
          <cell r="FY560" t="str">
            <v>Si</v>
          </cell>
        </row>
        <row r="561">
          <cell r="B561" t="str">
            <v>REP-0578</v>
          </cell>
          <cell r="C561" t="str">
            <v>MIX</v>
          </cell>
          <cell r="E561">
            <v>20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20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BQ561">
            <v>15</v>
          </cell>
          <cell r="BR561" t="str">
            <v/>
          </cell>
          <cell r="BS561">
            <v>0</v>
          </cell>
          <cell r="BT561">
            <v>3</v>
          </cell>
          <cell r="CJ561">
            <v>0</v>
          </cell>
          <cell r="CK561" t="str">
            <v/>
          </cell>
          <cell r="CL561">
            <v>0</v>
          </cell>
          <cell r="CM561">
            <v>0</v>
          </cell>
          <cell r="CN561">
            <v>0</v>
          </cell>
          <cell r="CO561">
            <v>20</v>
          </cell>
          <cell r="CP561" t="str">
            <v/>
          </cell>
          <cell r="CQ561">
            <v>0</v>
          </cell>
          <cell r="CR561">
            <v>0</v>
          </cell>
          <cell r="CS561">
            <v>20</v>
          </cell>
          <cell r="CT561">
            <v>20</v>
          </cell>
          <cell r="CU561" t="str">
            <v/>
          </cell>
          <cell r="CV561">
            <v>0</v>
          </cell>
          <cell r="CW561">
            <v>0</v>
          </cell>
          <cell r="CX561">
            <v>20</v>
          </cell>
          <cell r="CY561">
            <v>20</v>
          </cell>
          <cell r="CZ561" t="str">
            <v/>
          </cell>
          <cell r="DA561">
            <v>0</v>
          </cell>
          <cell r="DB561">
            <v>0</v>
          </cell>
          <cell r="DC561">
            <v>20</v>
          </cell>
          <cell r="DD561">
            <v>20</v>
          </cell>
          <cell r="DE561" t="str">
            <v/>
          </cell>
          <cell r="DF561">
            <v>0</v>
          </cell>
          <cell r="DG561">
            <v>0</v>
          </cell>
          <cell r="DH561">
            <v>20</v>
          </cell>
          <cell r="DI561">
            <v>20</v>
          </cell>
          <cell r="DJ561" t="str">
            <v/>
          </cell>
          <cell r="DK561">
            <v>0</v>
          </cell>
          <cell r="DL561">
            <v>0</v>
          </cell>
          <cell r="DM561">
            <v>20</v>
          </cell>
          <cell r="DN561">
            <v>20</v>
          </cell>
          <cell r="DO561" t="str">
            <v/>
          </cell>
          <cell r="DP561">
            <v>0</v>
          </cell>
          <cell r="DQ561">
            <v>0</v>
          </cell>
          <cell r="DR561">
            <v>20</v>
          </cell>
          <cell r="DS561">
            <v>20</v>
          </cell>
          <cell r="DT561" t="str">
            <v/>
          </cell>
          <cell r="DU561">
            <v>0</v>
          </cell>
          <cell r="DV561">
            <v>0</v>
          </cell>
          <cell r="DW561">
            <v>20</v>
          </cell>
          <cell r="DX561">
            <v>20</v>
          </cell>
          <cell r="DY561" t="str">
            <v/>
          </cell>
          <cell r="DZ561">
            <v>0</v>
          </cell>
          <cell r="EA561">
            <v>0</v>
          </cell>
          <cell r="EB561">
            <v>20</v>
          </cell>
          <cell r="EC561">
            <v>20</v>
          </cell>
          <cell r="ED561" t="str">
            <v/>
          </cell>
          <cell r="EE561">
            <v>0</v>
          </cell>
          <cell r="EF561">
            <v>0</v>
          </cell>
          <cell r="EG561">
            <v>20</v>
          </cell>
          <cell r="EH561">
            <v>20</v>
          </cell>
          <cell r="EI561" t="str">
            <v/>
          </cell>
          <cell r="EJ561">
            <v>0</v>
          </cell>
          <cell r="EK561">
            <v>0</v>
          </cell>
          <cell r="EL561">
            <v>20</v>
          </cell>
          <cell r="EM561">
            <v>20</v>
          </cell>
          <cell r="EN561" t="str">
            <v/>
          </cell>
          <cell r="EO561">
            <v>0</v>
          </cell>
          <cell r="EP561">
            <v>0</v>
          </cell>
          <cell r="EQ561">
            <v>20</v>
          </cell>
          <cell r="ER561">
            <v>20</v>
          </cell>
          <cell r="ES561" t="str">
            <v/>
          </cell>
          <cell r="ET561">
            <v>0</v>
          </cell>
          <cell r="EU561">
            <v>0</v>
          </cell>
          <cell r="EV561">
            <v>20</v>
          </cell>
          <cell r="EW561">
            <v>20</v>
          </cell>
          <cell r="EX561" t="str">
            <v/>
          </cell>
          <cell r="EY561">
            <v>0</v>
          </cell>
          <cell r="EZ561">
            <v>0</v>
          </cell>
          <cell r="FA561">
            <v>20</v>
          </cell>
          <cell r="FB561">
            <v>20</v>
          </cell>
          <cell r="FC561" t="str">
            <v/>
          </cell>
          <cell r="FD561">
            <v>0</v>
          </cell>
          <cell r="FE561">
            <v>0</v>
          </cell>
          <cell r="FF561">
            <v>20</v>
          </cell>
          <cell r="FG561">
            <v>20</v>
          </cell>
          <cell r="FH561" t="str">
            <v/>
          </cell>
          <cell r="FI561">
            <v>0</v>
          </cell>
          <cell r="FJ561">
            <v>0</v>
          </cell>
          <cell r="FK561">
            <v>20</v>
          </cell>
          <cell r="FL561">
            <v>20</v>
          </cell>
          <cell r="FM561" t="str">
            <v/>
          </cell>
          <cell r="FN561">
            <v>0</v>
          </cell>
          <cell r="FO561">
            <v>0</v>
          </cell>
          <cell r="FP561">
            <v>20</v>
          </cell>
          <cell r="FQ561">
            <v>20</v>
          </cell>
          <cell r="FR561" t="str">
            <v/>
          </cell>
          <cell r="FS561">
            <v>0</v>
          </cell>
          <cell r="FT561">
            <v>0</v>
          </cell>
          <cell r="FU561">
            <v>2.0333333333333332</v>
          </cell>
          <cell r="FW561" t="str">
            <v>STOCK OK</v>
          </cell>
          <cell r="FX561" t="str">
            <v>NUEVO</v>
          </cell>
          <cell r="FY561" t="str">
            <v>Si</v>
          </cell>
        </row>
        <row r="562">
          <cell r="B562" t="str">
            <v>REP-0579</v>
          </cell>
          <cell r="C562" t="str">
            <v>MIX</v>
          </cell>
          <cell r="E562">
            <v>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1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BQ562">
            <v>16</v>
          </cell>
          <cell r="BR562" t="str">
            <v/>
          </cell>
          <cell r="BS562">
            <v>0</v>
          </cell>
          <cell r="BT562">
            <v>3</v>
          </cell>
          <cell r="CJ562">
            <v>0</v>
          </cell>
          <cell r="CK562" t="str">
            <v/>
          </cell>
          <cell r="CL562">
            <v>0</v>
          </cell>
          <cell r="CM562">
            <v>0</v>
          </cell>
          <cell r="CN562">
            <v>0</v>
          </cell>
          <cell r="CO562">
            <v>1</v>
          </cell>
          <cell r="CP562" t="str">
            <v/>
          </cell>
          <cell r="CQ562">
            <v>0</v>
          </cell>
          <cell r="CR562">
            <v>0</v>
          </cell>
          <cell r="CS562">
            <v>1</v>
          </cell>
          <cell r="CT562">
            <v>1</v>
          </cell>
          <cell r="CU562" t="str">
            <v/>
          </cell>
          <cell r="CV562">
            <v>0</v>
          </cell>
          <cell r="CW562">
            <v>0</v>
          </cell>
          <cell r="CX562">
            <v>1</v>
          </cell>
          <cell r="CY562">
            <v>1</v>
          </cell>
          <cell r="CZ562" t="str">
            <v/>
          </cell>
          <cell r="DA562">
            <v>0</v>
          </cell>
          <cell r="DB562">
            <v>0</v>
          </cell>
          <cell r="DC562">
            <v>1</v>
          </cell>
          <cell r="DD562">
            <v>1</v>
          </cell>
          <cell r="DE562" t="str">
            <v/>
          </cell>
          <cell r="DF562">
            <v>0</v>
          </cell>
          <cell r="DG562">
            <v>0</v>
          </cell>
          <cell r="DH562">
            <v>1</v>
          </cell>
          <cell r="DI562">
            <v>1</v>
          </cell>
          <cell r="DJ562" t="str">
            <v/>
          </cell>
          <cell r="DK562">
            <v>0</v>
          </cell>
          <cell r="DL562">
            <v>0</v>
          </cell>
          <cell r="DM562">
            <v>1</v>
          </cell>
          <cell r="DN562">
            <v>1</v>
          </cell>
          <cell r="DO562" t="str">
            <v/>
          </cell>
          <cell r="DP562">
            <v>0</v>
          </cell>
          <cell r="DQ562">
            <v>0</v>
          </cell>
          <cell r="DR562">
            <v>1</v>
          </cell>
          <cell r="DS562">
            <v>1</v>
          </cell>
          <cell r="DT562" t="str">
            <v/>
          </cell>
          <cell r="DU562">
            <v>0</v>
          </cell>
          <cell r="DV562">
            <v>0</v>
          </cell>
          <cell r="DW562">
            <v>1</v>
          </cell>
          <cell r="DX562">
            <v>1</v>
          </cell>
          <cell r="DY562" t="str">
            <v/>
          </cell>
          <cell r="DZ562">
            <v>0</v>
          </cell>
          <cell r="EA562">
            <v>0</v>
          </cell>
          <cell r="EB562">
            <v>1</v>
          </cell>
          <cell r="EC562">
            <v>1</v>
          </cell>
          <cell r="ED562" t="str">
            <v/>
          </cell>
          <cell r="EE562">
            <v>0</v>
          </cell>
          <cell r="EF562">
            <v>0</v>
          </cell>
          <cell r="EG562">
            <v>1</v>
          </cell>
          <cell r="EH562">
            <v>1</v>
          </cell>
          <cell r="EI562" t="str">
            <v/>
          </cell>
          <cell r="EJ562">
            <v>0</v>
          </cell>
          <cell r="EK562">
            <v>0</v>
          </cell>
          <cell r="EL562">
            <v>1</v>
          </cell>
          <cell r="EM562">
            <v>1</v>
          </cell>
          <cell r="EN562" t="str">
            <v/>
          </cell>
          <cell r="EO562">
            <v>0</v>
          </cell>
          <cell r="EP562">
            <v>0</v>
          </cell>
          <cell r="EQ562">
            <v>1</v>
          </cell>
          <cell r="ER562">
            <v>1</v>
          </cell>
          <cell r="ES562" t="str">
            <v/>
          </cell>
          <cell r="ET562">
            <v>0</v>
          </cell>
          <cell r="EU562">
            <v>0</v>
          </cell>
          <cell r="EV562">
            <v>1</v>
          </cell>
          <cell r="EW562">
            <v>1</v>
          </cell>
          <cell r="EX562" t="str">
            <v/>
          </cell>
          <cell r="EY562">
            <v>0</v>
          </cell>
          <cell r="EZ562">
            <v>0</v>
          </cell>
          <cell r="FA562">
            <v>1</v>
          </cell>
          <cell r="FB562">
            <v>1</v>
          </cell>
          <cell r="FC562" t="str">
            <v/>
          </cell>
          <cell r="FD562">
            <v>0</v>
          </cell>
          <cell r="FE562">
            <v>0</v>
          </cell>
          <cell r="FF562">
            <v>1</v>
          </cell>
          <cell r="FG562">
            <v>1</v>
          </cell>
          <cell r="FH562" t="str">
            <v/>
          </cell>
          <cell r="FI562">
            <v>0</v>
          </cell>
          <cell r="FJ562">
            <v>0</v>
          </cell>
          <cell r="FK562">
            <v>1</v>
          </cell>
          <cell r="FL562">
            <v>1</v>
          </cell>
          <cell r="FM562" t="str">
            <v/>
          </cell>
          <cell r="FN562">
            <v>0</v>
          </cell>
          <cell r="FO562">
            <v>0</v>
          </cell>
          <cell r="FP562">
            <v>1</v>
          </cell>
          <cell r="FQ562">
            <v>1</v>
          </cell>
          <cell r="FR562" t="str">
            <v/>
          </cell>
          <cell r="FS562">
            <v>0</v>
          </cell>
          <cell r="FT562">
            <v>0</v>
          </cell>
          <cell r="FU562">
            <v>2.0333333333333332</v>
          </cell>
          <cell r="FW562" t="str">
            <v>STOCK OK</v>
          </cell>
          <cell r="FX562" t="str">
            <v>NUEVO</v>
          </cell>
          <cell r="FY562" t="str">
            <v>Si</v>
          </cell>
        </row>
        <row r="563">
          <cell r="B563" t="str">
            <v>REP-0580</v>
          </cell>
          <cell r="C563" t="str">
            <v>MIX</v>
          </cell>
          <cell r="E563">
            <v>1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1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BQ563">
            <v>17</v>
          </cell>
          <cell r="BR563" t="str">
            <v/>
          </cell>
          <cell r="BS563">
            <v>0</v>
          </cell>
          <cell r="BT563">
            <v>3</v>
          </cell>
          <cell r="CJ563">
            <v>0</v>
          </cell>
          <cell r="CK563" t="str">
            <v/>
          </cell>
          <cell r="CL563">
            <v>0</v>
          </cell>
          <cell r="CM563">
            <v>0</v>
          </cell>
          <cell r="CN563">
            <v>0</v>
          </cell>
          <cell r="CO563">
            <v>1</v>
          </cell>
          <cell r="CP563" t="str">
            <v/>
          </cell>
          <cell r="CQ563">
            <v>0</v>
          </cell>
          <cell r="CR563">
            <v>0</v>
          </cell>
          <cell r="CS563">
            <v>1</v>
          </cell>
          <cell r="CT563">
            <v>1</v>
          </cell>
          <cell r="CU563" t="str">
            <v/>
          </cell>
          <cell r="CV563">
            <v>0</v>
          </cell>
          <cell r="CW563">
            <v>0</v>
          </cell>
          <cell r="CX563">
            <v>1</v>
          </cell>
          <cell r="CY563">
            <v>1</v>
          </cell>
          <cell r="CZ563" t="str">
            <v/>
          </cell>
          <cell r="DA563">
            <v>0</v>
          </cell>
          <cell r="DB563">
            <v>0</v>
          </cell>
          <cell r="DC563">
            <v>1</v>
          </cell>
          <cell r="DD563">
            <v>1</v>
          </cell>
          <cell r="DE563" t="str">
            <v/>
          </cell>
          <cell r="DF563">
            <v>0</v>
          </cell>
          <cell r="DG563">
            <v>0</v>
          </cell>
          <cell r="DH563">
            <v>1</v>
          </cell>
          <cell r="DI563">
            <v>1</v>
          </cell>
          <cell r="DJ563" t="str">
            <v/>
          </cell>
          <cell r="DK563">
            <v>0</v>
          </cell>
          <cell r="DL563">
            <v>0</v>
          </cell>
          <cell r="DM563">
            <v>1</v>
          </cell>
          <cell r="DN563">
            <v>1</v>
          </cell>
          <cell r="DO563" t="str">
            <v/>
          </cell>
          <cell r="DP563">
            <v>0</v>
          </cell>
          <cell r="DQ563">
            <v>0</v>
          </cell>
          <cell r="DR563">
            <v>1</v>
          </cell>
          <cell r="DS563">
            <v>1</v>
          </cell>
          <cell r="DT563" t="str">
            <v/>
          </cell>
          <cell r="DU563">
            <v>0</v>
          </cell>
          <cell r="DV563">
            <v>0</v>
          </cell>
          <cell r="DW563">
            <v>1</v>
          </cell>
          <cell r="DX563">
            <v>1</v>
          </cell>
          <cell r="DY563" t="str">
            <v/>
          </cell>
          <cell r="DZ563">
            <v>0</v>
          </cell>
          <cell r="EA563">
            <v>0</v>
          </cell>
          <cell r="EB563">
            <v>1</v>
          </cell>
          <cell r="EC563">
            <v>1</v>
          </cell>
          <cell r="ED563" t="str">
            <v/>
          </cell>
          <cell r="EE563">
            <v>0</v>
          </cell>
          <cell r="EF563">
            <v>0</v>
          </cell>
          <cell r="EG563">
            <v>1</v>
          </cell>
          <cell r="EH563">
            <v>1</v>
          </cell>
          <cell r="EI563" t="str">
            <v/>
          </cell>
          <cell r="EJ563">
            <v>0</v>
          </cell>
          <cell r="EK563">
            <v>0</v>
          </cell>
          <cell r="EL563">
            <v>1</v>
          </cell>
          <cell r="EM563">
            <v>1</v>
          </cell>
          <cell r="EN563" t="str">
            <v/>
          </cell>
          <cell r="EO563">
            <v>0</v>
          </cell>
          <cell r="EP563">
            <v>0</v>
          </cell>
          <cell r="EQ563">
            <v>1</v>
          </cell>
          <cell r="ER563">
            <v>1</v>
          </cell>
          <cell r="ES563" t="str">
            <v/>
          </cell>
          <cell r="ET563">
            <v>0</v>
          </cell>
          <cell r="EU563">
            <v>0</v>
          </cell>
          <cell r="EV563">
            <v>1</v>
          </cell>
          <cell r="EW563">
            <v>1</v>
          </cell>
          <cell r="EX563" t="str">
            <v/>
          </cell>
          <cell r="EY563">
            <v>0</v>
          </cell>
          <cell r="EZ563">
            <v>0</v>
          </cell>
          <cell r="FA563">
            <v>1</v>
          </cell>
          <cell r="FB563">
            <v>1</v>
          </cell>
          <cell r="FC563" t="str">
            <v/>
          </cell>
          <cell r="FD563">
            <v>0</v>
          </cell>
          <cell r="FE563">
            <v>0</v>
          </cell>
          <cell r="FF563">
            <v>1</v>
          </cell>
          <cell r="FG563">
            <v>1</v>
          </cell>
          <cell r="FH563" t="str">
            <v/>
          </cell>
          <cell r="FI563">
            <v>0</v>
          </cell>
          <cell r="FJ563">
            <v>0</v>
          </cell>
          <cell r="FK563">
            <v>1</v>
          </cell>
          <cell r="FL563">
            <v>1</v>
          </cell>
          <cell r="FM563" t="str">
            <v/>
          </cell>
          <cell r="FN563">
            <v>0</v>
          </cell>
          <cell r="FO563">
            <v>0</v>
          </cell>
          <cell r="FP563">
            <v>1</v>
          </cell>
          <cell r="FQ563">
            <v>1</v>
          </cell>
          <cell r="FR563" t="str">
            <v/>
          </cell>
          <cell r="FS563">
            <v>0</v>
          </cell>
          <cell r="FT563">
            <v>0</v>
          </cell>
          <cell r="FU563">
            <v>2.0333333333333332</v>
          </cell>
          <cell r="FW563" t="str">
            <v>STOCK OK</v>
          </cell>
          <cell r="FX563" t="str">
            <v>NUEVO</v>
          </cell>
          <cell r="FY563" t="str">
            <v>Si</v>
          </cell>
        </row>
        <row r="564">
          <cell r="B564" t="str">
            <v>REP-0581</v>
          </cell>
          <cell r="C564" t="str">
            <v>MIX</v>
          </cell>
          <cell r="E564">
            <v>1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BQ564">
            <v>18</v>
          </cell>
          <cell r="BR564" t="str">
            <v/>
          </cell>
          <cell r="BS564">
            <v>0</v>
          </cell>
          <cell r="BT564">
            <v>3</v>
          </cell>
          <cell r="CJ564">
            <v>0</v>
          </cell>
          <cell r="CK564" t="str">
            <v/>
          </cell>
          <cell r="CL564">
            <v>0</v>
          </cell>
          <cell r="CM564">
            <v>0</v>
          </cell>
          <cell r="CN564">
            <v>0</v>
          </cell>
          <cell r="CO564">
            <v>1</v>
          </cell>
          <cell r="CP564" t="str">
            <v/>
          </cell>
          <cell r="CQ564">
            <v>0</v>
          </cell>
          <cell r="CR564">
            <v>0</v>
          </cell>
          <cell r="CS564">
            <v>1</v>
          </cell>
          <cell r="CT564">
            <v>1</v>
          </cell>
          <cell r="CU564" t="str">
            <v/>
          </cell>
          <cell r="CV564">
            <v>0</v>
          </cell>
          <cell r="CW564">
            <v>0</v>
          </cell>
          <cell r="CX564">
            <v>1</v>
          </cell>
          <cell r="CY564">
            <v>1</v>
          </cell>
          <cell r="CZ564" t="str">
            <v/>
          </cell>
          <cell r="DA564">
            <v>0</v>
          </cell>
          <cell r="DB564">
            <v>0</v>
          </cell>
          <cell r="DC564">
            <v>1</v>
          </cell>
          <cell r="DD564">
            <v>1</v>
          </cell>
          <cell r="DE564" t="str">
            <v/>
          </cell>
          <cell r="DF564">
            <v>0</v>
          </cell>
          <cell r="DG564">
            <v>0</v>
          </cell>
          <cell r="DH564">
            <v>1</v>
          </cell>
          <cell r="DI564">
            <v>1</v>
          </cell>
          <cell r="DJ564" t="str">
            <v/>
          </cell>
          <cell r="DK564">
            <v>0</v>
          </cell>
          <cell r="DL564">
            <v>0</v>
          </cell>
          <cell r="DM564">
            <v>1</v>
          </cell>
          <cell r="DN564">
            <v>1</v>
          </cell>
          <cell r="DO564" t="str">
            <v/>
          </cell>
          <cell r="DP564">
            <v>0</v>
          </cell>
          <cell r="DQ564">
            <v>0</v>
          </cell>
          <cell r="DR564">
            <v>1</v>
          </cell>
          <cell r="DS564">
            <v>1</v>
          </cell>
          <cell r="DT564" t="str">
            <v/>
          </cell>
          <cell r="DU564">
            <v>0</v>
          </cell>
          <cell r="DV564">
            <v>0</v>
          </cell>
          <cell r="DW564">
            <v>1</v>
          </cell>
          <cell r="DX564">
            <v>1</v>
          </cell>
          <cell r="DY564" t="str">
            <v/>
          </cell>
          <cell r="DZ564">
            <v>0</v>
          </cell>
          <cell r="EA564">
            <v>0</v>
          </cell>
          <cell r="EB564">
            <v>1</v>
          </cell>
          <cell r="EC564">
            <v>1</v>
          </cell>
          <cell r="ED564" t="str">
            <v/>
          </cell>
          <cell r="EE564">
            <v>0</v>
          </cell>
          <cell r="EF564">
            <v>0</v>
          </cell>
          <cell r="EG564">
            <v>1</v>
          </cell>
          <cell r="EH564">
            <v>1</v>
          </cell>
          <cell r="EI564" t="str">
            <v/>
          </cell>
          <cell r="EJ564">
            <v>0</v>
          </cell>
          <cell r="EK564">
            <v>0</v>
          </cell>
          <cell r="EL564">
            <v>1</v>
          </cell>
          <cell r="EM564">
            <v>1</v>
          </cell>
          <cell r="EN564" t="str">
            <v/>
          </cell>
          <cell r="EO564">
            <v>0</v>
          </cell>
          <cell r="EP564">
            <v>0</v>
          </cell>
          <cell r="EQ564">
            <v>1</v>
          </cell>
          <cell r="ER564">
            <v>1</v>
          </cell>
          <cell r="ES564" t="str">
            <v/>
          </cell>
          <cell r="ET564">
            <v>0</v>
          </cell>
          <cell r="EU564">
            <v>0</v>
          </cell>
          <cell r="EV564">
            <v>1</v>
          </cell>
          <cell r="EW564">
            <v>1</v>
          </cell>
          <cell r="EX564" t="str">
            <v/>
          </cell>
          <cell r="EY564">
            <v>0</v>
          </cell>
          <cell r="EZ564">
            <v>0</v>
          </cell>
          <cell r="FA564">
            <v>1</v>
          </cell>
          <cell r="FB564">
            <v>1</v>
          </cell>
          <cell r="FC564" t="str">
            <v/>
          </cell>
          <cell r="FD564">
            <v>0</v>
          </cell>
          <cell r="FE564">
            <v>0</v>
          </cell>
          <cell r="FF564">
            <v>1</v>
          </cell>
          <cell r="FG564">
            <v>1</v>
          </cell>
          <cell r="FH564" t="str">
            <v/>
          </cell>
          <cell r="FI564">
            <v>0</v>
          </cell>
          <cell r="FJ564">
            <v>0</v>
          </cell>
          <cell r="FK564">
            <v>1</v>
          </cell>
          <cell r="FL564">
            <v>1</v>
          </cell>
          <cell r="FM564" t="str">
            <v/>
          </cell>
          <cell r="FN564">
            <v>0</v>
          </cell>
          <cell r="FO564">
            <v>0</v>
          </cell>
          <cell r="FP564">
            <v>1</v>
          </cell>
          <cell r="FQ564">
            <v>1</v>
          </cell>
          <cell r="FR564" t="str">
            <v/>
          </cell>
          <cell r="FS564">
            <v>0</v>
          </cell>
          <cell r="FT564">
            <v>0</v>
          </cell>
          <cell r="FU564">
            <v>2.0333333333333332</v>
          </cell>
          <cell r="FW564" t="str">
            <v>STOCK OK</v>
          </cell>
          <cell r="FX564" t="str">
            <v>NUEVO</v>
          </cell>
          <cell r="FY564" t="str">
            <v>Si</v>
          </cell>
        </row>
        <row r="565">
          <cell r="B565" t="str">
            <v>REP-0582</v>
          </cell>
          <cell r="C565" t="str">
            <v>MIX</v>
          </cell>
          <cell r="E565">
            <v>1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1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BQ565">
            <v>19</v>
          </cell>
          <cell r="BR565" t="str">
            <v/>
          </cell>
          <cell r="BS565">
            <v>0</v>
          </cell>
          <cell r="BT565">
            <v>3</v>
          </cell>
          <cell r="CJ565">
            <v>0</v>
          </cell>
          <cell r="CK565" t="str">
            <v/>
          </cell>
          <cell r="CL565">
            <v>0</v>
          </cell>
          <cell r="CM565">
            <v>0</v>
          </cell>
          <cell r="CN565">
            <v>0</v>
          </cell>
          <cell r="CO565">
            <v>1</v>
          </cell>
          <cell r="CP565" t="str">
            <v/>
          </cell>
          <cell r="CQ565">
            <v>0</v>
          </cell>
          <cell r="CR565">
            <v>0</v>
          </cell>
          <cell r="CS565">
            <v>1</v>
          </cell>
          <cell r="CT565">
            <v>1</v>
          </cell>
          <cell r="CU565" t="str">
            <v/>
          </cell>
          <cell r="CV565">
            <v>0</v>
          </cell>
          <cell r="CW565">
            <v>0</v>
          </cell>
          <cell r="CX565">
            <v>1</v>
          </cell>
          <cell r="CY565">
            <v>1</v>
          </cell>
          <cell r="CZ565" t="str">
            <v/>
          </cell>
          <cell r="DA565">
            <v>0</v>
          </cell>
          <cell r="DB565">
            <v>0</v>
          </cell>
          <cell r="DC565">
            <v>1</v>
          </cell>
          <cell r="DD565">
            <v>1</v>
          </cell>
          <cell r="DE565" t="str">
            <v/>
          </cell>
          <cell r="DF565">
            <v>0</v>
          </cell>
          <cell r="DG565">
            <v>0</v>
          </cell>
          <cell r="DH565">
            <v>1</v>
          </cell>
          <cell r="DI565">
            <v>1</v>
          </cell>
          <cell r="DJ565" t="str">
            <v/>
          </cell>
          <cell r="DK565">
            <v>0</v>
          </cell>
          <cell r="DL565">
            <v>0</v>
          </cell>
          <cell r="DM565">
            <v>1</v>
          </cell>
          <cell r="DN565">
            <v>1</v>
          </cell>
          <cell r="DO565" t="str">
            <v/>
          </cell>
          <cell r="DP565">
            <v>0</v>
          </cell>
          <cell r="DQ565">
            <v>0</v>
          </cell>
          <cell r="DR565">
            <v>1</v>
          </cell>
          <cell r="DS565">
            <v>1</v>
          </cell>
          <cell r="DT565" t="str">
            <v/>
          </cell>
          <cell r="DU565">
            <v>0</v>
          </cell>
          <cell r="DV565">
            <v>0</v>
          </cell>
          <cell r="DW565">
            <v>1</v>
          </cell>
          <cell r="DX565">
            <v>1</v>
          </cell>
          <cell r="DY565" t="str">
            <v/>
          </cell>
          <cell r="DZ565">
            <v>0</v>
          </cell>
          <cell r="EA565">
            <v>0</v>
          </cell>
          <cell r="EB565">
            <v>1</v>
          </cell>
          <cell r="EC565">
            <v>1</v>
          </cell>
          <cell r="ED565" t="str">
            <v/>
          </cell>
          <cell r="EE565">
            <v>0</v>
          </cell>
          <cell r="EF565">
            <v>0</v>
          </cell>
          <cell r="EG565">
            <v>1</v>
          </cell>
          <cell r="EH565">
            <v>1</v>
          </cell>
          <cell r="EI565" t="str">
            <v/>
          </cell>
          <cell r="EJ565">
            <v>0</v>
          </cell>
          <cell r="EK565">
            <v>0</v>
          </cell>
          <cell r="EL565">
            <v>1</v>
          </cell>
          <cell r="EM565">
            <v>1</v>
          </cell>
          <cell r="EN565" t="str">
            <v/>
          </cell>
          <cell r="EO565">
            <v>0</v>
          </cell>
          <cell r="EP565">
            <v>0</v>
          </cell>
          <cell r="EQ565">
            <v>1</v>
          </cell>
          <cell r="ER565">
            <v>1</v>
          </cell>
          <cell r="ES565" t="str">
            <v/>
          </cell>
          <cell r="ET565">
            <v>0</v>
          </cell>
          <cell r="EU565">
            <v>0</v>
          </cell>
          <cell r="EV565">
            <v>1</v>
          </cell>
          <cell r="EW565">
            <v>1</v>
          </cell>
          <cell r="EX565" t="str">
            <v/>
          </cell>
          <cell r="EY565">
            <v>0</v>
          </cell>
          <cell r="EZ565">
            <v>0</v>
          </cell>
          <cell r="FA565">
            <v>1</v>
          </cell>
          <cell r="FB565">
            <v>1</v>
          </cell>
          <cell r="FC565" t="str">
            <v/>
          </cell>
          <cell r="FD565">
            <v>0</v>
          </cell>
          <cell r="FE565">
            <v>0</v>
          </cell>
          <cell r="FF565">
            <v>1</v>
          </cell>
          <cell r="FG565">
            <v>1</v>
          </cell>
          <cell r="FH565" t="str">
            <v/>
          </cell>
          <cell r="FI565">
            <v>0</v>
          </cell>
          <cell r="FJ565">
            <v>0</v>
          </cell>
          <cell r="FK565">
            <v>1</v>
          </cell>
          <cell r="FL565">
            <v>1</v>
          </cell>
          <cell r="FM565" t="str">
            <v/>
          </cell>
          <cell r="FN565">
            <v>0</v>
          </cell>
          <cell r="FO565">
            <v>0</v>
          </cell>
          <cell r="FP565">
            <v>1</v>
          </cell>
          <cell r="FQ565">
            <v>1</v>
          </cell>
          <cell r="FR565" t="str">
            <v/>
          </cell>
          <cell r="FS565">
            <v>0</v>
          </cell>
          <cell r="FT565">
            <v>0</v>
          </cell>
          <cell r="FU565">
            <v>2.0333333333333332</v>
          </cell>
          <cell r="FW565" t="str">
            <v>STOCK OK</v>
          </cell>
          <cell r="FX565" t="str">
            <v>NUEVO</v>
          </cell>
          <cell r="FY565" t="str">
            <v>Si</v>
          </cell>
        </row>
        <row r="566">
          <cell r="B566" t="str">
            <v>REP-0583</v>
          </cell>
          <cell r="C566" t="str">
            <v>MIX</v>
          </cell>
          <cell r="E566">
            <v>2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2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BQ566">
            <v>20</v>
          </cell>
          <cell r="BR566" t="str">
            <v/>
          </cell>
          <cell r="BS566">
            <v>0</v>
          </cell>
          <cell r="BT566">
            <v>3</v>
          </cell>
          <cell r="CJ566">
            <v>0</v>
          </cell>
          <cell r="CK566" t="str">
            <v/>
          </cell>
          <cell r="CL566">
            <v>0</v>
          </cell>
          <cell r="CM566">
            <v>0</v>
          </cell>
          <cell r="CN566">
            <v>0</v>
          </cell>
          <cell r="CO566">
            <v>2</v>
          </cell>
          <cell r="CP566" t="str">
            <v/>
          </cell>
          <cell r="CQ566">
            <v>0</v>
          </cell>
          <cell r="CR566">
            <v>0</v>
          </cell>
          <cell r="CS566">
            <v>2</v>
          </cell>
          <cell r="CT566">
            <v>2</v>
          </cell>
          <cell r="CU566" t="str">
            <v/>
          </cell>
          <cell r="CV566">
            <v>0</v>
          </cell>
          <cell r="CW566">
            <v>0</v>
          </cell>
          <cell r="CX566">
            <v>2</v>
          </cell>
          <cell r="CY566">
            <v>2</v>
          </cell>
          <cell r="CZ566" t="str">
            <v/>
          </cell>
          <cell r="DA566">
            <v>0</v>
          </cell>
          <cell r="DB566">
            <v>0</v>
          </cell>
          <cell r="DC566">
            <v>2</v>
          </cell>
          <cell r="DD566">
            <v>2</v>
          </cell>
          <cell r="DE566" t="str">
            <v/>
          </cell>
          <cell r="DF566">
            <v>0</v>
          </cell>
          <cell r="DG566">
            <v>0</v>
          </cell>
          <cell r="DH566">
            <v>2</v>
          </cell>
          <cell r="DI566">
            <v>2</v>
          </cell>
          <cell r="DJ566" t="str">
            <v/>
          </cell>
          <cell r="DK566">
            <v>0</v>
          </cell>
          <cell r="DL566">
            <v>0</v>
          </cell>
          <cell r="DM566">
            <v>2</v>
          </cell>
          <cell r="DN566">
            <v>2</v>
          </cell>
          <cell r="DO566" t="str">
            <v/>
          </cell>
          <cell r="DP566">
            <v>0</v>
          </cell>
          <cell r="DQ566">
            <v>0</v>
          </cell>
          <cell r="DR566">
            <v>2</v>
          </cell>
          <cell r="DS566">
            <v>2</v>
          </cell>
          <cell r="DT566" t="str">
            <v/>
          </cell>
          <cell r="DU566">
            <v>0</v>
          </cell>
          <cell r="DV566">
            <v>0</v>
          </cell>
          <cell r="DW566">
            <v>2</v>
          </cell>
          <cell r="DX566">
            <v>2</v>
          </cell>
          <cell r="DY566" t="str">
            <v/>
          </cell>
          <cell r="DZ566">
            <v>0</v>
          </cell>
          <cell r="EA566">
            <v>0</v>
          </cell>
          <cell r="EB566">
            <v>2</v>
          </cell>
          <cell r="EC566">
            <v>2</v>
          </cell>
          <cell r="ED566" t="str">
            <v/>
          </cell>
          <cell r="EE566">
            <v>0</v>
          </cell>
          <cell r="EF566">
            <v>0</v>
          </cell>
          <cell r="EG566">
            <v>2</v>
          </cell>
          <cell r="EH566">
            <v>2</v>
          </cell>
          <cell r="EI566" t="str">
            <v/>
          </cell>
          <cell r="EJ566">
            <v>0</v>
          </cell>
          <cell r="EK566">
            <v>0</v>
          </cell>
          <cell r="EL566">
            <v>2</v>
          </cell>
          <cell r="EM566">
            <v>2</v>
          </cell>
          <cell r="EN566" t="str">
            <v/>
          </cell>
          <cell r="EO566">
            <v>0</v>
          </cell>
          <cell r="EP566">
            <v>0</v>
          </cell>
          <cell r="EQ566">
            <v>2</v>
          </cell>
          <cell r="ER566">
            <v>2</v>
          </cell>
          <cell r="ES566" t="str">
            <v/>
          </cell>
          <cell r="ET566">
            <v>0</v>
          </cell>
          <cell r="EU566">
            <v>0</v>
          </cell>
          <cell r="EV566">
            <v>2</v>
          </cell>
          <cell r="EW566">
            <v>2</v>
          </cell>
          <cell r="EX566" t="str">
            <v/>
          </cell>
          <cell r="EY566">
            <v>0</v>
          </cell>
          <cell r="EZ566">
            <v>0</v>
          </cell>
          <cell r="FA566">
            <v>2</v>
          </cell>
          <cell r="FB566">
            <v>2</v>
          </cell>
          <cell r="FC566" t="str">
            <v/>
          </cell>
          <cell r="FD566">
            <v>0</v>
          </cell>
          <cell r="FE566">
            <v>0</v>
          </cell>
          <cell r="FF566">
            <v>2</v>
          </cell>
          <cell r="FG566">
            <v>2</v>
          </cell>
          <cell r="FH566" t="str">
            <v/>
          </cell>
          <cell r="FI566">
            <v>0</v>
          </cell>
          <cell r="FJ566">
            <v>0</v>
          </cell>
          <cell r="FK566">
            <v>2</v>
          </cell>
          <cell r="FL566">
            <v>2</v>
          </cell>
          <cell r="FM566" t="str">
            <v/>
          </cell>
          <cell r="FN566">
            <v>0</v>
          </cell>
          <cell r="FO566">
            <v>0</v>
          </cell>
          <cell r="FP566">
            <v>2</v>
          </cell>
          <cell r="FQ566">
            <v>2</v>
          </cell>
          <cell r="FR566" t="str">
            <v/>
          </cell>
          <cell r="FS566">
            <v>0</v>
          </cell>
          <cell r="FT566">
            <v>0</v>
          </cell>
          <cell r="FU566">
            <v>2.0333333333333332</v>
          </cell>
          <cell r="FW566" t="str">
            <v>STOCK OK</v>
          </cell>
          <cell r="FX566" t="str">
            <v>NUEVO</v>
          </cell>
          <cell r="FY566" t="str">
            <v>Si</v>
          </cell>
        </row>
        <row r="567">
          <cell r="B567" t="str">
            <v>REP-0584</v>
          </cell>
          <cell r="C567" t="str">
            <v>MIX</v>
          </cell>
          <cell r="E567">
            <v>1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1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BQ567">
            <v>21</v>
          </cell>
          <cell r="BR567" t="str">
            <v/>
          </cell>
          <cell r="BS567">
            <v>0</v>
          </cell>
          <cell r="BT567">
            <v>3</v>
          </cell>
          <cell r="CJ567">
            <v>0</v>
          </cell>
          <cell r="CK567" t="str">
            <v/>
          </cell>
          <cell r="CL567">
            <v>0</v>
          </cell>
          <cell r="CM567">
            <v>0</v>
          </cell>
          <cell r="CN567">
            <v>0</v>
          </cell>
          <cell r="CO567">
            <v>1</v>
          </cell>
          <cell r="CP567" t="str">
            <v/>
          </cell>
          <cell r="CQ567">
            <v>0</v>
          </cell>
          <cell r="CR567">
            <v>0</v>
          </cell>
          <cell r="CS567">
            <v>1</v>
          </cell>
          <cell r="CT567">
            <v>1</v>
          </cell>
          <cell r="CU567" t="str">
            <v/>
          </cell>
          <cell r="CV567">
            <v>0</v>
          </cell>
          <cell r="CW567">
            <v>0</v>
          </cell>
          <cell r="CX567">
            <v>1</v>
          </cell>
          <cell r="CY567">
            <v>1</v>
          </cell>
          <cell r="CZ567" t="str">
            <v/>
          </cell>
          <cell r="DA567">
            <v>0</v>
          </cell>
          <cell r="DB567">
            <v>0</v>
          </cell>
          <cell r="DC567">
            <v>1</v>
          </cell>
          <cell r="DD567">
            <v>1</v>
          </cell>
          <cell r="DE567" t="str">
            <v/>
          </cell>
          <cell r="DF567">
            <v>0</v>
          </cell>
          <cell r="DG567">
            <v>0</v>
          </cell>
          <cell r="DH567">
            <v>1</v>
          </cell>
          <cell r="DI567">
            <v>1</v>
          </cell>
          <cell r="DJ567" t="str">
            <v/>
          </cell>
          <cell r="DK567">
            <v>0</v>
          </cell>
          <cell r="DL567">
            <v>0</v>
          </cell>
          <cell r="DM567">
            <v>1</v>
          </cell>
          <cell r="DN567">
            <v>1</v>
          </cell>
          <cell r="DO567" t="str">
            <v/>
          </cell>
          <cell r="DP567">
            <v>0</v>
          </cell>
          <cell r="DQ567">
            <v>0</v>
          </cell>
          <cell r="DR567">
            <v>1</v>
          </cell>
          <cell r="DS567">
            <v>1</v>
          </cell>
          <cell r="DT567" t="str">
            <v/>
          </cell>
          <cell r="DU567">
            <v>0</v>
          </cell>
          <cell r="DV567">
            <v>0</v>
          </cell>
          <cell r="DW567">
            <v>1</v>
          </cell>
          <cell r="DX567">
            <v>1</v>
          </cell>
          <cell r="DY567" t="str">
            <v/>
          </cell>
          <cell r="DZ567">
            <v>0</v>
          </cell>
          <cell r="EA567">
            <v>0</v>
          </cell>
          <cell r="EB567">
            <v>1</v>
          </cell>
          <cell r="EC567">
            <v>1</v>
          </cell>
          <cell r="ED567" t="str">
            <v/>
          </cell>
          <cell r="EE567">
            <v>0</v>
          </cell>
          <cell r="EF567">
            <v>0</v>
          </cell>
          <cell r="EG567">
            <v>1</v>
          </cell>
          <cell r="EH567">
            <v>1</v>
          </cell>
          <cell r="EI567" t="str">
            <v/>
          </cell>
          <cell r="EJ567">
            <v>0</v>
          </cell>
          <cell r="EK567">
            <v>0</v>
          </cell>
          <cell r="EL567">
            <v>1</v>
          </cell>
          <cell r="EM567">
            <v>1</v>
          </cell>
          <cell r="EN567" t="str">
            <v/>
          </cell>
          <cell r="EO567">
            <v>0</v>
          </cell>
          <cell r="EP567">
            <v>0</v>
          </cell>
          <cell r="EQ567">
            <v>1</v>
          </cell>
          <cell r="ER567">
            <v>1</v>
          </cell>
          <cell r="ES567" t="str">
            <v/>
          </cell>
          <cell r="ET567">
            <v>0</v>
          </cell>
          <cell r="EU567">
            <v>0</v>
          </cell>
          <cell r="EV567">
            <v>1</v>
          </cell>
          <cell r="EW567">
            <v>1</v>
          </cell>
          <cell r="EX567" t="str">
            <v/>
          </cell>
          <cell r="EY567">
            <v>0</v>
          </cell>
          <cell r="EZ567">
            <v>0</v>
          </cell>
          <cell r="FA567">
            <v>1</v>
          </cell>
          <cell r="FB567">
            <v>1</v>
          </cell>
          <cell r="FC567" t="str">
            <v/>
          </cell>
          <cell r="FD567">
            <v>0</v>
          </cell>
          <cell r="FE567">
            <v>0</v>
          </cell>
          <cell r="FF567">
            <v>1</v>
          </cell>
          <cell r="FG567">
            <v>1</v>
          </cell>
          <cell r="FH567" t="str">
            <v/>
          </cell>
          <cell r="FI567">
            <v>0</v>
          </cell>
          <cell r="FJ567">
            <v>0</v>
          </cell>
          <cell r="FK567">
            <v>1</v>
          </cell>
          <cell r="FL567">
            <v>1</v>
          </cell>
          <cell r="FM567" t="str">
            <v/>
          </cell>
          <cell r="FN567">
            <v>0</v>
          </cell>
          <cell r="FO567">
            <v>0</v>
          </cell>
          <cell r="FP567">
            <v>1</v>
          </cell>
          <cell r="FQ567">
            <v>1</v>
          </cell>
          <cell r="FR567" t="str">
            <v/>
          </cell>
          <cell r="FS567">
            <v>0</v>
          </cell>
          <cell r="FT567">
            <v>0</v>
          </cell>
          <cell r="FU567">
            <v>2.0333333333333332</v>
          </cell>
          <cell r="FW567" t="str">
            <v>STOCK OK</v>
          </cell>
          <cell r="FX567" t="str">
            <v>NUEVO</v>
          </cell>
          <cell r="FY567" t="str">
            <v>Si</v>
          </cell>
        </row>
        <row r="568">
          <cell r="B568" t="str">
            <v>REP-0585</v>
          </cell>
          <cell r="C568" t="str">
            <v>MIX</v>
          </cell>
          <cell r="E568">
            <v>1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1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BQ568">
            <v>22</v>
          </cell>
          <cell r="BR568" t="str">
            <v/>
          </cell>
          <cell r="BS568">
            <v>0</v>
          </cell>
          <cell r="BT568">
            <v>3</v>
          </cell>
          <cell r="CJ568">
            <v>0</v>
          </cell>
          <cell r="CK568" t="str">
            <v/>
          </cell>
          <cell r="CL568">
            <v>0</v>
          </cell>
          <cell r="CM568">
            <v>0</v>
          </cell>
          <cell r="CN568">
            <v>0</v>
          </cell>
          <cell r="CO568">
            <v>1</v>
          </cell>
          <cell r="CP568" t="str">
            <v/>
          </cell>
          <cell r="CQ568">
            <v>0</v>
          </cell>
          <cell r="CR568">
            <v>0</v>
          </cell>
          <cell r="CS568">
            <v>1</v>
          </cell>
          <cell r="CT568">
            <v>1</v>
          </cell>
          <cell r="CU568" t="str">
            <v/>
          </cell>
          <cell r="CV568">
            <v>0</v>
          </cell>
          <cell r="CW568">
            <v>0</v>
          </cell>
          <cell r="CX568">
            <v>1</v>
          </cell>
          <cell r="CY568">
            <v>1</v>
          </cell>
          <cell r="CZ568" t="str">
            <v/>
          </cell>
          <cell r="DA568">
            <v>0</v>
          </cell>
          <cell r="DB568">
            <v>0</v>
          </cell>
          <cell r="DC568">
            <v>1</v>
          </cell>
          <cell r="DD568">
            <v>1</v>
          </cell>
          <cell r="DE568" t="str">
            <v/>
          </cell>
          <cell r="DF568">
            <v>0</v>
          </cell>
          <cell r="DG568">
            <v>0</v>
          </cell>
          <cell r="DH568">
            <v>1</v>
          </cell>
          <cell r="DI568">
            <v>1</v>
          </cell>
          <cell r="DJ568" t="str">
            <v/>
          </cell>
          <cell r="DK568">
            <v>0</v>
          </cell>
          <cell r="DL568">
            <v>0</v>
          </cell>
          <cell r="DM568">
            <v>1</v>
          </cell>
          <cell r="DN568">
            <v>1</v>
          </cell>
          <cell r="DO568" t="str">
            <v/>
          </cell>
          <cell r="DP568">
            <v>0</v>
          </cell>
          <cell r="DQ568">
            <v>0</v>
          </cell>
          <cell r="DR568">
            <v>1</v>
          </cell>
          <cell r="DS568">
            <v>1</v>
          </cell>
          <cell r="DT568" t="str">
            <v/>
          </cell>
          <cell r="DU568">
            <v>0</v>
          </cell>
          <cell r="DV568">
            <v>0</v>
          </cell>
          <cell r="DW568">
            <v>1</v>
          </cell>
          <cell r="DX568">
            <v>1</v>
          </cell>
          <cell r="DY568" t="str">
            <v/>
          </cell>
          <cell r="DZ568">
            <v>0</v>
          </cell>
          <cell r="EA568">
            <v>0</v>
          </cell>
          <cell r="EB568">
            <v>1</v>
          </cell>
          <cell r="EC568">
            <v>1</v>
          </cell>
          <cell r="ED568" t="str">
            <v/>
          </cell>
          <cell r="EE568">
            <v>0</v>
          </cell>
          <cell r="EF568">
            <v>0</v>
          </cell>
          <cell r="EG568">
            <v>1</v>
          </cell>
          <cell r="EH568">
            <v>1</v>
          </cell>
          <cell r="EI568" t="str">
            <v/>
          </cell>
          <cell r="EJ568">
            <v>0</v>
          </cell>
          <cell r="EK568">
            <v>0</v>
          </cell>
          <cell r="EL568">
            <v>1</v>
          </cell>
          <cell r="EM568">
            <v>1</v>
          </cell>
          <cell r="EN568" t="str">
            <v/>
          </cell>
          <cell r="EO568">
            <v>0</v>
          </cell>
          <cell r="EP568">
            <v>0</v>
          </cell>
          <cell r="EQ568">
            <v>1</v>
          </cell>
          <cell r="ER568">
            <v>1</v>
          </cell>
          <cell r="ES568" t="str">
            <v/>
          </cell>
          <cell r="ET568">
            <v>0</v>
          </cell>
          <cell r="EU568">
            <v>0</v>
          </cell>
          <cell r="EV568">
            <v>1</v>
          </cell>
          <cell r="EW568">
            <v>1</v>
          </cell>
          <cell r="EX568" t="str">
            <v/>
          </cell>
          <cell r="EY568">
            <v>0</v>
          </cell>
          <cell r="EZ568">
            <v>0</v>
          </cell>
          <cell r="FA568">
            <v>1</v>
          </cell>
          <cell r="FB568">
            <v>1</v>
          </cell>
          <cell r="FC568" t="str">
            <v/>
          </cell>
          <cell r="FD568">
            <v>0</v>
          </cell>
          <cell r="FE568">
            <v>0</v>
          </cell>
          <cell r="FF568">
            <v>1</v>
          </cell>
          <cell r="FG568">
            <v>1</v>
          </cell>
          <cell r="FH568" t="str">
            <v/>
          </cell>
          <cell r="FI568">
            <v>0</v>
          </cell>
          <cell r="FJ568">
            <v>0</v>
          </cell>
          <cell r="FK568">
            <v>1</v>
          </cell>
          <cell r="FL568">
            <v>1</v>
          </cell>
          <cell r="FM568" t="str">
            <v/>
          </cell>
          <cell r="FN568">
            <v>0</v>
          </cell>
          <cell r="FO568">
            <v>0</v>
          </cell>
          <cell r="FP568">
            <v>1</v>
          </cell>
          <cell r="FQ568">
            <v>1</v>
          </cell>
          <cell r="FR568" t="str">
            <v/>
          </cell>
          <cell r="FS568">
            <v>0</v>
          </cell>
          <cell r="FT568">
            <v>0</v>
          </cell>
          <cell r="FU568">
            <v>2.0333333333333332</v>
          </cell>
          <cell r="FW568" t="str">
            <v>STOCK OK</v>
          </cell>
          <cell r="FX568" t="str">
            <v>NUEVO</v>
          </cell>
          <cell r="FY568" t="str">
            <v>Si</v>
          </cell>
        </row>
        <row r="569">
          <cell r="B569" t="str">
            <v>REP-0586</v>
          </cell>
          <cell r="C569" t="str">
            <v>MIX</v>
          </cell>
          <cell r="E569">
            <v>2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BQ569">
            <v>23</v>
          </cell>
          <cell r="BR569" t="str">
            <v/>
          </cell>
          <cell r="BS569">
            <v>0</v>
          </cell>
          <cell r="BT569">
            <v>3</v>
          </cell>
          <cell r="CJ569">
            <v>0</v>
          </cell>
          <cell r="CK569" t="str">
            <v/>
          </cell>
          <cell r="CL569">
            <v>0</v>
          </cell>
          <cell r="CM569">
            <v>0</v>
          </cell>
          <cell r="CN569">
            <v>0</v>
          </cell>
          <cell r="CO569">
            <v>2</v>
          </cell>
          <cell r="CP569" t="str">
            <v/>
          </cell>
          <cell r="CQ569">
            <v>0</v>
          </cell>
          <cell r="CR569">
            <v>0</v>
          </cell>
          <cell r="CS569">
            <v>2</v>
          </cell>
          <cell r="CT569">
            <v>2</v>
          </cell>
          <cell r="CU569" t="str">
            <v/>
          </cell>
          <cell r="CV569">
            <v>0</v>
          </cell>
          <cell r="CW569">
            <v>0</v>
          </cell>
          <cell r="CX569">
            <v>2</v>
          </cell>
          <cell r="CY569">
            <v>2</v>
          </cell>
          <cell r="CZ569" t="str">
            <v/>
          </cell>
          <cell r="DA569">
            <v>0</v>
          </cell>
          <cell r="DB569">
            <v>0</v>
          </cell>
          <cell r="DC569">
            <v>2</v>
          </cell>
          <cell r="DD569">
            <v>2</v>
          </cell>
          <cell r="DE569" t="str">
            <v/>
          </cell>
          <cell r="DF569">
            <v>0</v>
          </cell>
          <cell r="DG569">
            <v>0</v>
          </cell>
          <cell r="DH569">
            <v>2</v>
          </cell>
          <cell r="DI569">
            <v>2</v>
          </cell>
          <cell r="DJ569" t="str">
            <v/>
          </cell>
          <cell r="DK569">
            <v>0</v>
          </cell>
          <cell r="DL569">
            <v>0</v>
          </cell>
          <cell r="DM569">
            <v>2</v>
          </cell>
          <cell r="DN569">
            <v>2</v>
          </cell>
          <cell r="DO569" t="str">
            <v/>
          </cell>
          <cell r="DP569">
            <v>0</v>
          </cell>
          <cell r="DQ569">
            <v>0</v>
          </cell>
          <cell r="DR569">
            <v>2</v>
          </cell>
          <cell r="DS569">
            <v>2</v>
          </cell>
          <cell r="DT569" t="str">
            <v/>
          </cell>
          <cell r="DU569">
            <v>0</v>
          </cell>
          <cell r="DV569">
            <v>0</v>
          </cell>
          <cell r="DW569">
            <v>2</v>
          </cell>
          <cell r="DX569">
            <v>2</v>
          </cell>
          <cell r="DY569" t="str">
            <v/>
          </cell>
          <cell r="DZ569">
            <v>0</v>
          </cell>
          <cell r="EA569">
            <v>0</v>
          </cell>
          <cell r="EB569">
            <v>2</v>
          </cell>
          <cell r="EC569">
            <v>2</v>
          </cell>
          <cell r="ED569" t="str">
            <v/>
          </cell>
          <cell r="EE569">
            <v>0</v>
          </cell>
          <cell r="EF569">
            <v>0</v>
          </cell>
          <cell r="EG569">
            <v>2</v>
          </cell>
          <cell r="EH569">
            <v>2</v>
          </cell>
          <cell r="EI569" t="str">
            <v/>
          </cell>
          <cell r="EJ569">
            <v>0</v>
          </cell>
          <cell r="EK569">
            <v>0</v>
          </cell>
          <cell r="EL569">
            <v>2</v>
          </cell>
          <cell r="EM569">
            <v>2</v>
          </cell>
          <cell r="EN569" t="str">
            <v/>
          </cell>
          <cell r="EO569">
            <v>0</v>
          </cell>
          <cell r="EP569">
            <v>0</v>
          </cell>
          <cell r="EQ569">
            <v>2</v>
          </cell>
          <cell r="ER569">
            <v>2</v>
          </cell>
          <cell r="ES569" t="str">
            <v/>
          </cell>
          <cell r="ET569">
            <v>0</v>
          </cell>
          <cell r="EU569">
            <v>0</v>
          </cell>
          <cell r="EV569">
            <v>2</v>
          </cell>
          <cell r="EW569">
            <v>2</v>
          </cell>
          <cell r="EX569" t="str">
            <v/>
          </cell>
          <cell r="EY569">
            <v>0</v>
          </cell>
          <cell r="EZ569">
            <v>0</v>
          </cell>
          <cell r="FA569">
            <v>2</v>
          </cell>
          <cell r="FB569">
            <v>2</v>
          </cell>
          <cell r="FC569" t="str">
            <v/>
          </cell>
          <cell r="FD569">
            <v>0</v>
          </cell>
          <cell r="FE569">
            <v>0</v>
          </cell>
          <cell r="FF569">
            <v>2</v>
          </cell>
          <cell r="FG569">
            <v>2</v>
          </cell>
          <cell r="FH569" t="str">
            <v/>
          </cell>
          <cell r="FI569">
            <v>0</v>
          </cell>
          <cell r="FJ569">
            <v>0</v>
          </cell>
          <cell r="FK569">
            <v>2</v>
          </cell>
          <cell r="FL569">
            <v>2</v>
          </cell>
          <cell r="FM569" t="str">
            <v/>
          </cell>
          <cell r="FN569">
            <v>0</v>
          </cell>
          <cell r="FO569">
            <v>0</v>
          </cell>
          <cell r="FP569">
            <v>2</v>
          </cell>
          <cell r="FQ569">
            <v>2</v>
          </cell>
          <cell r="FR569" t="str">
            <v/>
          </cell>
          <cell r="FS569">
            <v>0</v>
          </cell>
          <cell r="FT569">
            <v>0</v>
          </cell>
          <cell r="FU569">
            <v>2.0333333333333332</v>
          </cell>
          <cell r="FW569" t="str">
            <v>STOCK OK</v>
          </cell>
          <cell r="FX569" t="str">
            <v>NUEVO</v>
          </cell>
          <cell r="FY569" t="str">
            <v>Si</v>
          </cell>
        </row>
        <row r="570">
          <cell r="B570" t="str">
            <v>REP-0587</v>
          </cell>
          <cell r="C570" t="str">
            <v>MIX</v>
          </cell>
          <cell r="E570">
            <v>1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1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BQ570">
            <v>24</v>
          </cell>
          <cell r="BR570" t="str">
            <v/>
          </cell>
          <cell r="BS570">
            <v>0</v>
          </cell>
          <cell r="BT570">
            <v>3</v>
          </cell>
          <cell r="CJ570">
            <v>0</v>
          </cell>
          <cell r="CK570" t="str">
            <v/>
          </cell>
          <cell r="CL570">
            <v>0</v>
          </cell>
          <cell r="CM570">
            <v>0</v>
          </cell>
          <cell r="CN570">
            <v>0</v>
          </cell>
          <cell r="CO570">
            <v>1</v>
          </cell>
          <cell r="CP570" t="str">
            <v/>
          </cell>
          <cell r="CQ570">
            <v>0</v>
          </cell>
          <cell r="CR570">
            <v>0</v>
          </cell>
          <cell r="CS570">
            <v>1</v>
          </cell>
          <cell r="CT570">
            <v>1</v>
          </cell>
          <cell r="CU570" t="str">
            <v/>
          </cell>
          <cell r="CV570">
            <v>0</v>
          </cell>
          <cell r="CW570">
            <v>0</v>
          </cell>
          <cell r="CX570">
            <v>1</v>
          </cell>
          <cell r="CY570">
            <v>1</v>
          </cell>
          <cell r="CZ570" t="str">
            <v/>
          </cell>
          <cell r="DA570">
            <v>0</v>
          </cell>
          <cell r="DB570">
            <v>0</v>
          </cell>
          <cell r="DC570">
            <v>1</v>
          </cell>
          <cell r="DD570">
            <v>1</v>
          </cell>
          <cell r="DE570" t="str">
            <v/>
          </cell>
          <cell r="DF570">
            <v>0</v>
          </cell>
          <cell r="DG570">
            <v>0</v>
          </cell>
          <cell r="DH570">
            <v>1</v>
          </cell>
          <cell r="DI570">
            <v>1</v>
          </cell>
          <cell r="DJ570" t="str">
            <v/>
          </cell>
          <cell r="DK570">
            <v>0</v>
          </cell>
          <cell r="DL570">
            <v>0</v>
          </cell>
          <cell r="DM570">
            <v>1</v>
          </cell>
          <cell r="DN570">
            <v>1</v>
          </cell>
          <cell r="DO570" t="str">
            <v/>
          </cell>
          <cell r="DP570">
            <v>0</v>
          </cell>
          <cell r="DQ570">
            <v>0</v>
          </cell>
          <cell r="DR570">
            <v>1</v>
          </cell>
          <cell r="DS570">
            <v>1</v>
          </cell>
          <cell r="DT570" t="str">
            <v/>
          </cell>
          <cell r="DU570">
            <v>0</v>
          </cell>
          <cell r="DV570">
            <v>0</v>
          </cell>
          <cell r="DW570">
            <v>1</v>
          </cell>
          <cell r="DX570">
            <v>1</v>
          </cell>
          <cell r="DY570" t="str">
            <v/>
          </cell>
          <cell r="DZ570">
            <v>0</v>
          </cell>
          <cell r="EA570">
            <v>0</v>
          </cell>
          <cell r="EB570">
            <v>1</v>
          </cell>
          <cell r="EC570">
            <v>1</v>
          </cell>
          <cell r="ED570" t="str">
            <v/>
          </cell>
          <cell r="EE570">
            <v>0</v>
          </cell>
          <cell r="EF570">
            <v>0</v>
          </cell>
          <cell r="EG570">
            <v>1</v>
          </cell>
          <cell r="EH570">
            <v>1</v>
          </cell>
          <cell r="EI570" t="str">
            <v/>
          </cell>
          <cell r="EJ570">
            <v>0</v>
          </cell>
          <cell r="EK570">
            <v>0</v>
          </cell>
          <cell r="EL570">
            <v>1</v>
          </cell>
          <cell r="EM570">
            <v>1</v>
          </cell>
          <cell r="EN570" t="str">
            <v/>
          </cell>
          <cell r="EO570">
            <v>0</v>
          </cell>
          <cell r="EP570">
            <v>0</v>
          </cell>
          <cell r="EQ570">
            <v>1</v>
          </cell>
          <cell r="ER570">
            <v>1</v>
          </cell>
          <cell r="ES570" t="str">
            <v/>
          </cell>
          <cell r="ET570">
            <v>0</v>
          </cell>
          <cell r="EU570">
            <v>0</v>
          </cell>
          <cell r="EV570">
            <v>1</v>
          </cell>
          <cell r="EW570">
            <v>1</v>
          </cell>
          <cell r="EX570" t="str">
            <v/>
          </cell>
          <cell r="EY570">
            <v>0</v>
          </cell>
          <cell r="EZ570">
            <v>0</v>
          </cell>
          <cell r="FA570">
            <v>1</v>
          </cell>
          <cell r="FB570">
            <v>1</v>
          </cell>
          <cell r="FC570" t="str">
            <v/>
          </cell>
          <cell r="FD570">
            <v>0</v>
          </cell>
          <cell r="FE570">
            <v>0</v>
          </cell>
          <cell r="FF570">
            <v>1</v>
          </cell>
          <cell r="FG570">
            <v>1</v>
          </cell>
          <cell r="FH570" t="str">
            <v/>
          </cell>
          <cell r="FI570">
            <v>0</v>
          </cell>
          <cell r="FJ570">
            <v>0</v>
          </cell>
          <cell r="FK570">
            <v>1</v>
          </cell>
          <cell r="FL570">
            <v>1</v>
          </cell>
          <cell r="FM570" t="str">
            <v/>
          </cell>
          <cell r="FN570">
            <v>0</v>
          </cell>
          <cell r="FO570">
            <v>0</v>
          </cell>
          <cell r="FP570">
            <v>1</v>
          </cell>
          <cell r="FQ570">
            <v>1</v>
          </cell>
          <cell r="FR570" t="str">
            <v/>
          </cell>
          <cell r="FS570">
            <v>0</v>
          </cell>
          <cell r="FT570">
            <v>0</v>
          </cell>
          <cell r="FU570">
            <v>2.0333333333333332</v>
          </cell>
          <cell r="FW570" t="str">
            <v>STOCK OK</v>
          </cell>
          <cell r="FX570" t="str">
            <v>NUEVO</v>
          </cell>
          <cell r="FY570" t="str">
            <v>Si</v>
          </cell>
        </row>
        <row r="571">
          <cell r="B571" t="str">
            <v>REP-0588</v>
          </cell>
          <cell r="C571" t="str">
            <v>MIX</v>
          </cell>
          <cell r="E571">
            <v>1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1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BQ571">
            <v>25</v>
          </cell>
          <cell r="BR571" t="str">
            <v/>
          </cell>
          <cell r="BS571">
            <v>0</v>
          </cell>
          <cell r="BT571">
            <v>3</v>
          </cell>
          <cell r="CJ571">
            <v>0</v>
          </cell>
          <cell r="CK571" t="str">
            <v/>
          </cell>
          <cell r="CL571">
            <v>0</v>
          </cell>
          <cell r="CM571">
            <v>0</v>
          </cell>
          <cell r="CN571">
            <v>0</v>
          </cell>
          <cell r="CO571">
            <v>1</v>
          </cell>
          <cell r="CP571" t="str">
            <v/>
          </cell>
          <cell r="CQ571">
            <v>0</v>
          </cell>
          <cell r="CR571">
            <v>0</v>
          </cell>
          <cell r="CS571">
            <v>1</v>
          </cell>
          <cell r="CT571">
            <v>1</v>
          </cell>
          <cell r="CU571" t="str">
            <v/>
          </cell>
          <cell r="CV571">
            <v>0</v>
          </cell>
          <cell r="CW571">
            <v>0</v>
          </cell>
          <cell r="CX571">
            <v>1</v>
          </cell>
          <cell r="CY571">
            <v>1</v>
          </cell>
          <cell r="CZ571" t="str">
            <v/>
          </cell>
          <cell r="DA571">
            <v>0</v>
          </cell>
          <cell r="DB571">
            <v>0</v>
          </cell>
          <cell r="DC571">
            <v>1</v>
          </cell>
          <cell r="DD571">
            <v>1</v>
          </cell>
          <cell r="DE571" t="str">
            <v/>
          </cell>
          <cell r="DF571">
            <v>0</v>
          </cell>
          <cell r="DG571">
            <v>0</v>
          </cell>
          <cell r="DH571">
            <v>1</v>
          </cell>
          <cell r="DI571">
            <v>1</v>
          </cell>
          <cell r="DJ571" t="str">
            <v/>
          </cell>
          <cell r="DK571">
            <v>0</v>
          </cell>
          <cell r="DL571">
            <v>0</v>
          </cell>
          <cell r="DM571">
            <v>1</v>
          </cell>
          <cell r="DN571">
            <v>1</v>
          </cell>
          <cell r="DO571" t="str">
            <v/>
          </cell>
          <cell r="DP571">
            <v>0</v>
          </cell>
          <cell r="DQ571">
            <v>0</v>
          </cell>
          <cell r="DR571">
            <v>1</v>
          </cell>
          <cell r="DS571">
            <v>1</v>
          </cell>
          <cell r="DT571" t="str">
            <v/>
          </cell>
          <cell r="DU571">
            <v>0</v>
          </cell>
          <cell r="DV571">
            <v>0</v>
          </cell>
          <cell r="DW571">
            <v>1</v>
          </cell>
          <cell r="DX571">
            <v>1</v>
          </cell>
          <cell r="DY571" t="str">
            <v/>
          </cell>
          <cell r="DZ571">
            <v>0</v>
          </cell>
          <cell r="EA571">
            <v>0</v>
          </cell>
          <cell r="EB571">
            <v>1</v>
          </cell>
          <cell r="EC571">
            <v>1</v>
          </cell>
          <cell r="ED571" t="str">
            <v/>
          </cell>
          <cell r="EE571">
            <v>0</v>
          </cell>
          <cell r="EF571">
            <v>0</v>
          </cell>
          <cell r="EG571">
            <v>1</v>
          </cell>
          <cell r="EH571">
            <v>1</v>
          </cell>
          <cell r="EI571" t="str">
            <v/>
          </cell>
          <cell r="EJ571">
            <v>0</v>
          </cell>
          <cell r="EK571">
            <v>0</v>
          </cell>
          <cell r="EL571">
            <v>1</v>
          </cell>
          <cell r="EM571">
            <v>1</v>
          </cell>
          <cell r="EN571" t="str">
            <v/>
          </cell>
          <cell r="EO571">
            <v>0</v>
          </cell>
          <cell r="EP571">
            <v>0</v>
          </cell>
          <cell r="EQ571">
            <v>1</v>
          </cell>
          <cell r="ER571">
            <v>1</v>
          </cell>
          <cell r="ES571" t="str">
            <v/>
          </cell>
          <cell r="ET571">
            <v>0</v>
          </cell>
          <cell r="EU571">
            <v>0</v>
          </cell>
          <cell r="EV571">
            <v>1</v>
          </cell>
          <cell r="EW571">
            <v>1</v>
          </cell>
          <cell r="EX571" t="str">
            <v/>
          </cell>
          <cell r="EY571">
            <v>0</v>
          </cell>
          <cell r="EZ571">
            <v>0</v>
          </cell>
          <cell r="FA571">
            <v>1</v>
          </cell>
          <cell r="FB571">
            <v>1</v>
          </cell>
          <cell r="FC571" t="str">
            <v/>
          </cell>
          <cell r="FD571">
            <v>0</v>
          </cell>
          <cell r="FE571">
            <v>0</v>
          </cell>
          <cell r="FF571">
            <v>1</v>
          </cell>
          <cell r="FG571">
            <v>1</v>
          </cell>
          <cell r="FH571" t="str">
            <v/>
          </cell>
          <cell r="FI571">
            <v>0</v>
          </cell>
          <cell r="FJ571">
            <v>0</v>
          </cell>
          <cell r="FK571">
            <v>1</v>
          </cell>
          <cell r="FL571">
            <v>1</v>
          </cell>
          <cell r="FM571" t="str">
            <v/>
          </cell>
          <cell r="FN571">
            <v>0</v>
          </cell>
          <cell r="FO571">
            <v>0</v>
          </cell>
          <cell r="FP571">
            <v>1</v>
          </cell>
          <cell r="FQ571">
            <v>1</v>
          </cell>
          <cell r="FR571" t="str">
            <v/>
          </cell>
          <cell r="FS571">
            <v>0</v>
          </cell>
          <cell r="FT571">
            <v>0</v>
          </cell>
          <cell r="FU571">
            <v>2.0333333333333332</v>
          </cell>
          <cell r="FW571" t="str">
            <v>STOCK OK</v>
          </cell>
          <cell r="FX571" t="str">
            <v>NUEVO</v>
          </cell>
          <cell r="FY571" t="str">
            <v>Si</v>
          </cell>
        </row>
        <row r="572">
          <cell r="B572" t="str">
            <v>REP-0589</v>
          </cell>
          <cell r="C572" t="str">
            <v>MIX</v>
          </cell>
          <cell r="E572">
            <v>2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2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BQ572">
            <v>26</v>
          </cell>
          <cell r="BR572" t="str">
            <v/>
          </cell>
          <cell r="BS572">
            <v>0</v>
          </cell>
          <cell r="BT572">
            <v>3</v>
          </cell>
          <cell r="CJ572">
            <v>0</v>
          </cell>
          <cell r="CK572" t="str">
            <v/>
          </cell>
          <cell r="CL572">
            <v>0</v>
          </cell>
          <cell r="CM572">
            <v>0</v>
          </cell>
          <cell r="CN572">
            <v>0</v>
          </cell>
          <cell r="CO572">
            <v>2</v>
          </cell>
          <cell r="CP572" t="str">
            <v/>
          </cell>
          <cell r="CQ572">
            <v>0</v>
          </cell>
          <cell r="CR572">
            <v>0</v>
          </cell>
          <cell r="CS572">
            <v>2</v>
          </cell>
          <cell r="CT572">
            <v>2</v>
          </cell>
          <cell r="CU572" t="str">
            <v/>
          </cell>
          <cell r="CV572">
            <v>0</v>
          </cell>
          <cell r="CW572">
            <v>0</v>
          </cell>
          <cell r="CX572">
            <v>2</v>
          </cell>
          <cell r="CY572">
            <v>2</v>
          </cell>
          <cell r="CZ572" t="str">
            <v/>
          </cell>
          <cell r="DA572">
            <v>0</v>
          </cell>
          <cell r="DB572">
            <v>0</v>
          </cell>
          <cell r="DC572">
            <v>2</v>
          </cell>
          <cell r="DD572">
            <v>2</v>
          </cell>
          <cell r="DE572" t="str">
            <v/>
          </cell>
          <cell r="DF572">
            <v>0</v>
          </cell>
          <cell r="DG572">
            <v>0</v>
          </cell>
          <cell r="DH572">
            <v>2</v>
          </cell>
          <cell r="DI572">
            <v>2</v>
          </cell>
          <cell r="DJ572" t="str">
            <v/>
          </cell>
          <cell r="DK572">
            <v>0</v>
          </cell>
          <cell r="DL572">
            <v>0</v>
          </cell>
          <cell r="DM572">
            <v>2</v>
          </cell>
          <cell r="DN572">
            <v>2</v>
          </cell>
          <cell r="DO572" t="str">
            <v/>
          </cell>
          <cell r="DP572">
            <v>0</v>
          </cell>
          <cell r="DQ572">
            <v>0</v>
          </cell>
          <cell r="DR572">
            <v>2</v>
          </cell>
          <cell r="DS572">
            <v>2</v>
          </cell>
          <cell r="DT572" t="str">
            <v/>
          </cell>
          <cell r="DU572">
            <v>0</v>
          </cell>
          <cell r="DV572">
            <v>0</v>
          </cell>
          <cell r="DW572">
            <v>2</v>
          </cell>
          <cell r="DX572">
            <v>2</v>
          </cell>
          <cell r="DY572" t="str">
            <v/>
          </cell>
          <cell r="DZ572">
            <v>0</v>
          </cell>
          <cell r="EA572">
            <v>0</v>
          </cell>
          <cell r="EB572">
            <v>2</v>
          </cell>
          <cell r="EC572">
            <v>2</v>
          </cell>
          <cell r="ED572" t="str">
            <v/>
          </cell>
          <cell r="EE572">
            <v>0</v>
          </cell>
          <cell r="EF572">
            <v>0</v>
          </cell>
          <cell r="EG572">
            <v>2</v>
          </cell>
          <cell r="EH572">
            <v>2</v>
          </cell>
          <cell r="EI572" t="str">
            <v/>
          </cell>
          <cell r="EJ572">
            <v>0</v>
          </cell>
          <cell r="EK572">
            <v>0</v>
          </cell>
          <cell r="EL572">
            <v>2</v>
          </cell>
          <cell r="EM572">
            <v>2</v>
          </cell>
          <cell r="EN572" t="str">
            <v/>
          </cell>
          <cell r="EO572">
            <v>0</v>
          </cell>
          <cell r="EP572">
            <v>0</v>
          </cell>
          <cell r="EQ572">
            <v>2</v>
          </cell>
          <cell r="ER572">
            <v>2</v>
          </cell>
          <cell r="ES572" t="str">
            <v/>
          </cell>
          <cell r="ET572">
            <v>0</v>
          </cell>
          <cell r="EU572">
            <v>0</v>
          </cell>
          <cell r="EV572">
            <v>2</v>
          </cell>
          <cell r="EW572">
            <v>2</v>
          </cell>
          <cell r="EX572" t="str">
            <v/>
          </cell>
          <cell r="EY572">
            <v>0</v>
          </cell>
          <cell r="EZ572">
            <v>0</v>
          </cell>
          <cell r="FA572">
            <v>2</v>
          </cell>
          <cell r="FB572">
            <v>2</v>
          </cell>
          <cell r="FC572" t="str">
            <v/>
          </cell>
          <cell r="FD572">
            <v>0</v>
          </cell>
          <cell r="FE572">
            <v>0</v>
          </cell>
          <cell r="FF572">
            <v>2</v>
          </cell>
          <cell r="FG572">
            <v>2</v>
          </cell>
          <cell r="FH572" t="str">
            <v/>
          </cell>
          <cell r="FI572">
            <v>0</v>
          </cell>
          <cell r="FJ572">
            <v>0</v>
          </cell>
          <cell r="FK572">
            <v>2</v>
          </cell>
          <cell r="FL572">
            <v>2</v>
          </cell>
          <cell r="FM572" t="str">
            <v/>
          </cell>
          <cell r="FN572">
            <v>0</v>
          </cell>
          <cell r="FO572">
            <v>0</v>
          </cell>
          <cell r="FP572">
            <v>2</v>
          </cell>
          <cell r="FQ572">
            <v>2</v>
          </cell>
          <cell r="FR572" t="str">
            <v/>
          </cell>
          <cell r="FS572">
            <v>0</v>
          </cell>
          <cell r="FT572">
            <v>0</v>
          </cell>
          <cell r="FU572">
            <v>2.0333333333333332</v>
          </cell>
          <cell r="FW572" t="str">
            <v>STOCK OK</v>
          </cell>
          <cell r="FX572" t="str">
            <v>NUEVO</v>
          </cell>
          <cell r="FY572" t="str">
            <v>Si</v>
          </cell>
        </row>
        <row r="573">
          <cell r="B573" t="str">
            <v>REP-0590</v>
          </cell>
          <cell r="C573" t="str">
            <v>MIX</v>
          </cell>
          <cell r="E573">
            <v>1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1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BQ573">
            <v>27</v>
          </cell>
          <cell r="BR573" t="str">
            <v/>
          </cell>
          <cell r="BS573">
            <v>0</v>
          </cell>
          <cell r="BT573">
            <v>3</v>
          </cell>
          <cell r="CJ573">
            <v>0</v>
          </cell>
          <cell r="CK573" t="str">
            <v/>
          </cell>
          <cell r="CL573">
            <v>0</v>
          </cell>
          <cell r="CM573">
            <v>0</v>
          </cell>
          <cell r="CN573">
            <v>0</v>
          </cell>
          <cell r="CO573">
            <v>1</v>
          </cell>
          <cell r="CP573" t="str">
            <v/>
          </cell>
          <cell r="CQ573">
            <v>0</v>
          </cell>
          <cell r="CR573">
            <v>0</v>
          </cell>
          <cell r="CS573">
            <v>1</v>
          </cell>
          <cell r="CT573">
            <v>1</v>
          </cell>
          <cell r="CU573" t="str">
            <v/>
          </cell>
          <cell r="CV573">
            <v>0</v>
          </cell>
          <cell r="CW573">
            <v>0</v>
          </cell>
          <cell r="CX573">
            <v>1</v>
          </cell>
          <cell r="CY573">
            <v>1</v>
          </cell>
          <cell r="CZ573" t="str">
            <v/>
          </cell>
          <cell r="DA573">
            <v>0</v>
          </cell>
          <cell r="DB573">
            <v>0</v>
          </cell>
          <cell r="DC573">
            <v>1</v>
          </cell>
          <cell r="DD573">
            <v>1</v>
          </cell>
          <cell r="DE573" t="str">
            <v/>
          </cell>
          <cell r="DF573">
            <v>0</v>
          </cell>
          <cell r="DG573">
            <v>0</v>
          </cell>
          <cell r="DH573">
            <v>1</v>
          </cell>
          <cell r="DI573">
            <v>1</v>
          </cell>
          <cell r="DJ573" t="str">
            <v/>
          </cell>
          <cell r="DK573">
            <v>0</v>
          </cell>
          <cell r="DL573">
            <v>0</v>
          </cell>
          <cell r="DM573">
            <v>1</v>
          </cell>
          <cell r="DN573">
            <v>1</v>
          </cell>
          <cell r="DO573" t="str">
            <v/>
          </cell>
          <cell r="DP573">
            <v>0</v>
          </cell>
          <cell r="DQ573">
            <v>0</v>
          </cell>
          <cell r="DR573">
            <v>1</v>
          </cell>
          <cell r="DS573">
            <v>1</v>
          </cell>
          <cell r="DT573" t="str">
            <v/>
          </cell>
          <cell r="DU573">
            <v>0</v>
          </cell>
          <cell r="DV573">
            <v>0</v>
          </cell>
          <cell r="DW573">
            <v>1</v>
          </cell>
          <cell r="DX573">
            <v>1</v>
          </cell>
          <cell r="DY573" t="str">
            <v/>
          </cell>
          <cell r="DZ573">
            <v>0</v>
          </cell>
          <cell r="EA573">
            <v>0</v>
          </cell>
          <cell r="EB573">
            <v>1</v>
          </cell>
          <cell r="EC573">
            <v>1</v>
          </cell>
          <cell r="ED573" t="str">
            <v/>
          </cell>
          <cell r="EE573">
            <v>0</v>
          </cell>
          <cell r="EF573">
            <v>0</v>
          </cell>
          <cell r="EG573">
            <v>1</v>
          </cell>
          <cell r="EH573">
            <v>1</v>
          </cell>
          <cell r="EI573" t="str">
            <v/>
          </cell>
          <cell r="EJ573">
            <v>0</v>
          </cell>
          <cell r="EK573">
            <v>0</v>
          </cell>
          <cell r="EL573">
            <v>1</v>
          </cell>
          <cell r="EM573">
            <v>1</v>
          </cell>
          <cell r="EN573" t="str">
            <v/>
          </cell>
          <cell r="EO573">
            <v>0</v>
          </cell>
          <cell r="EP573">
            <v>0</v>
          </cell>
          <cell r="EQ573">
            <v>1</v>
          </cell>
          <cell r="ER573">
            <v>1</v>
          </cell>
          <cell r="ES573" t="str">
            <v/>
          </cell>
          <cell r="ET573">
            <v>0</v>
          </cell>
          <cell r="EU573">
            <v>0</v>
          </cell>
          <cell r="EV573">
            <v>1</v>
          </cell>
          <cell r="EW573">
            <v>1</v>
          </cell>
          <cell r="EX573" t="str">
            <v/>
          </cell>
          <cell r="EY573">
            <v>0</v>
          </cell>
          <cell r="EZ573">
            <v>0</v>
          </cell>
          <cell r="FA573">
            <v>1</v>
          </cell>
          <cell r="FB573">
            <v>1</v>
          </cell>
          <cell r="FC573" t="str">
            <v/>
          </cell>
          <cell r="FD573">
            <v>0</v>
          </cell>
          <cell r="FE573">
            <v>0</v>
          </cell>
          <cell r="FF573">
            <v>1</v>
          </cell>
          <cell r="FG573">
            <v>1</v>
          </cell>
          <cell r="FH573" t="str">
            <v/>
          </cell>
          <cell r="FI573">
            <v>0</v>
          </cell>
          <cell r="FJ573">
            <v>0</v>
          </cell>
          <cell r="FK573">
            <v>1</v>
          </cell>
          <cell r="FL573">
            <v>1</v>
          </cell>
          <cell r="FM573" t="str">
            <v/>
          </cell>
          <cell r="FN573">
            <v>0</v>
          </cell>
          <cell r="FO573">
            <v>0</v>
          </cell>
          <cell r="FP573">
            <v>1</v>
          </cell>
          <cell r="FQ573">
            <v>1</v>
          </cell>
          <cell r="FR573" t="str">
            <v/>
          </cell>
          <cell r="FS573">
            <v>0</v>
          </cell>
          <cell r="FT573">
            <v>0</v>
          </cell>
          <cell r="FU573">
            <v>2.0333333333333332</v>
          </cell>
          <cell r="FW573" t="str">
            <v>STOCK OK</v>
          </cell>
          <cell r="FX573" t="str">
            <v>NUEVO</v>
          </cell>
          <cell r="FY573" t="str">
            <v>Si</v>
          </cell>
        </row>
        <row r="574">
          <cell r="B574" t="str">
            <v>REP-0591</v>
          </cell>
          <cell r="C574" t="str">
            <v>MIX</v>
          </cell>
          <cell r="E574">
            <v>1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BQ574">
            <v>28</v>
          </cell>
          <cell r="BR574" t="str">
            <v/>
          </cell>
          <cell r="BS574">
            <v>0</v>
          </cell>
          <cell r="BT574">
            <v>3</v>
          </cell>
          <cell r="CJ574">
            <v>0</v>
          </cell>
          <cell r="CK574" t="str">
            <v/>
          </cell>
          <cell r="CL574">
            <v>0</v>
          </cell>
          <cell r="CM574">
            <v>0</v>
          </cell>
          <cell r="CN574">
            <v>0</v>
          </cell>
          <cell r="CO574">
            <v>1</v>
          </cell>
          <cell r="CP574" t="str">
            <v/>
          </cell>
          <cell r="CQ574">
            <v>0</v>
          </cell>
          <cell r="CR574">
            <v>0</v>
          </cell>
          <cell r="CS574">
            <v>1</v>
          </cell>
          <cell r="CT574">
            <v>1</v>
          </cell>
          <cell r="CU574" t="str">
            <v/>
          </cell>
          <cell r="CV574">
            <v>0</v>
          </cell>
          <cell r="CW574">
            <v>0</v>
          </cell>
          <cell r="CX574">
            <v>1</v>
          </cell>
          <cell r="CY574">
            <v>1</v>
          </cell>
          <cell r="CZ574" t="str">
            <v/>
          </cell>
          <cell r="DA574">
            <v>0</v>
          </cell>
          <cell r="DB574">
            <v>0</v>
          </cell>
          <cell r="DC574">
            <v>1</v>
          </cell>
          <cell r="DD574">
            <v>1</v>
          </cell>
          <cell r="DE574" t="str">
            <v/>
          </cell>
          <cell r="DF574">
            <v>0</v>
          </cell>
          <cell r="DG574">
            <v>0</v>
          </cell>
          <cell r="DH574">
            <v>1</v>
          </cell>
          <cell r="DI574">
            <v>1</v>
          </cell>
          <cell r="DJ574" t="str">
            <v/>
          </cell>
          <cell r="DK574">
            <v>0</v>
          </cell>
          <cell r="DL574">
            <v>0</v>
          </cell>
          <cell r="DM574">
            <v>1</v>
          </cell>
          <cell r="DN574">
            <v>1</v>
          </cell>
          <cell r="DO574" t="str">
            <v/>
          </cell>
          <cell r="DP574">
            <v>0</v>
          </cell>
          <cell r="DQ574">
            <v>0</v>
          </cell>
          <cell r="DR574">
            <v>1</v>
          </cell>
          <cell r="DS574">
            <v>1</v>
          </cell>
          <cell r="DT574" t="str">
            <v/>
          </cell>
          <cell r="DU574">
            <v>0</v>
          </cell>
          <cell r="DV574">
            <v>0</v>
          </cell>
          <cell r="DW574">
            <v>1</v>
          </cell>
          <cell r="DX574">
            <v>1</v>
          </cell>
          <cell r="DY574" t="str">
            <v/>
          </cell>
          <cell r="DZ574">
            <v>0</v>
          </cell>
          <cell r="EA574">
            <v>0</v>
          </cell>
          <cell r="EB574">
            <v>1</v>
          </cell>
          <cell r="EC574">
            <v>1</v>
          </cell>
          <cell r="ED574" t="str">
            <v/>
          </cell>
          <cell r="EE574">
            <v>0</v>
          </cell>
          <cell r="EF574">
            <v>0</v>
          </cell>
          <cell r="EG574">
            <v>1</v>
          </cell>
          <cell r="EH574">
            <v>1</v>
          </cell>
          <cell r="EI574" t="str">
            <v/>
          </cell>
          <cell r="EJ574">
            <v>0</v>
          </cell>
          <cell r="EK574">
            <v>0</v>
          </cell>
          <cell r="EL574">
            <v>1</v>
          </cell>
          <cell r="EM574">
            <v>1</v>
          </cell>
          <cell r="EN574" t="str">
            <v/>
          </cell>
          <cell r="EO574">
            <v>0</v>
          </cell>
          <cell r="EP574">
            <v>0</v>
          </cell>
          <cell r="EQ574">
            <v>1</v>
          </cell>
          <cell r="ER574">
            <v>1</v>
          </cell>
          <cell r="ES574" t="str">
            <v/>
          </cell>
          <cell r="ET574">
            <v>0</v>
          </cell>
          <cell r="EU574">
            <v>0</v>
          </cell>
          <cell r="EV574">
            <v>1</v>
          </cell>
          <cell r="EW574">
            <v>1</v>
          </cell>
          <cell r="EX574" t="str">
            <v/>
          </cell>
          <cell r="EY574">
            <v>0</v>
          </cell>
          <cell r="EZ574">
            <v>0</v>
          </cell>
          <cell r="FA574">
            <v>1</v>
          </cell>
          <cell r="FB574">
            <v>1</v>
          </cell>
          <cell r="FC574" t="str">
            <v/>
          </cell>
          <cell r="FD574">
            <v>0</v>
          </cell>
          <cell r="FE574">
            <v>0</v>
          </cell>
          <cell r="FF574">
            <v>1</v>
          </cell>
          <cell r="FG574">
            <v>1</v>
          </cell>
          <cell r="FH574" t="str">
            <v/>
          </cell>
          <cell r="FI574">
            <v>0</v>
          </cell>
          <cell r="FJ574">
            <v>0</v>
          </cell>
          <cell r="FK574">
            <v>1</v>
          </cell>
          <cell r="FL574">
            <v>1</v>
          </cell>
          <cell r="FM574" t="str">
            <v/>
          </cell>
          <cell r="FN574">
            <v>0</v>
          </cell>
          <cell r="FO574">
            <v>0</v>
          </cell>
          <cell r="FP574">
            <v>1</v>
          </cell>
          <cell r="FQ574">
            <v>1</v>
          </cell>
          <cell r="FR574" t="str">
            <v/>
          </cell>
          <cell r="FS574">
            <v>0</v>
          </cell>
          <cell r="FT574">
            <v>0</v>
          </cell>
          <cell r="FU574">
            <v>2.0333333333333332</v>
          </cell>
          <cell r="FW574" t="str">
            <v>STOCK OK</v>
          </cell>
          <cell r="FX574" t="str">
            <v>NUEVO</v>
          </cell>
          <cell r="FY574" t="str">
            <v>Si</v>
          </cell>
        </row>
        <row r="575">
          <cell r="B575" t="str">
            <v>REP-0592</v>
          </cell>
          <cell r="C575" t="str">
            <v>MIX</v>
          </cell>
          <cell r="E575">
            <v>1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1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BQ575">
            <v>29</v>
          </cell>
          <cell r="BR575" t="str">
            <v/>
          </cell>
          <cell r="BS575">
            <v>0</v>
          </cell>
          <cell r="BT575">
            <v>3</v>
          </cell>
          <cell r="CJ575">
            <v>0</v>
          </cell>
          <cell r="CK575" t="str">
            <v/>
          </cell>
          <cell r="CL575">
            <v>0</v>
          </cell>
          <cell r="CM575">
            <v>0</v>
          </cell>
          <cell r="CN575">
            <v>0</v>
          </cell>
          <cell r="CO575">
            <v>1</v>
          </cell>
          <cell r="CP575" t="str">
            <v/>
          </cell>
          <cell r="CQ575">
            <v>0</v>
          </cell>
          <cell r="CR575">
            <v>0</v>
          </cell>
          <cell r="CS575">
            <v>1</v>
          </cell>
          <cell r="CT575">
            <v>1</v>
          </cell>
          <cell r="CU575" t="str">
            <v/>
          </cell>
          <cell r="CV575">
            <v>0</v>
          </cell>
          <cell r="CW575">
            <v>0</v>
          </cell>
          <cell r="CX575">
            <v>1</v>
          </cell>
          <cell r="CY575">
            <v>1</v>
          </cell>
          <cell r="CZ575" t="str">
            <v/>
          </cell>
          <cell r="DA575">
            <v>0</v>
          </cell>
          <cell r="DB575">
            <v>0</v>
          </cell>
          <cell r="DC575">
            <v>1</v>
          </cell>
          <cell r="DD575">
            <v>1</v>
          </cell>
          <cell r="DE575" t="str">
            <v/>
          </cell>
          <cell r="DF575">
            <v>0</v>
          </cell>
          <cell r="DG575">
            <v>0</v>
          </cell>
          <cell r="DH575">
            <v>1</v>
          </cell>
          <cell r="DI575">
            <v>1</v>
          </cell>
          <cell r="DJ575" t="str">
            <v/>
          </cell>
          <cell r="DK575">
            <v>0</v>
          </cell>
          <cell r="DL575">
            <v>0</v>
          </cell>
          <cell r="DM575">
            <v>1</v>
          </cell>
          <cell r="DN575">
            <v>1</v>
          </cell>
          <cell r="DO575" t="str">
            <v/>
          </cell>
          <cell r="DP575">
            <v>0</v>
          </cell>
          <cell r="DQ575">
            <v>0</v>
          </cell>
          <cell r="DR575">
            <v>1</v>
          </cell>
          <cell r="DS575">
            <v>1</v>
          </cell>
          <cell r="DT575" t="str">
            <v/>
          </cell>
          <cell r="DU575">
            <v>0</v>
          </cell>
          <cell r="DV575">
            <v>0</v>
          </cell>
          <cell r="DW575">
            <v>1</v>
          </cell>
          <cell r="DX575">
            <v>1</v>
          </cell>
          <cell r="DY575" t="str">
            <v/>
          </cell>
          <cell r="DZ575">
            <v>0</v>
          </cell>
          <cell r="EA575">
            <v>0</v>
          </cell>
          <cell r="EB575">
            <v>1</v>
          </cell>
          <cell r="EC575">
            <v>1</v>
          </cell>
          <cell r="ED575" t="str">
            <v/>
          </cell>
          <cell r="EE575">
            <v>0</v>
          </cell>
          <cell r="EF575">
            <v>0</v>
          </cell>
          <cell r="EG575">
            <v>1</v>
          </cell>
          <cell r="EH575">
            <v>1</v>
          </cell>
          <cell r="EI575" t="str">
            <v/>
          </cell>
          <cell r="EJ575">
            <v>0</v>
          </cell>
          <cell r="EK575">
            <v>0</v>
          </cell>
          <cell r="EL575">
            <v>1</v>
          </cell>
          <cell r="EM575">
            <v>1</v>
          </cell>
          <cell r="EN575" t="str">
            <v/>
          </cell>
          <cell r="EO575">
            <v>0</v>
          </cell>
          <cell r="EP575">
            <v>0</v>
          </cell>
          <cell r="EQ575">
            <v>1</v>
          </cell>
          <cell r="ER575">
            <v>1</v>
          </cell>
          <cell r="ES575" t="str">
            <v/>
          </cell>
          <cell r="ET575">
            <v>0</v>
          </cell>
          <cell r="EU575">
            <v>0</v>
          </cell>
          <cell r="EV575">
            <v>1</v>
          </cell>
          <cell r="EW575">
            <v>1</v>
          </cell>
          <cell r="EX575" t="str">
            <v/>
          </cell>
          <cell r="EY575">
            <v>0</v>
          </cell>
          <cell r="EZ575">
            <v>0</v>
          </cell>
          <cell r="FA575">
            <v>1</v>
          </cell>
          <cell r="FB575">
            <v>1</v>
          </cell>
          <cell r="FC575" t="str">
            <v/>
          </cell>
          <cell r="FD575">
            <v>0</v>
          </cell>
          <cell r="FE575">
            <v>0</v>
          </cell>
          <cell r="FF575">
            <v>1</v>
          </cell>
          <cell r="FG575">
            <v>1</v>
          </cell>
          <cell r="FH575" t="str">
            <v/>
          </cell>
          <cell r="FI575">
            <v>0</v>
          </cell>
          <cell r="FJ575">
            <v>0</v>
          </cell>
          <cell r="FK575">
            <v>1</v>
          </cell>
          <cell r="FL575">
            <v>1</v>
          </cell>
          <cell r="FM575" t="str">
            <v/>
          </cell>
          <cell r="FN575">
            <v>0</v>
          </cell>
          <cell r="FO575">
            <v>0</v>
          </cell>
          <cell r="FP575">
            <v>1</v>
          </cell>
          <cell r="FQ575">
            <v>1</v>
          </cell>
          <cell r="FR575" t="str">
            <v/>
          </cell>
          <cell r="FS575">
            <v>0</v>
          </cell>
          <cell r="FT575">
            <v>0</v>
          </cell>
          <cell r="FU575">
            <v>2.0333333333333332</v>
          </cell>
          <cell r="FW575" t="str">
            <v>STOCK OK</v>
          </cell>
          <cell r="FX575" t="str">
            <v>NUEVO</v>
          </cell>
          <cell r="FY575" t="str">
            <v>Si</v>
          </cell>
        </row>
        <row r="576">
          <cell r="B576" t="str">
            <v>REP-0593</v>
          </cell>
          <cell r="C576" t="str">
            <v>MIX</v>
          </cell>
          <cell r="E576">
            <v>1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1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BQ576">
            <v>30</v>
          </cell>
          <cell r="BR576" t="str">
            <v/>
          </cell>
          <cell r="BS576">
            <v>0</v>
          </cell>
          <cell r="BT576">
            <v>3</v>
          </cell>
          <cell r="CJ576">
            <v>0</v>
          </cell>
          <cell r="CK576" t="str">
            <v/>
          </cell>
          <cell r="CL576">
            <v>0</v>
          </cell>
          <cell r="CM576">
            <v>0</v>
          </cell>
          <cell r="CN576">
            <v>0</v>
          </cell>
          <cell r="CO576">
            <v>1</v>
          </cell>
          <cell r="CP576" t="str">
            <v/>
          </cell>
          <cell r="CQ576">
            <v>0</v>
          </cell>
          <cell r="CR576">
            <v>0</v>
          </cell>
          <cell r="CS576">
            <v>1</v>
          </cell>
          <cell r="CT576">
            <v>1</v>
          </cell>
          <cell r="CU576" t="str">
            <v/>
          </cell>
          <cell r="CV576">
            <v>0</v>
          </cell>
          <cell r="CW576">
            <v>0</v>
          </cell>
          <cell r="CX576">
            <v>1</v>
          </cell>
          <cell r="CY576">
            <v>1</v>
          </cell>
          <cell r="CZ576" t="str">
            <v/>
          </cell>
          <cell r="DA576">
            <v>0</v>
          </cell>
          <cell r="DB576">
            <v>0</v>
          </cell>
          <cell r="DC576">
            <v>1</v>
          </cell>
          <cell r="DD576">
            <v>1</v>
          </cell>
          <cell r="DE576" t="str">
            <v/>
          </cell>
          <cell r="DF576">
            <v>0</v>
          </cell>
          <cell r="DG576">
            <v>0</v>
          </cell>
          <cell r="DH576">
            <v>1</v>
          </cell>
          <cell r="DI576">
            <v>1</v>
          </cell>
          <cell r="DJ576" t="str">
            <v/>
          </cell>
          <cell r="DK576">
            <v>0</v>
          </cell>
          <cell r="DL576">
            <v>0</v>
          </cell>
          <cell r="DM576">
            <v>1</v>
          </cell>
          <cell r="DN576">
            <v>1</v>
          </cell>
          <cell r="DO576" t="str">
            <v/>
          </cell>
          <cell r="DP576">
            <v>0</v>
          </cell>
          <cell r="DQ576">
            <v>0</v>
          </cell>
          <cell r="DR576">
            <v>1</v>
          </cell>
          <cell r="DS576">
            <v>1</v>
          </cell>
          <cell r="DT576" t="str">
            <v/>
          </cell>
          <cell r="DU576">
            <v>0</v>
          </cell>
          <cell r="DV576">
            <v>0</v>
          </cell>
          <cell r="DW576">
            <v>1</v>
          </cell>
          <cell r="DX576">
            <v>1</v>
          </cell>
          <cell r="DY576" t="str">
            <v/>
          </cell>
          <cell r="DZ576">
            <v>0</v>
          </cell>
          <cell r="EA576">
            <v>0</v>
          </cell>
          <cell r="EB576">
            <v>1</v>
          </cell>
          <cell r="EC576">
            <v>1</v>
          </cell>
          <cell r="ED576" t="str">
            <v/>
          </cell>
          <cell r="EE576">
            <v>0</v>
          </cell>
          <cell r="EF576">
            <v>0</v>
          </cell>
          <cell r="EG576">
            <v>1</v>
          </cell>
          <cell r="EH576">
            <v>1</v>
          </cell>
          <cell r="EI576" t="str">
            <v/>
          </cell>
          <cell r="EJ576">
            <v>0</v>
          </cell>
          <cell r="EK576">
            <v>0</v>
          </cell>
          <cell r="EL576">
            <v>1</v>
          </cell>
          <cell r="EM576">
            <v>1</v>
          </cell>
          <cell r="EN576" t="str">
            <v/>
          </cell>
          <cell r="EO576">
            <v>0</v>
          </cell>
          <cell r="EP576">
            <v>0</v>
          </cell>
          <cell r="EQ576">
            <v>1</v>
          </cell>
          <cell r="ER576">
            <v>1</v>
          </cell>
          <cell r="ES576" t="str">
            <v/>
          </cell>
          <cell r="ET576">
            <v>0</v>
          </cell>
          <cell r="EU576">
            <v>0</v>
          </cell>
          <cell r="EV576">
            <v>1</v>
          </cell>
          <cell r="EW576">
            <v>1</v>
          </cell>
          <cell r="EX576" t="str">
            <v/>
          </cell>
          <cell r="EY576">
            <v>0</v>
          </cell>
          <cell r="EZ576">
            <v>0</v>
          </cell>
          <cell r="FA576">
            <v>1</v>
          </cell>
          <cell r="FB576">
            <v>1</v>
          </cell>
          <cell r="FC576" t="str">
            <v/>
          </cell>
          <cell r="FD576">
            <v>0</v>
          </cell>
          <cell r="FE576">
            <v>0</v>
          </cell>
          <cell r="FF576">
            <v>1</v>
          </cell>
          <cell r="FG576">
            <v>1</v>
          </cell>
          <cell r="FH576" t="str">
            <v/>
          </cell>
          <cell r="FI576">
            <v>0</v>
          </cell>
          <cell r="FJ576">
            <v>0</v>
          </cell>
          <cell r="FK576">
            <v>1</v>
          </cell>
          <cell r="FL576">
            <v>1</v>
          </cell>
          <cell r="FM576" t="str">
            <v/>
          </cell>
          <cell r="FN576">
            <v>0</v>
          </cell>
          <cell r="FO576">
            <v>0</v>
          </cell>
          <cell r="FP576">
            <v>1</v>
          </cell>
          <cell r="FQ576">
            <v>1</v>
          </cell>
          <cell r="FR576" t="str">
            <v/>
          </cell>
          <cell r="FS576">
            <v>0</v>
          </cell>
          <cell r="FT576">
            <v>0</v>
          </cell>
          <cell r="FU576">
            <v>2.0333333333333332</v>
          </cell>
          <cell r="FW576" t="str">
            <v>STOCK OK</v>
          </cell>
          <cell r="FX576" t="str">
            <v>NUEVO</v>
          </cell>
          <cell r="FY576" t="str">
            <v>Si</v>
          </cell>
        </row>
        <row r="577">
          <cell r="B577" t="str">
            <v>REP-0594</v>
          </cell>
          <cell r="C577" t="str">
            <v>MIX</v>
          </cell>
          <cell r="E577">
            <v>1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1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BQ577">
            <v>31</v>
          </cell>
          <cell r="BR577" t="str">
            <v/>
          </cell>
          <cell r="BS577">
            <v>0</v>
          </cell>
          <cell r="BT577">
            <v>3</v>
          </cell>
          <cell r="CJ577">
            <v>0</v>
          </cell>
          <cell r="CK577" t="str">
            <v/>
          </cell>
          <cell r="CL577">
            <v>0</v>
          </cell>
          <cell r="CM577">
            <v>0</v>
          </cell>
          <cell r="CN577">
            <v>0</v>
          </cell>
          <cell r="CO577">
            <v>1</v>
          </cell>
          <cell r="CP577" t="str">
            <v/>
          </cell>
          <cell r="CQ577">
            <v>0</v>
          </cell>
          <cell r="CR577">
            <v>0</v>
          </cell>
          <cell r="CS577">
            <v>1</v>
          </cell>
          <cell r="CT577">
            <v>1</v>
          </cell>
          <cell r="CU577" t="str">
            <v/>
          </cell>
          <cell r="CV577">
            <v>0</v>
          </cell>
          <cell r="CW577">
            <v>0</v>
          </cell>
          <cell r="CX577">
            <v>1</v>
          </cell>
          <cell r="CY577">
            <v>1</v>
          </cell>
          <cell r="CZ577" t="str">
            <v/>
          </cell>
          <cell r="DA577">
            <v>0</v>
          </cell>
          <cell r="DB577">
            <v>0</v>
          </cell>
          <cell r="DC577">
            <v>1</v>
          </cell>
          <cell r="DD577">
            <v>1</v>
          </cell>
          <cell r="DE577" t="str">
            <v/>
          </cell>
          <cell r="DF577">
            <v>0</v>
          </cell>
          <cell r="DG577">
            <v>0</v>
          </cell>
          <cell r="DH577">
            <v>1</v>
          </cell>
          <cell r="DI577">
            <v>1</v>
          </cell>
          <cell r="DJ577" t="str">
            <v/>
          </cell>
          <cell r="DK577">
            <v>0</v>
          </cell>
          <cell r="DL577">
            <v>0</v>
          </cell>
          <cell r="DM577">
            <v>1</v>
          </cell>
          <cell r="DN577">
            <v>1</v>
          </cell>
          <cell r="DO577" t="str">
            <v/>
          </cell>
          <cell r="DP577">
            <v>0</v>
          </cell>
          <cell r="DQ577">
            <v>0</v>
          </cell>
          <cell r="DR577">
            <v>1</v>
          </cell>
          <cell r="DS577">
            <v>1</v>
          </cell>
          <cell r="DT577" t="str">
            <v/>
          </cell>
          <cell r="DU577">
            <v>0</v>
          </cell>
          <cell r="DV577">
            <v>0</v>
          </cell>
          <cell r="DW577">
            <v>1</v>
          </cell>
          <cell r="DX577">
            <v>1</v>
          </cell>
          <cell r="DY577" t="str">
            <v/>
          </cell>
          <cell r="DZ577">
            <v>0</v>
          </cell>
          <cell r="EA577">
            <v>0</v>
          </cell>
          <cell r="EB577">
            <v>1</v>
          </cell>
          <cell r="EC577">
            <v>1</v>
          </cell>
          <cell r="ED577" t="str">
            <v/>
          </cell>
          <cell r="EE577">
            <v>0</v>
          </cell>
          <cell r="EF577">
            <v>0</v>
          </cell>
          <cell r="EG577">
            <v>1</v>
          </cell>
          <cell r="EH577">
            <v>1</v>
          </cell>
          <cell r="EI577" t="str">
            <v/>
          </cell>
          <cell r="EJ577">
            <v>0</v>
          </cell>
          <cell r="EK577">
            <v>0</v>
          </cell>
          <cell r="EL577">
            <v>1</v>
          </cell>
          <cell r="EM577">
            <v>1</v>
          </cell>
          <cell r="EN577" t="str">
            <v/>
          </cell>
          <cell r="EO577">
            <v>0</v>
          </cell>
          <cell r="EP577">
            <v>0</v>
          </cell>
          <cell r="EQ577">
            <v>1</v>
          </cell>
          <cell r="ER577">
            <v>1</v>
          </cell>
          <cell r="ES577" t="str">
            <v/>
          </cell>
          <cell r="ET577">
            <v>0</v>
          </cell>
          <cell r="EU577">
            <v>0</v>
          </cell>
          <cell r="EV577">
            <v>1</v>
          </cell>
          <cell r="EW577">
            <v>1</v>
          </cell>
          <cell r="EX577" t="str">
            <v/>
          </cell>
          <cell r="EY577">
            <v>0</v>
          </cell>
          <cell r="EZ577">
            <v>0</v>
          </cell>
          <cell r="FA577">
            <v>1</v>
          </cell>
          <cell r="FB577">
            <v>1</v>
          </cell>
          <cell r="FC577" t="str">
            <v/>
          </cell>
          <cell r="FD577">
            <v>0</v>
          </cell>
          <cell r="FE577">
            <v>0</v>
          </cell>
          <cell r="FF577">
            <v>1</v>
          </cell>
          <cell r="FG577">
            <v>1</v>
          </cell>
          <cell r="FH577" t="str">
            <v/>
          </cell>
          <cell r="FI577">
            <v>0</v>
          </cell>
          <cell r="FJ577">
            <v>0</v>
          </cell>
          <cell r="FK577">
            <v>1</v>
          </cell>
          <cell r="FL577">
            <v>1</v>
          </cell>
          <cell r="FM577" t="str">
            <v/>
          </cell>
          <cell r="FN577">
            <v>0</v>
          </cell>
          <cell r="FO577">
            <v>0</v>
          </cell>
          <cell r="FP577">
            <v>1</v>
          </cell>
          <cell r="FQ577">
            <v>1</v>
          </cell>
          <cell r="FR577" t="str">
            <v/>
          </cell>
          <cell r="FS577">
            <v>0</v>
          </cell>
          <cell r="FT577">
            <v>0</v>
          </cell>
          <cell r="FU577">
            <v>2.0333333333333332</v>
          </cell>
          <cell r="FW577" t="str">
            <v>STOCK OK</v>
          </cell>
          <cell r="FX577" t="str">
            <v>NUEVO</v>
          </cell>
          <cell r="FY577" t="str">
            <v>Si</v>
          </cell>
        </row>
        <row r="578">
          <cell r="B578" t="str">
            <v>REP-0595</v>
          </cell>
          <cell r="C578" t="str">
            <v>MIX</v>
          </cell>
          <cell r="E578">
            <v>1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1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BQ578">
            <v>32</v>
          </cell>
          <cell r="BR578" t="str">
            <v/>
          </cell>
          <cell r="BS578">
            <v>0</v>
          </cell>
          <cell r="BT578">
            <v>3</v>
          </cell>
          <cell r="CJ578">
            <v>0</v>
          </cell>
          <cell r="CK578" t="str">
            <v/>
          </cell>
          <cell r="CL578">
            <v>0</v>
          </cell>
          <cell r="CM578">
            <v>0</v>
          </cell>
          <cell r="CN578">
            <v>0</v>
          </cell>
          <cell r="CO578">
            <v>1</v>
          </cell>
          <cell r="CP578" t="str">
            <v/>
          </cell>
          <cell r="CQ578">
            <v>0</v>
          </cell>
          <cell r="CR578">
            <v>0</v>
          </cell>
          <cell r="CS578">
            <v>1</v>
          </cell>
          <cell r="CT578">
            <v>1</v>
          </cell>
          <cell r="CU578" t="str">
            <v/>
          </cell>
          <cell r="CV578">
            <v>0</v>
          </cell>
          <cell r="CW578">
            <v>0</v>
          </cell>
          <cell r="CX578">
            <v>1</v>
          </cell>
          <cell r="CY578">
            <v>1</v>
          </cell>
          <cell r="CZ578" t="str">
            <v/>
          </cell>
          <cell r="DA578">
            <v>0</v>
          </cell>
          <cell r="DB578">
            <v>0</v>
          </cell>
          <cell r="DC578">
            <v>1</v>
          </cell>
          <cell r="DD578">
            <v>1</v>
          </cell>
          <cell r="DE578" t="str">
            <v/>
          </cell>
          <cell r="DF578">
            <v>0</v>
          </cell>
          <cell r="DG578">
            <v>0</v>
          </cell>
          <cell r="DH578">
            <v>1</v>
          </cell>
          <cell r="DI578">
            <v>1</v>
          </cell>
          <cell r="DJ578" t="str">
            <v/>
          </cell>
          <cell r="DK578">
            <v>0</v>
          </cell>
          <cell r="DL578">
            <v>0</v>
          </cell>
          <cell r="DM578">
            <v>1</v>
          </cell>
          <cell r="DN578">
            <v>1</v>
          </cell>
          <cell r="DO578" t="str">
            <v/>
          </cell>
          <cell r="DP578">
            <v>0</v>
          </cell>
          <cell r="DQ578">
            <v>0</v>
          </cell>
          <cell r="DR578">
            <v>1</v>
          </cell>
          <cell r="DS578">
            <v>1</v>
          </cell>
          <cell r="DT578" t="str">
            <v/>
          </cell>
          <cell r="DU578">
            <v>0</v>
          </cell>
          <cell r="DV578">
            <v>0</v>
          </cell>
          <cell r="DW578">
            <v>1</v>
          </cell>
          <cell r="DX578">
            <v>1</v>
          </cell>
          <cell r="DY578" t="str">
            <v/>
          </cell>
          <cell r="DZ578">
            <v>0</v>
          </cell>
          <cell r="EA578">
            <v>0</v>
          </cell>
          <cell r="EB578">
            <v>1</v>
          </cell>
          <cell r="EC578">
            <v>1</v>
          </cell>
          <cell r="ED578" t="str">
            <v/>
          </cell>
          <cell r="EE578">
            <v>0</v>
          </cell>
          <cell r="EF578">
            <v>0</v>
          </cell>
          <cell r="EG578">
            <v>1</v>
          </cell>
          <cell r="EH578">
            <v>1</v>
          </cell>
          <cell r="EI578" t="str">
            <v/>
          </cell>
          <cell r="EJ578">
            <v>0</v>
          </cell>
          <cell r="EK578">
            <v>0</v>
          </cell>
          <cell r="EL578">
            <v>1</v>
          </cell>
          <cell r="EM578">
            <v>1</v>
          </cell>
          <cell r="EN578" t="str">
            <v/>
          </cell>
          <cell r="EO578">
            <v>0</v>
          </cell>
          <cell r="EP578">
            <v>0</v>
          </cell>
          <cell r="EQ578">
            <v>1</v>
          </cell>
          <cell r="ER578">
            <v>1</v>
          </cell>
          <cell r="ES578" t="str">
            <v/>
          </cell>
          <cell r="ET578">
            <v>0</v>
          </cell>
          <cell r="EU578">
            <v>0</v>
          </cell>
          <cell r="EV578">
            <v>1</v>
          </cell>
          <cell r="EW578">
            <v>1</v>
          </cell>
          <cell r="EX578" t="str">
            <v/>
          </cell>
          <cell r="EY578">
            <v>0</v>
          </cell>
          <cell r="EZ578">
            <v>0</v>
          </cell>
          <cell r="FA578">
            <v>1</v>
          </cell>
          <cell r="FB578">
            <v>1</v>
          </cell>
          <cell r="FC578" t="str">
            <v/>
          </cell>
          <cell r="FD578">
            <v>0</v>
          </cell>
          <cell r="FE578">
            <v>0</v>
          </cell>
          <cell r="FF578">
            <v>1</v>
          </cell>
          <cell r="FG578">
            <v>1</v>
          </cell>
          <cell r="FH578" t="str">
            <v/>
          </cell>
          <cell r="FI578">
            <v>0</v>
          </cell>
          <cell r="FJ578">
            <v>0</v>
          </cell>
          <cell r="FK578">
            <v>1</v>
          </cell>
          <cell r="FL578">
            <v>1</v>
          </cell>
          <cell r="FM578" t="str">
            <v/>
          </cell>
          <cell r="FN578">
            <v>0</v>
          </cell>
          <cell r="FO578">
            <v>0</v>
          </cell>
          <cell r="FP578">
            <v>1</v>
          </cell>
          <cell r="FQ578">
            <v>1</v>
          </cell>
          <cell r="FR578" t="str">
            <v/>
          </cell>
          <cell r="FS578">
            <v>0</v>
          </cell>
          <cell r="FT578">
            <v>0</v>
          </cell>
          <cell r="FU578">
            <v>2.0333333333333332</v>
          </cell>
          <cell r="FW578" t="str">
            <v>STOCK OK</v>
          </cell>
          <cell r="FX578" t="str">
            <v>NUEVO</v>
          </cell>
          <cell r="FY578" t="str">
            <v>Si</v>
          </cell>
        </row>
        <row r="579">
          <cell r="B579" t="str">
            <v>REP-0596</v>
          </cell>
          <cell r="C579" t="str">
            <v>MIX</v>
          </cell>
          <cell r="E579">
            <v>1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1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BQ579">
            <v>33</v>
          </cell>
          <cell r="BR579" t="str">
            <v/>
          </cell>
          <cell r="BS579">
            <v>0</v>
          </cell>
          <cell r="BT579">
            <v>3</v>
          </cell>
          <cell r="CJ579">
            <v>0</v>
          </cell>
          <cell r="CK579" t="str">
            <v/>
          </cell>
          <cell r="CL579">
            <v>0</v>
          </cell>
          <cell r="CM579">
            <v>0</v>
          </cell>
          <cell r="CN579">
            <v>0</v>
          </cell>
          <cell r="CO579">
            <v>1</v>
          </cell>
          <cell r="CP579" t="str">
            <v/>
          </cell>
          <cell r="CQ579">
            <v>0</v>
          </cell>
          <cell r="CR579">
            <v>0</v>
          </cell>
          <cell r="CS579">
            <v>1</v>
          </cell>
          <cell r="CT579">
            <v>1</v>
          </cell>
          <cell r="CU579" t="str">
            <v/>
          </cell>
          <cell r="CV579">
            <v>0</v>
          </cell>
          <cell r="CW579">
            <v>0</v>
          </cell>
          <cell r="CX579">
            <v>1</v>
          </cell>
          <cell r="CY579">
            <v>1</v>
          </cell>
          <cell r="CZ579" t="str">
            <v/>
          </cell>
          <cell r="DA579">
            <v>0</v>
          </cell>
          <cell r="DB579">
            <v>0</v>
          </cell>
          <cell r="DC579">
            <v>1</v>
          </cell>
          <cell r="DD579">
            <v>1</v>
          </cell>
          <cell r="DE579" t="str">
            <v/>
          </cell>
          <cell r="DF579">
            <v>0</v>
          </cell>
          <cell r="DG579">
            <v>0</v>
          </cell>
          <cell r="DH579">
            <v>1</v>
          </cell>
          <cell r="DI579">
            <v>1</v>
          </cell>
          <cell r="DJ579" t="str">
            <v/>
          </cell>
          <cell r="DK579">
            <v>0</v>
          </cell>
          <cell r="DL579">
            <v>0</v>
          </cell>
          <cell r="DM579">
            <v>1</v>
          </cell>
          <cell r="DN579">
            <v>1</v>
          </cell>
          <cell r="DO579" t="str">
            <v/>
          </cell>
          <cell r="DP579">
            <v>0</v>
          </cell>
          <cell r="DQ579">
            <v>0</v>
          </cell>
          <cell r="DR579">
            <v>1</v>
          </cell>
          <cell r="DS579">
            <v>1</v>
          </cell>
          <cell r="DT579" t="str">
            <v/>
          </cell>
          <cell r="DU579">
            <v>0</v>
          </cell>
          <cell r="DV579">
            <v>0</v>
          </cell>
          <cell r="DW579">
            <v>1</v>
          </cell>
          <cell r="DX579">
            <v>1</v>
          </cell>
          <cell r="DY579" t="str">
            <v/>
          </cell>
          <cell r="DZ579">
            <v>0</v>
          </cell>
          <cell r="EA579">
            <v>0</v>
          </cell>
          <cell r="EB579">
            <v>1</v>
          </cell>
          <cell r="EC579">
            <v>1</v>
          </cell>
          <cell r="ED579" t="str">
            <v/>
          </cell>
          <cell r="EE579">
            <v>0</v>
          </cell>
          <cell r="EF579">
            <v>0</v>
          </cell>
          <cell r="EG579">
            <v>1</v>
          </cell>
          <cell r="EH579">
            <v>1</v>
          </cell>
          <cell r="EI579" t="str">
            <v/>
          </cell>
          <cell r="EJ579">
            <v>0</v>
          </cell>
          <cell r="EK579">
            <v>0</v>
          </cell>
          <cell r="EL579">
            <v>1</v>
          </cell>
          <cell r="EM579">
            <v>1</v>
          </cell>
          <cell r="EN579" t="str">
            <v/>
          </cell>
          <cell r="EO579">
            <v>0</v>
          </cell>
          <cell r="EP579">
            <v>0</v>
          </cell>
          <cell r="EQ579">
            <v>1</v>
          </cell>
          <cell r="ER579">
            <v>1</v>
          </cell>
          <cell r="ES579" t="str">
            <v/>
          </cell>
          <cell r="ET579">
            <v>0</v>
          </cell>
          <cell r="EU579">
            <v>0</v>
          </cell>
          <cell r="EV579">
            <v>1</v>
          </cell>
          <cell r="EW579">
            <v>1</v>
          </cell>
          <cell r="EX579" t="str">
            <v/>
          </cell>
          <cell r="EY579">
            <v>0</v>
          </cell>
          <cell r="EZ579">
            <v>0</v>
          </cell>
          <cell r="FA579">
            <v>1</v>
          </cell>
          <cell r="FB579">
            <v>1</v>
          </cell>
          <cell r="FC579" t="str">
            <v/>
          </cell>
          <cell r="FD579">
            <v>0</v>
          </cell>
          <cell r="FE579">
            <v>0</v>
          </cell>
          <cell r="FF579">
            <v>1</v>
          </cell>
          <cell r="FG579">
            <v>1</v>
          </cell>
          <cell r="FH579" t="str">
            <v/>
          </cell>
          <cell r="FI579">
            <v>0</v>
          </cell>
          <cell r="FJ579">
            <v>0</v>
          </cell>
          <cell r="FK579">
            <v>1</v>
          </cell>
          <cell r="FL579">
            <v>1</v>
          </cell>
          <cell r="FM579" t="str">
            <v/>
          </cell>
          <cell r="FN579">
            <v>0</v>
          </cell>
          <cell r="FO579">
            <v>0</v>
          </cell>
          <cell r="FP579">
            <v>1</v>
          </cell>
          <cell r="FQ579">
            <v>1</v>
          </cell>
          <cell r="FR579" t="str">
            <v/>
          </cell>
          <cell r="FS579">
            <v>0</v>
          </cell>
          <cell r="FT579">
            <v>0</v>
          </cell>
          <cell r="FU579">
            <v>2.0333333333333332</v>
          </cell>
          <cell r="FW579" t="str">
            <v>STOCK OK</v>
          </cell>
          <cell r="FX579" t="str">
            <v>NUEVO</v>
          </cell>
          <cell r="FY579" t="str">
            <v>Si</v>
          </cell>
        </row>
        <row r="580">
          <cell r="B580" t="str">
            <v>REP-0597</v>
          </cell>
          <cell r="C580" t="str">
            <v>MIX</v>
          </cell>
          <cell r="E580">
            <v>1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1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BQ580">
            <v>34</v>
          </cell>
          <cell r="BR580" t="str">
            <v/>
          </cell>
          <cell r="BS580">
            <v>0</v>
          </cell>
          <cell r="BT580">
            <v>3</v>
          </cell>
          <cell r="CJ580">
            <v>0</v>
          </cell>
          <cell r="CK580" t="str">
            <v/>
          </cell>
          <cell r="CL580">
            <v>0</v>
          </cell>
          <cell r="CM580">
            <v>0</v>
          </cell>
          <cell r="CN580">
            <v>0</v>
          </cell>
          <cell r="CO580">
            <v>1</v>
          </cell>
          <cell r="CP580" t="str">
            <v/>
          </cell>
          <cell r="CQ580">
            <v>0</v>
          </cell>
          <cell r="CR580">
            <v>0</v>
          </cell>
          <cell r="CS580">
            <v>1</v>
          </cell>
          <cell r="CT580">
            <v>1</v>
          </cell>
          <cell r="CU580" t="str">
            <v/>
          </cell>
          <cell r="CV580">
            <v>0</v>
          </cell>
          <cell r="CW580">
            <v>0</v>
          </cell>
          <cell r="CX580">
            <v>1</v>
          </cell>
          <cell r="CY580">
            <v>1</v>
          </cell>
          <cell r="CZ580" t="str">
            <v/>
          </cell>
          <cell r="DA580">
            <v>0</v>
          </cell>
          <cell r="DB580">
            <v>0</v>
          </cell>
          <cell r="DC580">
            <v>1</v>
          </cell>
          <cell r="DD580">
            <v>1</v>
          </cell>
          <cell r="DE580" t="str">
            <v/>
          </cell>
          <cell r="DF580">
            <v>0</v>
          </cell>
          <cell r="DG580">
            <v>0</v>
          </cell>
          <cell r="DH580">
            <v>1</v>
          </cell>
          <cell r="DI580">
            <v>1</v>
          </cell>
          <cell r="DJ580" t="str">
            <v/>
          </cell>
          <cell r="DK580">
            <v>0</v>
          </cell>
          <cell r="DL580">
            <v>0</v>
          </cell>
          <cell r="DM580">
            <v>1</v>
          </cell>
          <cell r="DN580">
            <v>1</v>
          </cell>
          <cell r="DO580" t="str">
            <v/>
          </cell>
          <cell r="DP580">
            <v>0</v>
          </cell>
          <cell r="DQ580">
            <v>0</v>
          </cell>
          <cell r="DR580">
            <v>1</v>
          </cell>
          <cell r="DS580">
            <v>1</v>
          </cell>
          <cell r="DT580" t="str">
            <v/>
          </cell>
          <cell r="DU580">
            <v>0</v>
          </cell>
          <cell r="DV580">
            <v>0</v>
          </cell>
          <cell r="DW580">
            <v>1</v>
          </cell>
          <cell r="DX580">
            <v>1</v>
          </cell>
          <cell r="DY580" t="str">
            <v/>
          </cell>
          <cell r="DZ580">
            <v>0</v>
          </cell>
          <cell r="EA580">
            <v>0</v>
          </cell>
          <cell r="EB580">
            <v>1</v>
          </cell>
          <cell r="EC580">
            <v>1</v>
          </cell>
          <cell r="ED580" t="str">
            <v/>
          </cell>
          <cell r="EE580">
            <v>0</v>
          </cell>
          <cell r="EF580">
            <v>0</v>
          </cell>
          <cell r="EG580">
            <v>1</v>
          </cell>
          <cell r="EH580">
            <v>1</v>
          </cell>
          <cell r="EI580" t="str">
            <v/>
          </cell>
          <cell r="EJ580">
            <v>0</v>
          </cell>
          <cell r="EK580">
            <v>0</v>
          </cell>
          <cell r="EL580">
            <v>1</v>
          </cell>
          <cell r="EM580">
            <v>1</v>
          </cell>
          <cell r="EN580" t="str">
            <v/>
          </cell>
          <cell r="EO580">
            <v>0</v>
          </cell>
          <cell r="EP580">
            <v>0</v>
          </cell>
          <cell r="EQ580">
            <v>1</v>
          </cell>
          <cell r="ER580">
            <v>1</v>
          </cell>
          <cell r="ES580" t="str">
            <v/>
          </cell>
          <cell r="ET580">
            <v>0</v>
          </cell>
          <cell r="EU580">
            <v>0</v>
          </cell>
          <cell r="EV580">
            <v>1</v>
          </cell>
          <cell r="EW580">
            <v>1</v>
          </cell>
          <cell r="EX580" t="str">
            <v/>
          </cell>
          <cell r="EY580">
            <v>0</v>
          </cell>
          <cell r="EZ580">
            <v>0</v>
          </cell>
          <cell r="FA580">
            <v>1</v>
          </cell>
          <cell r="FB580">
            <v>1</v>
          </cell>
          <cell r="FC580" t="str">
            <v/>
          </cell>
          <cell r="FD580">
            <v>0</v>
          </cell>
          <cell r="FE580">
            <v>0</v>
          </cell>
          <cell r="FF580">
            <v>1</v>
          </cell>
          <cell r="FG580">
            <v>1</v>
          </cell>
          <cell r="FH580" t="str">
            <v/>
          </cell>
          <cell r="FI580">
            <v>0</v>
          </cell>
          <cell r="FJ580">
            <v>0</v>
          </cell>
          <cell r="FK580">
            <v>1</v>
          </cell>
          <cell r="FL580">
            <v>1</v>
          </cell>
          <cell r="FM580" t="str">
            <v/>
          </cell>
          <cell r="FN580">
            <v>0</v>
          </cell>
          <cell r="FO580">
            <v>0</v>
          </cell>
          <cell r="FP580">
            <v>1</v>
          </cell>
          <cell r="FQ580">
            <v>1</v>
          </cell>
          <cell r="FR580" t="str">
            <v/>
          </cell>
          <cell r="FS580">
            <v>0</v>
          </cell>
          <cell r="FT580">
            <v>0</v>
          </cell>
          <cell r="FU580">
            <v>2.0333333333333332</v>
          </cell>
          <cell r="FW580" t="str">
            <v>STOCK OK</v>
          </cell>
          <cell r="FX580" t="str">
            <v>NUEVO</v>
          </cell>
          <cell r="FY580" t="str">
            <v>Si</v>
          </cell>
        </row>
        <row r="581">
          <cell r="B581" t="str">
            <v>REP-0598</v>
          </cell>
          <cell r="C581" t="str">
            <v>MIX</v>
          </cell>
          <cell r="E581">
            <v>1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1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BQ581">
            <v>35</v>
          </cell>
          <cell r="BR581" t="str">
            <v/>
          </cell>
          <cell r="BS581">
            <v>0</v>
          </cell>
          <cell r="BT581">
            <v>3</v>
          </cell>
          <cell r="CJ581">
            <v>0</v>
          </cell>
          <cell r="CK581" t="str">
            <v/>
          </cell>
          <cell r="CL581">
            <v>0</v>
          </cell>
          <cell r="CM581">
            <v>0</v>
          </cell>
          <cell r="CN581">
            <v>0</v>
          </cell>
          <cell r="CO581">
            <v>1</v>
          </cell>
          <cell r="CP581" t="str">
            <v/>
          </cell>
          <cell r="CQ581">
            <v>0</v>
          </cell>
          <cell r="CR581">
            <v>0</v>
          </cell>
          <cell r="CS581">
            <v>1</v>
          </cell>
          <cell r="CT581">
            <v>1</v>
          </cell>
          <cell r="CU581" t="str">
            <v/>
          </cell>
          <cell r="CV581">
            <v>0</v>
          </cell>
          <cell r="CW581">
            <v>0</v>
          </cell>
          <cell r="CX581">
            <v>1</v>
          </cell>
          <cell r="CY581">
            <v>1</v>
          </cell>
          <cell r="CZ581" t="str">
            <v/>
          </cell>
          <cell r="DA581">
            <v>0</v>
          </cell>
          <cell r="DB581">
            <v>0</v>
          </cell>
          <cell r="DC581">
            <v>1</v>
          </cell>
          <cell r="DD581">
            <v>1</v>
          </cell>
          <cell r="DE581" t="str">
            <v/>
          </cell>
          <cell r="DF581">
            <v>0</v>
          </cell>
          <cell r="DG581">
            <v>0</v>
          </cell>
          <cell r="DH581">
            <v>1</v>
          </cell>
          <cell r="DI581">
            <v>1</v>
          </cell>
          <cell r="DJ581" t="str">
            <v/>
          </cell>
          <cell r="DK581">
            <v>0</v>
          </cell>
          <cell r="DL581">
            <v>0</v>
          </cell>
          <cell r="DM581">
            <v>1</v>
          </cell>
          <cell r="DN581">
            <v>1</v>
          </cell>
          <cell r="DO581" t="str">
            <v/>
          </cell>
          <cell r="DP581">
            <v>0</v>
          </cell>
          <cell r="DQ581">
            <v>0</v>
          </cell>
          <cell r="DR581">
            <v>1</v>
          </cell>
          <cell r="DS581">
            <v>1</v>
          </cell>
          <cell r="DT581" t="str">
            <v/>
          </cell>
          <cell r="DU581">
            <v>0</v>
          </cell>
          <cell r="DV581">
            <v>0</v>
          </cell>
          <cell r="DW581">
            <v>1</v>
          </cell>
          <cell r="DX581">
            <v>1</v>
          </cell>
          <cell r="DY581" t="str">
            <v/>
          </cell>
          <cell r="DZ581">
            <v>0</v>
          </cell>
          <cell r="EA581">
            <v>0</v>
          </cell>
          <cell r="EB581">
            <v>1</v>
          </cell>
          <cell r="EC581">
            <v>1</v>
          </cell>
          <cell r="ED581" t="str">
            <v/>
          </cell>
          <cell r="EE581">
            <v>0</v>
          </cell>
          <cell r="EF581">
            <v>0</v>
          </cell>
          <cell r="EG581">
            <v>1</v>
          </cell>
          <cell r="EH581">
            <v>1</v>
          </cell>
          <cell r="EI581" t="str">
            <v/>
          </cell>
          <cell r="EJ581">
            <v>0</v>
          </cell>
          <cell r="EK581">
            <v>0</v>
          </cell>
          <cell r="EL581">
            <v>1</v>
          </cell>
          <cell r="EM581">
            <v>1</v>
          </cell>
          <cell r="EN581" t="str">
            <v/>
          </cell>
          <cell r="EO581">
            <v>0</v>
          </cell>
          <cell r="EP581">
            <v>0</v>
          </cell>
          <cell r="EQ581">
            <v>1</v>
          </cell>
          <cell r="ER581">
            <v>1</v>
          </cell>
          <cell r="ES581" t="str">
            <v/>
          </cell>
          <cell r="ET581">
            <v>0</v>
          </cell>
          <cell r="EU581">
            <v>0</v>
          </cell>
          <cell r="EV581">
            <v>1</v>
          </cell>
          <cell r="EW581">
            <v>1</v>
          </cell>
          <cell r="EX581" t="str">
            <v/>
          </cell>
          <cell r="EY581">
            <v>0</v>
          </cell>
          <cell r="EZ581">
            <v>0</v>
          </cell>
          <cell r="FA581">
            <v>1</v>
          </cell>
          <cell r="FB581">
            <v>1</v>
          </cell>
          <cell r="FC581" t="str">
            <v/>
          </cell>
          <cell r="FD581">
            <v>0</v>
          </cell>
          <cell r="FE581">
            <v>0</v>
          </cell>
          <cell r="FF581">
            <v>1</v>
          </cell>
          <cell r="FG581">
            <v>1</v>
          </cell>
          <cell r="FH581" t="str">
            <v/>
          </cell>
          <cell r="FI581">
            <v>0</v>
          </cell>
          <cell r="FJ581">
            <v>0</v>
          </cell>
          <cell r="FK581">
            <v>1</v>
          </cell>
          <cell r="FL581">
            <v>1</v>
          </cell>
          <cell r="FM581" t="str">
            <v/>
          </cell>
          <cell r="FN581">
            <v>0</v>
          </cell>
          <cell r="FO581">
            <v>0</v>
          </cell>
          <cell r="FP581">
            <v>1</v>
          </cell>
          <cell r="FQ581">
            <v>1</v>
          </cell>
          <cell r="FR581" t="str">
            <v/>
          </cell>
          <cell r="FS581">
            <v>0</v>
          </cell>
          <cell r="FT581">
            <v>0</v>
          </cell>
          <cell r="FU581">
            <v>2.0333333333333332</v>
          </cell>
          <cell r="FW581" t="str">
            <v>STOCK OK</v>
          </cell>
          <cell r="FX581" t="str">
            <v>NUEVO</v>
          </cell>
          <cell r="FY581" t="str">
            <v>Si</v>
          </cell>
        </row>
        <row r="582">
          <cell r="B582" t="str">
            <v>REP-0599</v>
          </cell>
          <cell r="C582" t="str">
            <v>MIX</v>
          </cell>
          <cell r="E582">
            <v>1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BQ582">
            <v>36</v>
          </cell>
          <cell r="BR582" t="str">
            <v/>
          </cell>
          <cell r="BS582">
            <v>0</v>
          </cell>
          <cell r="BT582">
            <v>3</v>
          </cell>
          <cell r="CJ582">
            <v>0</v>
          </cell>
          <cell r="CK582" t="str">
            <v/>
          </cell>
          <cell r="CL582">
            <v>0</v>
          </cell>
          <cell r="CM582">
            <v>0</v>
          </cell>
          <cell r="CN582">
            <v>0</v>
          </cell>
          <cell r="CO582">
            <v>1</v>
          </cell>
          <cell r="CP582" t="str">
            <v/>
          </cell>
          <cell r="CQ582">
            <v>0</v>
          </cell>
          <cell r="CR582">
            <v>0</v>
          </cell>
          <cell r="CS582">
            <v>1</v>
          </cell>
          <cell r="CT582">
            <v>1</v>
          </cell>
          <cell r="CU582" t="str">
            <v/>
          </cell>
          <cell r="CV582">
            <v>0</v>
          </cell>
          <cell r="CW582">
            <v>0</v>
          </cell>
          <cell r="CX582">
            <v>1</v>
          </cell>
          <cell r="CY582">
            <v>1</v>
          </cell>
          <cell r="CZ582" t="str">
            <v/>
          </cell>
          <cell r="DA582">
            <v>0</v>
          </cell>
          <cell r="DB582">
            <v>0</v>
          </cell>
          <cell r="DC582">
            <v>1</v>
          </cell>
          <cell r="DD582">
            <v>1</v>
          </cell>
          <cell r="DE582" t="str">
            <v/>
          </cell>
          <cell r="DF582">
            <v>0</v>
          </cell>
          <cell r="DG582">
            <v>0</v>
          </cell>
          <cell r="DH582">
            <v>1</v>
          </cell>
          <cell r="DI582">
            <v>1</v>
          </cell>
          <cell r="DJ582" t="str">
            <v/>
          </cell>
          <cell r="DK582">
            <v>0</v>
          </cell>
          <cell r="DL582">
            <v>0</v>
          </cell>
          <cell r="DM582">
            <v>1</v>
          </cell>
          <cell r="DN582">
            <v>1</v>
          </cell>
          <cell r="DO582" t="str">
            <v/>
          </cell>
          <cell r="DP582">
            <v>0</v>
          </cell>
          <cell r="DQ582">
            <v>0</v>
          </cell>
          <cell r="DR582">
            <v>1</v>
          </cell>
          <cell r="DS582">
            <v>1</v>
          </cell>
          <cell r="DT582" t="str">
            <v/>
          </cell>
          <cell r="DU582">
            <v>0</v>
          </cell>
          <cell r="DV582">
            <v>0</v>
          </cell>
          <cell r="DW582">
            <v>1</v>
          </cell>
          <cell r="DX582">
            <v>1</v>
          </cell>
          <cell r="DY582" t="str">
            <v/>
          </cell>
          <cell r="DZ582">
            <v>0</v>
          </cell>
          <cell r="EA582">
            <v>0</v>
          </cell>
          <cell r="EB582">
            <v>1</v>
          </cell>
          <cell r="EC582">
            <v>1</v>
          </cell>
          <cell r="ED582" t="str">
            <v/>
          </cell>
          <cell r="EE582">
            <v>0</v>
          </cell>
          <cell r="EF582">
            <v>0</v>
          </cell>
          <cell r="EG582">
            <v>1</v>
          </cell>
          <cell r="EH582">
            <v>1</v>
          </cell>
          <cell r="EI582" t="str">
            <v/>
          </cell>
          <cell r="EJ582">
            <v>0</v>
          </cell>
          <cell r="EK582">
            <v>0</v>
          </cell>
          <cell r="EL582">
            <v>1</v>
          </cell>
          <cell r="EM582">
            <v>1</v>
          </cell>
          <cell r="EN582" t="str">
            <v/>
          </cell>
          <cell r="EO582">
            <v>0</v>
          </cell>
          <cell r="EP582">
            <v>0</v>
          </cell>
          <cell r="EQ582">
            <v>1</v>
          </cell>
          <cell r="ER582">
            <v>1</v>
          </cell>
          <cell r="ES582" t="str">
            <v/>
          </cell>
          <cell r="ET582">
            <v>0</v>
          </cell>
          <cell r="EU582">
            <v>0</v>
          </cell>
          <cell r="EV582">
            <v>1</v>
          </cell>
          <cell r="EW582">
            <v>1</v>
          </cell>
          <cell r="EX582" t="str">
            <v/>
          </cell>
          <cell r="EY582">
            <v>0</v>
          </cell>
          <cell r="EZ582">
            <v>0</v>
          </cell>
          <cell r="FA582">
            <v>1</v>
          </cell>
          <cell r="FB582">
            <v>1</v>
          </cell>
          <cell r="FC582" t="str">
            <v/>
          </cell>
          <cell r="FD582">
            <v>0</v>
          </cell>
          <cell r="FE582">
            <v>0</v>
          </cell>
          <cell r="FF582">
            <v>1</v>
          </cell>
          <cell r="FG582">
            <v>1</v>
          </cell>
          <cell r="FH582" t="str">
            <v/>
          </cell>
          <cell r="FI582">
            <v>0</v>
          </cell>
          <cell r="FJ582">
            <v>0</v>
          </cell>
          <cell r="FK582">
            <v>1</v>
          </cell>
          <cell r="FL582">
            <v>1</v>
          </cell>
          <cell r="FM582" t="str">
            <v/>
          </cell>
          <cell r="FN582">
            <v>0</v>
          </cell>
          <cell r="FO582">
            <v>0</v>
          </cell>
          <cell r="FP582">
            <v>1</v>
          </cell>
          <cell r="FQ582">
            <v>1</v>
          </cell>
          <cell r="FR582" t="str">
            <v/>
          </cell>
          <cell r="FS582">
            <v>0</v>
          </cell>
          <cell r="FT582">
            <v>0</v>
          </cell>
          <cell r="FU582">
            <v>2.0333333333333332</v>
          </cell>
          <cell r="FW582" t="str">
            <v>STOCK OK</v>
          </cell>
          <cell r="FX582" t="str">
            <v>NUEVO</v>
          </cell>
          <cell r="FY582" t="str">
            <v>Si</v>
          </cell>
        </row>
        <row r="583">
          <cell r="B583" t="str">
            <v>REP-0600</v>
          </cell>
          <cell r="C583" t="str">
            <v>MIX</v>
          </cell>
          <cell r="E583">
            <v>19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5</v>
          </cell>
          <cell r="T583">
            <v>9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33</v>
          </cell>
          <cell r="AC583">
            <v>0</v>
          </cell>
          <cell r="AD583">
            <v>0</v>
          </cell>
          <cell r="AE583">
            <v>0</v>
          </cell>
          <cell r="AI583">
            <v>1.8333333333333333</v>
          </cell>
          <cell r="AJ583">
            <v>1.8333333333333333</v>
          </cell>
          <cell r="AK583">
            <v>1.8333333333333333</v>
          </cell>
          <cell r="AL583">
            <v>0</v>
          </cell>
          <cell r="AM583">
            <v>1.8333333333333333</v>
          </cell>
          <cell r="AN583">
            <v>0</v>
          </cell>
          <cell r="BQ583">
            <v>37</v>
          </cell>
          <cell r="BR583">
            <v>20.181818181818183</v>
          </cell>
          <cell r="BS583">
            <v>0</v>
          </cell>
          <cell r="BT583">
            <v>3</v>
          </cell>
          <cell r="CJ583">
            <v>0</v>
          </cell>
          <cell r="CK583" t="str">
            <v/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10</v>
          </cell>
          <cell r="CS583">
            <v>5</v>
          </cell>
          <cell r="CT583">
            <v>10</v>
          </cell>
          <cell r="CU583">
            <v>4</v>
          </cell>
          <cell r="CV583">
            <v>0</v>
          </cell>
          <cell r="CW583">
            <v>0</v>
          </cell>
          <cell r="CX583">
            <v>7.5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-1.5</v>
          </cell>
          <cell r="DD583">
            <v>9</v>
          </cell>
          <cell r="DE583">
            <v>24</v>
          </cell>
          <cell r="DF583">
            <v>0</v>
          </cell>
          <cell r="DG583">
            <v>70</v>
          </cell>
          <cell r="DH583">
            <v>78.75</v>
          </cell>
          <cell r="DI583">
            <v>38</v>
          </cell>
          <cell r="DJ583">
            <v>31.166666666666668</v>
          </cell>
          <cell r="DK583">
            <v>0</v>
          </cell>
          <cell r="DL583">
            <v>0</v>
          </cell>
          <cell r="DM583">
            <v>77.55</v>
          </cell>
          <cell r="DN583">
            <v>33</v>
          </cell>
          <cell r="DO583">
            <v>17.81818181818182</v>
          </cell>
          <cell r="DP583">
            <v>0</v>
          </cell>
          <cell r="DQ583">
            <v>0</v>
          </cell>
          <cell r="DR583">
            <v>31.166666666666668</v>
          </cell>
          <cell r="DS583">
            <v>31.166666666666668</v>
          </cell>
          <cell r="DT583">
            <v>16.81818181818182</v>
          </cell>
          <cell r="DU583">
            <v>0</v>
          </cell>
          <cell r="DV583">
            <v>0</v>
          </cell>
          <cell r="DW583">
            <v>29.333333333333336</v>
          </cell>
          <cell r="DX583">
            <v>29.333333333333336</v>
          </cell>
          <cell r="DY583">
            <v>15.81818181818182</v>
          </cell>
          <cell r="DZ583">
            <v>0</v>
          </cell>
          <cell r="EA583">
            <v>0</v>
          </cell>
          <cell r="EB583">
            <v>27.500000000000004</v>
          </cell>
          <cell r="EC583">
            <v>27.500000000000004</v>
          </cell>
          <cell r="ED583">
            <v>14.81818181818182</v>
          </cell>
          <cell r="EE583">
            <v>0</v>
          </cell>
          <cell r="EF583">
            <v>0</v>
          </cell>
          <cell r="EG583">
            <v>25.666666666666671</v>
          </cell>
          <cell r="EH583">
            <v>25.666666666666671</v>
          </cell>
          <cell r="EI583">
            <v>13.818181818181822</v>
          </cell>
          <cell r="EJ583">
            <v>0</v>
          </cell>
          <cell r="EK583">
            <v>0</v>
          </cell>
          <cell r="EL583">
            <v>23.833333333333339</v>
          </cell>
          <cell r="EM583">
            <v>23.833333333333339</v>
          </cell>
          <cell r="EN583">
            <v>12.818181818181822</v>
          </cell>
          <cell r="EO583">
            <v>0</v>
          </cell>
          <cell r="EP583">
            <v>0</v>
          </cell>
          <cell r="EQ583">
            <v>22.000000000000007</v>
          </cell>
          <cell r="ER583">
            <v>22.000000000000007</v>
          </cell>
          <cell r="ES583">
            <v>11.818181818181822</v>
          </cell>
          <cell r="ET583">
            <v>0</v>
          </cell>
          <cell r="EU583">
            <v>0</v>
          </cell>
          <cell r="EV583">
            <v>20.166666666666675</v>
          </cell>
          <cell r="EW583">
            <v>20.166666666666675</v>
          </cell>
          <cell r="EX583">
            <v>10.818181818181824</v>
          </cell>
          <cell r="EY583">
            <v>0</v>
          </cell>
          <cell r="EZ583">
            <v>0</v>
          </cell>
          <cell r="FA583">
            <v>18.333333333333343</v>
          </cell>
          <cell r="FB583">
            <v>18.333333333333343</v>
          </cell>
          <cell r="FC583">
            <v>9.8181818181818237</v>
          </cell>
          <cell r="FD583">
            <v>0</v>
          </cell>
          <cell r="FE583">
            <v>0</v>
          </cell>
          <cell r="FF583">
            <v>16.500000000000011</v>
          </cell>
          <cell r="FG583">
            <v>16.500000000000011</v>
          </cell>
          <cell r="FH583">
            <v>8.8181818181818237</v>
          </cell>
          <cell r="FI583">
            <v>0</v>
          </cell>
          <cell r="FJ583">
            <v>0</v>
          </cell>
          <cell r="FK583">
            <v>14.666666666666677</v>
          </cell>
          <cell r="FL583">
            <v>14.666666666666677</v>
          </cell>
          <cell r="FM583">
            <v>7.8181818181818237</v>
          </cell>
          <cell r="FN583">
            <v>0</v>
          </cell>
          <cell r="FO583">
            <v>0</v>
          </cell>
          <cell r="FP583">
            <v>12.833333333333343</v>
          </cell>
          <cell r="FQ583">
            <v>12.833333333333343</v>
          </cell>
          <cell r="FR583">
            <v>6.8181818181818237</v>
          </cell>
          <cell r="FS583">
            <v>0</v>
          </cell>
          <cell r="FT583">
            <v>4</v>
          </cell>
          <cell r="FU583">
            <v>2.0333333333333332</v>
          </cell>
          <cell r="FW583" t="str">
            <v>STOCK OK</v>
          </cell>
          <cell r="FX583" t="str">
            <v>C</v>
          </cell>
          <cell r="FY583" t="str">
            <v>Si</v>
          </cell>
        </row>
        <row r="584">
          <cell r="B584" t="str">
            <v>REP-0601</v>
          </cell>
          <cell r="C584" t="str">
            <v>MIX</v>
          </cell>
          <cell r="E584">
            <v>1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BQ584">
            <v>38</v>
          </cell>
          <cell r="BR584" t="str">
            <v/>
          </cell>
          <cell r="BS584">
            <v>0</v>
          </cell>
          <cell r="BT584">
            <v>3</v>
          </cell>
          <cell r="CJ584">
            <v>0</v>
          </cell>
          <cell r="CK584" t="str">
            <v/>
          </cell>
          <cell r="CL584">
            <v>0</v>
          </cell>
          <cell r="CM584">
            <v>0</v>
          </cell>
          <cell r="CN584">
            <v>0</v>
          </cell>
          <cell r="CO584">
            <v>1</v>
          </cell>
          <cell r="CP584" t="str">
            <v/>
          </cell>
          <cell r="CQ584">
            <v>0</v>
          </cell>
          <cell r="CR584">
            <v>0</v>
          </cell>
          <cell r="CS584">
            <v>1</v>
          </cell>
          <cell r="CT584">
            <v>1</v>
          </cell>
          <cell r="CU584" t="str">
            <v/>
          </cell>
          <cell r="CV584">
            <v>0</v>
          </cell>
          <cell r="CW584">
            <v>0</v>
          </cell>
          <cell r="CX584">
            <v>1</v>
          </cell>
          <cell r="CY584">
            <v>1</v>
          </cell>
          <cell r="CZ584" t="str">
            <v/>
          </cell>
          <cell r="DA584">
            <v>0</v>
          </cell>
          <cell r="DB584">
            <v>0</v>
          </cell>
          <cell r="DC584">
            <v>1</v>
          </cell>
          <cell r="DD584">
            <v>1</v>
          </cell>
          <cell r="DE584" t="str">
            <v/>
          </cell>
          <cell r="DF584">
            <v>0</v>
          </cell>
          <cell r="DG584">
            <v>0</v>
          </cell>
          <cell r="DH584">
            <v>1</v>
          </cell>
          <cell r="DI584">
            <v>1</v>
          </cell>
          <cell r="DJ584" t="str">
            <v/>
          </cell>
          <cell r="DK584">
            <v>0</v>
          </cell>
          <cell r="DL584">
            <v>0</v>
          </cell>
          <cell r="DM584">
            <v>1</v>
          </cell>
          <cell r="DN584">
            <v>1</v>
          </cell>
          <cell r="DO584" t="str">
            <v/>
          </cell>
          <cell r="DP584">
            <v>0</v>
          </cell>
          <cell r="DQ584">
            <v>0</v>
          </cell>
          <cell r="DR584">
            <v>1</v>
          </cell>
          <cell r="DS584">
            <v>1</v>
          </cell>
          <cell r="DT584" t="str">
            <v/>
          </cell>
          <cell r="DU584">
            <v>0</v>
          </cell>
          <cell r="DV584">
            <v>0</v>
          </cell>
          <cell r="DW584">
            <v>1</v>
          </cell>
          <cell r="DX584">
            <v>1</v>
          </cell>
          <cell r="DY584" t="str">
            <v/>
          </cell>
          <cell r="DZ584">
            <v>0</v>
          </cell>
          <cell r="EA584">
            <v>0</v>
          </cell>
          <cell r="EB584">
            <v>1</v>
          </cell>
          <cell r="EC584">
            <v>1</v>
          </cell>
          <cell r="ED584" t="str">
            <v/>
          </cell>
          <cell r="EE584">
            <v>0</v>
          </cell>
          <cell r="EF584">
            <v>0</v>
          </cell>
          <cell r="EG584">
            <v>1</v>
          </cell>
          <cell r="EH584">
            <v>1</v>
          </cell>
          <cell r="EI584" t="str">
            <v/>
          </cell>
          <cell r="EJ584">
            <v>0</v>
          </cell>
          <cell r="EK584">
            <v>0</v>
          </cell>
          <cell r="EL584">
            <v>1</v>
          </cell>
          <cell r="EM584">
            <v>1</v>
          </cell>
          <cell r="EN584" t="str">
            <v/>
          </cell>
          <cell r="EO584">
            <v>0</v>
          </cell>
          <cell r="EP584">
            <v>0</v>
          </cell>
          <cell r="EQ584">
            <v>1</v>
          </cell>
          <cell r="ER584">
            <v>1</v>
          </cell>
          <cell r="ES584" t="str">
            <v/>
          </cell>
          <cell r="ET584">
            <v>0</v>
          </cell>
          <cell r="EU584">
            <v>0</v>
          </cell>
          <cell r="EV584">
            <v>1</v>
          </cell>
          <cell r="EW584">
            <v>1</v>
          </cell>
          <cell r="EX584" t="str">
            <v/>
          </cell>
          <cell r="EY584">
            <v>0</v>
          </cell>
          <cell r="EZ584">
            <v>0</v>
          </cell>
          <cell r="FA584">
            <v>1</v>
          </cell>
          <cell r="FB584">
            <v>1</v>
          </cell>
          <cell r="FC584" t="str">
            <v/>
          </cell>
          <cell r="FD584">
            <v>0</v>
          </cell>
          <cell r="FE584">
            <v>0</v>
          </cell>
          <cell r="FF584">
            <v>1</v>
          </cell>
          <cell r="FG584">
            <v>1</v>
          </cell>
          <cell r="FH584" t="str">
            <v/>
          </cell>
          <cell r="FI584">
            <v>0</v>
          </cell>
          <cell r="FJ584">
            <v>0</v>
          </cell>
          <cell r="FK584">
            <v>1</v>
          </cell>
          <cell r="FL584">
            <v>1</v>
          </cell>
          <cell r="FM584" t="str">
            <v/>
          </cell>
          <cell r="FN584">
            <v>0</v>
          </cell>
          <cell r="FO584">
            <v>0</v>
          </cell>
          <cell r="FP584">
            <v>1</v>
          </cell>
          <cell r="FQ584">
            <v>1</v>
          </cell>
          <cell r="FR584" t="str">
            <v/>
          </cell>
          <cell r="FS584">
            <v>0</v>
          </cell>
          <cell r="FT584">
            <v>0</v>
          </cell>
          <cell r="FU584">
            <v>2.0333333333333332</v>
          </cell>
          <cell r="FW584" t="str">
            <v>STOCK OK</v>
          </cell>
          <cell r="FX584" t="str">
            <v>NUEVO</v>
          </cell>
          <cell r="FY584" t="str">
            <v>Si</v>
          </cell>
        </row>
        <row r="585">
          <cell r="B585" t="str">
            <v>REP-0602</v>
          </cell>
          <cell r="C585" t="str">
            <v>MIX</v>
          </cell>
          <cell r="E585">
            <v>2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2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BQ585">
            <v>39</v>
          </cell>
          <cell r="BR585" t="str">
            <v/>
          </cell>
          <cell r="BS585">
            <v>0</v>
          </cell>
          <cell r="BT585">
            <v>3</v>
          </cell>
          <cell r="CJ585">
            <v>0</v>
          </cell>
          <cell r="CK585" t="str">
            <v/>
          </cell>
          <cell r="CL585">
            <v>0</v>
          </cell>
          <cell r="CM585">
            <v>0</v>
          </cell>
          <cell r="CN585">
            <v>0</v>
          </cell>
          <cell r="CO585">
            <v>2</v>
          </cell>
          <cell r="CP585" t="str">
            <v/>
          </cell>
          <cell r="CQ585">
            <v>0</v>
          </cell>
          <cell r="CR585">
            <v>0</v>
          </cell>
          <cell r="CS585">
            <v>2</v>
          </cell>
          <cell r="CT585">
            <v>2</v>
          </cell>
          <cell r="CU585" t="str">
            <v/>
          </cell>
          <cell r="CV585">
            <v>0</v>
          </cell>
          <cell r="CW585">
            <v>0</v>
          </cell>
          <cell r="CX585">
            <v>2</v>
          </cell>
          <cell r="CY585">
            <v>2</v>
          </cell>
          <cell r="CZ585" t="str">
            <v/>
          </cell>
          <cell r="DA585">
            <v>0</v>
          </cell>
          <cell r="DB585">
            <v>0</v>
          </cell>
          <cell r="DC585">
            <v>2</v>
          </cell>
          <cell r="DD585">
            <v>2</v>
          </cell>
          <cell r="DE585" t="str">
            <v/>
          </cell>
          <cell r="DF585">
            <v>0</v>
          </cell>
          <cell r="DG585">
            <v>0</v>
          </cell>
          <cell r="DH585">
            <v>2</v>
          </cell>
          <cell r="DI585">
            <v>2</v>
          </cell>
          <cell r="DJ585" t="str">
            <v/>
          </cell>
          <cell r="DK585">
            <v>0</v>
          </cell>
          <cell r="DL585">
            <v>0</v>
          </cell>
          <cell r="DM585">
            <v>2</v>
          </cell>
          <cell r="DN585">
            <v>2</v>
          </cell>
          <cell r="DO585" t="str">
            <v/>
          </cell>
          <cell r="DP585">
            <v>0</v>
          </cell>
          <cell r="DQ585">
            <v>0</v>
          </cell>
          <cell r="DR585">
            <v>2</v>
          </cell>
          <cell r="DS585">
            <v>2</v>
          </cell>
          <cell r="DT585" t="str">
            <v/>
          </cell>
          <cell r="DU585">
            <v>0</v>
          </cell>
          <cell r="DV585">
            <v>0</v>
          </cell>
          <cell r="DW585">
            <v>2</v>
          </cell>
          <cell r="DX585">
            <v>2</v>
          </cell>
          <cell r="DY585" t="str">
            <v/>
          </cell>
          <cell r="DZ585">
            <v>0</v>
          </cell>
          <cell r="EA585">
            <v>0</v>
          </cell>
          <cell r="EB585">
            <v>2</v>
          </cell>
          <cell r="EC585">
            <v>2</v>
          </cell>
          <cell r="ED585" t="str">
            <v/>
          </cell>
          <cell r="EE585">
            <v>0</v>
          </cell>
          <cell r="EF585">
            <v>0</v>
          </cell>
          <cell r="EG585">
            <v>2</v>
          </cell>
          <cell r="EH585">
            <v>2</v>
          </cell>
          <cell r="EI585" t="str">
            <v/>
          </cell>
          <cell r="EJ585">
            <v>0</v>
          </cell>
          <cell r="EK585">
            <v>0</v>
          </cell>
          <cell r="EL585">
            <v>2</v>
          </cell>
          <cell r="EM585">
            <v>2</v>
          </cell>
          <cell r="EN585" t="str">
            <v/>
          </cell>
          <cell r="EO585">
            <v>0</v>
          </cell>
          <cell r="EP585">
            <v>0</v>
          </cell>
          <cell r="EQ585">
            <v>2</v>
          </cell>
          <cell r="ER585">
            <v>2</v>
          </cell>
          <cell r="ES585" t="str">
            <v/>
          </cell>
          <cell r="ET585">
            <v>0</v>
          </cell>
          <cell r="EU585">
            <v>0</v>
          </cell>
          <cell r="EV585">
            <v>2</v>
          </cell>
          <cell r="EW585">
            <v>2</v>
          </cell>
          <cell r="EX585" t="str">
            <v/>
          </cell>
          <cell r="EY585">
            <v>0</v>
          </cell>
          <cell r="EZ585">
            <v>0</v>
          </cell>
          <cell r="FA585">
            <v>2</v>
          </cell>
          <cell r="FB585">
            <v>2</v>
          </cell>
          <cell r="FC585" t="str">
            <v/>
          </cell>
          <cell r="FD585">
            <v>0</v>
          </cell>
          <cell r="FE585">
            <v>0</v>
          </cell>
          <cell r="FF585">
            <v>2</v>
          </cell>
          <cell r="FG585">
            <v>2</v>
          </cell>
          <cell r="FH585" t="str">
            <v/>
          </cell>
          <cell r="FI585">
            <v>0</v>
          </cell>
          <cell r="FJ585">
            <v>0</v>
          </cell>
          <cell r="FK585">
            <v>2</v>
          </cell>
          <cell r="FL585">
            <v>2</v>
          </cell>
          <cell r="FM585" t="str">
            <v/>
          </cell>
          <cell r="FN585">
            <v>0</v>
          </cell>
          <cell r="FO585">
            <v>0</v>
          </cell>
          <cell r="FP585">
            <v>2</v>
          </cell>
          <cell r="FQ585">
            <v>2</v>
          </cell>
          <cell r="FR585" t="str">
            <v/>
          </cell>
          <cell r="FS585">
            <v>0</v>
          </cell>
          <cell r="FT585">
            <v>0</v>
          </cell>
          <cell r="FU585">
            <v>2.0333333333333332</v>
          </cell>
          <cell r="FW585" t="str">
            <v>STOCK OK</v>
          </cell>
          <cell r="FX585" t="str">
            <v>NUEVO</v>
          </cell>
          <cell r="FY585" t="str">
            <v>Si</v>
          </cell>
        </row>
        <row r="586">
          <cell r="B586" t="str">
            <v>REP-0603</v>
          </cell>
          <cell r="C586" t="str">
            <v>MIX</v>
          </cell>
          <cell r="E586">
            <v>1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1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BQ586">
            <v>40</v>
          </cell>
          <cell r="BR586" t="str">
            <v/>
          </cell>
          <cell r="BS586">
            <v>0</v>
          </cell>
          <cell r="BT586">
            <v>3</v>
          </cell>
          <cell r="CJ586">
            <v>0</v>
          </cell>
          <cell r="CK586" t="str">
            <v/>
          </cell>
          <cell r="CL586">
            <v>0</v>
          </cell>
          <cell r="CM586">
            <v>0</v>
          </cell>
          <cell r="CN586">
            <v>0</v>
          </cell>
          <cell r="CO586">
            <v>1</v>
          </cell>
          <cell r="CP586" t="str">
            <v/>
          </cell>
          <cell r="CQ586">
            <v>0</v>
          </cell>
          <cell r="CR586">
            <v>0</v>
          </cell>
          <cell r="CS586">
            <v>1</v>
          </cell>
          <cell r="CT586">
            <v>1</v>
          </cell>
          <cell r="CU586" t="str">
            <v/>
          </cell>
          <cell r="CV586">
            <v>0</v>
          </cell>
          <cell r="CW586">
            <v>0</v>
          </cell>
          <cell r="CX586">
            <v>1</v>
          </cell>
          <cell r="CY586">
            <v>1</v>
          </cell>
          <cell r="CZ586" t="str">
            <v/>
          </cell>
          <cell r="DA586">
            <v>0</v>
          </cell>
          <cell r="DB586">
            <v>0</v>
          </cell>
          <cell r="DC586">
            <v>1</v>
          </cell>
          <cell r="DD586">
            <v>1</v>
          </cell>
          <cell r="DE586" t="str">
            <v/>
          </cell>
          <cell r="DF586">
            <v>0</v>
          </cell>
          <cell r="DG586">
            <v>0</v>
          </cell>
          <cell r="DH586">
            <v>1</v>
          </cell>
          <cell r="DI586">
            <v>1</v>
          </cell>
          <cell r="DJ586" t="str">
            <v/>
          </cell>
          <cell r="DK586">
            <v>0</v>
          </cell>
          <cell r="DL586">
            <v>0</v>
          </cell>
          <cell r="DM586">
            <v>1</v>
          </cell>
          <cell r="DN586">
            <v>1</v>
          </cell>
          <cell r="DO586" t="str">
            <v/>
          </cell>
          <cell r="DP586">
            <v>0</v>
          </cell>
          <cell r="DQ586">
            <v>0</v>
          </cell>
          <cell r="DR586">
            <v>1</v>
          </cell>
          <cell r="DS586">
            <v>1</v>
          </cell>
          <cell r="DT586" t="str">
            <v/>
          </cell>
          <cell r="DU586">
            <v>0</v>
          </cell>
          <cell r="DV586">
            <v>0</v>
          </cell>
          <cell r="DW586">
            <v>1</v>
          </cell>
          <cell r="DX586">
            <v>1</v>
          </cell>
          <cell r="DY586" t="str">
            <v/>
          </cell>
          <cell r="DZ586">
            <v>0</v>
          </cell>
          <cell r="EA586">
            <v>0</v>
          </cell>
          <cell r="EB586">
            <v>1</v>
          </cell>
          <cell r="EC586">
            <v>1</v>
          </cell>
          <cell r="ED586" t="str">
            <v/>
          </cell>
          <cell r="EE586">
            <v>0</v>
          </cell>
          <cell r="EF586">
            <v>0</v>
          </cell>
          <cell r="EG586">
            <v>1</v>
          </cell>
          <cell r="EH586">
            <v>1</v>
          </cell>
          <cell r="EI586" t="str">
            <v/>
          </cell>
          <cell r="EJ586">
            <v>0</v>
          </cell>
          <cell r="EK586">
            <v>0</v>
          </cell>
          <cell r="EL586">
            <v>1</v>
          </cell>
          <cell r="EM586">
            <v>1</v>
          </cell>
          <cell r="EN586" t="str">
            <v/>
          </cell>
          <cell r="EO586">
            <v>0</v>
          </cell>
          <cell r="EP586">
            <v>0</v>
          </cell>
          <cell r="EQ586">
            <v>1</v>
          </cell>
          <cell r="ER586">
            <v>1</v>
          </cell>
          <cell r="ES586" t="str">
            <v/>
          </cell>
          <cell r="ET586">
            <v>0</v>
          </cell>
          <cell r="EU586">
            <v>0</v>
          </cell>
          <cell r="EV586">
            <v>1</v>
          </cell>
          <cell r="EW586">
            <v>1</v>
          </cell>
          <cell r="EX586" t="str">
            <v/>
          </cell>
          <cell r="EY586">
            <v>0</v>
          </cell>
          <cell r="EZ586">
            <v>0</v>
          </cell>
          <cell r="FA586">
            <v>1</v>
          </cell>
          <cell r="FB586">
            <v>1</v>
          </cell>
          <cell r="FC586" t="str">
            <v/>
          </cell>
          <cell r="FD586">
            <v>0</v>
          </cell>
          <cell r="FE586">
            <v>0</v>
          </cell>
          <cell r="FF586">
            <v>1</v>
          </cell>
          <cell r="FG586">
            <v>1</v>
          </cell>
          <cell r="FH586" t="str">
            <v/>
          </cell>
          <cell r="FI586">
            <v>0</v>
          </cell>
          <cell r="FJ586">
            <v>0</v>
          </cell>
          <cell r="FK586">
            <v>1</v>
          </cell>
          <cell r="FL586">
            <v>1</v>
          </cell>
          <cell r="FM586" t="str">
            <v/>
          </cell>
          <cell r="FN586">
            <v>0</v>
          </cell>
          <cell r="FO586">
            <v>0</v>
          </cell>
          <cell r="FP586">
            <v>1</v>
          </cell>
          <cell r="FQ586">
            <v>1</v>
          </cell>
          <cell r="FR586" t="str">
            <v/>
          </cell>
          <cell r="FS586">
            <v>0</v>
          </cell>
          <cell r="FT586">
            <v>0</v>
          </cell>
          <cell r="FU586">
            <v>2.0333333333333332</v>
          </cell>
          <cell r="FW586" t="str">
            <v>STOCK OK</v>
          </cell>
          <cell r="FX586" t="str">
            <v>NUEVO</v>
          </cell>
          <cell r="FY586" t="str">
            <v>Si</v>
          </cell>
        </row>
        <row r="587">
          <cell r="B587" t="str">
            <v>REP-0604</v>
          </cell>
          <cell r="C587" t="str">
            <v>MIX</v>
          </cell>
          <cell r="E587">
            <v>1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BQ587">
            <v>41</v>
          </cell>
          <cell r="BR587" t="str">
            <v/>
          </cell>
          <cell r="BS587">
            <v>0</v>
          </cell>
          <cell r="BT587">
            <v>3</v>
          </cell>
          <cell r="CJ587">
            <v>0</v>
          </cell>
          <cell r="CK587" t="str">
            <v/>
          </cell>
          <cell r="CL587">
            <v>0</v>
          </cell>
          <cell r="CM587">
            <v>0</v>
          </cell>
          <cell r="CN587">
            <v>0</v>
          </cell>
          <cell r="CO587">
            <v>1</v>
          </cell>
          <cell r="CP587" t="str">
            <v/>
          </cell>
          <cell r="CQ587">
            <v>0</v>
          </cell>
          <cell r="CR587">
            <v>0</v>
          </cell>
          <cell r="CS587">
            <v>1</v>
          </cell>
          <cell r="CT587">
            <v>1</v>
          </cell>
          <cell r="CU587" t="str">
            <v/>
          </cell>
          <cell r="CV587">
            <v>0</v>
          </cell>
          <cell r="CW587">
            <v>0</v>
          </cell>
          <cell r="CX587">
            <v>1</v>
          </cell>
          <cell r="CY587">
            <v>1</v>
          </cell>
          <cell r="CZ587" t="str">
            <v/>
          </cell>
          <cell r="DA587">
            <v>0</v>
          </cell>
          <cell r="DB587">
            <v>0</v>
          </cell>
          <cell r="DC587">
            <v>1</v>
          </cell>
          <cell r="DD587">
            <v>1</v>
          </cell>
          <cell r="DE587" t="str">
            <v/>
          </cell>
          <cell r="DF587">
            <v>0</v>
          </cell>
          <cell r="DG587">
            <v>0</v>
          </cell>
          <cell r="DH587">
            <v>1</v>
          </cell>
          <cell r="DI587">
            <v>1</v>
          </cell>
          <cell r="DJ587" t="str">
            <v/>
          </cell>
          <cell r="DK587">
            <v>0</v>
          </cell>
          <cell r="DL587">
            <v>0</v>
          </cell>
          <cell r="DM587">
            <v>1</v>
          </cell>
          <cell r="DN587">
            <v>1</v>
          </cell>
          <cell r="DO587" t="str">
            <v/>
          </cell>
          <cell r="DP587">
            <v>0</v>
          </cell>
          <cell r="DQ587">
            <v>0</v>
          </cell>
          <cell r="DR587">
            <v>1</v>
          </cell>
          <cell r="DS587">
            <v>1</v>
          </cell>
          <cell r="DT587" t="str">
            <v/>
          </cell>
          <cell r="DU587">
            <v>0</v>
          </cell>
          <cell r="DV587">
            <v>0</v>
          </cell>
          <cell r="DW587">
            <v>1</v>
          </cell>
          <cell r="DX587">
            <v>1</v>
          </cell>
          <cell r="DY587" t="str">
            <v/>
          </cell>
          <cell r="DZ587">
            <v>0</v>
          </cell>
          <cell r="EA587">
            <v>0</v>
          </cell>
          <cell r="EB587">
            <v>1</v>
          </cell>
          <cell r="EC587">
            <v>1</v>
          </cell>
          <cell r="ED587" t="str">
            <v/>
          </cell>
          <cell r="EE587">
            <v>0</v>
          </cell>
          <cell r="EF587">
            <v>0</v>
          </cell>
          <cell r="EG587">
            <v>1</v>
          </cell>
          <cell r="EH587">
            <v>1</v>
          </cell>
          <cell r="EI587" t="str">
            <v/>
          </cell>
          <cell r="EJ587">
            <v>0</v>
          </cell>
          <cell r="EK587">
            <v>0</v>
          </cell>
          <cell r="EL587">
            <v>1</v>
          </cell>
          <cell r="EM587">
            <v>1</v>
          </cell>
          <cell r="EN587" t="str">
            <v/>
          </cell>
          <cell r="EO587">
            <v>0</v>
          </cell>
          <cell r="EP587">
            <v>0</v>
          </cell>
          <cell r="EQ587">
            <v>1</v>
          </cell>
          <cell r="ER587">
            <v>1</v>
          </cell>
          <cell r="ES587" t="str">
            <v/>
          </cell>
          <cell r="ET587">
            <v>0</v>
          </cell>
          <cell r="EU587">
            <v>0</v>
          </cell>
          <cell r="EV587">
            <v>1</v>
          </cell>
          <cell r="EW587">
            <v>1</v>
          </cell>
          <cell r="EX587" t="str">
            <v/>
          </cell>
          <cell r="EY587">
            <v>0</v>
          </cell>
          <cell r="EZ587">
            <v>0</v>
          </cell>
          <cell r="FA587">
            <v>1</v>
          </cell>
          <cell r="FB587">
            <v>1</v>
          </cell>
          <cell r="FC587" t="str">
            <v/>
          </cell>
          <cell r="FD587">
            <v>0</v>
          </cell>
          <cell r="FE587">
            <v>0</v>
          </cell>
          <cell r="FF587">
            <v>1</v>
          </cell>
          <cell r="FG587">
            <v>1</v>
          </cell>
          <cell r="FH587" t="str">
            <v/>
          </cell>
          <cell r="FI587">
            <v>0</v>
          </cell>
          <cell r="FJ587">
            <v>0</v>
          </cell>
          <cell r="FK587">
            <v>1</v>
          </cell>
          <cell r="FL587">
            <v>1</v>
          </cell>
          <cell r="FM587" t="str">
            <v/>
          </cell>
          <cell r="FN587">
            <v>0</v>
          </cell>
          <cell r="FO587">
            <v>0</v>
          </cell>
          <cell r="FP587">
            <v>1</v>
          </cell>
          <cell r="FQ587">
            <v>1</v>
          </cell>
          <cell r="FR587" t="str">
            <v/>
          </cell>
          <cell r="FS587">
            <v>0</v>
          </cell>
          <cell r="FT587">
            <v>0</v>
          </cell>
          <cell r="FU587">
            <v>2.0333333333333332</v>
          </cell>
          <cell r="FW587" t="str">
            <v>STOCK OK</v>
          </cell>
          <cell r="FX587" t="str">
            <v>NUEVO</v>
          </cell>
          <cell r="FY587" t="str">
            <v>Si</v>
          </cell>
        </row>
        <row r="588">
          <cell r="B588" t="str">
            <v>REP-0605</v>
          </cell>
          <cell r="C588" t="str">
            <v>MIX</v>
          </cell>
          <cell r="E588">
            <v>1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1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BQ588">
            <v>42</v>
          </cell>
          <cell r="BR588" t="str">
            <v/>
          </cell>
          <cell r="BS588">
            <v>0</v>
          </cell>
          <cell r="BT588">
            <v>3</v>
          </cell>
          <cell r="CJ588">
            <v>0</v>
          </cell>
          <cell r="CK588" t="str">
            <v/>
          </cell>
          <cell r="CL588">
            <v>0</v>
          </cell>
          <cell r="CM588">
            <v>0</v>
          </cell>
          <cell r="CN588">
            <v>0</v>
          </cell>
          <cell r="CO588">
            <v>1</v>
          </cell>
          <cell r="CP588" t="str">
            <v/>
          </cell>
          <cell r="CQ588">
            <v>0</v>
          </cell>
          <cell r="CR588">
            <v>0</v>
          </cell>
          <cell r="CS588">
            <v>1</v>
          </cell>
          <cell r="CT588">
            <v>1</v>
          </cell>
          <cell r="CU588" t="str">
            <v/>
          </cell>
          <cell r="CV588">
            <v>0</v>
          </cell>
          <cell r="CW588">
            <v>0</v>
          </cell>
          <cell r="CX588">
            <v>1</v>
          </cell>
          <cell r="CY588">
            <v>1</v>
          </cell>
          <cell r="CZ588" t="str">
            <v/>
          </cell>
          <cell r="DA588">
            <v>0</v>
          </cell>
          <cell r="DB588">
            <v>0</v>
          </cell>
          <cell r="DC588">
            <v>1</v>
          </cell>
          <cell r="DD588">
            <v>1</v>
          </cell>
          <cell r="DE588" t="str">
            <v/>
          </cell>
          <cell r="DF588">
            <v>0</v>
          </cell>
          <cell r="DG588">
            <v>0</v>
          </cell>
          <cell r="DH588">
            <v>1</v>
          </cell>
          <cell r="DI588">
            <v>1</v>
          </cell>
          <cell r="DJ588" t="str">
            <v/>
          </cell>
          <cell r="DK588">
            <v>0</v>
          </cell>
          <cell r="DL588">
            <v>0</v>
          </cell>
          <cell r="DM588">
            <v>1</v>
          </cell>
          <cell r="DN588">
            <v>1</v>
          </cell>
          <cell r="DO588" t="str">
            <v/>
          </cell>
          <cell r="DP588">
            <v>0</v>
          </cell>
          <cell r="DQ588">
            <v>0</v>
          </cell>
          <cell r="DR588">
            <v>1</v>
          </cell>
          <cell r="DS588">
            <v>1</v>
          </cell>
          <cell r="DT588" t="str">
            <v/>
          </cell>
          <cell r="DU588">
            <v>0</v>
          </cell>
          <cell r="DV588">
            <v>0</v>
          </cell>
          <cell r="DW588">
            <v>1</v>
          </cell>
          <cell r="DX588">
            <v>1</v>
          </cell>
          <cell r="DY588" t="str">
            <v/>
          </cell>
          <cell r="DZ588">
            <v>0</v>
          </cell>
          <cell r="EA588">
            <v>0</v>
          </cell>
          <cell r="EB588">
            <v>1</v>
          </cell>
          <cell r="EC588">
            <v>1</v>
          </cell>
          <cell r="ED588" t="str">
            <v/>
          </cell>
          <cell r="EE588">
            <v>0</v>
          </cell>
          <cell r="EF588">
            <v>0</v>
          </cell>
          <cell r="EG588">
            <v>1</v>
          </cell>
          <cell r="EH588">
            <v>1</v>
          </cell>
          <cell r="EI588" t="str">
            <v/>
          </cell>
          <cell r="EJ588">
            <v>0</v>
          </cell>
          <cell r="EK588">
            <v>0</v>
          </cell>
          <cell r="EL588">
            <v>1</v>
          </cell>
          <cell r="EM588">
            <v>1</v>
          </cell>
          <cell r="EN588" t="str">
            <v/>
          </cell>
          <cell r="EO588">
            <v>0</v>
          </cell>
          <cell r="EP588">
            <v>0</v>
          </cell>
          <cell r="EQ588">
            <v>1</v>
          </cell>
          <cell r="ER588">
            <v>1</v>
          </cell>
          <cell r="ES588" t="str">
            <v/>
          </cell>
          <cell r="ET588">
            <v>0</v>
          </cell>
          <cell r="EU588">
            <v>0</v>
          </cell>
          <cell r="EV588">
            <v>1</v>
          </cell>
          <cell r="EW588">
            <v>1</v>
          </cell>
          <cell r="EX588" t="str">
            <v/>
          </cell>
          <cell r="EY588">
            <v>0</v>
          </cell>
          <cell r="EZ588">
            <v>0</v>
          </cell>
          <cell r="FA588">
            <v>1</v>
          </cell>
          <cell r="FB588">
            <v>1</v>
          </cell>
          <cell r="FC588" t="str">
            <v/>
          </cell>
          <cell r="FD588">
            <v>0</v>
          </cell>
          <cell r="FE588">
            <v>0</v>
          </cell>
          <cell r="FF588">
            <v>1</v>
          </cell>
          <cell r="FG588">
            <v>1</v>
          </cell>
          <cell r="FH588" t="str">
            <v/>
          </cell>
          <cell r="FI588">
            <v>0</v>
          </cell>
          <cell r="FJ588">
            <v>0</v>
          </cell>
          <cell r="FK588">
            <v>1</v>
          </cell>
          <cell r="FL588">
            <v>1</v>
          </cell>
          <cell r="FM588" t="str">
            <v/>
          </cell>
          <cell r="FN588">
            <v>0</v>
          </cell>
          <cell r="FO588">
            <v>0</v>
          </cell>
          <cell r="FP588">
            <v>1</v>
          </cell>
          <cell r="FQ588">
            <v>1</v>
          </cell>
          <cell r="FR588" t="str">
            <v/>
          </cell>
          <cell r="FS588">
            <v>0</v>
          </cell>
          <cell r="FT588">
            <v>0</v>
          </cell>
          <cell r="FU588">
            <v>2.0333333333333332</v>
          </cell>
          <cell r="FW588" t="str">
            <v>STOCK OK</v>
          </cell>
          <cell r="FX588" t="str">
            <v>NUEVO</v>
          </cell>
          <cell r="FY588" t="str">
            <v>Si</v>
          </cell>
        </row>
        <row r="589">
          <cell r="B589" t="str">
            <v>REP-0606</v>
          </cell>
          <cell r="C589" t="str">
            <v>MIX</v>
          </cell>
          <cell r="E589">
            <v>1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BQ589">
            <v>43</v>
          </cell>
          <cell r="BR589" t="str">
            <v/>
          </cell>
          <cell r="BS589">
            <v>0</v>
          </cell>
          <cell r="BT589">
            <v>3</v>
          </cell>
          <cell r="CJ589">
            <v>0</v>
          </cell>
          <cell r="CK589" t="str">
            <v/>
          </cell>
          <cell r="CL589">
            <v>0</v>
          </cell>
          <cell r="CM589">
            <v>0</v>
          </cell>
          <cell r="CN589">
            <v>0</v>
          </cell>
          <cell r="CO589">
            <v>1</v>
          </cell>
          <cell r="CP589" t="str">
            <v/>
          </cell>
          <cell r="CQ589">
            <v>0</v>
          </cell>
          <cell r="CR589">
            <v>0</v>
          </cell>
          <cell r="CS589">
            <v>1</v>
          </cell>
          <cell r="CT589">
            <v>1</v>
          </cell>
          <cell r="CU589" t="str">
            <v/>
          </cell>
          <cell r="CV589">
            <v>0</v>
          </cell>
          <cell r="CW589">
            <v>0</v>
          </cell>
          <cell r="CX589">
            <v>1</v>
          </cell>
          <cell r="CY589">
            <v>1</v>
          </cell>
          <cell r="CZ589" t="str">
            <v/>
          </cell>
          <cell r="DA589">
            <v>0</v>
          </cell>
          <cell r="DB589">
            <v>0</v>
          </cell>
          <cell r="DC589">
            <v>1</v>
          </cell>
          <cell r="DD589">
            <v>1</v>
          </cell>
          <cell r="DE589" t="str">
            <v/>
          </cell>
          <cell r="DF589">
            <v>0</v>
          </cell>
          <cell r="DG589">
            <v>0</v>
          </cell>
          <cell r="DH589">
            <v>1</v>
          </cell>
          <cell r="DI589">
            <v>1</v>
          </cell>
          <cell r="DJ589" t="str">
            <v/>
          </cell>
          <cell r="DK589">
            <v>0</v>
          </cell>
          <cell r="DL589">
            <v>0</v>
          </cell>
          <cell r="DM589">
            <v>1</v>
          </cell>
          <cell r="DN589">
            <v>1</v>
          </cell>
          <cell r="DO589" t="str">
            <v/>
          </cell>
          <cell r="DP589">
            <v>0</v>
          </cell>
          <cell r="DQ589">
            <v>0</v>
          </cell>
          <cell r="DR589">
            <v>1</v>
          </cell>
          <cell r="DS589">
            <v>1</v>
          </cell>
          <cell r="DT589" t="str">
            <v/>
          </cell>
          <cell r="DU589">
            <v>0</v>
          </cell>
          <cell r="DV589">
            <v>0</v>
          </cell>
          <cell r="DW589">
            <v>1</v>
          </cell>
          <cell r="DX589">
            <v>1</v>
          </cell>
          <cell r="DY589" t="str">
            <v/>
          </cell>
          <cell r="DZ589">
            <v>0</v>
          </cell>
          <cell r="EA589">
            <v>0</v>
          </cell>
          <cell r="EB589">
            <v>1</v>
          </cell>
          <cell r="EC589">
            <v>1</v>
          </cell>
          <cell r="ED589" t="str">
            <v/>
          </cell>
          <cell r="EE589">
            <v>0</v>
          </cell>
          <cell r="EF589">
            <v>0</v>
          </cell>
          <cell r="EG589">
            <v>1</v>
          </cell>
          <cell r="EH589">
            <v>1</v>
          </cell>
          <cell r="EI589" t="str">
            <v/>
          </cell>
          <cell r="EJ589">
            <v>0</v>
          </cell>
          <cell r="EK589">
            <v>0</v>
          </cell>
          <cell r="EL589">
            <v>1</v>
          </cell>
          <cell r="EM589">
            <v>1</v>
          </cell>
          <cell r="EN589" t="str">
            <v/>
          </cell>
          <cell r="EO589">
            <v>0</v>
          </cell>
          <cell r="EP589">
            <v>0</v>
          </cell>
          <cell r="EQ589">
            <v>1</v>
          </cell>
          <cell r="ER589">
            <v>1</v>
          </cell>
          <cell r="ES589" t="str">
            <v/>
          </cell>
          <cell r="ET589">
            <v>0</v>
          </cell>
          <cell r="EU589">
            <v>0</v>
          </cell>
          <cell r="EV589">
            <v>1</v>
          </cell>
          <cell r="EW589">
            <v>1</v>
          </cell>
          <cell r="EX589" t="str">
            <v/>
          </cell>
          <cell r="EY589">
            <v>0</v>
          </cell>
          <cell r="EZ589">
            <v>0</v>
          </cell>
          <cell r="FA589">
            <v>1</v>
          </cell>
          <cell r="FB589">
            <v>1</v>
          </cell>
          <cell r="FC589" t="str">
            <v/>
          </cell>
          <cell r="FD589">
            <v>0</v>
          </cell>
          <cell r="FE589">
            <v>0</v>
          </cell>
          <cell r="FF589">
            <v>1</v>
          </cell>
          <cell r="FG589">
            <v>1</v>
          </cell>
          <cell r="FH589" t="str">
            <v/>
          </cell>
          <cell r="FI589">
            <v>0</v>
          </cell>
          <cell r="FJ589">
            <v>0</v>
          </cell>
          <cell r="FK589">
            <v>1</v>
          </cell>
          <cell r="FL589">
            <v>1</v>
          </cell>
          <cell r="FM589" t="str">
            <v/>
          </cell>
          <cell r="FN589">
            <v>0</v>
          </cell>
          <cell r="FO589">
            <v>0</v>
          </cell>
          <cell r="FP589">
            <v>1</v>
          </cell>
          <cell r="FQ589">
            <v>1</v>
          </cell>
          <cell r="FR589" t="str">
            <v/>
          </cell>
          <cell r="FS589">
            <v>0</v>
          </cell>
          <cell r="FT589">
            <v>0</v>
          </cell>
          <cell r="FU589">
            <v>2.0333333333333332</v>
          </cell>
          <cell r="FW589" t="str">
            <v>STOCK OK</v>
          </cell>
          <cell r="FX589" t="str">
            <v>NUEVO</v>
          </cell>
          <cell r="FY589" t="str">
            <v>Si</v>
          </cell>
        </row>
        <row r="590">
          <cell r="B590" t="str">
            <v>REP-0607</v>
          </cell>
          <cell r="C590" t="str">
            <v>MIX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0.16666666666666666</v>
          </cell>
          <cell r="AJ590">
            <v>0.16666666666666666</v>
          </cell>
          <cell r="AK590">
            <v>0.16666666666666666</v>
          </cell>
          <cell r="AL590">
            <v>9.1287092917527679E-2</v>
          </cell>
          <cell r="AM590">
            <v>8.3333333333333329E-2</v>
          </cell>
          <cell r="AN590">
            <v>1.0954451150103321</v>
          </cell>
          <cell r="BQ590">
            <v>44</v>
          </cell>
          <cell r="BR590">
            <v>264</v>
          </cell>
          <cell r="BS590">
            <v>0</v>
          </cell>
          <cell r="BT590">
            <v>3</v>
          </cell>
          <cell r="CJ590">
            <v>0</v>
          </cell>
          <cell r="CK590" t="str">
            <v/>
          </cell>
          <cell r="CL590">
            <v>0</v>
          </cell>
          <cell r="CM590">
            <v>0</v>
          </cell>
          <cell r="CN590">
            <v>0</v>
          </cell>
          <cell r="CO590">
            <v>1</v>
          </cell>
          <cell r="CP590" t="str">
            <v/>
          </cell>
          <cell r="CQ590">
            <v>0</v>
          </cell>
          <cell r="CR590">
            <v>0</v>
          </cell>
          <cell r="CS590">
            <v>1</v>
          </cell>
          <cell r="CT590">
            <v>1</v>
          </cell>
          <cell r="CU590" t="str">
            <v/>
          </cell>
          <cell r="CV590">
            <v>0</v>
          </cell>
          <cell r="CW590">
            <v>0</v>
          </cell>
          <cell r="CX590">
            <v>1</v>
          </cell>
          <cell r="CY590">
            <v>1</v>
          </cell>
          <cell r="CZ590" t="str">
            <v/>
          </cell>
          <cell r="DA590">
            <v>0</v>
          </cell>
          <cell r="DB590">
            <v>0</v>
          </cell>
          <cell r="DC590">
            <v>1</v>
          </cell>
          <cell r="DD590">
            <v>1</v>
          </cell>
          <cell r="DE590" t="str">
            <v/>
          </cell>
          <cell r="DF590">
            <v>0</v>
          </cell>
          <cell r="DG590">
            <v>0</v>
          </cell>
          <cell r="DH590">
            <v>1</v>
          </cell>
          <cell r="DI590">
            <v>0</v>
          </cell>
          <cell r="DJ590">
            <v>-3</v>
          </cell>
          <cell r="DK590">
            <v>0</v>
          </cell>
          <cell r="DL590">
            <v>0</v>
          </cell>
          <cell r="DM590">
            <v>0.8</v>
          </cell>
          <cell r="DN590">
            <v>0</v>
          </cell>
          <cell r="DO590">
            <v>-4</v>
          </cell>
          <cell r="DP590">
            <v>1</v>
          </cell>
          <cell r="DQ590">
            <v>0</v>
          </cell>
          <cell r="DR590">
            <v>-0.16666666666666666</v>
          </cell>
          <cell r="DS590">
            <v>-0.16666666666666666</v>
          </cell>
          <cell r="DT590">
            <v>-5.0000000000000009</v>
          </cell>
          <cell r="DU590">
            <v>1.1666666666666667</v>
          </cell>
          <cell r="DV590">
            <v>2</v>
          </cell>
          <cell r="DW590">
            <v>1.6666666666666665</v>
          </cell>
          <cell r="DX590">
            <v>1.6666666666666665</v>
          </cell>
          <cell r="DY590">
            <v>5.9999999999999991</v>
          </cell>
          <cell r="DZ590">
            <v>0</v>
          </cell>
          <cell r="EA590">
            <v>0</v>
          </cell>
          <cell r="EB590">
            <v>1.4999999999999998</v>
          </cell>
          <cell r="EC590">
            <v>1.4999999999999998</v>
          </cell>
          <cell r="ED590">
            <v>4.9999999999999982</v>
          </cell>
          <cell r="EE590">
            <v>0</v>
          </cell>
          <cell r="EF590">
            <v>0</v>
          </cell>
          <cell r="EG590">
            <v>1.333333333333333</v>
          </cell>
          <cell r="EH590">
            <v>1.333333333333333</v>
          </cell>
          <cell r="EI590">
            <v>3.9999999999999982</v>
          </cell>
          <cell r="EJ590">
            <v>0</v>
          </cell>
          <cell r="EK590">
            <v>1</v>
          </cell>
          <cell r="EL590">
            <v>2.1666666666666665</v>
          </cell>
          <cell r="EM590">
            <v>2.1666666666666665</v>
          </cell>
          <cell r="EN590">
            <v>9</v>
          </cell>
          <cell r="EO590">
            <v>0</v>
          </cell>
          <cell r="EP590">
            <v>0</v>
          </cell>
          <cell r="EQ590">
            <v>1.9999999999999998</v>
          </cell>
          <cell r="ER590">
            <v>1.9999999999999998</v>
          </cell>
          <cell r="ES590">
            <v>7.9999999999999991</v>
          </cell>
          <cell r="ET590">
            <v>0</v>
          </cell>
          <cell r="EU590">
            <v>0</v>
          </cell>
          <cell r="EV590">
            <v>1.833333333333333</v>
          </cell>
          <cell r="EW590">
            <v>1.833333333333333</v>
          </cell>
          <cell r="EX590">
            <v>6.9999999999999982</v>
          </cell>
          <cell r="EY590">
            <v>0</v>
          </cell>
          <cell r="EZ590">
            <v>0</v>
          </cell>
          <cell r="FA590">
            <v>1.6666666666666663</v>
          </cell>
          <cell r="FB590">
            <v>1.6666666666666663</v>
          </cell>
          <cell r="FC590">
            <v>5.9999999999999982</v>
          </cell>
          <cell r="FD590">
            <v>0</v>
          </cell>
          <cell r="FE590">
            <v>1</v>
          </cell>
          <cell r="FF590">
            <v>2.4999999999999996</v>
          </cell>
          <cell r="FG590">
            <v>2.4999999999999996</v>
          </cell>
          <cell r="FH590">
            <v>10.999999999999998</v>
          </cell>
          <cell r="FI590">
            <v>0</v>
          </cell>
          <cell r="FJ590">
            <v>0</v>
          </cell>
          <cell r="FK590">
            <v>2.333333333333333</v>
          </cell>
          <cell r="FL590">
            <v>2.333333333333333</v>
          </cell>
          <cell r="FM590">
            <v>9.9999999999999982</v>
          </cell>
          <cell r="FN590">
            <v>0</v>
          </cell>
          <cell r="FO590">
            <v>0</v>
          </cell>
          <cell r="FP590">
            <v>2.1666666666666665</v>
          </cell>
          <cell r="FQ590">
            <v>2.1666666666666665</v>
          </cell>
          <cell r="FR590">
            <v>9</v>
          </cell>
          <cell r="FS590">
            <v>0</v>
          </cell>
          <cell r="FT590">
            <v>1</v>
          </cell>
          <cell r="FU590">
            <v>2.0333333333333332</v>
          </cell>
          <cell r="FW590" t="str">
            <v>STOCK OK</v>
          </cell>
          <cell r="FX590" t="str">
            <v>NUEVO</v>
          </cell>
          <cell r="FY590" t="str">
            <v>Si</v>
          </cell>
        </row>
        <row r="591">
          <cell r="B591" t="str">
            <v>REP-0608</v>
          </cell>
          <cell r="C591" t="str">
            <v>MIX</v>
          </cell>
          <cell r="E591">
            <v>1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BQ591">
            <v>45</v>
          </cell>
          <cell r="BR591" t="str">
            <v/>
          </cell>
          <cell r="BS591">
            <v>0</v>
          </cell>
          <cell r="BT591">
            <v>3</v>
          </cell>
          <cell r="CJ591">
            <v>0</v>
          </cell>
          <cell r="CK591" t="str">
            <v/>
          </cell>
          <cell r="CL591">
            <v>0</v>
          </cell>
          <cell r="CM591">
            <v>0</v>
          </cell>
          <cell r="CN591">
            <v>0</v>
          </cell>
          <cell r="CO591">
            <v>1</v>
          </cell>
          <cell r="CP591" t="str">
            <v/>
          </cell>
          <cell r="CQ591">
            <v>0</v>
          </cell>
          <cell r="CR591">
            <v>0</v>
          </cell>
          <cell r="CS591">
            <v>1</v>
          </cell>
          <cell r="CT591">
            <v>1</v>
          </cell>
          <cell r="CU591" t="str">
            <v/>
          </cell>
          <cell r="CV591">
            <v>0</v>
          </cell>
          <cell r="CW591">
            <v>0</v>
          </cell>
          <cell r="CX591">
            <v>1</v>
          </cell>
          <cell r="CY591">
            <v>1</v>
          </cell>
          <cell r="CZ591" t="str">
            <v/>
          </cell>
          <cell r="DA591">
            <v>0</v>
          </cell>
          <cell r="DB591">
            <v>0</v>
          </cell>
          <cell r="DC591">
            <v>1</v>
          </cell>
          <cell r="DD591">
            <v>1</v>
          </cell>
          <cell r="DE591" t="str">
            <v/>
          </cell>
          <cell r="DF591">
            <v>0</v>
          </cell>
          <cell r="DG591">
            <v>0</v>
          </cell>
          <cell r="DH591">
            <v>1</v>
          </cell>
          <cell r="DI591">
            <v>1</v>
          </cell>
          <cell r="DJ591" t="str">
            <v/>
          </cell>
          <cell r="DK591">
            <v>0</v>
          </cell>
          <cell r="DL591">
            <v>0</v>
          </cell>
          <cell r="DM591">
            <v>1</v>
          </cell>
          <cell r="DN591">
            <v>1</v>
          </cell>
          <cell r="DO591" t="str">
            <v/>
          </cell>
          <cell r="DP591">
            <v>0</v>
          </cell>
          <cell r="DQ591">
            <v>0</v>
          </cell>
          <cell r="DR591">
            <v>1</v>
          </cell>
          <cell r="DS591">
            <v>1</v>
          </cell>
          <cell r="DT591" t="str">
            <v/>
          </cell>
          <cell r="DU591">
            <v>0</v>
          </cell>
          <cell r="DV591">
            <v>0</v>
          </cell>
          <cell r="DW591">
            <v>1</v>
          </cell>
          <cell r="DX591">
            <v>1</v>
          </cell>
          <cell r="DY591" t="str">
            <v/>
          </cell>
          <cell r="DZ591">
            <v>0</v>
          </cell>
          <cell r="EA591">
            <v>0</v>
          </cell>
          <cell r="EB591">
            <v>1</v>
          </cell>
          <cell r="EC591">
            <v>1</v>
          </cell>
          <cell r="ED591" t="str">
            <v/>
          </cell>
          <cell r="EE591">
            <v>0</v>
          </cell>
          <cell r="EF591">
            <v>0</v>
          </cell>
          <cell r="EG591">
            <v>1</v>
          </cell>
          <cell r="EH591">
            <v>1</v>
          </cell>
          <cell r="EI591" t="str">
            <v/>
          </cell>
          <cell r="EJ591">
            <v>0</v>
          </cell>
          <cell r="EK591">
            <v>0</v>
          </cell>
          <cell r="EL591">
            <v>1</v>
          </cell>
          <cell r="EM591">
            <v>1</v>
          </cell>
          <cell r="EN591" t="str">
            <v/>
          </cell>
          <cell r="EO591">
            <v>0</v>
          </cell>
          <cell r="EP591">
            <v>0</v>
          </cell>
          <cell r="EQ591">
            <v>1</v>
          </cell>
          <cell r="ER591">
            <v>1</v>
          </cell>
          <cell r="ES591" t="str">
            <v/>
          </cell>
          <cell r="ET591">
            <v>0</v>
          </cell>
          <cell r="EU591">
            <v>0</v>
          </cell>
          <cell r="EV591">
            <v>1</v>
          </cell>
          <cell r="EW591">
            <v>1</v>
          </cell>
          <cell r="EX591" t="str">
            <v/>
          </cell>
          <cell r="EY591">
            <v>0</v>
          </cell>
          <cell r="EZ591">
            <v>0</v>
          </cell>
          <cell r="FA591">
            <v>1</v>
          </cell>
          <cell r="FB591">
            <v>1</v>
          </cell>
          <cell r="FC591" t="str">
            <v/>
          </cell>
          <cell r="FD591">
            <v>0</v>
          </cell>
          <cell r="FE591">
            <v>0</v>
          </cell>
          <cell r="FF591">
            <v>1</v>
          </cell>
          <cell r="FG591">
            <v>1</v>
          </cell>
          <cell r="FH591" t="str">
            <v/>
          </cell>
          <cell r="FI591">
            <v>0</v>
          </cell>
          <cell r="FJ591">
            <v>0</v>
          </cell>
          <cell r="FK591">
            <v>1</v>
          </cell>
          <cell r="FL591">
            <v>1</v>
          </cell>
          <cell r="FM591" t="str">
            <v/>
          </cell>
          <cell r="FN591">
            <v>0</v>
          </cell>
          <cell r="FO591">
            <v>0</v>
          </cell>
          <cell r="FP591">
            <v>1</v>
          </cell>
          <cell r="FQ591">
            <v>1</v>
          </cell>
          <cell r="FR591" t="str">
            <v/>
          </cell>
          <cell r="FS591">
            <v>0</v>
          </cell>
          <cell r="FT591">
            <v>0</v>
          </cell>
          <cell r="FU591">
            <v>2.0333333333333332</v>
          </cell>
          <cell r="FW591" t="str">
            <v>STOCK OK</v>
          </cell>
          <cell r="FX591" t="str">
            <v>NUEVO</v>
          </cell>
          <cell r="FY591" t="str">
            <v>Si</v>
          </cell>
        </row>
        <row r="592">
          <cell r="B592" t="str">
            <v>REP-0609</v>
          </cell>
          <cell r="C592" t="str">
            <v>MIX</v>
          </cell>
          <cell r="E592">
            <v>1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1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BQ592">
            <v>46</v>
          </cell>
          <cell r="BR592" t="str">
            <v/>
          </cell>
          <cell r="BS592">
            <v>0</v>
          </cell>
          <cell r="BT592">
            <v>3</v>
          </cell>
          <cell r="CJ592">
            <v>0</v>
          </cell>
          <cell r="CK592" t="str">
            <v/>
          </cell>
          <cell r="CL592">
            <v>0</v>
          </cell>
          <cell r="CM592">
            <v>0</v>
          </cell>
          <cell r="CN592">
            <v>0</v>
          </cell>
          <cell r="CO592">
            <v>1</v>
          </cell>
          <cell r="CP592" t="str">
            <v/>
          </cell>
          <cell r="CQ592">
            <v>0</v>
          </cell>
          <cell r="CR592">
            <v>0</v>
          </cell>
          <cell r="CS592">
            <v>1</v>
          </cell>
          <cell r="CT592">
            <v>1</v>
          </cell>
          <cell r="CU592" t="str">
            <v/>
          </cell>
          <cell r="CV592">
            <v>0</v>
          </cell>
          <cell r="CW592">
            <v>0</v>
          </cell>
          <cell r="CX592">
            <v>1</v>
          </cell>
          <cell r="CY592">
            <v>1</v>
          </cell>
          <cell r="CZ592" t="str">
            <v/>
          </cell>
          <cell r="DA592">
            <v>0</v>
          </cell>
          <cell r="DB592">
            <v>0</v>
          </cell>
          <cell r="DC592">
            <v>1</v>
          </cell>
          <cell r="DD592">
            <v>1</v>
          </cell>
          <cell r="DE592" t="str">
            <v/>
          </cell>
          <cell r="DF592">
            <v>0</v>
          </cell>
          <cell r="DG592">
            <v>0</v>
          </cell>
          <cell r="DH592">
            <v>1</v>
          </cell>
          <cell r="DI592">
            <v>1</v>
          </cell>
          <cell r="DJ592" t="str">
            <v/>
          </cell>
          <cell r="DK592">
            <v>0</v>
          </cell>
          <cell r="DL592">
            <v>0</v>
          </cell>
          <cell r="DM592">
            <v>1</v>
          </cell>
          <cell r="DN592">
            <v>1</v>
          </cell>
          <cell r="DO592" t="str">
            <v/>
          </cell>
          <cell r="DP592">
            <v>0</v>
          </cell>
          <cell r="DQ592">
            <v>0</v>
          </cell>
          <cell r="DR592">
            <v>1</v>
          </cell>
          <cell r="DS592">
            <v>1</v>
          </cell>
          <cell r="DT592" t="str">
            <v/>
          </cell>
          <cell r="DU592">
            <v>0</v>
          </cell>
          <cell r="DV592">
            <v>0</v>
          </cell>
          <cell r="DW592">
            <v>1</v>
          </cell>
          <cell r="DX592">
            <v>1</v>
          </cell>
          <cell r="DY592" t="str">
            <v/>
          </cell>
          <cell r="DZ592">
            <v>0</v>
          </cell>
          <cell r="EA592">
            <v>0</v>
          </cell>
          <cell r="EB592">
            <v>1</v>
          </cell>
          <cell r="EC592">
            <v>1</v>
          </cell>
          <cell r="ED592" t="str">
            <v/>
          </cell>
          <cell r="EE592">
            <v>0</v>
          </cell>
          <cell r="EF592">
            <v>0</v>
          </cell>
          <cell r="EG592">
            <v>1</v>
          </cell>
          <cell r="EH592">
            <v>1</v>
          </cell>
          <cell r="EI592" t="str">
            <v/>
          </cell>
          <cell r="EJ592">
            <v>0</v>
          </cell>
          <cell r="EK592">
            <v>0</v>
          </cell>
          <cell r="EL592">
            <v>1</v>
          </cell>
          <cell r="EM592">
            <v>1</v>
          </cell>
          <cell r="EN592" t="str">
            <v/>
          </cell>
          <cell r="EO592">
            <v>0</v>
          </cell>
          <cell r="EP592">
            <v>0</v>
          </cell>
          <cell r="EQ592">
            <v>1</v>
          </cell>
          <cell r="ER592">
            <v>1</v>
          </cell>
          <cell r="ES592" t="str">
            <v/>
          </cell>
          <cell r="ET592">
            <v>0</v>
          </cell>
          <cell r="EU592">
            <v>0</v>
          </cell>
          <cell r="EV592">
            <v>1</v>
          </cell>
          <cell r="EW592">
            <v>1</v>
          </cell>
          <cell r="EX592" t="str">
            <v/>
          </cell>
          <cell r="EY592">
            <v>0</v>
          </cell>
          <cell r="EZ592">
            <v>0</v>
          </cell>
          <cell r="FA592">
            <v>1</v>
          </cell>
          <cell r="FB592">
            <v>1</v>
          </cell>
          <cell r="FC592" t="str">
            <v/>
          </cell>
          <cell r="FD592">
            <v>0</v>
          </cell>
          <cell r="FE592">
            <v>0</v>
          </cell>
          <cell r="FF592">
            <v>1</v>
          </cell>
          <cell r="FG592">
            <v>1</v>
          </cell>
          <cell r="FH592" t="str">
            <v/>
          </cell>
          <cell r="FI592">
            <v>0</v>
          </cell>
          <cell r="FJ592">
            <v>0</v>
          </cell>
          <cell r="FK592">
            <v>1</v>
          </cell>
          <cell r="FL592">
            <v>1</v>
          </cell>
          <cell r="FM592" t="str">
            <v/>
          </cell>
          <cell r="FN592">
            <v>0</v>
          </cell>
          <cell r="FO592">
            <v>0</v>
          </cell>
          <cell r="FP592">
            <v>1</v>
          </cell>
          <cell r="FQ592">
            <v>1</v>
          </cell>
          <cell r="FR592" t="str">
            <v/>
          </cell>
          <cell r="FS592">
            <v>0</v>
          </cell>
          <cell r="FT592">
            <v>0</v>
          </cell>
          <cell r="FU592">
            <v>2.0333333333333332</v>
          </cell>
          <cell r="FW592" t="str">
            <v>STOCK OK</v>
          </cell>
          <cell r="FX592" t="str">
            <v>NUEVO</v>
          </cell>
          <cell r="FY592" t="str">
            <v>Si</v>
          </cell>
        </row>
        <row r="593">
          <cell r="B593" t="str">
            <v>REP-0610</v>
          </cell>
          <cell r="C593" t="str">
            <v>MIX</v>
          </cell>
          <cell r="E593">
            <v>1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1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BQ593">
            <v>47</v>
          </cell>
          <cell r="BR593" t="str">
            <v/>
          </cell>
          <cell r="BS593">
            <v>0</v>
          </cell>
          <cell r="BT593">
            <v>3</v>
          </cell>
          <cell r="CJ593">
            <v>0</v>
          </cell>
          <cell r="CK593" t="str">
            <v/>
          </cell>
          <cell r="CL593">
            <v>0</v>
          </cell>
          <cell r="CM593">
            <v>0</v>
          </cell>
          <cell r="CN593">
            <v>0</v>
          </cell>
          <cell r="CO593">
            <v>1</v>
          </cell>
          <cell r="CP593" t="str">
            <v/>
          </cell>
          <cell r="CQ593">
            <v>0</v>
          </cell>
          <cell r="CR593">
            <v>0</v>
          </cell>
          <cell r="CS593">
            <v>1</v>
          </cell>
          <cell r="CT593">
            <v>1</v>
          </cell>
          <cell r="CU593" t="str">
            <v/>
          </cell>
          <cell r="CV593">
            <v>0</v>
          </cell>
          <cell r="CW593">
            <v>0</v>
          </cell>
          <cell r="CX593">
            <v>1</v>
          </cell>
          <cell r="CY593">
            <v>1</v>
          </cell>
          <cell r="CZ593" t="str">
            <v/>
          </cell>
          <cell r="DA593">
            <v>0</v>
          </cell>
          <cell r="DB593">
            <v>0</v>
          </cell>
          <cell r="DC593">
            <v>1</v>
          </cell>
          <cell r="DD593">
            <v>1</v>
          </cell>
          <cell r="DE593" t="str">
            <v/>
          </cell>
          <cell r="DF593">
            <v>0</v>
          </cell>
          <cell r="DG593">
            <v>0</v>
          </cell>
          <cell r="DH593">
            <v>1</v>
          </cell>
          <cell r="DI593">
            <v>1</v>
          </cell>
          <cell r="DJ593" t="str">
            <v/>
          </cell>
          <cell r="DK593">
            <v>0</v>
          </cell>
          <cell r="DL593">
            <v>0</v>
          </cell>
          <cell r="DM593">
            <v>1</v>
          </cell>
          <cell r="DN593">
            <v>1</v>
          </cell>
          <cell r="DO593" t="str">
            <v/>
          </cell>
          <cell r="DP593">
            <v>0</v>
          </cell>
          <cell r="DQ593">
            <v>0</v>
          </cell>
          <cell r="DR593">
            <v>1</v>
          </cell>
          <cell r="DS593">
            <v>1</v>
          </cell>
          <cell r="DT593" t="str">
            <v/>
          </cell>
          <cell r="DU593">
            <v>0</v>
          </cell>
          <cell r="DV593">
            <v>0</v>
          </cell>
          <cell r="DW593">
            <v>1</v>
          </cell>
          <cell r="DX593">
            <v>1</v>
          </cell>
          <cell r="DY593" t="str">
            <v/>
          </cell>
          <cell r="DZ593">
            <v>0</v>
          </cell>
          <cell r="EA593">
            <v>0</v>
          </cell>
          <cell r="EB593">
            <v>1</v>
          </cell>
          <cell r="EC593">
            <v>1</v>
          </cell>
          <cell r="ED593" t="str">
            <v/>
          </cell>
          <cell r="EE593">
            <v>0</v>
          </cell>
          <cell r="EF593">
            <v>0</v>
          </cell>
          <cell r="EG593">
            <v>1</v>
          </cell>
          <cell r="EH593">
            <v>1</v>
          </cell>
          <cell r="EI593" t="str">
            <v/>
          </cell>
          <cell r="EJ593">
            <v>0</v>
          </cell>
          <cell r="EK593">
            <v>0</v>
          </cell>
          <cell r="EL593">
            <v>1</v>
          </cell>
          <cell r="EM593">
            <v>1</v>
          </cell>
          <cell r="EN593" t="str">
            <v/>
          </cell>
          <cell r="EO593">
            <v>0</v>
          </cell>
          <cell r="EP593">
            <v>0</v>
          </cell>
          <cell r="EQ593">
            <v>1</v>
          </cell>
          <cell r="ER593">
            <v>1</v>
          </cell>
          <cell r="ES593" t="str">
            <v/>
          </cell>
          <cell r="ET593">
            <v>0</v>
          </cell>
          <cell r="EU593">
            <v>0</v>
          </cell>
          <cell r="EV593">
            <v>1</v>
          </cell>
          <cell r="EW593">
            <v>1</v>
          </cell>
          <cell r="EX593" t="str">
            <v/>
          </cell>
          <cell r="EY593">
            <v>0</v>
          </cell>
          <cell r="EZ593">
            <v>0</v>
          </cell>
          <cell r="FA593">
            <v>1</v>
          </cell>
          <cell r="FB593">
            <v>1</v>
          </cell>
          <cell r="FC593" t="str">
            <v/>
          </cell>
          <cell r="FD593">
            <v>0</v>
          </cell>
          <cell r="FE593">
            <v>0</v>
          </cell>
          <cell r="FF593">
            <v>1</v>
          </cell>
          <cell r="FG593">
            <v>1</v>
          </cell>
          <cell r="FH593" t="str">
            <v/>
          </cell>
          <cell r="FI593">
            <v>0</v>
          </cell>
          <cell r="FJ593">
            <v>0</v>
          </cell>
          <cell r="FK593">
            <v>1</v>
          </cell>
          <cell r="FL593">
            <v>1</v>
          </cell>
          <cell r="FM593" t="str">
            <v/>
          </cell>
          <cell r="FN593">
            <v>0</v>
          </cell>
          <cell r="FO593">
            <v>0</v>
          </cell>
          <cell r="FP593">
            <v>1</v>
          </cell>
          <cell r="FQ593">
            <v>1</v>
          </cell>
          <cell r="FR593" t="str">
            <v/>
          </cell>
          <cell r="FS593">
            <v>0</v>
          </cell>
          <cell r="FT593">
            <v>0</v>
          </cell>
          <cell r="FU593">
            <v>2.0333333333333332</v>
          </cell>
          <cell r="FW593" t="str">
            <v>STOCK OK</v>
          </cell>
          <cell r="FX593" t="str">
            <v>NUEVO</v>
          </cell>
          <cell r="FY593" t="str">
            <v>Si</v>
          </cell>
        </row>
        <row r="594">
          <cell r="B594" t="str">
            <v>REP-0611</v>
          </cell>
          <cell r="C594" t="str">
            <v>MIX</v>
          </cell>
          <cell r="E594">
            <v>4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4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BQ594">
            <v>48</v>
          </cell>
          <cell r="BR594" t="str">
            <v/>
          </cell>
          <cell r="BS594">
            <v>0</v>
          </cell>
          <cell r="BT594">
            <v>3</v>
          </cell>
          <cell r="CJ594">
            <v>0</v>
          </cell>
          <cell r="CK594" t="str">
            <v/>
          </cell>
          <cell r="CL594">
            <v>0</v>
          </cell>
          <cell r="CM594">
            <v>0</v>
          </cell>
          <cell r="CN594">
            <v>0</v>
          </cell>
          <cell r="CO594">
            <v>4</v>
          </cell>
          <cell r="CP594" t="str">
            <v/>
          </cell>
          <cell r="CQ594">
            <v>0</v>
          </cell>
          <cell r="CR594">
            <v>0</v>
          </cell>
          <cell r="CS594">
            <v>4</v>
          </cell>
          <cell r="CT594">
            <v>4</v>
          </cell>
          <cell r="CU594" t="str">
            <v/>
          </cell>
          <cell r="CV594">
            <v>0</v>
          </cell>
          <cell r="CW594">
            <v>0</v>
          </cell>
          <cell r="CX594">
            <v>4</v>
          </cell>
          <cell r="CY594">
            <v>4</v>
          </cell>
          <cell r="CZ594" t="str">
            <v/>
          </cell>
          <cell r="DA594">
            <v>0</v>
          </cell>
          <cell r="DB594">
            <v>0</v>
          </cell>
          <cell r="DC594">
            <v>4</v>
          </cell>
          <cell r="DD594">
            <v>4</v>
          </cell>
          <cell r="DE594" t="str">
            <v/>
          </cell>
          <cell r="DF594">
            <v>0</v>
          </cell>
          <cell r="DG594">
            <v>0</v>
          </cell>
          <cell r="DH594">
            <v>4</v>
          </cell>
          <cell r="DI594">
            <v>4</v>
          </cell>
          <cell r="DJ594" t="str">
            <v/>
          </cell>
          <cell r="DK594">
            <v>0</v>
          </cell>
          <cell r="DL594">
            <v>0</v>
          </cell>
          <cell r="DM594">
            <v>4</v>
          </cell>
          <cell r="DN594">
            <v>4</v>
          </cell>
          <cell r="DO594" t="str">
            <v/>
          </cell>
          <cell r="DP594">
            <v>0</v>
          </cell>
          <cell r="DQ594">
            <v>0</v>
          </cell>
          <cell r="DR594">
            <v>4</v>
          </cell>
          <cell r="DS594">
            <v>4</v>
          </cell>
          <cell r="DT594" t="str">
            <v/>
          </cell>
          <cell r="DU594">
            <v>0</v>
          </cell>
          <cell r="DV594">
            <v>0</v>
          </cell>
          <cell r="DW594">
            <v>4</v>
          </cell>
          <cell r="DX594">
            <v>4</v>
          </cell>
          <cell r="DY594" t="str">
            <v/>
          </cell>
          <cell r="DZ594">
            <v>0</v>
          </cell>
          <cell r="EA594">
            <v>0</v>
          </cell>
          <cell r="EB594">
            <v>4</v>
          </cell>
          <cell r="EC594">
            <v>4</v>
          </cell>
          <cell r="ED594" t="str">
            <v/>
          </cell>
          <cell r="EE594">
            <v>0</v>
          </cell>
          <cell r="EF594">
            <v>0</v>
          </cell>
          <cell r="EG594">
            <v>4</v>
          </cell>
          <cell r="EH594">
            <v>4</v>
          </cell>
          <cell r="EI594" t="str">
            <v/>
          </cell>
          <cell r="EJ594">
            <v>0</v>
          </cell>
          <cell r="EK594">
            <v>0</v>
          </cell>
          <cell r="EL594">
            <v>4</v>
          </cell>
          <cell r="EM594">
            <v>4</v>
          </cell>
          <cell r="EN594" t="str">
            <v/>
          </cell>
          <cell r="EO594">
            <v>0</v>
          </cell>
          <cell r="EP594">
            <v>0</v>
          </cell>
          <cell r="EQ594">
            <v>4</v>
          </cell>
          <cell r="ER594">
            <v>4</v>
          </cell>
          <cell r="ES594" t="str">
            <v/>
          </cell>
          <cell r="ET594">
            <v>0</v>
          </cell>
          <cell r="EU594">
            <v>0</v>
          </cell>
          <cell r="EV594">
            <v>4</v>
          </cell>
          <cell r="EW594">
            <v>4</v>
          </cell>
          <cell r="EX594" t="str">
            <v/>
          </cell>
          <cell r="EY594">
            <v>0</v>
          </cell>
          <cell r="EZ594">
            <v>0</v>
          </cell>
          <cell r="FA594">
            <v>4</v>
          </cell>
          <cell r="FB594">
            <v>4</v>
          </cell>
          <cell r="FC594" t="str">
            <v/>
          </cell>
          <cell r="FD594">
            <v>0</v>
          </cell>
          <cell r="FE594">
            <v>0</v>
          </cell>
          <cell r="FF594">
            <v>4</v>
          </cell>
          <cell r="FG594">
            <v>4</v>
          </cell>
          <cell r="FH594" t="str">
            <v/>
          </cell>
          <cell r="FI594">
            <v>0</v>
          </cell>
          <cell r="FJ594">
            <v>0</v>
          </cell>
          <cell r="FK594">
            <v>4</v>
          </cell>
          <cell r="FL594">
            <v>4</v>
          </cell>
          <cell r="FM594" t="str">
            <v/>
          </cell>
          <cell r="FN594">
            <v>0</v>
          </cell>
          <cell r="FO594">
            <v>0</v>
          </cell>
          <cell r="FP594">
            <v>4</v>
          </cell>
          <cell r="FQ594">
            <v>4</v>
          </cell>
          <cell r="FR594" t="str">
            <v/>
          </cell>
          <cell r="FS594">
            <v>0</v>
          </cell>
          <cell r="FT594">
            <v>0</v>
          </cell>
          <cell r="FU594">
            <v>2.0333333333333332</v>
          </cell>
          <cell r="FW594" t="str">
            <v>STOCK OK</v>
          </cell>
          <cell r="FX594" t="str">
            <v>NUEVO</v>
          </cell>
          <cell r="FY594" t="str">
            <v>Si</v>
          </cell>
        </row>
        <row r="595">
          <cell r="B595" t="str">
            <v>REP-0612</v>
          </cell>
          <cell r="C595" t="str">
            <v>MIX</v>
          </cell>
          <cell r="E595">
            <v>1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1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BQ595">
            <v>49</v>
          </cell>
          <cell r="BR595" t="str">
            <v/>
          </cell>
          <cell r="BS595">
            <v>0</v>
          </cell>
          <cell r="BT595">
            <v>3</v>
          </cell>
          <cell r="CJ595">
            <v>0</v>
          </cell>
          <cell r="CK595" t="str">
            <v/>
          </cell>
          <cell r="CL595">
            <v>0</v>
          </cell>
          <cell r="CM595">
            <v>0</v>
          </cell>
          <cell r="CN595">
            <v>0</v>
          </cell>
          <cell r="CO595">
            <v>1</v>
          </cell>
          <cell r="CP595" t="str">
            <v/>
          </cell>
          <cell r="CQ595">
            <v>0</v>
          </cell>
          <cell r="CR595">
            <v>0</v>
          </cell>
          <cell r="CS595">
            <v>1</v>
          </cell>
          <cell r="CT595">
            <v>1</v>
          </cell>
          <cell r="CU595" t="str">
            <v/>
          </cell>
          <cell r="CV595">
            <v>0</v>
          </cell>
          <cell r="CW595">
            <v>0</v>
          </cell>
          <cell r="CX595">
            <v>1</v>
          </cell>
          <cell r="CY595">
            <v>1</v>
          </cell>
          <cell r="CZ595" t="str">
            <v/>
          </cell>
          <cell r="DA595">
            <v>0</v>
          </cell>
          <cell r="DB595">
            <v>0</v>
          </cell>
          <cell r="DC595">
            <v>1</v>
          </cell>
          <cell r="DD595">
            <v>1</v>
          </cell>
          <cell r="DE595" t="str">
            <v/>
          </cell>
          <cell r="DF595">
            <v>0</v>
          </cell>
          <cell r="DG595">
            <v>0</v>
          </cell>
          <cell r="DH595">
            <v>1</v>
          </cell>
          <cell r="DI595">
            <v>1</v>
          </cell>
          <cell r="DJ595" t="str">
            <v/>
          </cell>
          <cell r="DK595">
            <v>0</v>
          </cell>
          <cell r="DL595">
            <v>0</v>
          </cell>
          <cell r="DM595">
            <v>1</v>
          </cell>
          <cell r="DN595">
            <v>1</v>
          </cell>
          <cell r="DO595" t="str">
            <v/>
          </cell>
          <cell r="DP595">
            <v>0</v>
          </cell>
          <cell r="DQ595">
            <v>0</v>
          </cell>
          <cell r="DR595">
            <v>1</v>
          </cell>
          <cell r="DS595">
            <v>1</v>
          </cell>
          <cell r="DT595" t="str">
            <v/>
          </cell>
          <cell r="DU595">
            <v>0</v>
          </cell>
          <cell r="DV595">
            <v>0</v>
          </cell>
          <cell r="DW595">
            <v>1</v>
          </cell>
          <cell r="DX595">
            <v>1</v>
          </cell>
          <cell r="DY595" t="str">
            <v/>
          </cell>
          <cell r="DZ595">
            <v>0</v>
          </cell>
          <cell r="EA595">
            <v>0</v>
          </cell>
          <cell r="EB595">
            <v>1</v>
          </cell>
          <cell r="EC595">
            <v>1</v>
          </cell>
          <cell r="ED595" t="str">
            <v/>
          </cell>
          <cell r="EE595">
            <v>0</v>
          </cell>
          <cell r="EF595">
            <v>0</v>
          </cell>
          <cell r="EG595">
            <v>1</v>
          </cell>
          <cell r="EH595">
            <v>1</v>
          </cell>
          <cell r="EI595" t="str">
            <v/>
          </cell>
          <cell r="EJ595">
            <v>0</v>
          </cell>
          <cell r="EK595">
            <v>0</v>
          </cell>
          <cell r="EL595">
            <v>1</v>
          </cell>
          <cell r="EM595">
            <v>1</v>
          </cell>
          <cell r="EN595" t="str">
            <v/>
          </cell>
          <cell r="EO595">
            <v>0</v>
          </cell>
          <cell r="EP595">
            <v>0</v>
          </cell>
          <cell r="EQ595">
            <v>1</v>
          </cell>
          <cell r="ER595">
            <v>1</v>
          </cell>
          <cell r="ES595" t="str">
            <v/>
          </cell>
          <cell r="ET595">
            <v>0</v>
          </cell>
          <cell r="EU595">
            <v>0</v>
          </cell>
          <cell r="EV595">
            <v>1</v>
          </cell>
          <cell r="EW595">
            <v>1</v>
          </cell>
          <cell r="EX595" t="str">
            <v/>
          </cell>
          <cell r="EY595">
            <v>0</v>
          </cell>
          <cell r="EZ595">
            <v>0</v>
          </cell>
          <cell r="FA595">
            <v>1</v>
          </cell>
          <cell r="FB595">
            <v>1</v>
          </cell>
          <cell r="FC595" t="str">
            <v/>
          </cell>
          <cell r="FD595">
            <v>0</v>
          </cell>
          <cell r="FE595">
            <v>0</v>
          </cell>
          <cell r="FF595">
            <v>1</v>
          </cell>
          <cell r="FG595">
            <v>1</v>
          </cell>
          <cell r="FH595" t="str">
            <v/>
          </cell>
          <cell r="FI595">
            <v>0</v>
          </cell>
          <cell r="FJ595">
            <v>0</v>
          </cell>
          <cell r="FK595">
            <v>1</v>
          </cell>
          <cell r="FL595">
            <v>1</v>
          </cell>
          <cell r="FM595" t="str">
            <v/>
          </cell>
          <cell r="FN595">
            <v>0</v>
          </cell>
          <cell r="FO595">
            <v>0</v>
          </cell>
          <cell r="FP595">
            <v>1</v>
          </cell>
          <cell r="FQ595">
            <v>1</v>
          </cell>
          <cell r="FR595" t="str">
            <v/>
          </cell>
          <cell r="FS595">
            <v>0</v>
          </cell>
          <cell r="FT595">
            <v>0</v>
          </cell>
          <cell r="FU595">
            <v>2.0333333333333332</v>
          </cell>
          <cell r="FW595" t="str">
            <v>STOCK OK</v>
          </cell>
          <cell r="FX595" t="str">
            <v>NUEVO</v>
          </cell>
          <cell r="FY595" t="str">
            <v>Si</v>
          </cell>
        </row>
        <row r="596">
          <cell r="B596" t="str">
            <v>REP-0613</v>
          </cell>
          <cell r="C596" t="str">
            <v>MIX</v>
          </cell>
          <cell r="E596">
            <v>6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6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BQ596">
            <v>50</v>
          </cell>
          <cell r="BR596" t="str">
            <v/>
          </cell>
          <cell r="BS596">
            <v>0</v>
          </cell>
          <cell r="BT596">
            <v>3</v>
          </cell>
          <cell r="CJ596">
            <v>0</v>
          </cell>
          <cell r="CK596" t="str">
            <v/>
          </cell>
          <cell r="CL596">
            <v>0</v>
          </cell>
          <cell r="CM596">
            <v>0</v>
          </cell>
          <cell r="CN596">
            <v>0</v>
          </cell>
          <cell r="CO596">
            <v>6</v>
          </cell>
          <cell r="CP596" t="str">
            <v/>
          </cell>
          <cell r="CQ596">
            <v>0</v>
          </cell>
          <cell r="CR596">
            <v>0</v>
          </cell>
          <cell r="CS596">
            <v>6</v>
          </cell>
          <cell r="CT596">
            <v>6</v>
          </cell>
          <cell r="CU596" t="str">
            <v/>
          </cell>
          <cell r="CV596">
            <v>0</v>
          </cell>
          <cell r="CW596">
            <v>0</v>
          </cell>
          <cell r="CX596">
            <v>6</v>
          </cell>
          <cell r="CY596">
            <v>6</v>
          </cell>
          <cell r="CZ596" t="str">
            <v/>
          </cell>
          <cell r="DA596">
            <v>0</v>
          </cell>
          <cell r="DB596">
            <v>0</v>
          </cell>
          <cell r="DC596">
            <v>6</v>
          </cell>
          <cell r="DD596">
            <v>6</v>
          </cell>
          <cell r="DE596" t="str">
            <v/>
          </cell>
          <cell r="DF596">
            <v>0</v>
          </cell>
          <cell r="DG596">
            <v>0</v>
          </cell>
          <cell r="DH596">
            <v>6</v>
          </cell>
          <cell r="DI596">
            <v>6</v>
          </cell>
          <cell r="DJ596" t="str">
            <v/>
          </cell>
          <cell r="DK596">
            <v>0</v>
          </cell>
          <cell r="DL596">
            <v>0</v>
          </cell>
          <cell r="DM596">
            <v>6</v>
          </cell>
          <cell r="DN596">
            <v>6</v>
          </cell>
          <cell r="DO596" t="str">
            <v/>
          </cell>
          <cell r="DP596">
            <v>0</v>
          </cell>
          <cell r="DQ596">
            <v>0</v>
          </cell>
          <cell r="DR596">
            <v>6</v>
          </cell>
          <cell r="DS596">
            <v>6</v>
          </cell>
          <cell r="DT596" t="str">
            <v/>
          </cell>
          <cell r="DU596">
            <v>0</v>
          </cell>
          <cell r="DV596">
            <v>0</v>
          </cell>
          <cell r="DW596">
            <v>6</v>
          </cell>
          <cell r="DX596">
            <v>6</v>
          </cell>
          <cell r="DY596" t="str">
            <v/>
          </cell>
          <cell r="DZ596">
            <v>0</v>
          </cell>
          <cell r="EA596">
            <v>0</v>
          </cell>
          <cell r="EB596">
            <v>6</v>
          </cell>
          <cell r="EC596">
            <v>6</v>
          </cell>
          <cell r="ED596" t="str">
            <v/>
          </cell>
          <cell r="EE596">
            <v>0</v>
          </cell>
          <cell r="EF596">
            <v>0</v>
          </cell>
          <cell r="EG596">
            <v>6</v>
          </cell>
          <cell r="EH596">
            <v>6</v>
          </cell>
          <cell r="EI596" t="str">
            <v/>
          </cell>
          <cell r="EJ596">
            <v>0</v>
          </cell>
          <cell r="EK596">
            <v>0</v>
          </cell>
          <cell r="EL596">
            <v>6</v>
          </cell>
          <cell r="EM596">
            <v>6</v>
          </cell>
          <cell r="EN596" t="str">
            <v/>
          </cell>
          <cell r="EO596">
            <v>0</v>
          </cell>
          <cell r="EP596">
            <v>0</v>
          </cell>
          <cell r="EQ596">
            <v>6</v>
          </cell>
          <cell r="ER596">
            <v>6</v>
          </cell>
          <cell r="ES596" t="str">
            <v/>
          </cell>
          <cell r="ET596">
            <v>0</v>
          </cell>
          <cell r="EU596">
            <v>0</v>
          </cell>
          <cell r="EV596">
            <v>6</v>
          </cell>
          <cell r="EW596">
            <v>6</v>
          </cell>
          <cell r="EX596" t="str">
            <v/>
          </cell>
          <cell r="EY596">
            <v>0</v>
          </cell>
          <cell r="EZ596">
            <v>0</v>
          </cell>
          <cell r="FA596">
            <v>6</v>
          </cell>
          <cell r="FB596">
            <v>6</v>
          </cell>
          <cell r="FC596" t="str">
            <v/>
          </cell>
          <cell r="FD596">
            <v>0</v>
          </cell>
          <cell r="FE596">
            <v>0</v>
          </cell>
          <cell r="FF596">
            <v>6</v>
          </cell>
          <cell r="FG596">
            <v>6</v>
          </cell>
          <cell r="FH596" t="str">
            <v/>
          </cell>
          <cell r="FI596">
            <v>0</v>
          </cell>
          <cell r="FJ596">
            <v>0</v>
          </cell>
          <cell r="FK596">
            <v>6</v>
          </cell>
          <cell r="FL596">
            <v>6</v>
          </cell>
          <cell r="FM596" t="str">
            <v/>
          </cell>
          <cell r="FN596">
            <v>0</v>
          </cell>
          <cell r="FO596">
            <v>0</v>
          </cell>
          <cell r="FP596">
            <v>6</v>
          </cell>
          <cell r="FQ596">
            <v>6</v>
          </cell>
          <cell r="FR596" t="str">
            <v/>
          </cell>
          <cell r="FS596">
            <v>0</v>
          </cell>
          <cell r="FT596">
            <v>0</v>
          </cell>
          <cell r="FU596">
            <v>2.0333333333333332</v>
          </cell>
          <cell r="FW596" t="str">
            <v>STOCK OK</v>
          </cell>
          <cell r="FX596" t="str">
            <v>NUEVO</v>
          </cell>
          <cell r="FY596" t="str">
            <v>Si</v>
          </cell>
        </row>
        <row r="597">
          <cell r="B597" t="str">
            <v>REP-0614</v>
          </cell>
          <cell r="C597" t="str">
            <v>MIX</v>
          </cell>
          <cell r="E597">
            <v>4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4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BQ597">
            <v>51</v>
          </cell>
          <cell r="BR597" t="str">
            <v/>
          </cell>
          <cell r="BS597">
            <v>0</v>
          </cell>
          <cell r="BT597">
            <v>3</v>
          </cell>
          <cell r="CJ597">
            <v>0</v>
          </cell>
          <cell r="CK597" t="str">
            <v/>
          </cell>
          <cell r="CL597">
            <v>0</v>
          </cell>
          <cell r="CM597">
            <v>0</v>
          </cell>
          <cell r="CN597">
            <v>0</v>
          </cell>
          <cell r="CO597">
            <v>4</v>
          </cell>
          <cell r="CP597" t="str">
            <v/>
          </cell>
          <cell r="CQ597">
            <v>0</v>
          </cell>
          <cell r="CR597">
            <v>0</v>
          </cell>
          <cell r="CS597">
            <v>4</v>
          </cell>
          <cell r="CT597">
            <v>4</v>
          </cell>
          <cell r="CU597" t="str">
            <v/>
          </cell>
          <cell r="CV597">
            <v>0</v>
          </cell>
          <cell r="CW597">
            <v>0</v>
          </cell>
          <cell r="CX597">
            <v>4</v>
          </cell>
          <cell r="CY597">
            <v>4</v>
          </cell>
          <cell r="CZ597" t="str">
            <v/>
          </cell>
          <cell r="DA597">
            <v>0</v>
          </cell>
          <cell r="DB597">
            <v>0</v>
          </cell>
          <cell r="DC597">
            <v>4</v>
          </cell>
          <cell r="DD597">
            <v>4</v>
          </cell>
          <cell r="DE597" t="str">
            <v/>
          </cell>
          <cell r="DF597">
            <v>0</v>
          </cell>
          <cell r="DG597">
            <v>0</v>
          </cell>
          <cell r="DH597">
            <v>4</v>
          </cell>
          <cell r="DI597">
            <v>4</v>
          </cell>
          <cell r="DJ597" t="str">
            <v/>
          </cell>
          <cell r="DK597">
            <v>0</v>
          </cell>
          <cell r="DL597">
            <v>0</v>
          </cell>
          <cell r="DM597">
            <v>4</v>
          </cell>
          <cell r="DN597">
            <v>4</v>
          </cell>
          <cell r="DO597" t="str">
            <v/>
          </cell>
          <cell r="DP597">
            <v>0</v>
          </cell>
          <cell r="DQ597">
            <v>0</v>
          </cell>
          <cell r="DR597">
            <v>4</v>
          </cell>
          <cell r="DS597">
            <v>4</v>
          </cell>
          <cell r="DT597" t="str">
            <v/>
          </cell>
          <cell r="DU597">
            <v>0</v>
          </cell>
          <cell r="DV597">
            <v>0</v>
          </cell>
          <cell r="DW597">
            <v>4</v>
          </cell>
          <cell r="DX597">
            <v>4</v>
          </cell>
          <cell r="DY597" t="str">
            <v/>
          </cell>
          <cell r="DZ597">
            <v>0</v>
          </cell>
          <cell r="EA597">
            <v>0</v>
          </cell>
          <cell r="EB597">
            <v>4</v>
          </cell>
          <cell r="EC597">
            <v>4</v>
          </cell>
          <cell r="ED597" t="str">
            <v/>
          </cell>
          <cell r="EE597">
            <v>0</v>
          </cell>
          <cell r="EF597">
            <v>0</v>
          </cell>
          <cell r="EG597">
            <v>4</v>
          </cell>
          <cell r="EH597">
            <v>4</v>
          </cell>
          <cell r="EI597" t="str">
            <v/>
          </cell>
          <cell r="EJ597">
            <v>0</v>
          </cell>
          <cell r="EK597">
            <v>0</v>
          </cell>
          <cell r="EL597">
            <v>4</v>
          </cell>
          <cell r="EM597">
            <v>4</v>
          </cell>
          <cell r="EN597" t="str">
            <v/>
          </cell>
          <cell r="EO597">
            <v>0</v>
          </cell>
          <cell r="EP597">
            <v>0</v>
          </cell>
          <cell r="EQ597">
            <v>4</v>
          </cell>
          <cell r="ER597">
            <v>4</v>
          </cell>
          <cell r="ES597" t="str">
            <v/>
          </cell>
          <cell r="ET597">
            <v>0</v>
          </cell>
          <cell r="EU597">
            <v>0</v>
          </cell>
          <cell r="EV597">
            <v>4</v>
          </cell>
          <cell r="EW597">
            <v>4</v>
          </cell>
          <cell r="EX597" t="str">
            <v/>
          </cell>
          <cell r="EY597">
            <v>0</v>
          </cell>
          <cell r="EZ597">
            <v>0</v>
          </cell>
          <cell r="FA597">
            <v>4</v>
          </cell>
          <cell r="FB597">
            <v>4</v>
          </cell>
          <cell r="FC597" t="str">
            <v/>
          </cell>
          <cell r="FD597">
            <v>0</v>
          </cell>
          <cell r="FE597">
            <v>0</v>
          </cell>
          <cell r="FF597">
            <v>4</v>
          </cell>
          <cell r="FG597">
            <v>4</v>
          </cell>
          <cell r="FH597" t="str">
            <v/>
          </cell>
          <cell r="FI597">
            <v>0</v>
          </cell>
          <cell r="FJ597">
            <v>0</v>
          </cell>
          <cell r="FK597">
            <v>4</v>
          </cell>
          <cell r="FL597">
            <v>4</v>
          </cell>
          <cell r="FM597" t="str">
            <v/>
          </cell>
          <cell r="FN597">
            <v>0</v>
          </cell>
          <cell r="FO597">
            <v>0</v>
          </cell>
          <cell r="FP597">
            <v>4</v>
          </cell>
          <cell r="FQ597">
            <v>4</v>
          </cell>
          <cell r="FR597" t="str">
            <v/>
          </cell>
          <cell r="FS597">
            <v>0</v>
          </cell>
          <cell r="FT597">
            <v>0</v>
          </cell>
          <cell r="FU597">
            <v>2.0333333333333332</v>
          </cell>
          <cell r="FW597" t="str">
            <v>STOCK OK</v>
          </cell>
          <cell r="FX597" t="str">
            <v>NUEVO</v>
          </cell>
          <cell r="FY597" t="str">
            <v>Si</v>
          </cell>
        </row>
        <row r="598">
          <cell r="B598" t="str">
            <v>REP-0615</v>
          </cell>
          <cell r="C598" t="str">
            <v>MIX</v>
          </cell>
          <cell r="E598">
            <v>2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2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BQ598">
            <v>52</v>
          </cell>
          <cell r="BR598" t="str">
            <v/>
          </cell>
          <cell r="BS598">
            <v>0</v>
          </cell>
          <cell r="BT598">
            <v>3</v>
          </cell>
          <cell r="CJ598">
            <v>0</v>
          </cell>
          <cell r="CK598" t="str">
            <v/>
          </cell>
          <cell r="CL598">
            <v>0</v>
          </cell>
          <cell r="CM598">
            <v>0</v>
          </cell>
          <cell r="CN598">
            <v>0</v>
          </cell>
          <cell r="CO598">
            <v>2</v>
          </cell>
          <cell r="CP598" t="str">
            <v/>
          </cell>
          <cell r="CQ598">
            <v>0</v>
          </cell>
          <cell r="CR598">
            <v>0</v>
          </cell>
          <cell r="CS598">
            <v>2</v>
          </cell>
          <cell r="CT598">
            <v>2</v>
          </cell>
          <cell r="CU598" t="str">
            <v/>
          </cell>
          <cell r="CV598">
            <v>0</v>
          </cell>
          <cell r="CW598">
            <v>0</v>
          </cell>
          <cell r="CX598">
            <v>2</v>
          </cell>
          <cell r="CY598">
            <v>2</v>
          </cell>
          <cell r="CZ598" t="str">
            <v/>
          </cell>
          <cell r="DA598">
            <v>0</v>
          </cell>
          <cell r="DB598">
            <v>0</v>
          </cell>
          <cell r="DC598">
            <v>2</v>
          </cell>
          <cell r="DD598">
            <v>2</v>
          </cell>
          <cell r="DE598" t="str">
            <v/>
          </cell>
          <cell r="DF598">
            <v>0</v>
          </cell>
          <cell r="DG598">
            <v>0</v>
          </cell>
          <cell r="DH598">
            <v>2</v>
          </cell>
          <cell r="DI598">
            <v>2</v>
          </cell>
          <cell r="DJ598" t="str">
            <v/>
          </cell>
          <cell r="DK598">
            <v>0</v>
          </cell>
          <cell r="DL598">
            <v>0</v>
          </cell>
          <cell r="DM598">
            <v>2</v>
          </cell>
          <cell r="DN598">
            <v>2</v>
          </cell>
          <cell r="DO598" t="str">
            <v/>
          </cell>
          <cell r="DP598">
            <v>0</v>
          </cell>
          <cell r="DQ598">
            <v>0</v>
          </cell>
          <cell r="DR598">
            <v>2</v>
          </cell>
          <cell r="DS598">
            <v>2</v>
          </cell>
          <cell r="DT598" t="str">
            <v/>
          </cell>
          <cell r="DU598">
            <v>0</v>
          </cell>
          <cell r="DV598">
            <v>0</v>
          </cell>
          <cell r="DW598">
            <v>2</v>
          </cell>
          <cell r="DX598">
            <v>2</v>
          </cell>
          <cell r="DY598" t="str">
            <v/>
          </cell>
          <cell r="DZ598">
            <v>0</v>
          </cell>
          <cell r="EA598">
            <v>0</v>
          </cell>
          <cell r="EB598">
            <v>2</v>
          </cell>
          <cell r="EC598">
            <v>2</v>
          </cell>
          <cell r="ED598" t="str">
            <v/>
          </cell>
          <cell r="EE598">
            <v>0</v>
          </cell>
          <cell r="EF598">
            <v>0</v>
          </cell>
          <cell r="EG598">
            <v>2</v>
          </cell>
          <cell r="EH598">
            <v>2</v>
          </cell>
          <cell r="EI598" t="str">
            <v/>
          </cell>
          <cell r="EJ598">
            <v>0</v>
          </cell>
          <cell r="EK598">
            <v>0</v>
          </cell>
          <cell r="EL598">
            <v>2</v>
          </cell>
          <cell r="EM598">
            <v>2</v>
          </cell>
          <cell r="EN598" t="str">
            <v/>
          </cell>
          <cell r="EO598">
            <v>0</v>
          </cell>
          <cell r="EP598">
            <v>0</v>
          </cell>
          <cell r="EQ598">
            <v>2</v>
          </cell>
          <cell r="ER598">
            <v>2</v>
          </cell>
          <cell r="ES598" t="str">
            <v/>
          </cell>
          <cell r="ET598">
            <v>0</v>
          </cell>
          <cell r="EU598">
            <v>0</v>
          </cell>
          <cell r="EV598">
            <v>2</v>
          </cell>
          <cell r="EW598">
            <v>2</v>
          </cell>
          <cell r="EX598" t="str">
            <v/>
          </cell>
          <cell r="EY598">
            <v>0</v>
          </cell>
          <cell r="EZ598">
            <v>0</v>
          </cell>
          <cell r="FA598">
            <v>2</v>
          </cell>
          <cell r="FB598">
            <v>2</v>
          </cell>
          <cell r="FC598" t="str">
            <v/>
          </cell>
          <cell r="FD598">
            <v>0</v>
          </cell>
          <cell r="FE598">
            <v>0</v>
          </cell>
          <cell r="FF598">
            <v>2</v>
          </cell>
          <cell r="FG598">
            <v>2</v>
          </cell>
          <cell r="FH598" t="str">
            <v/>
          </cell>
          <cell r="FI598">
            <v>0</v>
          </cell>
          <cell r="FJ598">
            <v>0</v>
          </cell>
          <cell r="FK598">
            <v>2</v>
          </cell>
          <cell r="FL598">
            <v>2</v>
          </cell>
          <cell r="FM598" t="str">
            <v/>
          </cell>
          <cell r="FN598">
            <v>0</v>
          </cell>
          <cell r="FO598">
            <v>0</v>
          </cell>
          <cell r="FP598">
            <v>2</v>
          </cell>
          <cell r="FQ598">
            <v>2</v>
          </cell>
          <cell r="FR598" t="str">
            <v/>
          </cell>
          <cell r="FS598">
            <v>0</v>
          </cell>
          <cell r="FT598">
            <v>0</v>
          </cell>
          <cell r="FU598">
            <v>2.0333333333333332</v>
          </cell>
          <cell r="FW598" t="str">
            <v>STOCK OK</v>
          </cell>
          <cell r="FX598" t="str">
            <v>NUEVO</v>
          </cell>
          <cell r="FY598" t="str">
            <v>Si</v>
          </cell>
        </row>
        <row r="599">
          <cell r="B599" t="str">
            <v>REP-0616</v>
          </cell>
          <cell r="C599" t="str">
            <v>MIX</v>
          </cell>
          <cell r="E599">
            <v>2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2</v>
          </cell>
          <cell r="AC599">
            <v>0</v>
          </cell>
          <cell r="AD599">
            <v>0</v>
          </cell>
          <cell r="AE599">
            <v>0</v>
          </cell>
          <cell r="AI599">
            <v>0.16666666666666666</v>
          </cell>
          <cell r="AJ599">
            <v>0.16666666666666666</v>
          </cell>
          <cell r="AK599">
            <v>0.16666666666666666</v>
          </cell>
          <cell r="AL599">
            <v>0</v>
          </cell>
          <cell r="AM599">
            <v>0.16666666666666666</v>
          </cell>
          <cell r="AN599">
            <v>0</v>
          </cell>
          <cell r="BQ599">
            <v>53</v>
          </cell>
          <cell r="BR599">
            <v>318</v>
          </cell>
          <cell r="BS599">
            <v>0</v>
          </cell>
          <cell r="BT599">
            <v>3</v>
          </cell>
          <cell r="CJ599">
            <v>0</v>
          </cell>
          <cell r="CK599" t="str">
            <v/>
          </cell>
          <cell r="CL599">
            <v>0</v>
          </cell>
          <cell r="CM599">
            <v>0</v>
          </cell>
          <cell r="CN599">
            <v>0</v>
          </cell>
          <cell r="CO599">
            <v>20</v>
          </cell>
          <cell r="CP599" t="str">
            <v/>
          </cell>
          <cell r="CQ599">
            <v>0</v>
          </cell>
          <cell r="CR599">
            <v>0</v>
          </cell>
          <cell r="CS599">
            <v>20</v>
          </cell>
          <cell r="CT599">
            <v>19</v>
          </cell>
          <cell r="CU599">
            <v>38</v>
          </cell>
          <cell r="CV599">
            <v>0</v>
          </cell>
          <cell r="CW599">
            <v>0</v>
          </cell>
          <cell r="CX599">
            <v>18.5</v>
          </cell>
          <cell r="CY599">
            <v>19</v>
          </cell>
          <cell r="CZ599">
            <v>57</v>
          </cell>
          <cell r="DA599">
            <v>0</v>
          </cell>
          <cell r="DB599">
            <v>0</v>
          </cell>
          <cell r="DC599">
            <v>18.75</v>
          </cell>
          <cell r="DD599">
            <v>2</v>
          </cell>
          <cell r="DE599">
            <v>4</v>
          </cell>
          <cell r="DF599">
            <v>0</v>
          </cell>
          <cell r="DG599">
            <v>0</v>
          </cell>
          <cell r="DH599">
            <v>1.75</v>
          </cell>
          <cell r="DI599">
            <v>2</v>
          </cell>
          <cell r="DJ599">
            <v>7</v>
          </cell>
          <cell r="DK599">
            <v>0</v>
          </cell>
          <cell r="DL599">
            <v>0</v>
          </cell>
          <cell r="DM599">
            <v>1.55</v>
          </cell>
          <cell r="DN599">
            <v>2</v>
          </cell>
          <cell r="DO599">
            <v>8</v>
          </cell>
          <cell r="DP599">
            <v>0</v>
          </cell>
          <cell r="DQ599">
            <v>0</v>
          </cell>
          <cell r="DR599">
            <v>1.8333333333333333</v>
          </cell>
          <cell r="DS599">
            <v>1.8333333333333333</v>
          </cell>
          <cell r="DT599">
            <v>7</v>
          </cell>
          <cell r="DU599">
            <v>0</v>
          </cell>
          <cell r="DV599">
            <v>0</v>
          </cell>
          <cell r="DW599">
            <v>1.6666666666666665</v>
          </cell>
          <cell r="DX599">
            <v>1.6666666666666665</v>
          </cell>
          <cell r="DY599">
            <v>5.9999999999999991</v>
          </cell>
          <cell r="DZ599">
            <v>0</v>
          </cell>
          <cell r="EA599">
            <v>0</v>
          </cell>
          <cell r="EB599">
            <v>1.4999999999999998</v>
          </cell>
          <cell r="EC599">
            <v>1.4999999999999998</v>
          </cell>
          <cell r="ED599">
            <v>4.9999999999999982</v>
          </cell>
          <cell r="EE599">
            <v>0</v>
          </cell>
          <cell r="EF599">
            <v>0</v>
          </cell>
          <cell r="EG599">
            <v>1.333333333333333</v>
          </cell>
          <cell r="EH599">
            <v>1.333333333333333</v>
          </cell>
          <cell r="EI599">
            <v>3.9999999999999982</v>
          </cell>
          <cell r="EJ599">
            <v>0</v>
          </cell>
          <cell r="EK599">
            <v>1</v>
          </cell>
          <cell r="EL599">
            <v>2.1666666666666665</v>
          </cell>
          <cell r="EM599">
            <v>2.1666666666666665</v>
          </cell>
          <cell r="EN599">
            <v>9</v>
          </cell>
          <cell r="EO599">
            <v>0</v>
          </cell>
          <cell r="EP599">
            <v>0</v>
          </cell>
          <cell r="EQ599">
            <v>1.9999999999999998</v>
          </cell>
          <cell r="ER599">
            <v>1.9999999999999998</v>
          </cell>
          <cell r="ES599">
            <v>7.9999999999999991</v>
          </cell>
          <cell r="ET599">
            <v>0</v>
          </cell>
          <cell r="EU599">
            <v>0</v>
          </cell>
          <cell r="EV599">
            <v>1.833333333333333</v>
          </cell>
          <cell r="EW599">
            <v>1.833333333333333</v>
          </cell>
          <cell r="EX599">
            <v>6.9999999999999982</v>
          </cell>
          <cell r="EY599">
            <v>0</v>
          </cell>
          <cell r="EZ599">
            <v>0</v>
          </cell>
          <cell r="FA599">
            <v>1.6666666666666663</v>
          </cell>
          <cell r="FB599">
            <v>1.6666666666666663</v>
          </cell>
          <cell r="FC599">
            <v>5.9999999999999982</v>
          </cell>
          <cell r="FD599">
            <v>0</v>
          </cell>
          <cell r="FE599">
            <v>1</v>
          </cell>
          <cell r="FF599">
            <v>2.4999999999999996</v>
          </cell>
          <cell r="FG599">
            <v>2.4999999999999996</v>
          </cell>
          <cell r="FH599">
            <v>10.999999999999998</v>
          </cell>
          <cell r="FI599">
            <v>0</v>
          </cell>
          <cell r="FJ599">
            <v>0</v>
          </cell>
          <cell r="FK599">
            <v>2.333333333333333</v>
          </cell>
          <cell r="FL599">
            <v>2.333333333333333</v>
          </cell>
          <cell r="FM599">
            <v>9.9999999999999982</v>
          </cell>
          <cell r="FN599">
            <v>0</v>
          </cell>
          <cell r="FO599">
            <v>0</v>
          </cell>
          <cell r="FP599">
            <v>2.1666666666666665</v>
          </cell>
          <cell r="FQ599">
            <v>2.1666666666666665</v>
          </cell>
          <cell r="FR599">
            <v>9</v>
          </cell>
          <cell r="FS599">
            <v>0</v>
          </cell>
          <cell r="FT599">
            <v>1</v>
          </cell>
          <cell r="FU599">
            <v>2.0333333333333332</v>
          </cell>
          <cell r="FW599" t="str">
            <v>STOCK OK</v>
          </cell>
          <cell r="FX599" t="str">
            <v>C</v>
          </cell>
          <cell r="FY599" t="str">
            <v>Si</v>
          </cell>
        </row>
        <row r="600">
          <cell r="B600" t="str">
            <v>REP-0617</v>
          </cell>
          <cell r="C600" t="str">
            <v>MIX</v>
          </cell>
          <cell r="E600">
            <v>1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1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BQ600">
            <v>54</v>
          </cell>
          <cell r="BR600" t="str">
            <v/>
          </cell>
          <cell r="BS600">
            <v>0</v>
          </cell>
          <cell r="BT600">
            <v>3</v>
          </cell>
          <cell r="CJ600">
            <v>0</v>
          </cell>
          <cell r="CK600" t="str">
            <v/>
          </cell>
          <cell r="CL600">
            <v>0</v>
          </cell>
          <cell r="CM600">
            <v>0</v>
          </cell>
          <cell r="CN600">
            <v>0</v>
          </cell>
          <cell r="CO600">
            <v>1</v>
          </cell>
          <cell r="CP600" t="str">
            <v/>
          </cell>
          <cell r="CQ600">
            <v>0</v>
          </cell>
          <cell r="CR600">
            <v>0</v>
          </cell>
          <cell r="CS600">
            <v>1</v>
          </cell>
          <cell r="CT600">
            <v>1</v>
          </cell>
          <cell r="CU600" t="str">
            <v/>
          </cell>
          <cell r="CV600">
            <v>0</v>
          </cell>
          <cell r="CW600">
            <v>0</v>
          </cell>
          <cell r="CX600">
            <v>1</v>
          </cell>
          <cell r="CY600">
            <v>1</v>
          </cell>
          <cell r="CZ600" t="str">
            <v/>
          </cell>
          <cell r="DA600">
            <v>0</v>
          </cell>
          <cell r="DB600">
            <v>0</v>
          </cell>
          <cell r="DC600">
            <v>1</v>
          </cell>
          <cell r="DD600">
            <v>1</v>
          </cell>
          <cell r="DE600" t="str">
            <v/>
          </cell>
          <cell r="DF600">
            <v>0</v>
          </cell>
          <cell r="DG600">
            <v>0</v>
          </cell>
          <cell r="DH600">
            <v>1</v>
          </cell>
          <cell r="DI600">
            <v>1</v>
          </cell>
          <cell r="DJ600" t="str">
            <v/>
          </cell>
          <cell r="DK600">
            <v>0</v>
          </cell>
          <cell r="DL600">
            <v>0</v>
          </cell>
          <cell r="DM600">
            <v>1</v>
          </cell>
          <cell r="DN600">
            <v>1</v>
          </cell>
          <cell r="DO600" t="str">
            <v/>
          </cell>
          <cell r="DP600">
            <v>0</v>
          </cell>
          <cell r="DQ600">
            <v>0</v>
          </cell>
          <cell r="DR600">
            <v>1</v>
          </cell>
          <cell r="DS600">
            <v>1</v>
          </cell>
          <cell r="DT600" t="str">
            <v/>
          </cell>
          <cell r="DU600">
            <v>0</v>
          </cell>
          <cell r="DV600">
            <v>0</v>
          </cell>
          <cell r="DW600">
            <v>1</v>
          </cell>
          <cell r="DX600">
            <v>1</v>
          </cell>
          <cell r="DY600" t="str">
            <v/>
          </cell>
          <cell r="DZ600">
            <v>0</v>
          </cell>
          <cell r="EA600">
            <v>0</v>
          </cell>
          <cell r="EB600">
            <v>1</v>
          </cell>
          <cell r="EC600">
            <v>1</v>
          </cell>
          <cell r="ED600" t="str">
            <v/>
          </cell>
          <cell r="EE600">
            <v>0</v>
          </cell>
          <cell r="EF600">
            <v>0</v>
          </cell>
          <cell r="EG600">
            <v>1</v>
          </cell>
          <cell r="EH600">
            <v>1</v>
          </cell>
          <cell r="EI600" t="str">
            <v/>
          </cell>
          <cell r="EJ600">
            <v>0</v>
          </cell>
          <cell r="EK600">
            <v>0</v>
          </cell>
          <cell r="EL600">
            <v>1</v>
          </cell>
          <cell r="EM600">
            <v>1</v>
          </cell>
          <cell r="EN600" t="str">
            <v/>
          </cell>
          <cell r="EO600">
            <v>0</v>
          </cell>
          <cell r="EP600">
            <v>0</v>
          </cell>
          <cell r="EQ600">
            <v>1</v>
          </cell>
          <cell r="ER600">
            <v>1</v>
          </cell>
          <cell r="ES600" t="str">
            <v/>
          </cell>
          <cell r="ET600">
            <v>0</v>
          </cell>
          <cell r="EU600">
            <v>0</v>
          </cell>
          <cell r="EV600">
            <v>1</v>
          </cell>
          <cell r="EW600">
            <v>1</v>
          </cell>
          <cell r="EX600" t="str">
            <v/>
          </cell>
          <cell r="EY600">
            <v>0</v>
          </cell>
          <cell r="EZ600">
            <v>0</v>
          </cell>
          <cell r="FA600">
            <v>1</v>
          </cell>
          <cell r="FB600">
            <v>1</v>
          </cell>
          <cell r="FC600" t="str">
            <v/>
          </cell>
          <cell r="FD600">
            <v>0</v>
          </cell>
          <cell r="FE600">
            <v>0</v>
          </cell>
          <cell r="FF600">
            <v>1</v>
          </cell>
          <cell r="FG600">
            <v>1</v>
          </cell>
          <cell r="FH600" t="str">
            <v/>
          </cell>
          <cell r="FI600">
            <v>0</v>
          </cell>
          <cell r="FJ600">
            <v>0</v>
          </cell>
          <cell r="FK600">
            <v>1</v>
          </cell>
          <cell r="FL600">
            <v>1</v>
          </cell>
          <cell r="FM600" t="str">
            <v/>
          </cell>
          <cell r="FN600">
            <v>0</v>
          </cell>
          <cell r="FO600">
            <v>0</v>
          </cell>
          <cell r="FP600">
            <v>1</v>
          </cell>
          <cell r="FQ600">
            <v>1</v>
          </cell>
          <cell r="FR600" t="str">
            <v/>
          </cell>
          <cell r="FS600">
            <v>0</v>
          </cell>
          <cell r="FT600">
            <v>0</v>
          </cell>
          <cell r="FU600">
            <v>2.0333333333333332</v>
          </cell>
          <cell r="FW600" t="str">
            <v>STOCK OK</v>
          </cell>
          <cell r="FX600" t="str">
            <v>NUEVO</v>
          </cell>
          <cell r="FY600" t="str">
            <v>Si</v>
          </cell>
        </row>
        <row r="601">
          <cell r="B601" t="str">
            <v>REP-0618</v>
          </cell>
          <cell r="C601" t="str">
            <v>MIX</v>
          </cell>
          <cell r="E601">
            <v>2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2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BQ601">
            <v>55</v>
          </cell>
          <cell r="BR601" t="str">
            <v/>
          </cell>
          <cell r="BS601">
            <v>0</v>
          </cell>
          <cell r="BT601">
            <v>3</v>
          </cell>
          <cell r="CJ601">
            <v>0</v>
          </cell>
          <cell r="CK601" t="str">
            <v/>
          </cell>
          <cell r="CL601">
            <v>0</v>
          </cell>
          <cell r="CM601">
            <v>0</v>
          </cell>
          <cell r="CN601">
            <v>0</v>
          </cell>
          <cell r="CO601">
            <v>2</v>
          </cell>
          <cell r="CP601" t="str">
            <v/>
          </cell>
          <cell r="CQ601">
            <v>0</v>
          </cell>
          <cell r="CR601">
            <v>0</v>
          </cell>
          <cell r="CS601">
            <v>2</v>
          </cell>
          <cell r="CT601">
            <v>2</v>
          </cell>
          <cell r="CU601" t="str">
            <v/>
          </cell>
          <cell r="CV601">
            <v>0</v>
          </cell>
          <cell r="CW601">
            <v>0</v>
          </cell>
          <cell r="CX601">
            <v>2</v>
          </cell>
          <cell r="CY601">
            <v>2</v>
          </cell>
          <cell r="CZ601" t="str">
            <v/>
          </cell>
          <cell r="DA601">
            <v>0</v>
          </cell>
          <cell r="DB601">
            <v>0</v>
          </cell>
          <cell r="DC601">
            <v>2</v>
          </cell>
          <cell r="DD601">
            <v>2</v>
          </cell>
          <cell r="DE601" t="str">
            <v/>
          </cell>
          <cell r="DF601">
            <v>0</v>
          </cell>
          <cell r="DG601">
            <v>0</v>
          </cell>
          <cell r="DH601">
            <v>2</v>
          </cell>
          <cell r="DI601">
            <v>2</v>
          </cell>
          <cell r="DJ601" t="str">
            <v/>
          </cell>
          <cell r="DK601">
            <v>0</v>
          </cell>
          <cell r="DL601">
            <v>0</v>
          </cell>
          <cell r="DM601">
            <v>2</v>
          </cell>
          <cell r="DN601">
            <v>2</v>
          </cell>
          <cell r="DO601" t="str">
            <v/>
          </cell>
          <cell r="DP601">
            <v>0</v>
          </cell>
          <cell r="DQ601">
            <v>0</v>
          </cell>
          <cell r="DR601">
            <v>2</v>
          </cell>
          <cell r="DS601">
            <v>2</v>
          </cell>
          <cell r="DT601" t="str">
            <v/>
          </cell>
          <cell r="DU601">
            <v>0</v>
          </cell>
          <cell r="DV601">
            <v>0</v>
          </cell>
          <cell r="DW601">
            <v>2</v>
          </cell>
          <cell r="DX601">
            <v>2</v>
          </cell>
          <cell r="DY601" t="str">
            <v/>
          </cell>
          <cell r="DZ601">
            <v>0</v>
          </cell>
          <cell r="EA601">
            <v>0</v>
          </cell>
          <cell r="EB601">
            <v>2</v>
          </cell>
          <cell r="EC601">
            <v>2</v>
          </cell>
          <cell r="ED601" t="str">
            <v/>
          </cell>
          <cell r="EE601">
            <v>0</v>
          </cell>
          <cell r="EF601">
            <v>0</v>
          </cell>
          <cell r="EG601">
            <v>2</v>
          </cell>
          <cell r="EH601">
            <v>2</v>
          </cell>
          <cell r="EI601" t="str">
            <v/>
          </cell>
          <cell r="EJ601">
            <v>0</v>
          </cell>
          <cell r="EK601">
            <v>0</v>
          </cell>
          <cell r="EL601">
            <v>2</v>
          </cell>
          <cell r="EM601">
            <v>2</v>
          </cell>
          <cell r="EN601" t="str">
            <v/>
          </cell>
          <cell r="EO601">
            <v>0</v>
          </cell>
          <cell r="EP601">
            <v>0</v>
          </cell>
          <cell r="EQ601">
            <v>2</v>
          </cell>
          <cell r="ER601">
            <v>2</v>
          </cell>
          <cell r="ES601" t="str">
            <v/>
          </cell>
          <cell r="ET601">
            <v>0</v>
          </cell>
          <cell r="EU601">
            <v>0</v>
          </cell>
          <cell r="EV601">
            <v>2</v>
          </cell>
          <cell r="EW601">
            <v>2</v>
          </cell>
          <cell r="EX601" t="str">
            <v/>
          </cell>
          <cell r="EY601">
            <v>0</v>
          </cell>
          <cell r="EZ601">
            <v>0</v>
          </cell>
          <cell r="FA601">
            <v>2</v>
          </cell>
          <cell r="FB601">
            <v>2</v>
          </cell>
          <cell r="FC601" t="str">
            <v/>
          </cell>
          <cell r="FD601">
            <v>0</v>
          </cell>
          <cell r="FE601">
            <v>0</v>
          </cell>
          <cell r="FF601">
            <v>2</v>
          </cell>
          <cell r="FG601">
            <v>2</v>
          </cell>
          <cell r="FH601" t="str">
            <v/>
          </cell>
          <cell r="FI601">
            <v>0</v>
          </cell>
          <cell r="FJ601">
            <v>0</v>
          </cell>
          <cell r="FK601">
            <v>2</v>
          </cell>
          <cell r="FL601">
            <v>2</v>
          </cell>
          <cell r="FM601" t="str">
            <v/>
          </cell>
          <cell r="FN601">
            <v>0</v>
          </cell>
          <cell r="FO601">
            <v>0</v>
          </cell>
          <cell r="FP601">
            <v>2</v>
          </cell>
          <cell r="FQ601">
            <v>2</v>
          </cell>
          <cell r="FR601" t="str">
            <v/>
          </cell>
          <cell r="FS601">
            <v>0</v>
          </cell>
          <cell r="FT601">
            <v>0</v>
          </cell>
          <cell r="FU601">
            <v>2.0333333333333332</v>
          </cell>
          <cell r="FW601" t="str">
            <v>STOCK OK</v>
          </cell>
          <cell r="FX601" t="str">
            <v>NUEVO</v>
          </cell>
          <cell r="FY601" t="str">
            <v>Si</v>
          </cell>
        </row>
        <row r="602">
          <cell r="B602" t="str">
            <v>REP-0619</v>
          </cell>
          <cell r="C602" t="str">
            <v>MIX</v>
          </cell>
          <cell r="E602">
            <v>2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2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BQ602">
            <v>56</v>
          </cell>
          <cell r="BR602" t="str">
            <v/>
          </cell>
          <cell r="BS602">
            <v>0</v>
          </cell>
          <cell r="BT602">
            <v>3</v>
          </cell>
          <cell r="CJ602">
            <v>0</v>
          </cell>
          <cell r="CK602" t="str">
            <v/>
          </cell>
          <cell r="CL602">
            <v>0</v>
          </cell>
          <cell r="CM602">
            <v>0</v>
          </cell>
          <cell r="CN602">
            <v>0</v>
          </cell>
          <cell r="CO602">
            <v>2</v>
          </cell>
          <cell r="CP602" t="str">
            <v/>
          </cell>
          <cell r="CQ602">
            <v>0</v>
          </cell>
          <cell r="CR602">
            <v>0</v>
          </cell>
          <cell r="CS602">
            <v>2</v>
          </cell>
          <cell r="CT602">
            <v>2</v>
          </cell>
          <cell r="CU602" t="str">
            <v/>
          </cell>
          <cell r="CV602">
            <v>0</v>
          </cell>
          <cell r="CW602">
            <v>0</v>
          </cell>
          <cell r="CX602">
            <v>2</v>
          </cell>
          <cell r="CY602">
            <v>2</v>
          </cell>
          <cell r="CZ602" t="str">
            <v/>
          </cell>
          <cell r="DA602">
            <v>0</v>
          </cell>
          <cell r="DB602">
            <v>0</v>
          </cell>
          <cell r="DC602">
            <v>2</v>
          </cell>
          <cell r="DD602">
            <v>2</v>
          </cell>
          <cell r="DE602" t="str">
            <v/>
          </cell>
          <cell r="DF602">
            <v>0</v>
          </cell>
          <cell r="DG602">
            <v>0</v>
          </cell>
          <cell r="DH602">
            <v>2</v>
          </cell>
          <cell r="DI602">
            <v>2</v>
          </cell>
          <cell r="DJ602" t="str">
            <v/>
          </cell>
          <cell r="DK602">
            <v>0</v>
          </cell>
          <cell r="DL602">
            <v>0</v>
          </cell>
          <cell r="DM602">
            <v>2</v>
          </cell>
          <cell r="DN602">
            <v>2</v>
          </cell>
          <cell r="DO602" t="str">
            <v/>
          </cell>
          <cell r="DP602">
            <v>0</v>
          </cell>
          <cell r="DQ602">
            <v>0</v>
          </cell>
          <cell r="DR602">
            <v>2</v>
          </cell>
          <cell r="DS602">
            <v>2</v>
          </cell>
          <cell r="DT602" t="str">
            <v/>
          </cell>
          <cell r="DU602">
            <v>0</v>
          </cell>
          <cell r="DV602">
            <v>0</v>
          </cell>
          <cell r="DW602">
            <v>2</v>
          </cell>
          <cell r="DX602">
            <v>2</v>
          </cell>
          <cell r="DY602" t="str">
            <v/>
          </cell>
          <cell r="DZ602">
            <v>0</v>
          </cell>
          <cell r="EA602">
            <v>0</v>
          </cell>
          <cell r="EB602">
            <v>2</v>
          </cell>
          <cell r="EC602">
            <v>2</v>
          </cell>
          <cell r="ED602" t="str">
            <v/>
          </cell>
          <cell r="EE602">
            <v>0</v>
          </cell>
          <cell r="EF602">
            <v>0</v>
          </cell>
          <cell r="EG602">
            <v>2</v>
          </cell>
          <cell r="EH602">
            <v>2</v>
          </cell>
          <cell r="EI602" t="str">
            <v/>
          </cell>
          <cell r="EJ602">
            <v>0</v>
          </cell>
          <cell r="EK602">
            <v>0</v>
          </cell>
          <cell r="EL602">
            <v>2</v>
          </cell>
          <cell r="EM602">
            <v>2</v>
          </cell>
          <cell r="EN602" t="str">
            <v/>
          </cell>
          <cell r="EO602">
            <v>0</v>
          </cell>
          <cell r="EP602">
            <v>0</v>
          </cell>
          <cell r="EQ602">
            <v>2</v>
          </cell>
          <cell r="ER602">
            <v>2</v>
          </cell>
          <cell r="ES602" t="str">
            <v/>
          </cell>
          <cell r="ET602">
            <v>0</v>
          </cell>
          <cell r="EU602">
            <v>0</v>
          </cell>
          <cell r="EV602">
            <v>2</v>
          </cell>
          <cell r="EW602">
            <v>2</v>
          </cell>
          <cell r="EX602" t="str">
            <v/>
          </cell>
          <cell r="EY602">
            <v>0</v>
          </cell>
          <cell r="EZ602">
            <v>0</v>
          </cell>
          <cell r="FA602">
            <v>2</v>
          </cell>
          <cell r="FB602">
            <v>2</v>
          </cell>
          <cell r="FC602" t="str">
            <v/>
          </cell>
          <cell r="FD602">
            <v>0</v>
          </cell>
          <cell r="FE602">
            <v>0</v>
          </cell>
          <cell r="FF602">
            <v>2</v>
          </cell>
          <cell r="FG602">
            <v>2</v>
          </cell>
          <cell r="FH602" t="str">
            <v/>
          </cell>
          <cell r="FI602">
            <v>0</v>
          </cell>
          <cell r="FJ602">
            <v>0</v>
          </cell>
          <cell r="FK602">
            <v>2</v>
          </cell>
          <cell r="FL602">
            <v>2</v>
          </cell>
          <cell r="FM602" t="str">
            <v/>
          </cell>
          <cell r="FN602">
            <v>0</v>
          </cell>
          <cell r="FO602">
            <v>0</v>
          </cell>
          <cell r="FP602">
            <v>2</v>
          </cell>
          <cell r="FQ602">
            <v>2</v>
          </cell>
          <cell r="FR602" t="str">
            <v/>
          </cell>
          <cell r="FS602">
            <v>0</v>
          </cell>
          <cell r="FT602">
            <v>0</v>
          </cell>
          <cell r="FU602">
            <v>2.0333333333333332</v>
          </cell>
          <cell r="FW602" t="str">
            <v>STOCK OK</v>
          </cell>
          <cell r="FX602" t="str">
            <v>NUEVO</v>
          </cell>
          <cell r="FY602" t="str">
            <v>Si</v>
          </cell>
        </row>
        <row r="603">
          <cell r="B603" t="str">
            <v>REP-0620</v>
          </cell>
          <cell r="C603" t="str">
            <v>MIX</v>
          </cell>
          <cell r="E603">
            <v>6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6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BQ603">
            <v>57</v>
          </cell>
          <cell r="BR603" t="str">
            <v/>
          </cell>
          <cell r="BS603">
            <v>0</v>
          </cell>
          <cell r="BT603">
            <v>3</v>
          </cell>
          <cell r="CJ603">
            <v>0</v>
          </cell>
          <cell r="CK603" t="str">
            <v/>
          </cell>
          <cell r="CL603">
            <v>0</v>
          </cell>
          <cell r="CM603">
            <v>0</v>
          </cell>
          <cell r="CN603">
            <v>0</v>
          </cell>
          <cell r="CO603">
            <v>6</v>
          </cell>
          <cell r="CP603" t="str">
            <v/>
          </cell>
          <cell r="CQ603">
            <v>0</v>
          </cell>
          <cell r="CR603">
            <v>0</v>
          </cell>
          <cell r="CS603">
            <v>6</v>
          </cell>
          <cell r="CT603">
            <v>6</v>
          </cell>
          <cell r="CU603" t="str">
            <v/>
          </cell>
          <cell r="CV603">
            <v>0</v>
          </cell>
          <cell r="CW603">
            <v>0</v>
          </cell>
          <cell r="CX603">
            <v>6</v>
          </cell>
          <cell r="CY603">
            <v>6</v>
          </cell>
          <cell r="CZ603" t="str">
            <v/>
          </cell>
          <cell r="DA603">
            <v>0</v>
          </cell>
          <cell r="DB603">
            <v>0</v>
          </cell>
          <cell r="DC603">
            <v>6</v>
          </cell>
          <cell r="DD603">
            <v>6</v>
          </cell>
          <cell r="DE603" t="str">
            <v/>
          </cell>
          <cell r="DF603">
            <v>0</v>
          </cell>
          <cell r="DG603">
            <v>0</v>
          </cell>
          <cell r="DH603">
            <v>6</v>
          </cell>
          <cell r="DI603">
            <v>6</v>
          </cell>
          <cell r="DJ603" t="str">
            <v/>
          </cell>
          <cell r="DK603">
            <v>0</v>
          </cell>
          <cell r="DL603">
            <v>0</v>
          </cell>
          <cell r="DM603">
            <v>6</v>
          </cell>
          <cell r="DN603">
            <v>6</v>
          </cell>
          <cell r="DO603" t="str">
            <v/>
          </cell>
          <cell r="DP603">
            <v>0</v>
          </cell>
          <cell r="DQ603">
            <v>0</v>
          </cell>
          <cell r="DR603">
            <v>6</v>
          </cell>
          <cell r="DS603">
            <v>6</v>
          </cell>
          <cell r="DT603" t="str">
            <v/>
          </cell>
          <cell r="DU603">
            <v>0</v>
          </cell>
          <cell r="DV603">
            <v>0</v>
          </cell>
          <cell r="DW603">
            <v>6</v>
          </cell>
          <cell r="DX603">
            <v>6</v>
          </cell>
          <cell r="DY603" t="str">
            <v/>
          </cell>
          <cell r="DZ603">
            <v>0</v>
          </cell>
          <cell r="EA603">
            <v>0</v>
          </cell>
          <cell r="EB603">
            <v>6</v>
          </cell>
          <cell r="EC603">
            <v>6</v>
          </cell>
          <cell r="ED603" t="str">
            <v/>
          </cell>
          <cell r="EE603">
            <v>0</v>
          </cell>
          <cell r="EF603">
            <v>0</v>
          </cell>
          <cell r="EG603">
            <v>6</v>
          </cell>
          <cell r="EH603">
            <v>6</v>
          </cell>
          <cell r="EI603" t="str">
            <v/>
          </cell>
          <cell r="EJ603">
            <v>0</v>
          </cell>
          <cell r="EK603">
            <v>0</v>
          </cell>
          <cell r="EL603">
            <v>6</v>
          </cell>
          <cell r="EM603">
            <v>6</v>
          </cell>
          <cell r="EN603" t="str">
            <v/>
          </cell>
          <cell r="EO603">
            <v>0</v>
          </cell>
          <cell r="EP603">
            <v>0</v>
          </cell>
          <cell r="EQ603">
            <v>6</v>
          </cell>
          <cell r="ER603">
            <v>6</v>
          </cell>
          <cell r="ES603" t="str">
            <v/>
          </cell>
          <cell r="ET603">
            <v>0</v>
          </cell>
          <cell r="EU603">
            <v>0</v>
          </cell>
          <cell r="EV603">
            <v>6</v>
          </cell>
          <cell r="EW603">
            <v>6</v>
          </cell>
          <cell r="EX603" t="str">
            <v/>
          </cell>
          <cell r="EY603">
            <v>0</v>
          </cell>
          <cell r="EZ603">
            <v>0</v>
          </cell>
          <cell r="FA603">
            <v>6</v>
          </cell>
          <cell r="FB603">
            <v>6</v>
          </cell>
          <cell r="FC603" t="str">
            <v/>
          </cell>
          <cell r="FD603">
            <v>0</v>
          </cell>
          <cell r="FE603">
            <v>0</v>
          </cell>
          <cell r="FF603">
            <v>6</v>
          </cell>
          <cell r="FG603">
            <v>6</v>
          </cell>
          <cell r="FH603" t="str">
            <v/>
          </cell>
          <cell r="FI603">
            <v>0</v>
          </cell>
          <cell r="FJ603">
            <v>0</v>
          </cell>
          <cell r="FK603">
            <v>6</v>
          </cell>
          <cell r="FL603">
            <v>6</v>
          </cell>
          <cell r="FM603" t="str">
            <v/>
          </cell>
          <cell r="FN603">
            <v>0</v>
          </cell>
          <cell r="FO603">
            <v>0</v>
          </cell>
          <cell r="FP603">
            <v>6</v>
          </cell>
          <cell r="FQ603">
            <v>6</v>
          </cell>
          <cell r="FR603" t="str">
            <v/>
          </cell>
          <cell r="FS603">
            <v>0</v>
          </cell>
          <cell r="FT603">
            <v>0</v>
          </cell>
          <cell r="FU603">
            <v>2.0333333333333332</v>
          </cell>
          <cell r="FW603" t="str">
            <v>STOCK OK</v>
          </cell>
          <cell r="FX603" t="str">
            <v>NUEVO</v>
          </cell>
          <cell r="FY603" t="str">
            <v>Si</v>
          </cell>
        </row>
        <row r="604">
          <cell r="B604" t="str">
            <v>REP-0621</v>
          </cell>
          <cell r="C604" t="str">
            <v>MIX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BQ604">
            <v>58</v>
          </cell>
          <cell r="BR604" t="str">
            <v/>
          </cell>
          <cell r="BS604">
            <v>0</v>
          </cell>
          <cell r="BT604">
            <v>3</v>
          </cell>
          <cell r="CJ604">
            <v>0</v>
          </cell>
          <cell r="CK604" t="str">
            <v/>
          </cell>
          <cell r="CL604">
            <v>0</v>
          </cell>
          <cell r="CM604">
            <v>0</v>
          </cell>
          <cell r="CN604">
            <v>0</v>
          </cell>
          <cell r="CO604">
            <v>1</v>
          </cell>
          <cell r="CP604" t="str">
            <v/>
          </cell>
          <cell r="CQ604">
            <v>0</v>
          </cell>
          <cell r="CR604">
            <v>0</v>
          </cell>
          <cell r="CS604">
            <v>1</v>
          </cell>
          <cell r="CT604">
            <v>1</v>
          </cell>
          <cell r="CU604" t="str">
            <v/>
          </cell>
          <cell r="CV604">
            <v>0</v>
          </cell>
          <cell r="CW604">
            <v>0</v>
          </cell>
          <cell r="CX604">
            <v>1</v>
          </cell>
          <cell r="CY604">
            <v>1</v>
          </cell>
          <cell r="CZ604" t="str">
            <v/>
          </cell>
          <cell r="DA604">
            <v>0</v>
          </cell>
          <cell r="DB604">
            <v>0</v>
          </cell>
          <cell r="DC604">
            <v>1</v>
          </cell>
          <cell r="DD604">
            <v>1</v>
          </cell>
          <cell r="DE604" t="str">
            <v/>
          </cell>
          <cell r="DF604">
            <v>0</v>
          </cell>
          <cell r="DG604">
            <v>0</v>
          </cell>
          <cell r="DH604">
            <v>1</v>
          </cell>
          <cell r="DI604">
            <v>1</v>
          </cell>
          <cell r="DJ604" t="str">
            <v/>
          </cell>
          <cell r="DK604">
            <v>0</v>
          </cell>
          <cell r="DL604">
            <v>0</v>
          </cell>
          <cell r="DM604">
            <v>1</v>
          </cell>
          <cell r="DN604">
            <v>0</v>
          </cell>
          <cell r="DO604" t="str">
            <v/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 t="str">
            <v/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 t="str">
            <v/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  <cell r="ED604" t="str">
            <v/>
          </cell>
          <cell r="EE604">
            <v>0</v>
          </cell>
          <cell r="EF604">
            <v>0</v>
          </cell>
          <cell r="EG604">
            <v>0</v>
          </cell>
          <cell r="EH604">
            <v>0</v>
          </cell>
          <cell r="EI604" t="str">
            <v/>
          </cell>
          <cell r="EJ604">
            <v>0</v>
          </cell>
          <cell r="EK604">
            <v>0</v>
          </cell>
          <cell r="EL604">
            <v>0</v>
          </cell>
          <cell r="EM604">
            <v>0</v>
          </cell>
          <cell r="EN604" t="str">
            <v/>
          </cell>
          <cell r="EO604">
            <v>0</v>
          </cell>
          <cell r="EP604">
            <v>0</v>
          </cell>
          <cell r="EQ604">
            <v>0</v>
          </cell>
          <cell r="ER604">
            <v>0</v>
          </cell>
          <cell r="ES604" t="str">
            <v/>
          </cell>
          <cell r="ET604">
            <v>0</v>
          </cell>
          <cell r="EU604">
            <v>0</v>
          </cell>
          <cell r="EV604">
            <v>0</v>
          </cell>
          <cell r="EW604">
            <v>0</v>
          </cell>
          <cell r="EX604" t="str">
            <v/>
          </cell>
          <cell r="EY604">
            <v>0</v>
          </cell>
          <cell r="EZ604">
            <v>0</v>
          </cell>
          <cell r="FA604">
            <v>0</v>
          </cell>
          <cell r="FB604">
            <v>0</v>
          </cell>
          <cell r="FC604" t="str">
            <v/>
          </cell>
          <cell r="FD604">
            <v>0</v>
          </cell>
          <cell r="FE604">
            <v>0</v>
          </cell>
          <cell r="FF604">
            <v>0</v>
          </cell>
          <cell r="FG604">
            <v>0</v>
          </cell>
          <cell r="FH604" t="str">
            <v/>
          </cell>
          <cell r="FI604">
            <v>0</v>
          </cell>
          <cell r="FJ604">
            <v>0</v>
          </cell>
          <cell r="FK604">
            <v>0</v>
          </cell>
          <cell r="FL604">
            <v>0</v>
          </cell>
          <cell r="FM604" t="str">
            <v/>
          </cell>
          <cell r="FN604">
            <v>0</v>
          </cell>
          <cell r="FO604">
            <v>0</v>
          </cell>
          <cell r="FP604">
            <v>0</v>
          </cell>
          <cell r="FQ604">
            <v>0</v>
          </cell>
          <cell r="FR604" t="str">
            <v/>
          </cell>
          <cell r="FS604">
            <v>0</v>
          </cell>
          <cell r="FT604">
            <v>0</v>
          </cell>
          <cell r="FU604">
            <v>2.0333333333333332</v>
          </cell>
          <cell r="FW604" t="str">
            <v>STOCK OK</v>
          </cell>
          <cell r="FX604" t="str">
            <v>NUEVO</v>
          </cell>
          <cell r="FY604" t="str">
            <v>Si</v>
          </cell>
        </row>
        <row r="605">
          <cell r="B605" t="str">
            <v>REP-0622</v>
          </cell>
          <cell r="C605" t="str">
            <v>MIX</v>
          </cell>
          <cell r="E605">
            <v>3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3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BQ605">
            <v>59</v>
          </cell>
          <cell r="BR605" t="str">
            <v/>
          </cell>
          <cell r="BS605">
            <v>0</v>
          </cell>
          <cell r="BT605">
            <v>3</v>
          </cell>
          <cell r="CJ605">
            <v>0</v>
          </cell>
          <cell r="CK605" t="str">
            <v/>
          </cell>
          <cell r="CL605">
            <v>0</v>
          </cell>
          <cell r="CM605">
            <v>0</v>
          </cell>
          <cell r="CN605">
            <v>0</v>
          </cell>
          <cell r="CO605">
            <v>3</v>
          </cell>
          <cell r="CP605" t="str">
            <v/>
          </cell>
          <cell r="CQ605">
            <v>0</v>
          </cell>
          <cell r="CR605">
            <v>0</v>
          </cell>
          <cell r="CS605">
            <v>3</v>
          </cell>
          <cell r="CT605">
            <v>3</v>
          </cell>
          <cell r="CU605" t="str">
            <v/>
          </cell>
          <cell r="CV605">
            <v>0</v>
          </cell>
          <cell r="CW605">
            <v>0</v>
          </cell>
          <cell r="CX605">
            <v>3</v>
          </cell>
          <cell r="CY605">
            <v>3</v>
          </cell>
          <cell r="CZ605" t="str">
            <v/>
          </cell>
          <cell r="DA605">
            <v>0</v>
          </cell>
          <cell r="DB605">
            <v>0</v>
          </cell>
          <cell r="DC605">
            <v>3</v>
          </cell>
          <cell r="DD605">
            <v>3</v>
          </cell>
          <cell r="DE605" t="str">
            <v/>
          </cell>
          <cell r="DF605">
            <v>0</v>
          </cell>
          <cell r="DG605">
            <v>0</v>
          </cell>
          <cell r="DH605">
            <v>3</v>
          </cell>
          <cell r="DI605">
            <v>3</v>
          </cell>
          <cell r="DJ605" t="str">
            <v/>
          </cell>
          <cell r="DK605">
            <v>0</v>
          </cell>
          <cell r="DL605">
            <v>0</v>
          </cell>
          <cell r="DM605">
            <v>3</v>
          </cell>
          <cell r="DN605">
            <v>3</v>
          </cell>
          <cell r="DO605" t="str">
            <v/>
          </cell>
          <cell r="DP605">
            <v>0</v>
          </cell>
          <cell r="DQ605">
            <v>0</v>
          </cell>
          <cell r="DR605">
            <v>3</v>
          </cell>
          <cell r="DS605">
            <v>3</v>
          </cell>
          <cell r="DT605" t="str">
            <v/>
          </cell>
          <cell r="DU605">
            <v>0</v>
          </cell>
          <cell r="DV605">
            <v>0</v>
          </cell>
          <cell r="DW605">
            <v>3</v>
          </cell>
          <cell r="DX605">
            <v>3</v>
          </cell>
          <cell r="DY605" t="str">
            <v/>
          </cell>
          <cell r="DZ605">
            <v>0</v>
          </cell>
          <cell r="EA605">
            <v>0</v>
          </cell>
          <cell r="EB605">
            <v>3</v>
          </cell>
          <cell r="EC605">
            <v>3</v>
          </cell>
          <cell r="ED605" t="str">
            <v/>
          </cell>
          <cell r="EE605">
            <v>0</v>
          </cell>
          <cell r="EF605">
            <v>0</v>
          </cell>
          <cell r="EG605">
            <v>3</v>
          </cell>
          <cell r="EH605">
            <v>3</v>
          </cell>
          <cell r="EI605" t="str">
            <v/>
          </cell>
          <cell r="EJ605">
            <v>0</v>
          </cell>
          <cell r="EK605">
            <v>0</v>
          </cell>
          <cell r="EL605">
            <v>3</v>
          </cell>
          <cell r="EM605">
            <v>3</v>
          </cell>
          <cell r="EN605" t="str">
            <v/>
          </cell>
          <cell r="EO605">
            <v>0</v>
          </cell>
          <cell r="EP605">
            <v>0</v>
          </cell>
          <cell r="EQ605">
            <v>3</v>
          </cell>
          <cell r="ER605">
            <v>3</v>
          </cell>
          <cell r="ES605" t="str">
            <v/>
          </cell>
          <cell r="ET605">
            <v>0</v>
          </cell>
          <cell r="EU605">
            <v>0</v>
          </cell>
          <cell r="EV605">
            <v>3</v>
          </cell>
          <cell r="EW605">
            <v>3</v>
          </cell>
          <cell r="EX605" t="str">
            <v/>
          </cell>
          <cell r="EY605">
            <v>0</v>
          </cell>
          <cell r="EZ605">
            <v>0</v>
          </cell>
          <cell r="FA605">
            <v>3</v>
          </cell>
          <cell r="FB605">
            <v>3</v>
          </cell>
          <cell r="FC605" t="str">
            <v/>
          </cell>
          <cell r="FD605">
            <v>0</v>
          </cell>
          <cell r="FE605">
            <v>0</v>
          </cell>
          <cell r="FF605">
            <v>3</v>
          </cell>
          <cell r="FG605">
            <v>3</v>
          </cell>
          <cell r="FH605" t="str">
            <v/>
          </cell>
          <cell r="FI605">
            <v>0</v>
          </cell>
          <cell r="FJ605">
            <v>0</v>
          </cell>
          <cell r="FK605">
            <v>3</v>
          </cell>
          <cell r="FL605">
            <v>3</v>
          </cell>
          <cell r="FM605" t="str">
            <v/>
          </cell>
          <cell r="FN605">
            <v>0</v>
          </cell>
          <cell r="FO605">
            <v>0</v>
          </cell>
          <cell r="FP605">
            <v>3</v>
          </cell>
          <cell r="FQ605">
            <v>3</v>
          </cell>
          <cell r="FR605" t="str">
            <v/>
          </cell>
          <cell r="FS605">
            <v>0</v>
          </cell>
          <cell r="FT605">
            <v>0</v>
          </cell>
          <cell r="FU605">
            <v>2.0333333333333332</v>
          </cell>
          <cell r="FW605" t="str">
            <v>STOCK OK</v>
          </cell>
          <cell r="FX605" t="str">
            <v>NUEVO</v>
          </cell>
          <cell r="FY605" t="str">
            <v>Si</v>
          </cell>
        </row>
        <row r="606">
          <cell r="B606" t="str">
            <v>REP-0623</v>
          </cell>
          <cell r="C606" t="str">
            <v>MIX</v>
          </cell>
          <cell r="E606">
            <v>3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BQ606">
            <v>60</v>
          </cell>
          <cell r="BR606" t="str">
            <v/>
          </cell>
          <cell r="BS606">
            <v>0</v>
          </cell>
          <cell r="BT606">
            <v>3</v>
          </cell>
          <cell r="CJ606">
            <v>0</v>
          </cell>
          <cell r="CK606" t="str">
            <v/>
          </cell>
          <cell r="CL606">
            <v>0</v>
          </cell>
          <cell r="CM606">
            <v>0</v>
          </cell>
          <cell r="CN606">
            <v>0</v>
          </cell>
          <cell r="CO606">
            <v>3</v>
          </cell>
          <cell r="CP606" t="str">
            <v/>
          </cell>
          <cell r="CQ606">
            <v>0</v>
          </cell>
          <cell r="CR606">
            <v>0</v>
          </cell>
          <cell r="CS606">
            <v>3</v>
          </cell>
          <cell r="CT606">
            <v>3</v>
          </cell>
          <cell r="CU606" t="str">
            <v/>
          </cell>
          <cell r="CV606">
            <v>0</v>
          </cell>
          <cell r="CW606">
            <v>0</v>
          </cell>
          <cell r="CX606">
            <v>3</v>
          </cell>
          <cell r="CY606">
            <v>3</v>
          </cell>
          <cell r="CZ606" t="str">
            <v/>
          </cell>
          <cell r="DA606">
            <v>0</v>
          </cell>
          <cell r="DB606">
            <v>0</v>
          </cell>
          <cell r="DC606">
            <v>3</v>
          </cell>
          <cell r="DD606">
            <v>3</v>
          </cell>
          <cell r="DE606" t="str">
            <v/>
          </cell>
          <cell r="DF606">
            <v>0</v>
          </cell>
          <cell r="DG606">
            <v>0</v>
          </cell>
          <cell r="DH606">
            <v>3</v>
          </cell>
          <cell r="DI606">
            <v>3</v>
          </cell>
          <cell r="DJ606" t="str">
            <v/>
          </cell>
          <cell r="DK606">
            <v>0</v>
          </cell>
          <cell r="DL606">
            <v>0</v>
          </cell>
          <cell r="DM606">
            <v>3</v>
          </cell>
          <cell r="DN606">
            <v>3</v>
          </cell>
          <cell r="DO606" t="str">
            <v/>
          </cell>
          <cell r="DP606">
            <v>0</v>
          </cell>
          <cell r="DQ606">
            <v>0</v>
          </cell>
          <cell r="DR606">
            <v>3</v>
          </cell>
          <cell r="DS606">
            <v>3</v>
          </cell>
          <cell r="DT606" t="str">
            <v/>
          </cell>
          <cell r="DU606">
            <v>0</v>
          </cell>
          <cell r="DV606">
            <v>0</v>
          </cell>
          <cell r="DW606">
            <v>3</v>
          </cell>
          <cell r="DX606">
            <v>3</v>
          </cell>
          <cell r="DY606" t="str">
            <v/>
          </cell>
          <cell r="DZ606">
            <v>0</v>
          </cell>
          <cell r="EA606">
            <v>0</v>
          </cell>
          <cell r="EB606">
            <v>3</v>
          </cell>
          <cell r="EC606">
            <v>3</v>
          </cell>
          <cell r="ED606" t="str">
            <v/>
          </cell>
          <cell r="EE606">
            <v>0</v>
          </cell>
          <cell r="EF606">
            <v>0</v>
          </cell>
          <cell r="EG606">
            <v>3</v>
          </cell>
          <cell r="EH606">
            <v>3</v>
          </cell>
          <cell r="EI606" t="str">
            <v/>
          </cell>
          <cell r="EJ606">
            <v>0</v>
          </cell>
          <cell r="EK606">
            <v>0</v>
          </cell>
          <cell r="EL606">
            <v>3</v>
          </cell>
          <cell r="EM606">
            <v>3</v>
          </cell>
          <cell r="EN606" t="str">
            <v/>
          </cell>
          <cell r="EO606">
            <v>0</v>
          </cell>
          <cell r="EP606">
            <v>0</v>
          </cell>
          <cell r="EQ606">
            <v>3</v>
          </cell>
          <cell r="ER606">
            <v>3</v>
          </cell>
          <cell r="ES606" t="str">
            <v/>
          </cell>
          <cell r="ET606">
            <v>0</v>
          </cell>
          <cell r="EU606">
            <v>0</v>
          </cell>
          <cell r="EV606">
            <v>3</v>
          </cell>
          <cell r="EW606">
            <v>3</v>
          </cell>
          <cell r="EX606" t="str">
            <v/>
          </cell>
          <cell r="EY606">
            <v>0</v>
          </cell>
          <cell r="EZ606">
            <v>0</v>
          </cell>
          <cell r="FA606">
            <v>3</v>
          </cell>
          <cell r="FB606">
            <v>3</v>
          </cell>
          <cell r="FC606" t="str">
            <v/>
          </cell>
          <cell r="FD606">
            <v>0</v>
          </cell>
          <cell r="FE606">
            <v>0</v>
          </cell>
          <cell r="FF606">
            <v>3</v>
          </cell>
          <cell r="FG606">
            <v>3</v>
          </cell>
          <cell r="FH606" t="str">
            <v/>
          </cell>
          <cell r="FI606">
            <v>0</v>
          </cell>
          <cell r="FJ606">
            <v>0</v>
          </cell>
          <cell r="FK606">
            <v>3</v>
          </cell>
          <cell r="FL606">
            <v>3</v>
          </cell>
          <cell r="FM606" t="str">
            <v/>
          </cell>
          <cell r="FN606">
            <v>0</v>
          </cell>
          <cell r="FO606">
            <v>0</v>
          </cell>
          <cell r="FP606">
            <v>3</v>
          </cell>
          <cell r="FQ606">
            <v>3</v>
          </cell>
          <cell r="FR606" t="str">
            <v/>
          </cell>
          <cell r="FS606">
            <v>0</v>
          </cell>
          <cell r="FT606">
            <v>0</v>
          </cell>
          <cell r="FU606">
            <v>2.0333333333333332</v>
          </cell>
          <cell r="FW606" t="str">
            <v>STOCK OK</v>
          </cell>
          <cell r="FX606" t="str">
            <v>NUEVO</v>
          </cell>
          <cell r="FY606" t="str">
            <v>Si</v>
          </cell>
        </row>
        <row r="607">
          <cell r="B607" t="str">
            <v>REP-0624</v>
          </cell>
          <cell r="C607" t="str">
            <v>MIX</v>
          </cell>
          <cell r="E607">
            <v>5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5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BQ607">
            <v>61</v>
          </cell>
          <cell r="BR607" t="str">
            <v/>
          </cell>
          <cell r="BS607">
            <v>0</v>
          </cell>
          <cell r="BT607">
            <v>3</v>
          </cell>
          <cell r="CJ607">
            <v>0</v>
          </cell>
          <cell r="CK607" t="str">
            <v/>
          </cell>
          <cell r="CL607">
            <v>0</v>
          </cell>
          <cell r="CM607">
            <v>0</v>
          </cell>
          <cell r="CN607">
            <v>0</v>
          </cell>
          <cell r="CO607">
            <v>5</v>
          </cell>
          <cell r="CP607" t="str">
            <v/>
          </cell>
          <cell r="CQ607">
            <v>0</v>
          </cell>
          <cell r="CR607">
            <v>0</v>
          </cell>
          <cell r="CS607">
            <v>5</v>
          </cell>
          <cell r="CT607">
            <v>5</v>
          </cell>
          <cell r="CU607" t="str">
            <v/>
          </cell>
          <cell r="CV607">
            <v>0</v>
          </cell>
          <cell r="CW607">
            <v>0</v>
          </cell>
          <cell r="CX607">
            <v>5</v>
          </cell>
          <cell r="CY607">
            <v>5</v>
          </cell>
          <cell r="CZ607" t="str">
            <v/>
          </cell>
          <cell r="DA607">
            <v>0</v>
          </cell>
          <cell r="DB607">
            <v>0</v>
          </cell>
          <cell r="DC607">
            <v>5</v>
          </cell>
          <cell r="DD607">
            <v>5</v>
          </cell>
          <cell r="DE607" t="str">
            <v/>
          </cell>
          <cell r="DF607">
            <v>0</v>
          </cell>
          <cell r="DG607">
            <v>0</v>
          </cell>
          <cell r="DH607">
            <v>5</v>
          </cell>
          <cell r="DI607">
            <v>5</v>
          </cell>
          <cell r="DJ607" t="str">
            <v/>
          </cell>
          <cell r="DK607">
            <v>0</v>
          </cell>
          <cell r="DL607">
            <v>0</v>
          </cell>
          <cell r="DM607">
            <v>5</v>
          </cell>
          <cell r="DN607">
            <v>5</v>
          </cell>
          <cell r="DO607" t="str">
            <v/>
          </cell>
          <cell r="DP607">
            <v>0</v>
          </cell>
          <cell r="DQ607">
            <v>0</v>
          </cell>
          <cell r="DR607">
            <v>5</v>
          </cell>
          <cell r="DS607">
            <v>5</v>
          </cell>
          <cell r="DT607" t="str">
            <v/>
          </cell>
          <cell r="DU607">
            <v>0</v>
          </cell>
          <cell r="DV607">
            <v>0</v>
          </cell>
          <cell r="DW607">
            <v>5</v>
          </cell>
          <cell r="DX607">
            <v>5</v>
          </cell>
          <cell r="DY607" t="str">
            <v/>
          </cell>
          <cell r="DZ607">
            <v>0</v>
          </cell>
          <cell r="EA607">
            <v>0</v>
          </cell>
          <cell r="EB607">
            <v>5</v>
          </cell>
          <cell r="EC607">
            <v>5</v>
          </cell>
          <cell r="ED607" t="str">
            <v/>
          </cell>
          <cell r="EE607">
            <v>0</v>
          </cell>
          <cell r="EF607">
            <v>0</v>
          </cell>
          <cell r="EG607">
            <v>5</v>
          </cell>
          <cell r="EH607">
            <v>5</v>
          </cell>
          <cell r="EI607" t="str">
            <v/>
          </cell>
          <cell r="EJ607">
            <v>0</v>
          </cell>
          <cell r="EK607">
            <v>0</v>
          </cell>
          <cell r="EL607">
            <v>5</v>
          </cell>
          <cell r="EM607">
            <v>5</v>
          </cell>
          <cell r="EN607" t="str">
            <v/>
          </cell>
          <cell r="EO607">
            <v>0</v>
          </cell>
          <cell r="EP607">
            <v>0</v>
          </cell>
          <cell r="EQ607">
            <v>5</v>
          </cell>
          <cell r="ER607">
            <v>5</v>
          </cell>
          <cell r="ES607" t="str">
            <v/>
          </cell>
          <cell r="ET607">
            <v>0</v>
          </cell>
          <cell r="EU607">
            <v>0</v>
          </cell>
          <cell r="EV607">
            <v>5</v>
          </cell>
          <cell r="EW607">
            <v>5</v>
          </cell>
          <cell r="EX607" t="str">
            <v/>
          </cell>
          <cell r="EY607">
            <v>0</v>
          </cell>
          <cell r="EZ607">
            <v>0</v>
          </cell>
          <cell r="FA607">
            <v>5</v>
          </cell>
          <cell r="FB607">
            <v>5</v>
          </cell>
          <cell r="FC607" t="str">
            <v/>
          </cell>
          <cell r="FD607">
            <v>0</v>
          </cell>
          <cell r="FE607">
            <v>0</v>
          </cell>
          <cell r="FF607">
            <v>5</v>
          </cell>
          <cell r="FG607">
            <v>5</v>
          </cell>
          <cell r="FH607" t="str">
            <v/>
          </cell>
          <cell r="FI607">
            <v>0</v>
          </cell>
          <cell r="FJ607">
            <v>0</v>
          </cell>
          <cell r="FK607">
            <v>5</v>
          </cell>
          <cell r="FL607">
            <v>5</v>
          </cell>
          <cell r="FM607" t="str">
            <v/>
          </cell>
          <cell r="FN607">
            <v>0</v>
          </cell>
          <cell r="FO607">
            <v>0</v>
          </cell>
          <cell r="FP607">
            <v>5</v>
          </cell>
          <cell r="FQ607">
            <v>5</v>
          </cell>
          <cell r="FR607" t="str">
            <v/>
          </cell>
          <cell r="FS607">
            <v>0</v>
          </cell>
          <cell r="FT607">
            <v>0</v>
          </cell>
          <cell r="FU607">
            <v>2.0333333333333332</v>
          </cell>
          <cell r="FW607" t="str">
            <v>STOCK OK</v>
          </cell>
          <cell r="FX607" t="str">
            <v>NUEVO</v>
          </cell>
          <cell r="FY607" t="str">
            <v>Si</v>
          </cell>
        </row>
        <row r="608">
          <cell r="B608" t="str">
            <v>REP-0625</v>
          </cell>
          <cell r="C608" t="str">
            <v>MIX</v>
          </cell>
          <cell r="E608">
            <v>2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2</v>
          </cell>
          <cell r="AC608">
            <v>0</v>
          </cell>
          <cell r="AD608">
            <v>0</v>
          </cell>
          <cell r="AE608">
            <v>0</v>
          </cell>
          <cell r="AI608">
            <v>0.16666666666666666</v>
          </cell>
          <cell r="AJ608">
            <v>0.16666666666666666</v>
          </cell>
          <cell r="AK608">
            <v>0.16666666666666666</v>
          </cell>
          <cell r="AL608">
            <v>0</v>
          </cell>
          <cell r="AM608">
            <v>0.16666666666666666</v>
          </cell>
          <cell r="AN608">
            <v>0</v>
          </cell>
          <cell r="BQ608">
            <v>62</v>
          </cell>
          <cell r="BR608">
            <v>372</v>
          </cell>
          <cell r="BS608">
            <v>0</v>
          </cell>
          <cell r="BT608">
            <v>3</v>
          </cell>
          <cell r="CJ608">
            <v>0</v>
          </cell>
          <cell r="CK608" t="str">
            <v/>
          </cell>
          <cell r="CL608">
            <v>0</v>
          </cell>
          <cell r="CM608">
            <v>0</v>
          </cell>
          <cell r="CN608">
            <v>0</v>
          </cell>
          <cell r="CO608">
            <v>3</v>
          </cell>
          <cell r="CP608" t="str">
            <v/>
          </cell>
          <cell r="CQ608">
            <v>0</v>
          </cell>
          <cell r="CR608">
            <v>0</v>
          </cell>
          <cell r="CS608">
            <v>3</v>
          </cell>
          <cell r="CT608">
            <v>2</v>
          </cell>
          <cell r="CU608">
            <v>4</v>
          </cell>
          <cell r="CV608">
            <v>0</v>
          </cell>
          <cell r="CW608">
            <v>0</v>
          </cell>
          <cell r="CX608">
            <v>1.5</v>
          </cell>
          <cell r="CY608">
            <v>2</v>
          </cell>
          <cell r="CZ608">
            <v>6</v>
          </cell>
          <cell r="DA608">
            <v>0</v>
          </cell>
          <cell r="DB608">
            <v>0</v>
          </cell>
          <cell r="DC608">
            <v>1.75</v>
          </cell>
          <cell r="DD608">
            <v>2</v>
          </cell>
          <cell r="DE608">
            <v>4</v>
          </cell>
          <cell r="DF608">
            <v>0</v>
          </cell>
          <cell r="DG608">
            <v>0</v>
          </cell>
          <cell r="DH608">
            <v>1.75</v>
          </cell>
          <cell r="DI608">
            <v>2</v>
          </cell>
          <cell r="DJ608">
            <v>7</v>
          </cell>
          <cell r="DK608">
            <v>0</v>
          </cell>
          <cell r="DL608">
            <v>0</v>
          </cell>
          <cell r="DM608">
            <v>1.55</v>
          </cell>
          <cell r="DN608">
            <v>2</v>
          </cell>
          <cell r="DO608">
            <v>8</v>
          </cell>
          <cell r="DP608">
            <v>0</v>
          </cell>
          <cell r="DQ608">
            <v>0</v>
          </cell>
          <cell r="DR608">
            <v>1.8333333333333333</v>
          </cell>
          <cell r="DS608">
            <v>1.8333333333333333</v>
          </cell>
          <cell r="DT608">
            <v>7</v>
          </cell>
          <cell r="DU608">
            <v>0</v>
          </cell>
          <cell r="DV608">
            <v>0</v>
          </cell>
          <cell r="DW608">
            <v>1.6666666666666665</v>
          </cell>
          <cell r="DX608">
            <v>1.6666666666666665</v>
          </cell>
          <cell r="DY608">
            <v>5.9999999999999991</v>
          </cell>
          <cell r="DZ608">
            <v>0</v>
          </cell>
          <cell r="EA608">
            <v>0</v>
          </cell>
          <cell r="EB608">
            <v>1.4999999999999998</v>
          </cell>
          <cell r="EC608">
            <v>1.4999999999999998</v>
          </cell>
          <cell r="ED608">
            <v>4.9999999999999982</v>
          </cell>
          <cell r="EE608">
            <v>0</v>
          </cell>
          <cell r="EF608">
            <v>0</v>
          </cell>
          <cell r="EG608">
            <v>1.333333333333333</v>
          </cell>
          <cell r="EH608">
            <v>1.333333333333333</v>
          </cell>
          <cell r="EI608">
            <v>3.9999999999999982</v>
          </cell>
          <cell r="EJ608">
            <v>0</v>
          </cell>
          <cell r="EK608">
            <v>1</v>
          </cell>
          <cell r="EL608">
            <v>2.1666666666666665</v>
          </cell>
          <cell r="EM608">
            <v>2.1666666666666665</v>
          </cell>
          <cell r="EN608">
            <v>9</v>
          </cell>
          <cell r="EO608">
            <v>0</v>
          </cell>
          <cell r="EP608">
            <v>0</v>
          </cell>
          <cell r="EQ608">
            <v>1.9999999999999998</v>
          </cell>
          <cell r="ER608">
            <v>1.9999999999999998</v>
          </cell>
          <cell r="ES608">
            <v>7.9999999999999991</v>
          </cell>
          <cell r="ET608">
            <v>0</v>
          </cell>
          <cell r="EU608">
            <v>0</v>
          </cell>
          <cell r="EV608">
            <v>1.833333333333333</v>
          </cell>
          <cell r="EW608">
            <v>1.833333333333333</v>
          </cell>
          <cell r="EX608">
            <v>6.9999999999999982</v>
          </cell>
          <cell r="EY608">
            <v>0</v>
          </cell>
          <cell r="EZ608">
            <v>0</v>
          </cell>
          <cell r="FA608">
            <v>1.6666666666666663</v>
          </cell>
          <cell r="FB608">
            <v>1.6666666666666663</v>
          </cell>
          <cell r="FC608">
            <v>5.9999999999999982</v>
          </cell>
          <cell r="FD608">
            <v>0</v>
          </cell>
          <cell r="FE608">
            <v>1</v>
          </cell>
          <cell r="FF608">
            <v>2.4999999999999996</v>
          </cell>
          <cell r="FG608">
            <v>2.4999999999999996</v>
          </cell>
          <cell r="FH608">
            <v>10.999999999999998</v>
          </cell>
          <cell r="FI608">
            <v>0</v>
          </cell>
          <cell r="FJ608">
            <v>0</v>
          </cell>
          <cell r="FK608">
            <v>2.333333333333333</v>
          </cell>
          <cell r="FL608">
            <v>2.333333333333333</v>
          </cell>
          <cell r="FM608">
            <v>9.9999999999999982</v>
          </cell>
          <cell r="FN608">
            <v>0</v>
          </cell>
          <cell r="FO608">
            <v>0</v>
          </cell>
          <cell r="FP608">
            <v>2.1666666666666665</v>
          </cell>
          <cell r="FQ608">
            <v>2.1666666666666665</v>
          </cell>
          <cell r="FR608">
            <v>9</v>
          </cell>
          <cell r="FS608">
            <v>0</v>
          </cell>
          <cell r="FT608">
            <v>1</v>
          </cell>
          <cell r="FU608">
            <v>2.0333333333333332</v>
          </cell>
          <cell r="FW608" t="str">
            <v>STOCK OK</v>
          </cell>
          <cell r="FX608" t="str">
            <v>C</v>
          </cell>
          <cell r="FY608" t="str">
            <v>Si</v>
          </cell>
        </row>
        <row r="609">
          <cell r="B609" t="str">
            <v>REP-0626</v>
          </cell>
          <cell r="C609" t="str">
            <v>NACIONAL</v>
          </cell>
          <cell r="E609">
            <v>18</v>
          </cell>
          <cell r="F609">
            <v>0</v>
          </cell>
          <cell r="G609">
            <v>0</v>
          </cell>
          <cell r="H609">
            <v>1</v>
          </cell>
          <cell r="I609">
            <v>1</v>
          </cell>
          <cell r="J609">
            <v>0</v>
          </cell>
          <cell r="K609">
            <v>15</v>
          </cell>
          <cell r="L609">
            <v>0</v>
          </cell>
          <cell r="M609">
            <v>0</v>
          </cell>
          <cell r="N609">
            <v>0</v>
          </cell>
          <cell r="O609">
            <v>2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3</v>
          </cell>
          <cell r="U609">
            <v>2</v>
          </cell>
          <cell r="V609">
            <v>0</v>
          </cell>
          <cell r="W609">
            <v>0</v>
          </cell>
          <cell r="X609">
            <v>1</v>
          </cell>
          <cell r="Y609">
            <v>43</v>
          </cell>
          <cell r="AC609">
            <v>0</v>
          </cell>
          <cell r="AD609">
            <v>0</v>
          </cell>
          <cell r="AE609">
            <v>0</v>
          </cell>
          <cell r="AI609">
            <v>7.666666666666667</v>
          </cell>
          <cell r="AJ609">
            <v>7.666666666666667</v>
          </cell>
          <cell r="AK609">
            <v>7.666666666666667</v>
          </cell>
          <cell r="AL609">
            <v>0</v>
          </cell>
          <cell r="AM609">
            <v>7.666666666666667</v>
          </cell>
          <cell r="AN609">
            <v>0</v>
          </cell>
          <cell r="BQ609">
            <v>63</v>
          </cell>
          <cell r="BR609">
            <v>8.2173913043478262</v>
          </cell>
          <cell r="BS609">
            <v>0</v>
          </cell>
          <cell r="BT609">
            <v>4</v>
          </cell>
          <cell r="CJ609">
            <v>0</v>
          </cell>
          <cell r="CL609">
            <v>0</v>
          </cell>
          <cell r="CM609">
            <v>0</v>
          </cell>
          <cell r="CN609">
            <v>1</v>
          </cell>
          <cell r="CO609">
            <v>62</v>
          </cell>
          <cell r="CP609">
            <v>4.1333333333333337</v>
          </cell>
          <cell r="CQ609">
            <v>0</v>
          </cell>
          <cell r="CR609">
            <v>0</v>
          </cell>
          <cell r="CS609">
            <v>47</v>
          </cell>
          <cell r="CT609">
            <v>54</v>
          </cell>
          <cell r="CU609">
            <v>4.6956521739130439</v>
          </cell>
          <cell r="CV609" t="e">
            <v>#N/A</v>
          </cell>
          <cell r="CW609">
            <v>0</v>
          </cell>
          <cell r="CX609">
            <v>42.5</v>
          </cell>
          <cell r="CY609">
            <v>61</v>
          </cell>
          <cell r="CZ609">
            <v>4.9459459459459456</v>
          </cell>
          <cell r="DA609">
            <v>0</v>
          </cell>
          <cell r="DB609">
            <v>0</v>
          </cell>
          <cell r="DC609">
            <v>49.5</v>
          </cell>
          <cell r="DD609">
            <v>48</v>
          </cell>
          <cell r="DE609">
            <v>2.5217391304347827</v>
          </cell>
          <cell r="DF609">
            <v>0</v>
          </cell>
          <cell r="DG609">
            <v>0</v>
          </cell>
          <cell r="DH609">
            <v>36.5</v>
          </cell>
          <cell r="DI609">
            <v>48</v>
          </cell>
          <cell r="DJ609">
            <v>6.1304347826086962</v>
          </cell>
          <cell r="DK609">
            <v>0</v>
          </cell>
          <cell r="DL609">
            <v>0</v>
          </cell>
          <cell r="DM609">
            <v>27.3</v>
          </cell>
          <cell r="DN609">
            <v>43</v>
          </cell>
          <cell r="DO609">
            <v>6.5652173913043477</v>
          </cell>
          <cell r="DP609">
            <v>0</v>
          </cell>
          <cell r="DQ609">
            <v>0</v>
          </cell>
          <cell r="DR609">
            <v>35.333333333333336</v>
          </cell>
          <cell r="DS609">
            <v>35.333333333333336</v>
          </cell>
          <cell r="DT609">
            <v>5.5652173913043477</v>
          </cell>
          <cell r="DU609">
            <v>0</v>
          </cell>
          <cell r="DV609">
            <v>0</v>
          </cell>
          <cell r="DW609">
            <v>27.666666666666668</v>
          </cell>
          <cell r="DX609">
            <v>27.666666666666668</v>
          </cell>
          <cell r="DY609">
            <v>4.5652173913043477</v>
          </cell>
          <cell r="DZ609">
            <v>0</v>
          </cell>
          <cell r="EA609">
            <v>0</v>
          </cell>
          <cell r="EB609">
            <v>20</v>
          </cell>
          <cell r="EC609">
            <v>20</v>
          </cell>
          <cell r="ED609">
            <v>3.5652173913043477</v>
          </cell>
          <cell r="EE609">
            <v>0</v>
          </cell>
          <cell r="EF609">
            <v>0</v>
          </cell>
          <cell r="EG609">
            <v>12.333333333333332</v>
          </cell>
          <cell r="EH609">
            <v>12.333333333333332</v>
          </cell>
          <cell r="EI609">
            <v>2.5652173913043477</v>
          </cell>
          <cell r="EJ609">
            <v>0</v>
          </cell>
          <cell r="EK609">
            <v>0</v>
          </cell>
          <cell r="EL609">
            <v>4.6666666666666652</v>
          </cell>
          <cell r="EM609">
            <v>4.6666666666666652</v>
          </cell>
          <cell r="EN609">
            <v>1.5652173913043477</v>
          </cell>
          <cell r="EO609">
            <v>3.3333333333333348</v>
          </cell>
          <cell r="EP609">
            <v>0</v>
          </cell>
          <cell r="EQ609">
            <v>-3.0000000000000018</v>
          </cell>
          <cell r="ER609">
            <v>-3.0000000000000018</v>
          </cell>
          <cell r="ES609">
            <v>0.56521739130434767</v>
          </cell>
          <cell r="ET609">
            <v>11.000000000000002</v>
          </cell>
          <cell r="EU609">
            <v>0</v>
          </cell>
          <cell r="EV609">
            <v>-10.666666666666668</v>
          </cell>
          <cell r="EW609">
            <v>-10.666666666666668</v>
          </cell>
          <cell r="EX609">
            <v>-0.43478260869565233</v>
          </cell>
          <cell r="EY609">
            <v>18.666666666666668</v>
          </cell>
          <cell r="EZ609">
            <v>0</v>
          </cell>
          <cell r="FA609">
            <v>-18.333333333333336</v>
          </cell>
          <cell r="FB609">
            <v>-18.333333333333336</v>
          </cell>
          <cell r="FC609">
            <v>-1.4347826086956523</v>
          </cell>
          <cell r="FD609">
            <v>26.333333333333336</v>
          </cell>
          <cell r="FE609">
            <v>0</v>
          </cell>
          <cell r="FF609">
            <v>-26.000000000000004</v>
          </cell>
          <cell r="FG609">
            <v>-26.000000000000004</v>
          </cell>
          <cell r="FH609">
            <v>-2.4347826086956523</v>
          </cell>
          <cell r="FI609">
            <v>34</v>
          </cell>
          <cell r="FJ609">
            <v>0</v>
          </cell>
          <cell r="FK609">
            <v>-33.666666666666671</v>
          </cell>
          <cell r="FL609">
            <v>-33.666666666666671</v>
          </cell>
          <cell r="FM609">
            <v>-3.4347826086956523</v>
          </cell>
          <cell r="FN609">
            <v>41.666666666666671</v>
          </cell>
          <cell r="FO609">
            <v>0</v>
          </cell>
          <cell r="FP609">
            <v>-41.333333333333336</v>
          </cell>
          <cell r="FQ609">
            <v>-41.333333333333336</v>
          </cell>
          <cell r="FR609">
            <v>-4.4347826086956523</v>
          </cell>
          <cell r="FS609">
            <v>49.333333333333336</v>
          </cell>
          <cell r="FT609">
            <v>8</v>
          </cell>
          <cell r="FU609">
            <v>1</v>
          </cell>
          <cell r="FW609" t="str">
            <v>STOCK OK</v>
          </cell>
          <cell r="FX609" t="str">
            <v>NUEVO</v>
          </cell>
          <cell r="FY609" t="str">
            <v>Si</v>
          </cell>
        </row>
        <row r="610">
          <cell r="B610" t="str">
            <v>REP-0627</v>
          </cell>
          <cell r="C610" t="str">
            <v>MIX</v>
          </cell>
          <cell r="E610">
            <v>5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1</v>
          </cell>
          <cell r="W610">
            <v>0</v>
          </cell>
          <cell r="X610">
            <v>0</v>
          </cell>
          <cell r="Y610">
            <v>6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BQ610">
            <v>64</v>
          </cell>
          <cell r="BR610" t="str">
            <v/>
          </cell>
          <cell r="BS610">
            <v>0</v>
          </cell>
          <cell r="BT610">
            <v>4</v>
          </cell>
          <cell r="CJ610">
            <v>0</v>
          </cell>
          <cell r="CL610">
            <v>0</v>
          </cell>
          <cell r="CM610">
            <v>0</v>
          </cell>
          <cell r="CN610">
            <v>2</v>
          </cell>
          <cell r="CO610">
            <v>63</v>
          </cell>
          <cell r="CP610">
            <v>5.1333333333333302</v>
          </cell>
          <cell r="CQ610">
            <v>0</v>
          </cell>
          <cell r="CR610">
            <v>0</v>
          </cell>
          <cell r="CS610">
            <v>47</v>
          </cell>
          <cell r="CT610">
            <v>54</v>
          </cell>
          <cell r="CU610">
            <v>5.6956521739130404</v>
          </cell>
          <cell r="CV610" t="e">
            <v>#N/A</v>
          </cell>
          <cell r="CY610">
            <v>2</v>
          </cell>
          <cell r="CZ610" t="str">
            <v/>
          </cell>
          <cell r="DA610">
            <v>0</v>
          </cell>
          <cell r="DB610">
            <v>0</v>
          </cell>
          <cell r="DC610">
            <v>2</v>
          </cell>
          <cell r="DD610">
            <v>2</v>
          </cell>
          <cell r="DE610" t="str">
            <v/>
          </cell>
          <cell r="DF610">
            <v>0</v>
          </cell>
          <cell r="DG610">
            <v>2</v>
          </cell>
          <cell r="DH610">
            <v>4</v>
          </cell>
          <cell r="DI610">
            <v>4</v>
          </cell>
          <cell r="DJ610" t="str">
            <v/>
          </cell>
          <cell r="DK610">
            <v>0</v>
          </cell>
          <cell r="DL610">
            <v>0</v>
          </cell>
          <cell r="DM610">
            <v>4</v>
          </cell>
          <cell r="DN610">
            <v>6</v>
          </cell>
          <cell r="DO610" t="str">
            <v/>
          </cell>
          <cell r="DP610">
            <v>0</v>
          </cell>
          <cell r="DQ610">
            <v>0</v>
          </cell>
          <cell r="DR610">
            <v>6</v>
          </cell>
          <cell r="DS610">
            <v>6</v>
          </cell>
          <cell r="DT610" t="str">
            <v/>
          </cell>
          <cell r="DU610">
            <v>0</v>
          </cell>
          <cell r="DV610">
            <v>0</v>
          </cell>
          <cell r="DW610">
            <v>6</v>
          </cell>
          <cell r="DX610">
            <v>6</v>
          </cell>
          <cell r="DY610" t="str">
            <v/>
          </cell>
          <cell r="DZ610">
            <v>0</v>
          </cell>
          <cell r="EA610">
            <v>0</v>
          </cell>
          <cell r="EB610">
            <v>6</v>
          </cell>
          <cell r="EC610">
            <v>6</v>
          </cell>
          <cell r="ED610" t="str">
            <v/>
          </cell>
          <cell r="EE610">
            <v>0</v>
          </cell>
          <cell r="EF610">
            <v>0</v>
          </cell>
          <cell r="EG610">
            <v>6</v>
          </cell>
          <cell r="EH610">
            <v>6</v>
          </cell>
          <cell r="EI610" t="str">
            <v/>
          </cell>
          <cell r="EJ610">
            <v>0</v>
          </cell>
          <cell r="EK610">
            <v>0</v>
          </cell>
          <cell r="EL610">
            <v>6</v>
          </cell>
          <cell r="EM610">
            <v>6</v>
          </cell>
          <cell r="EN610" t="str">
            <v/>
          </cell>
          <cell r="EO610">
            <v>0</v>
          </cell>
          <cell r="EP610">
            <v>0</v>
          </cell>
          <cell r="EQ610">
            <v>6</v>
          </cell>
          <cell r="ER610">
            <v>6</v>
          </cell>
          <cell r="ES610" t="str">
            <v/>
          </cell>
          <cell r="ET610">
            <v>0</v>
          </cell>
          <cell r="EU610">
            <v>0</v>
          </cell>
          <cell r="EV610">
            <v>6</v>
          </cell>
          <cell r="EW610">
            <v>6</v>
          </cell>
          <cell r="EX610" t="str">
            <v/>
          </cell>
          <cell r="EY610">
            <v>0</v>
          </cell>
          <cell r="EZ610">
            <v>0</v>
          </cell>
          <cell r="FA610">
            <v>6</v>
          </cell>
          <cell r="FB610">
            <v>6</v>
          </cell>
          <cell r="FC610" t="str">
            <v/>
          </cell>
          <cell r="FD610">
            <v>0</v>
          </cell>
          <cell r="FE610">
            <v>0</v>
          </cell>
          <cell r="FF610">
            <v>6</v>
          </cell>
          <cell r="FG610">
            <v>6</v>
          </cell>
          <cell r="FH610" t="str">
            <v/>
          </cell>
          <cell r="FI610">
            <v>0</v>
          </cell>
          <cell r="FJ610">
            <v>0</v>
          </cell>
          <cell r="FK610">
            <v>6</v>
          </cell>
          <cell r="FL610">
            <v>6</v>
          </cell>
          <cell r="FM610" t="str">
            <v/>
          </cell>
          <cell r="FN610">
            <v>0</v>
          </cell>
          <cell r="FO610">
            <v>0</v>
          </cell>
          <cell r="FP610">
            <v>6</v>
          </cell>
          <cell r="FQ610">
            <v>6</v>
          </cell>
          <cell r="FR610" t="str">
            <v/>
          </cell>
          <cell r="FS610">
            <v>0</v>
          </cell>
          <cell r="FT610">
            <v>0</v>
          </cell>
          <cell r="FU610">
            <v>2.0333333333333332</v>
          </cell>
          <cell r="FW610" t="str">
            <v>STOCK OK</v>
          </cell>
          <cell r="FX610" t="str">
            <v>NUEVO</v>
          </cell>
          <cell r="FY610" t="str">
            <v>Si</v>
          </cell>
        </row>
        <row r="611">
          <cell r="B611" t="str">
            <v>REP-0628</v>
          </cell>
          <cell r="C611" t="str">
            <v>MIX</v>
          </cell>
          <cell r="E611">
            <v>2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2</v>
          </cell>
          <cell r="AC611">
            <v>0</v>
          </cell>
          <cell r="AD611">
            <v>0</v>
          </cell>
          <cell r="AE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BQ611">
            <v>65</v>
          </cell>
          <cell r="BR611" t="str">
            <v/>
          </cell>
          <cell r="BS611">
            <v>0</v>
          </cell>
          <cell r="BT611">
            <v>4</v>
          </cell>
          <cell r="CJ611">
            <v>0</v>
          </cell>
          <cell r="CL611">
            <v>0</v>
          </cell>
          <cell r="CM611">
            <v>0</v>
          </cell>
          <cell r="CN611">
            <v>3</v>
          </cell>
          <cell r="CO611">
            <v>64</v>
          </cell>
          <cell r="CP611">
            <v>6.1333333333333302</v>
          </cell>
          <cell r="CQ611">
            <v>0</v>
          </cell>
          <cell r="CR611">
            <v>0</v>
          </cell>
          <cell r="CS611">
            <v>47</v>
          </cell>
          <cell r="CT611">
            <v>54</v>
          </cell>
          <cell r="CU611">
            <v>6.6956521739130404</v>
          </cell>
          <cell r="CV611" t="e">
            <v>#N/A</v>
          </cell>
          <cell r="CY611">
            <v>1</v>
          </cell>
          <cell r="CZ611">
            <v>3</v>
          </cell>
          <cell r="DA611">
            <v>1</v>
          </cell>
          <cell r="DB611">
            <v>0</v>
          </cell>
          <cell r="DC611">
            <v>0.75</v>
          </cell>
          <cell r="DD611">
            <v>2</v>
          </cell>
          <cell r="DE611" t="str">
            <v/>
          </cell>
          <cell r="DF611">
            <v>0</v>
          </cell>
          <cell r="DG611">
            <v>0</v>
          </cell>
          <cell r="DH611">
            <v>2</v>
          </cell>
          <cell r="DI611">
            <v>4</v>
          </cell>
          <cell r="DJ611" t="str">
            <v/>
          </cell>
          <cell r="DK611">
            <v>0</v>
          </cell>
          <cell r="DL611">
            <v>0</v>
          </cell>
          <cell r="DM611">
            <v>2</v>
          </cell>
          <cell r="DN611">
            <v>2</v>
          </cell>
          <cell r="DO611" t="str">
            <v/>
          </cell>
          <cell r="DP611">
            <v>0</v>
          </cell>
          <cell r="DQ611">
            <v>0</v>
          </cell>
          <cell r="DR611">
            <v>2</v>
          </cell>
          <cell r="DS611">
            <v>2</v>
          </cell>
          <cell r="DT611" t="str">
            <v/>
          </cell>
          <cell r="DU611">
            <v>0</v>
          </cell>
          <cell r="DV611">
            <v>0</v>
          </cell>
          <cell r="DW611">
            <v>2</v>
          </cell>
          <cell r="DX611">
            <v>2</v>
          </cell>
          <cell r="DY611" t="str">
            <v/>
          </cell>
          <cell r="DZ611">
            <v>0</v>
          </cell>
          <cell r="EA611">
            <v>0</v>
          </cell>
          <cell r="EB611">
            <v>2</v>
          </cell>
          <cell r="EC611">
            <v>2</v>
          </cell>
          <cell r="ED611" t="str">
            <v/>
          </cell>
          <cell r="EE611">
            <v>0</v>
          </cell>
          <cell r="EF611">
            <v>0</v>
          </cell>
          <cell r="EG611">
            <v>2</v>
          </cell>
          <cell r="EH611">
            <v>2</v>
          </cell>
          <cell r="EI611" t="str">
            <v/>
          </cell>
          <cell r="EJ611">
            <v>0</v>
          </cell>
          <cell r="EK611">
            <v>0</v>
          </cell>
          <cell r="EL611">
            <v>2</v>
          </cell>
          <cell r="EM611">
            <v>2</v>
          </cell>
          <cell r="EN611" t="str">
            <v/>
          </cell>
          <cell r="EO611">
            <v>0</v>
          </cell>
          <cell r="EP611">
            <v>0</v>
          </cell>
          <cell r="EQ611">
            <v>2</v>
          </cell>
          <cell r="ER611">
            <v>2</v>
          </cell>
          <cell r="ES611" t="str">
            <v/>
          </cell>
          <cell r="ET611">
            <v>0</v>
          </cell>
          <cell r="EU611">
            <v>0</v>
          </cell>
          <cell r="EV611">
            <v>2</v>
          </cell>
          <cell r="EW611">
            <v>2</v>
          </cell>
          <cell r="EX611" t="str">
            <v/>
          </cell>
          <cell r="EY611">
            <v>0</v>
          </cell>
          <cell r="EZ611">
            <v>0</v>
          </cell>
          <cell r="FA611">
            <v>2</v>
          </cell>
          <cell r="FB611">
            <v>2</v>
          </cell>
          <cell r="FC611" t="str">
            <v/>
          </cell>
          <cell r="FD611">
            <v>0</v>
          </cell>
          <cell r="FE611">
            <v>0</v>
          </cell>
          <cell r="FF611">
            <v>2</v>
          </cell>
          <cell r="FG611">
            <v>2</v>
          </cell>
          <cell r="FH611" t="str">
            <v/>
          </cell>
          <cell r="FI611">
            <v>0</v>
          </cell>
          <cell r="FJ611">
            <v>0</v>
          </cell>
          <cell r="FK611">
            <v>2</v>
          </cell>
          <cell r="FL611">
            <v>2</v>
          </cell>
          <cell r="FM611" t="str">
            <v/>
          </cell>
          <cell r="FN611">
            <v>0</v>
          </cell>
          <cell r="FO611">
            <v>0</v>
          </cell>
          <cell r="FP611">
            <v>2</v>
          </cell>
          <cell r="FQ611">
            <v>2</v>
          </cell>
          <cell r="FR611" t="str">
            <v/>
          </cell>
          <cell r="FS611">
            <v>0</v>
          </cell>
          <cell r="FT611">
            <v>0</v>
          </cell>
          <cell r="FU611">
            <v>2.0333333333333332</v>
          </cell>
          <cell r="FW611" t="str">
            <v>STOCK OK</v>
          </cell>
          <cell r="FX611" t="str">
            <v>NUEVO</v>
          </cell>
          <cell r="FY611" t="str">
            <v>Si</v>
          </cell>
        </row>
        <row r="612">
          <cell r="B612" t="str">
            <v>REP-0631</v>
          </cell>
          <cell r="C612" t="str">
            <v>MIX</v>
          </cell>
          <cell r="E612">
            <v>2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2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BQ612">
            <v>66</v>
          </cell>
          <cell r="BR612" t="str">
            <v/>
          </cell>
          <cell r="BS612">
            <v>0</v>
          </cell>
          <cell r="BT612">
            <v>4</v>
          </cell>
          <cell r="CJ612">
            <v>0</v>
          </cell>
          <cell r="CL612">
            <v>0</v>
          </cell>
          <cell r="CM612">
            <v>0</v>
          </cell>
          <cell r="CN612">
            <v>4</v>
          </cell>
          <cell r="CO612">
            <v>65</v>
          </cell>
          <cell r="CP612">
            <v>7.1333333333333302</v>
          </cell>
          <cell r="CQ612">
            <v>0</v>
          </cell>
          <cell r="CR612">
            <v>0</v>
          </cell>
          <cell r="CS612">
            <v>47</v>
          </cell>
          <cell r="CT612">
            <v>54</v>
          </cell>
          <cell r="CU612">
            <v>7.6956521739130404</v>
          </cell>
          <cell r="CV612" t="e">
            <v>#N/A</v>
          </cell>
          <cell r="CY612">
            <v>2</v>
          </cell>
          <cell r="CZ612" t="str">
            <v/>
          </cell>
          <cell r="DA612">
            <v>0</v>
          </cell>
          <cell r="DB612">
            <v>0</v>
          </cell>
          <cell r="DC612">
            <v>2</v>
          </cell>
          <cell r="DD612">
            <v>2</v>
          </cell>
          <cell r="DE612" t="str">
            <v/>
          </cell>
          <cell r="DF612">
            <v>0</v>
          </cell>
          <cell r="DG612">
            <v>0</v>
          </cell>
          <cell r="DH612">
            <v>2</v>
          </cell>
          <cell r="DI612">
            <v>2</v>
          </cell>
          <cell r="DJ612" t="str">
            <v/>
          </cell>
          <cell r="DK612">
            <v>0</v>
          </cell>
          <cell r="DL612">
            <v>0</v>
          </cell>
          <cell r="DM612">
            <v>2</v>
          </cell>
          <cell r="DN612">
            <v>2</v>
          </cell>
          <cell r="DO612" t="str">
            <v/>
          </cell>
          <cell r="DP612">
            <v>0</v>
          </cell>
          <cell r="DQ612">
            <v>0</v>
          </cell>
          <cell r="DR612">
            <v>2</v>
          </cell>
          <cell r="DS612">
            <v>2</v>
          </cell>
          <cell r="DT612" t="str">
            <v/>
          </cell>
          <cell r="DU612">
            <v>0</v>
          </cell>
          <cell r="DV612">
            <v>0</v>
          </cell>
          <cell r="DW612">
            <v>2</v>
          </cell>
          <cell r="DX612">
            <v>2</v>
          </cell>
          <cell r="DY612" t="str">
            <v/>
          </cell>
          <cell r="DZ612">
            <v>0</v>
          </cell>
          <cell r="EA612">
            <v>0</v>
          </cell>
          <cell r="EB612">
            <v>2</v>
          </cell>
          <cell r="EC612">
            <v>2</v>
          </cell>
          <cell r="ED612" t="str">
            <v/>
          </cell>
          <cell r="EE612">
            <v>0</v>
          </cell>
          <cell r="EF612">
            <v>0</v>
          </cell>
          <cell r="EG612">
            <v>2</v>
          </cell>
          <cell r="EH612">
            <v>2</v>
          </cell>
          <cell r="EI612" t="str">
            <v/>
          </cell>
          <cell r="EJ612">
            <v>0</v>
          </cell>
          <cell r="EK612">
            <v>0</v>
          </cell>
          <cell r="EL612">
            <v>2</v>
          </cell>
          <cell r="EM612">
            <v>2</v>
          </cell>
          <cell r="EN612" t="str">
            <v/>
          </cell>
          <cell r="EO612">
            <v>0</v>
          </cell>
          <cell r="EP612">
            <v>0</v>
          </cell>
          <cell r="EQ612">
            <v>2</v>
          </cell>
          <cell r="ER612">
            <v>2</v>
          </cell>
          <cell r="ES612" t="str">
            <v/>
          </cell>
          <cell r="ET612">
            <v>0</v>
          </cell>
          <cell r="EU612">
            <v>0</v>
          </cell>
          <cell r="EV612">
            <v>2</v>
          </cell>
          <cell r="EW612">
            <v>2</v>
          </cell>
          <cell r="EX612" t="str">
            <v/>
          </cell>
          <cell r="EY612">
            <v>0</v>
          </cell>
          <cell r="EZ612">
            <v>0</v>
          </cell>
          <cell r="FA612">
            <v>2</v>
          </cell>
          <cell r="FB612">
            <v>2</v>
          </cell>
          <cell r="FC612" t="str">
            <v/>
          </cell>
          <cell r="FD612">
            <v>0</v>
          </cell>
          <cell r="FE612">
            <v>0</v>
          </cell>
          <cell r="FF612">
            <v>2</v>
          </cell>
          <cell r="FG612">
            <v>2</v>
          </cell>
          <cell r="FH612" t="str">
            <v/>
          </cell>
          <cell r="FI612">
            <v>0</v>
          </cell>
          <cell r="FJ612">
            <v>0</v>
          </cell>
          <cell r="FK612">
            <v>2</v>
          </cell>
          <cell r="FL612">
            <v>2</v>
          </cell>
          <cell r="FM612" t="str">
            <v/>
          </cell>
          <cell r="FN612">
            <v>0</v>
          </cell>
          <cell r="FO612">
            <v>0</v>
          </cell>
          <cell r="FP612">
            <v>2</v>
          </cell>
          <cell r="FQ612">
            <v>2</v>
          </cell>
          <cell r="FR612" t="str">
            <v/>
          </cell>
          <cell r="FS612">
            <v>0</v>
          </cell>
          <cell r="FT612">
            <v>0</v>
          </cell>
          <cell r="FU612">
            <v>2.0333333333333332</v>
          </cell>
          <cell r="FW612" t="str">
            <v>STOCK OK</v>
          </cell>
          <cell r="FX612" t="str">
            <v>NUEVO</v>
          </cell>
          <cell r="FY612" t="str">
            <v>Si</v>
          </cell>
        </row>
        <row r="613">
          <cell r="B613" t="str">
            <v>REP-0632</v>
          </cell>
          <cell r="C613" t="str">
            <v>MIX</v>
          </cell>
          <cell r="E613">
            <v>4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4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BQ613">
            <v>67</v>
          </cell>
          <cell r="BR613" t="str">
            <v/>
          </cell>
          <cell r="BS613">
            <v>0</v>
          </cell>
          <cell r="BT613">
            <v>4</v>
          </cell>
          <cell r="CJ613">
            <v>0</v>
          </cell>
          <cell r="CL613">
            <v>0</v>
          </cell>
          <cell r="CM613">
            <v>0</v>
          </cell>
          <cell r="CN613">
            <v>5</v>
          </cell>
          <cell r="CO613">
            <v>66</v>
          </cell>
          <cell r="CP613">
            <v>8.1333333333333293</v>
          </cell>
          <cell r="CQ613">
            <v>0</v>
          </cell>
          <cell r="CR613">
            <v>0</v>
          </cell>
          <cell r="CS613">
            <v>47</v>
          </cell>
          <cell r="CT613">
            <v>54</v>
          </cell>
          <cell r="CU613">
            <v>8.6956521739130395</v>
          </cell>
          <cell r="CV613" t="e">
            <v>#N/A</v>
          </cell>
          <cell r="CY613">
            <v>4</v>
          </cell>
          <cell r="CZ613" t="str">
            <v/>
          </cell>
          <cell r="DA613">
            <v>0</v>
          </cell>
          <cell r="DB613">
            <v>0</v>
          </cell>
          <cell r="DC613">
            <v>4</v>
          </cell>
          <cell r="DD613">
            <v>4</v>
          </cell>
          <cell r="DE613" t="str">
            <v/>
          </cell>
          <cell r="DF613">
            <v>0</v>
          </cell>
          <cell r="DG613">
            <v>0</v>
          </cell>
          <cell r="DH613">
            <v>4</v>
          </cell>
          <cell r="DI613">
            <v>4</v>
          </cell>
          <cell r="DJ613" t="str">
            <v/>
          </cell>
          <cell r="DK613">
            <v>0</v>
          </cell>
          <cell r="DL613">
            <v>0</v>
          </cell>
          <cell r="DM613">
            <v>4</v>
          </cell>
          <cell r="DN613">
            <v>4</v>
          </cell>
          <cell r="DO613" t="str">
            <v/>
          </cell>
          <cell r="DP613">
            <v>0</v>
          </cell>
          <cell r="DQ613">
            <v>0</v>
          </cell>
          <cell r="DR613">
            <v>4</v>
          </cell>
          <cell r="DS613">
            <v>4</v>
          </cell>
          <cell r="DT613" t="str">
            <v/>
          </cell>
          <cell r="DU613">
            <v>0</v>
          </cell>
          <cell r="DV613">
            <v>0</v>
          </cell>
          <cell r="DW613">
            <v>4</v>
          </cell>
          <cell r="DX613">
            <v>4</v>
          </cell>
          <cell r="DY613" t="str">
            <v/>
          </cell>
          <cell r="DZ613">
            <v>0</v>
          </cell>
          <cell r="EA613">
            <v>0</v>
          </cell>
          <cell r="EB613">
            <v>4</v>
          </cell>
          <cell r="EC613">
            <v>4</v>
          </cell>
          <cell r="ED613" t="str">
            <v/>
          </cell>
          <cell r="EE613">
            <v>0</v>
          </cell>
          <cell r="EF613">
            <v>0</v>
          </cell>
          <cell r="EG613">
            <v>4</v>
          </cell>
          <cell r="EH613">
            <v>4</v>
          </cell>
          <cell r="EI613" t="str">
            <v/>
          </cell>
          <cell r="EJ613">
            <v>0</v>
          </cell>
          <cell r="EK613">
            <v>0</v>
          </cell>
          <cell r="EL613">
            <v>4</v>
          </cell>
          <cell r="EM613">
            <v>4</v>
          </cell>
          <cell r="EN613" t="str">
            <v/>
          </cell>
          <cell r="EO613">
            <v>0</v>
          </cell>
          <cell r="EP613">
            <v>0</v>
          </cell>
          <cell r="EQ613">
            <v>4</v>
          </cell>
          <cell r="ER613">
            <v>4</v>
          </cell>
          <cell r="ES613" t="str">
            <v/>
          </cell>
          <cell r="ET613">
            <v>0</v>
          </cell>
          <cell r="EU613">
            <v>0</v>
          </cell>
          <cell r="EV613">
            <v>4</v>
          </cell>
          <cell r="EW613">
            <v>4</v>
          </cell>
          <cell r="EX613" t="str">
            <v/>
          </cell>
          <cell r="EY613">
            <v>0</v>
          </cell>
          <cell r="EZ613">
            <v>0</v>
          </cell>
          <cell r="FA613">
            <v>4</v>
          </cell>
          <cell r="FB613">
            <v>4</v>
          </cell>
          <cell r="FC613" t="str">
            <v/>
          </cell>
          <cell r="FD613">
            <v>0</v>
          </cell>
          <cell r="FE613">
            <v>0</v>
          </cell>
          <cell r="FF613">
            <v>4</v>
          </cell>
          <cell r="FG613">
            <v>4</v>
          </cell>
          <cell r="FH613" t="str">
            <v/>
          </cell>
          <cell r="FI613">
            <v>0</v>
          </cell>
          <cell r="FJ613">
            <v>0</v>
          </cell>
          <cell r="FK613">
            <v>4</v>
          </cell>
          <cell r="FL613">
            <v>4</v>
          </cell>
          <cell r="FM613" t="str">
            <v/>
          </cell>
          <cell r="FN613">
            <v>0</v>
          </cell>
          <cell r="FO613">
            <v>0</v>
          </cell>
          <cell r="FP613">
            <v>4</v>
          </cell>
          <cell r="FQ613">
            <v>4</v>
          </cell>
          <cell r="FR613" t="str">
            <v/>
          </cell>
          <cell r="FS613">
            <v>0</v>
          </cell>
          <cell r="FT613">
            <v>0</v>
          </cell>
          <cell r="FU613">
            <v>2.0333333333333332</v>
          </cell>
          <cell r="FW613" t="str">
            <v>STOCK OK</v>
          </cell>
          <cell r="FX613" t="str">
            <v>NUEVO</v>
          </cell>
          <cell r="FY613" t="str">
            <v>Si</v>
          </cell>
        </row>
        <row r="614">
          <cell r="B614" t="str">
            <v>REP-0633</v>
          </cell>
          <cell r="C614" t="str">
            <v>MIX</v>
          </cell>
          <cell r="E614">
            <v>4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4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BQ614">
            <v>68</v>
          </cell>
          <cell r="BR614" t="str">
            <v/>
          </cell>
          <cell r="BS614">
            <v>0</v>
          </cell>
          <cell r="BT614">
            <v>4</v>
          </cell>
          <cell r="CJ614">
            <v>0</v>
          </cell>
          <cell r="CL614">
            <v>0</v>
          </cell>
          <cell r="CM614">
            <v>0</v>
          </cell>
          <cell r="CN614">
            <v>6</v>
          </cell>
          <cell r="CO614">
            <v>67</v>
          </cell>
          <cell r="CP614">
            <v>9.1333333333333293</v>
          </cell>
          <cell r="CQ614">
            <v>0</v>
          </cell>
          <cell r="CR614">
            <v>0</v>
          </cell>
          <cell r="CS614">
            <v>47</v>
          </cell>
          <cell r="CT614">
            <v>54</v>
          </cell>
          <cell r="CU614">
            <v>9.6956521739130395</v>
          </cell>
          <cell r="CV614" t="e">
            <v>#N/A</v>
          </cell>
          <cell r="CY614">
            <v>4</v>
          </cell>
          <cell r="CZ614" t="str">
            <v/>
          </cell>
          <cell r="DA614">
            <v>0</v>
          </cell>
          <cell r="DB614">
            <v>0</v>
          </cell>
          <cell r="DC614">
            <v>4</v>
          </cell>
          <cell r="DD614">
            <v>3</v>
          </cell>
          <cell r="DE614" t="str">
            <v/>
          </cell>
          <cell r="DF614">
            <v>0</v>
          </cell>
          <cell r="DG614">
            <v>0</v>
          </cell>
          <cell r="DH614">
            <v>3</v>
          </cell>
          <cell r="DI614">
            <v>3</v>
          </cell>
          <cell r="DJ614" t="str">
            <v/>
          </cell>
          <cell r="DK614">
            <v>0</v>
          </cell>
          <cell r="DL614">
            <v>0</v>
          </cell>
          <cell r="DM614">
            <v>3</v>
          </cell>
          <cell r="DN614">
            <v>4</v>
          </cell>
          <cell r="DO614" t="str">
            <v/>
          </cell>
          <cell r="DP614">
            <v>0</v>
          </cell>
          <cell r="DQ614">
            <v>0</v>
          </cell>
          <cell r="DR614">
            <v>4</v>
          </cell>
          <cell r="DS614">
            <v>4</v>
          </cell>
          <cell r="DT614" t="str">
            <v/>
          </cell>
          <cell r="DU614">
            <v>0</v>
          </cell>
          <cell r="DV614">
            <v>0</v>
          </cell>
          <cell r="DW614">
            <v>4</v>
          </cell>
          <cell r="DX614">
            <v>4</v>
          </cell>
          <cell r="DY614" t="str">
            <v/>
          </cell>
          <cell r="DZ614">
            <v>0</v>
          </cell>
          <cell r="EA614">
            <v>0</v>
          </cell>
          <cell r="EB614">
            <v>4</v>
          </cell>
          <cell r="EC614">
            <v>4</v>
          </cell>
          <cell r="ED614" t="str">
            <v/>
          </cell>
          <cell r="EE614">
            <v>0</v>
          </cell>
          <cell r="EF614">
            <v>0</v>
          </cell>
          <cell r="EG614">
            <v>4</v>
          </cell>
          <cell r="EH614">
            <v>4</v>
          </cell>
          <cell r="EI614" t="str">
            <v/>
          </cell>
          <cell r="EJ614">
            <v>0</v>
          </cell>
          <cell r="EK614">
            <v>0</v>
          </cell>
          <cell r="EL614">
            <v>4</v>
          </cell>
          <cell r="EM614">
            <v>4</v>
          </cell>
          <cell r="EN614" t="str">
            <v/>
          </cell>
          <cell r="EO614">
            <v>0</v>
          </cell>
          <cell r="EP614">
            <v>0</v>
          </cell>
          <cell r="EQ614">
            <v>4</v>
          </cell>
          <cell r="ER614">
            <v>4</v>
          </cell>
          <cell r="ES614" t="str">
            <v/>
          </cell>
          <cell r="ET614">
            <v>0</v>
          </cell>
          <cell r="EU614">
            <v>0</v>
          </cell>
          <cell r="EV614">
            <v>4</v>
          </cell>
          <cell r="EW614">
            <v>4</v>
          </cell>
          <cell r="EX614" t="str">
            <v/>
          </cell>
          <cell r="EY614">
            <v>0</v>
          </cell>
          <cell r="EZ614">
            <v>0</v>
          </cell>
          <cell r="FA614">
            <v>4</v>
          </cell>
          <cell r="FB614">
            <v>4</v>
          </cell>
          <cell r="FC614" t="str">
            <v/>
          </cell>
          <cell r="FD614">
            <v>0</v>
          </cell>
          <cell r="FE614">
            <v>0</v>
          </cell>
          <cell r="FF614">
            <v>4</v>
          </cell>
          <cell r="FG614">
            <v>4</v>
          </cell>
          <cell r="FH614" t="str">
            <v/>
          </cell>
          <cell r="FI614">
            <v>0</v>
          </cell>
          <cell r="FJ614">
            <v>0</v>
          </cell>
          <cell r="FK614">
            <v>4</v>
          </cell>
          <cell r="FL614">
            <v>4</v>
          </cell>
          <cell r="FM614" t="str">
            <v/>
          </cell>
          <cell r="FN614">
            <v>0</v>
          </cell>
          <cell r="FO614">
            <v>0</v>
          </cell>
          <cell r="FP614">
            <v>4</v>
          </cell>
          <cell r="FQ614">
            <v>4</v>
          </cell>
          <cell r="FR614" t="str">
            <v/>
          </cell>
          <cell r="FS614">
            <v>0</v>
          </cell>
          <cell r="FT614">
            <v>0</v>
          </cell>
          <cell r="FU614">
            <v>2.0333333333333332</v>
          </cell>
          <cell r="FW614" t="str">
            <v>STOCK OK</v>
          </cell>
          <cell r="FX614" t="str">
            <v>NUEVO</v>
          </cell>
          <cell r="FY614" t="str">
            <v>Si</v>
          </cell>
        </row>
        <row r="615">
          <cell r="B615" t="str">
            <v>REP-0634</v>
          </cell>
          <cell r="C615" t="str">
            <v>MIX</v>
          </cell>
          <cell r="E615">
            <v>4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4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BQ615">
            <v>69</v>
          </cell>
          <cell r="BR615" t="str">
            <v/>
          </cell>
          <cell r="BS615">
            <v>0</v>
          </cell>
          <cell r="BT615">
            <v>4</v>
          </cell>
          <cell r="CJ615">
            <v>0</v>
          </cell>
          <cell r="CL615">
            <v>0</v>
          </cell>
          <cell r="CM615">
            <v>0</v>
          </cell>
          <cell r="CN615">
            <v>7</v>
          </cell>
          <cell r="CO615">
            <v>68</v>
          </cell>
          <cell r="CP615">
            <v>10.133333333333301</v>
          </cell>
          <cell r="CQ615">
            <v>0</v>
          </cell>
          <cell r="CR615">
            <v>0</v>
          </cell>
          <cell r="CS615">
            <v>47</v>
          </cell>
          <cell r="CT615">
            <v>54</v>
          </cell>
          <cell r="CU615">
            <v>10.695652173913</v>
          </cell>
          <cell r="CV615" t="e">
            <v>#N/A</v>
          </cell>
          <cell r="CY615">
            <v>4</v>
          </cell>
          <cell r="CZ615" t="str">
            <v/>
          </cell>
          <cell r="DA615">
            <v>0</v>
          </cell>
          <cell r="DB615">
            <v>0</v>
          </cell>
          <cell r="DC615">
            <v>4</v>
          </cell>
          <cell r="DD615">
            <v>4</v>
          </cell>
          <cell r="DE615" t="str">
            <v/>
          </cell>
          <cell r="DF615">
            <v>0</v>
          </cell>
          <cell r="DG615">
            <v>0</v>
          </cell>
          <cell r="DH615">
            <v>4</v>
          </cell>
          <cell r="DI615">
            <v>4</v>
          </cell>
          <cell r="DJ615" t="str">
            <v/>
          </cell>
          <cell r="DK615">
            <v>0</v>
          </cell>
          <cell r="DL615">
            <v>0</v>
          </cell>
          <cell r="DM615">
            <v>4</v>
          </cell>
          <cell r="DN615">
            <v>4</v>
          </cell>
          <cell r="DO615" t="str">
            <v/>
          </cell>
          <cell r="DP615">
            <v>0</v>
          </cell>
          <cell r="DQ615">
            <v>0</v>
          </cell>
          <cell r="DR615">
            <v>4</v>
          </cell>
          <cell r="DS615">
            <v>4</v>
          </cell>
          <cell r="DT615" t="str">
            <v/>
          </cell>
          <cell r="DU615">
            <v>0</v>
          </cell>
          <cell r="DV615">
            <v>0</v>
          </cell>
          <cell r="DW615">
            <v>4</v>
          </cell>
          <cell r="DX615">
            <v>4</v>
          </cell>
          <cell r="DY615" t="str">
            <v/>
          </cell>
          <cell r="DZ615">
            <v>0</v>
          </cell>
          <cell r="EA615">
            <v>0</v>
          </cell>
          <cell r="EB615">
            <v>4</v>
          </cell>
          <cell r="EC615">
            <v>4</v>
          </cell>
          <cell r="ED615" t="str">
            <v/>
          </cell>
          <cell r="EE615">
            <v>0</v>
          </cell>
          <cell r="EF615">
            <v>0</v>
          </cell>
          <cell r="EG615">
            <v>4</v>
          </cell>
          <cell r="EH615">
            <v>4</v>
          </cell>
          <cell r="EI615" t="str">
            <v/>
          </cell>
          <cell r="EJ615">
            <v>0</v>
          </cell>
          <cell r="EK615">
            <v>0</v>
          </cell>
          <cell r="EL615">
            <v>4</v>
          </cell>
          <cell r="EM615">
            <v>4</v>
          </cell>
          <cell r="EN615" t="str">
            <v/>
          </cell>
          <cell r="EO615">
            <v>0</v>
          </cell>
          <cell r="EP615">
            <v>0</v>
          </cell>
          <cell r="EQ615">
            <v>4</v>
          </cell>
          <cell r="ER615">
            <v>4</v>
          </cell>
          <cell r="ES615" t="str">
            <v/>
          </cell>
          <cell r="ET615">
            <v>0</v>
          </cell>
          <cell r="EU615">
            <v>0</v>
          </cell>
          <cell r="EV615">
            <v>4</v>
          </cell>
          <cell r="EW615">
            <v>4</v>
          </cell>
          <cell r="EX615" t="str">
            <v/>
          </cell>
          <cell r="EY615">
            <v>0</v>
          </cell>
          <cell r="EZ615">
            <v>0</v>
          </cell>
          <cell r="FA615">
            <v>4</v>
          </cell>
          <cell r="FB615">
            <v>4</v>
          </cell>
          <cell r="FC615" t="str">
            <v/>
          </cell>
          <cell r="FD615">
            <v>0</v>
          </cell>
          <cell r="FE615">
            <v>0</v>
          </cell>
          <cell r="FF615">
            <v>4</v>
          </cell>
          <cell r="FG615">
            <v>4</v>
          </cell>
          <cell r="FH615" t="str">
            <v/>
          </cell>
          <cell r="FI615">
            <v>0</v>
          </cell>
          <cell r="FJ615">
            <v>0</v>
          </cell>
          <cell r="FK615">
            <v>4</v>
          </cell>
          <cell r="FL615">
            <v>4</v>
          </cell>
          <cell r="FM615" t="str">
            <v/>
          </cell>
          <cell r="FN615">
            <v>0</v>
          </cell>
          <cell r="FO615">
            <v>0</v>
          </cell>
          <cell r="FP615">
            <v>4</v>
          </cell>
          <cell r="FQ615">
            <v>4</v>
          </cell>
          <cell r="FR615" t="str">
            <v/>
          </cell>
          <cell r="FS615">
            <v>0</v>
          </cell>
          <cell r="FT615">
            <v>0</v>
          </cell>
          <cell r="FU615">
            <v>2.0333333333333332</v>
          </cell>
          <cell r="FW615" t="str">
            <v>STOCK OK</v>
          </cell>
          <cell r="FX615" t="str">
            <v>NUEVO</v>
          </cell>
          <cell r="FY615" t="str">
            <v>Si</v>
          </cell>
        </row>
        <row r="616">
          <cell r="B616" t="str">
            <v>REP-0635</v>
          </cell>
          <cell r="C616" t="str">
            <v>MIX</v>
          </cell>
          <cell r="E616">
            <v>8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8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BQ616">
            <v>70</v>
          </cell>
          <cell r="BR616" t="str">
            <v/>
          </cell>
          <cell r="BS616">
            <v>0</v>
          </cell>
          <cell r="BT616">
            <v>4</v>
          </cell>
          <cell r="CJ616">
            <v>0</v>
          </cell>
          <cell r="CL616">
            <v>0</v>
          </cell>
          <cell r="CM616">
            <v>0</v>
          </cell>
          <cell r="CN616">
            <v>8</v>
          </cell>
          <cell r="CO616">
            <v>69</v>
          </cell>
          <cell r="CP616">
            <v>11.133333333333301</v>
          </cell>
          <cell r="CQ616">
            <v>0</v>
          </cell>
          <cell r="CR616">
            <v>0</v>
          </cell>
          <cell r="CS616">
            <v>47</v>
          </cell>
          <cell r="CT616">
            <v>54</v>
          </cell>
          <cell r="CU616">
            <v>11.695652173913</v>
          </cell>
          <cell r="CV616" t="e">
            <v>#N/A</v>
          </cell>
          <cell r="CY616">
            <v>8</v>
          </cell>
          <cell r="CZ616" t="str">
            <v/>
          </cell>
          <cell r="DA616">
            <v>0</v>
          </cell>
          <cell r="DB616">
            <v>0</v>
          </cell>
          <cell r="DC616">
            <v>8</v>
          </cell>
          <cell r="DD616">
            <v>8</v>
          </cell>
          <cell r="DE616" t="str">
            <v/>
          </cell>
          <cell r="DF616">
            <v>0</v>
          </cell>
          <cell r="DG616">
            <v>0</v>
          </cell>
          <cell r="DH616">
            <v>8</v>
          </cell>
          <cell r="DI616">
            <v>8</v>
          </cell>
          <cell r="DJ616" t="str">
            <v/>
          </cell>
          <cell r="DK616">
            <v>0</v>
          </cell>
          <cell r="DL616">
            <v>0</v>
          </cell>
          <cell r="DM616">
            <v>8</v>
          </cell>
          <cell r="DN616">
            <v>8</v>
          </cell>
          <cell r="DO616" t="str">
            <v/>
          </cell>
          <cell r="DP616">
            <v>0</v>
          </cell>
          <cell r="DQ616">
            <v>0</v>
          </cell>
          <cell r="DR616">
            <v>8</v>
          </cell>
          <cell r="DS616">
            <v>8</v>
          </cell>
          <cell r="DT616" t="str">
            <v/>
          </cell>
          <cell r="DU616">
            <v>0</v>
          </cell>
          <cell r="DV616">
            <v>0</v>
          </cell>
          <cell r="DW616">
            <v>8</v>
          </cell>
          <cell r="DX616">
            <v>8</v>
          </cell>
          <cell r="DY616" t="str">
            <v/>
          </cell>
          <cell r="DZ616">
            <v>0</v>
          </cell>
          <cell r="EA616">
            <v>0</v>
          </cell>
          <cell r="EB616">
            <v>8</v>
          </cell>
          <cell r="EC616">
            <v>8</v>
          </cell>
          <cell r="ED616" t="str">
            <v/>
          </cell>
          <cell r="EE616">
            <v>0</v>
          </cell>
          <cell r="EF616">
            <v>0</v>
          </cell>
          <cell r="EG616">
            <v>8</v>
          </cell>
          <cell r="EH616">
            <v>8</v>
          </cell>
          <cell r="EI616" t="str">
            <v/>
          </cell>
          <cell r="EJ616">
            <v>0</v>
          </cell>
          <cell r="EK616">
            <v>0</v>
          </cell>
          <cell r="EL616">
            <v>8</v>
          </cell>
          <cell r="EM616">
            <v>8</v>
          </cell>
          <cell r="EN616" t="str">
            <v/>
          </cell>
          <cell r="EO616">
            <v>0</v>
          </cell>
          <cell r="EP616">
            <v>0</v>
          </cell>
          <cell r="EQ616">
            <v>8</v>
          </cell>
          <cell r="ER616">
            <v>8</v>
          </cell>
          <cell r="ES616" t="str">
            <v/>
          </cell>
          <cell r="ET616">
            <v>0</v>
          </cell>
          <cell r="EU616">
            <v>0</v>
          </cell>
          <cell r="EV616">
            <v>8</v>
          </cell>
          <cell r="EW616">
            <v>8</v>
          </cell>
          <cell r="EX616" t="str">
            <v/>
          </cell>
          <cell r="EY616">
            <v>0</v>
          </cell>
          <cell r="EZ616">
            <v>0</v>
          </cell>
          <cell r="FA616">
            <v>8</v>
          </cell>
          <cell r="FB616">
            <v>8</v>
          </cell>
          <cell r="FC616" t="str">
            <v/>
          </cell>
          <cell r="FD616">
            <v>0</v>
          </cell>
          <cell r="FE616">
            <v>0</v>
          </cell>
          <cell r="FF616">
            <v>8</v>
          </cell>
          <cell r="FG616">
            <v>8</v>
          </cell>
          <cell r="FH616" t="str">
            <v/>
          </cell>
          <cell r="FI616">
            <v>0</v>
          </cell>
          <cell r="FJ616">
            <v>0</v>
          </cell>
          <cell r="FK616">
            <v>8</v>
          </cell>
          <cell r="FL616">
            <v>8</v>
          </cell>
          <cell r="FM616" t="str">
            <v/>
          </cell>
          <cell r="FN616">
            <v>0</v>
          </cell>
          <cell r="FO616">
            <v>0</v>
          </cell>
          <cell r="FP616">
            <v>8</v>
          </cell>
          <cell r="FQ616">
            <v>8</v>
          </cell>
          <cell r="FR616" t="str">
            <v/>
          </cell>
          <cell r="FS616">
            <v>0</v>
          </cell>
          <cell r="FT616">
            <v>0</v>
          </cell>
          <cell r="FU616">
            <v>2.0333333333333332</v>
          </cell>
          <cell r="FW616" t="str">
            <v>STOCK OK</v>
          </cell>
          <cell r="FX616" t="str">
            <v>NUEVO</v>
          </cell>
          <cell r="FY616" t="str">
            <v>Si</v>
          </cell>
        </row>
        <row r="617">
          <cell r="B617" t="str">
            <v>REP-0636</v>
          </cell>
          <cell r="C617" t="str">
            <v>MIX</v>
          </cell>
          <cell r="E617">
            <v>4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4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BQ617">
            <v>71</v>
          </cell>
          <cell r="BR617" t="str">
            <v/>
          </cell>
          <cell r="BS617">
            <v>0</v>
          </cell>
          <cell r="BT617">
            <v>4</v>
          </cell>
          <cell r="CJ617">
            <v>0</v>
          </cell>
          <cell r="CL617">
            <v>0</v>
          </cell>
          <cell r="CM617">
            <v>0</v>
          </cell>
          <cell r="CN617">
            <v>9</v>
          </cell>
          <cell r="CO617">
            <v>70</v>
          </cell>
          <cell r="CP617">
            <v>12.133333333333301</v>
          </cell>
          <cell r="CQ617">
            <v>0</v>
          </cell>
          <cell r="CR617">
            <v>0</v>
          </cell>
          <cell r="CS617">
            <v>47</v>
          </cell>
          <cell r="CT617">
            <v>54</v>
          </cell>
          <cell r="CU617">
            <v>12.695652173913</v>
          </cell>
          <cell r="CV617" t="e">
            <v>#N/A</v>
          </cell>
          <cell r="CY617">
            <v>4</v>
          </cell>
          <cell r="CZ617" t="str">
            <v/>
          </cell>
          <cell r="DA617">
            <v>0</v>
          </cell>
          <cell r="DB617">
            <v>0</v>
          </cell>
          <cell r="DC617">
            <v>4</v>
          </cell>
          <cell r="DD617">
            <v>4</v>
          </cell>
          <cell r="DE617" t="str">
            <v/>
          </cell>
          <cell r="DF617">
            <v>0</v>
          </cell>
          <cell r="DG617">
            <v>0</v>
          </cell>
          <cell r="DH617">
            <v>4</v>
          </cell>
          <cell r="DI617">
            <v>4</v>
          </cell>
          <cell r="DJ617" t="str">
            <v/>
          </cell>
          <cell r="DK617">
            <v>0</v>
          </cell>
          <cell r="DL617">
            <v>0</v>
          </cell>
          <cell r="DM617">
            <v>4</v>
          </cell>
          <cell r="DN617">
            <v>4</v>
          </cell>
          <cell r="DO617" t="str">
            <v/>
          </cell>
          <cell r="DP617">
            <v>0</v>
          </cell>
          <cell r="DQ617">
            <v>0</v>
          </cell>
          <cell r="DR617">
            <v>4</v>
          </cell>
          <cell r="DS617">
            <v>4</v>
          </cell>
          <cell r="DT617" t="str">
            <v/>
          </cell>
          <cell r="DU617">
            <v>0</v>
          </cell>
          <cell r="DV617">
            <v>0</v>
          </cell>
          <cell r="DW617">
            <v>4</v>
          </cell>
          <cell r="DX617">
            <v>4</v>
          </cell>
          <cell r="DY617" t="str">
            <v/>
          </cell>
          <cell r="DZ617">
            <v>0</v>
          </cell>
          <cell r="EA617">
            <v>0</v>
          </cell>
          <cell r="EB617">
            <v>4</v>
          </cell>
          <cell r="EC617">
            <v>4</v>
          </cell>
          <cell r="ED617" t="str">
            <v/>
          </cell>
          <cell r="EE617">
            <v>0</v>
          </cell>
          <cell r="EF617">
            <v>0</v>
          </cell>
          <cell r="EG617">
            <v>4</v>
          </cell>
          <cell r="EH617">
            <v>4</v>
          </cell>
          <cell r="EI617" t="str">
            <v/>
          </cell>
          <cell r="EJ617">
            <v>0</v>
          </cell>
          <cell r="EK617">
            <v>0</v>
          </cell>
          <cell r="EL617">
            <v>4</v>
          </cell>
          <cell r="EM617">
            <v>4</v>
          </cell>
          <cell r="EN617" t="str">
            <v/>
          </cell>
          <cell r="EO617">
            <v>0</v>
          </cell>
          <cell r="EP617">
            <v>0</v>
          </cell>
          <cell r="EQ617">
            <v>4</v>
          </cell>
          <cell r="ER617">
            <v>4</v>
          </cell>
          <cell r="ES617" t="str">
            <v/>
          </cell>
          <cell r="ET617">
            <v>0</v>
          </cell>
          <cell r="EU617">
            <v>0</v>
          </cell>
          <cell r="EV617">
            <v>4</v>
          </cell>
          <cell r="EW617">
            <v>4</v>
          </cell>
          <cell r="EX617" t="str">
            <v/>
          </cell>
          <cell r="EY617">
            <v>0</v>
          </cell>
          <cell r="EZ617">
            <v>0</v>
          </cell>
          <cell r="FA617">
            <v>4</v>
          </cell>
          <cell r="FB617">
            <v>4</v>
          </cell>
          <cell r="FC617" t="str">
            <v/>
          </cell>
          <cell r="FD617">
            <v>0</v>
          </cell>
          <cell r="FE617">
            <v>0</v>
          </cell>
          <cell r="FF617">
            <v>4</v>
          </cell>
          <cell r="FG617">
            <v>4</v>
          </cell>
          <cell r="FH617" t="str">
            <v/>
          </cell>
          <cell r="FI617">
            <v>0</v>
          </cell>
          <cell r="FJ617">
            <v>0</v>
          </cell>
          <cell r="FK617">
            <v>4</v>
          </cell>
          <cell r="FL617">
            <v>4</v>
          </cell>
          <cell r="FM617" t="str">
            <v/>
          </cell>
          <cell r="FN617">
            <v>0</v>
          </cell>
          <cell r="FO617">
            <v>0</v>
          </cell>
          <cell r="FP617">
            <v>4</v>
          </cell>
          <cell r="FQ617">
            <v>4</v>
          </cell>
          <cell r="FR617" t="str">
            <v/>
          </cell>
          <cell r="FS617">
            <v>0</v>
          </cell>
          <cell r="FT617">
            <v>0</v>
          </cell>
          <cell r="FU617">
            <v>2.0333333333333332</v>
          </cell>
          <cell r="FW617" t="str">
            <v>STOCK OK</v>
          </cell>
          <cell r="FX617" t="str">
            <v>NUEVO</v>
          </cell>
          <cell r="FY617" t="str">
            <v>Si</v>
          </cell>
        </row>
        <row r="618">
          <cell r="B618" t="str">
            <v>REP-0637</v>
          </cell>
          <cell r="C618" t="str">
            <v>MIX</v>
          </cell>
          <cell r="E618">
            <v>8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8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BQ618">
            <v>72</v>
          </cell>
          <cell r="BR618" t="str">
            <v/>
          </cell>
          <cell r="BS618">
            <v>0</v>
          </cell>
          <cell r="BT618">
            <v>4</v>
          </cell>
          <cell r="CJ618">
            <v>0</v>
          </cell>
          <cell r="CL618">
            <v>0</v>
          </cell>
          <cell r="CM618">
            <v>0</v>
          </cell>
          <cell r="CN618">
            <v>10</v>
          </cell>
          <cell r="CO618">
            <v>71</v>
          </cell>
          <cell r="CP618">
            <v>13.133333333333301</v>
          </cell>
          <cell r="CQ618">
            <v>0</v>
          </cell>
          <cell r="CR618">
            <v>0</v>
          </cell>
          <cell r="CS618">
            <v>47</v>
          </cell>
          <cell r="CT618">
            <v>54</v>
          </cell>
          <cell r="CU618">
            <v>13.695652173913</v>
          </cell>
          <cell r="CV618" t="e">
            <v>#N/A</v>
          </cell>
          <cell r="CY618">
            <v>8</v>
          </cell>
          <cell r="CZ618" t="str">
            <v/>
          </cell>
          <cell r="DA618">
            <v>0</v>
          </cell>
          <cell r="DB618">
            <v>0</v>
          </cell>
          <cell r="DC618">
            <v>8</v>
          </cell>
          <cell r="DD618">
            <v>8</v>
          </cell>
          <cell r="DE618" t="str">
            <v/>
          </cell>
          <cell r="DF618">
            <v>0</v>
          </cell>
          <cell r="DG618">
            <v>0</v>
          </cell>
          <cell r="DH618">
            <v>8</v>
          </cell>
          <cell r="DI618">
            <v>8</v>
          </cell>
          <cell r="DJ618" t="str">
            <v/>
          </cell>
          <cell r="DK618">
            <v>0</v>
          </cell>
          <cell r="DL618">
            <v>0</v>
          </cell>
          <cell r="DM618">
            <v>8</v>
          </cell>
          <cell r="DN618">
            <v>8</v>
          </cell>
          <cell r="DO618" t="str">
            <v/>
          </cell>
          <cell r="DP618">
            <v>0</v>
          </cell>
          <cell r="DQ618">
            <v>0</v>
          </cell>
          <cell r="DR618">
            <v>8</v>
          </cell>
          <cell r="DS618">
            <v>8</v>
          </cell>
          <cell r="DT618" t="str">
            <v/>
          </cell>
          <cell r="DU618">
            <v>0</v>
          </cell>
          <cell r="DV618">
            <v>0</v>
          </cell>
          <cell r="DW618">
            <v>8</v>
          </cell>
          <cell r="DX618">
            <v>8</v>
          </cell>
          <cell r="DY618" t="str">
            <v/>
          </cell>
          <cell r="DZ618">
            <v>0</v>
          </cell>
          <cell r="EA618">
            <v>0</v>
          </cell>
          <cell r="EB618">
            <v>8</v>
          </cell>
          <cell r="EC618">
            <v>8</v>
          </cell>
          <cell r="ED618" t="str">
            <v/>
          </cell>
          <cell r="EE618">
            <v>0</v>
          </cell>
          <cell r="EF618">
            <v>0</v>
          </cell>
          <cell r="EG618">
            <v>8</v>
          </cell>
          <cell r="EH618">
            <v>8</v>
          </cell>
          <cell r="EI618" t="str">
            <v/>
          </cell>
          <cell r="EJ618">
            <v>0</v>
          </cell>
          <cell r="EK618">
            <v>0</v>
          </cell>
          <cell r="EL618">
            <v>8</v>
          </cell>
          <cell r="EM618">
            <v>8</v>
          </cell>
          <cell r="EN618" t="str">
            <v/>
          </cell>
          <cell r="EO618">
            <v>0</v>
          </cell>
          <cell r="EP618">
            <v>0</v>
          </cell>
          <cell r="EQ618">
            <v>8</v>
          </cell>
          <cell r="ER618">
            <v>8</v>
          </cell>
          <cell r="ES618" t="str">
            <v/>
          </cell>
          <cell r="ET618">
            <v>0</v>
          </cell>
          <cell r="EU618">
            <v>0</v>
          </cell>
          <cell r="EV618">
            <v>8</v>
          </cell>
          <cell r="EW618">
            <v>8</v>
          </cell>
          <cell r="EX618" t="str">
            <v/>
          </cell>
          <cell r="EY618">
            <v>0</v>
          </cell>
          <cell r="EZ618">
            <v>0</v>
          </cell>
          <cell r="FA618">
            <v>8</v>
          </cell>
          <cell r="FB618">
            <v>8</v>
          </cell>
          <cell r="FC618" t="str">
            <v/>
          </cell>
          <cell r="FD618">
            <v>0</v>
          </cell>
          <cell r="FE618">
            <v>0</v>
          </cell>
          <cell r="FF618">
            <v>8</v>
          </cell>
          <cell r="FG618">
            <v>8</v>
          </cell>
          <cell r="FH618" t="str">
            <v/>
          </cell>
          <cell r="FI618">
            <v>0</v>
          </cell>
          <cell r="FJ618">
            <v>0</v>
          </cell>
          <cell r="FK618">
            <v>8</v>
          </cell>
          <cell r="FL618">
            <v>8</v>
          </cell>
          <cell r="FM618" t="str">
            <v/>
          </cell>
          <cell r="FN618">
            <v>0</v>
          </cell>
          <cell r="FO618">
            <v>0</v>
          </cell>
          <cell r="FP618">
            <v>8</v>
          </cell>
          <cell r="FQ618">
            <v>8</v>
          </cell>
          <cell r="FR618" t="str">
            <v/>
          </cell>
          <cell r="FS618">
            <v>0</v>
          </cell>
          <cell r="FT618">
            <v>0</v>
          </cell>
          <cell r="FU618">
            <v>2.0333333333333332</v>
          </cell>
          <cell r="FW618" t="str">
            <v>STOCK OK</v>
          </cell>
          <cell r="FX618" t="str">
            <v>NUEVO</v>
          </cell>
          <cell r="FY618" t="str">
            <v>Si</v>
          </cell>
        </row>
        <row r="619">
          <cell r="B619" t="str">
            <v>REP-0638</v>
          </cell>
          <cell r="C619" t="str">
            <v>MIX</v>
          </cell>
          <cell r="E619">
            <v>4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4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BQ619">
            <v>73</v>
          </cell>
          <cell r="BR619" t="str">
            <v/>
          </cell>
          <cell r="BS619">
            <v>0</v>
          </cell>
          <cell r="BT619">
            <v>4</v>
          </cell>
          <cell r="CJ619">
            <v>0</v>
          </cell>
          <cell r="CL619">
            <v>0</v>
          </cell>
          <cell r="CM619">
            <v>0</v>
          </cell>
          <cell r="CN619">
            <v>11</v>
          </cell>
          <cell r="CO619">
            <v>72</v>
          </cell>
          <cell r="CP619">
            <v>14.133333333333301</v>
          </cell>
          <cell r="CQ619">
            <v>0</v>
          </cell>
          <cell r="CR619">
            <v>0</v>
          </cell>
          <cell r="CS619">
            <v>47</v>
          </cell>
          <cell r="CT619">
            <v>54</v>
          </cell>
          <cell r="CU619">
            <v>14.695652173913</v>
          </cell>
          <cell r="CV619" t="e">
            <v>#N/A</v>
          </cell>
          <cell r="CY619">
            <v>4</v>
          </cell>
          <cell r="CZ619" t="str">
            <v/>
          </cell>
          <cell r="DA619">
            <v>0</v>
          </cell>
          <cell r="DB619">
            <v>0</v>
          </cell>
          <cell r="DC619">
            <v>4</v>
          </cell>
          <cell r="DD619">
            <v>4</v>
          </cell>
          <cell r="DE619" t="str">
            <v/>
          </cell>
          <cell r="DF619">
            <v>0</v>
          </cell>
          <cell r="DG619">
            <v>0</v>
          </cell>
          <cell r="DH619">
            <v>4</v>
          </cell>
          <cell r="DI619">
            <v>4</v>
          </cell>
          <cell r="DJ619" t="str">
            <v/>
          </cell>
          <cell r="DK619">
            <v>0</v>
          </cell>
          <cell r="DL619">
            <v>0</v>
          </cell>
          <cell r="DM619">
            <v>4</v>
          </cell>
          <cell r="DN619">
            <v>4</v>
          </cell>
          <cell r="DO619" t="str">
            <v/>
          </cell>
          <cell r="DP619">
            <v>0</v>
          </cell>
          <cell r="DQ619">
            <v>0</v>
          </cell>
          <cell r="DR619">
            <v>4</v>
          </cell>
          <cell r="DS619">
            <v>4</v>
          </cell>
          <cell r="DT619" t="str">
            <v/>
          </cell>
          <cell r="DU619">
            <v>0</v>
          </cell>
          <cell r="DV619">
            <v>0</v>
          </cell>
          <cell r="DW619">
            <v>4</v>
          </cell>
          <cell r="DX619">
            <v>4</v>
          </cell>
          <cell r="DY619" t="str">
            <v/>
          </cell>
          <cell r="DZ619">
            <v>0</v>
          </cell>
          <cell r="EA619">
            <v>0</v>
          </cell>
          <cell r="EB619">
            <v>4</v>
          </cell>
          <cell r="EC619">
            <v>4</v>
          </cell>
          <cell r="ED619" t="str">
            <v/>
          </cell>
          <cell r="EE619">
            <v>0</v>
          </cell>
          <cell r="EF619">
            <v>0</v>
          </cell>
          <cell r="EG619">
            <v>4</v>
          </cell>
          <cell r="EH619">
            <v>4</v>
          </cell>
          <cell r="EI619" t="str">
            <v/>
          </cell>
          <cell r="EJ619">
            <v>0</v>
          </cell>
          <cell r="EK619">
            <v>0</v>
          </cell>
          <cell r="EL619">
            <v>4</v>
          </cell>
          <cell r="EM619">
            <v>4</v>
          </cell>
          <cell r="EN619" t="str">
            <v/>
          </cell>
          <cell r="EO619">
            <v>0</v>
          </cell>
          <cell r="EP619">
            <v>0</v>
          </cell>
          <cell r="EQ619">
            <v>4</v>
          </cell>
          <cell r="ER619">
            <v>4</v>
          </cell>
          <cell r="ES619" t="str">
            <v/>
          </cell>
          <cell r="ET619">
            <v>0</v>
          </cell>
          <cell r="EU619">
            <v>0</v>
          </cell>
          <cell r="EV619">
            <v>4</v>
          </cell>
          <cell r="EW619">
            <v>4</v>
          </cell>
          <cell r="EX619" t="str">
            <v/>
          </cell>
          <cell r="EY619">
            <v>0</v>
          </cell>
          <cell r="EZ619">
            <v>0</v>
          </cell>
          <cell r="FA619">
            <v>4</v>
          </cell>
          <cell r="FB619">
            <v>4</v>
          </cell>
          <cell r="FC619" t="str">
            <v/>
          </cell>
          <cell r="FD619">
            <v>0</v>
          </cell>
          <cell r="FE619">
            <v>0</v>
          </cell>
          <cell r="FF619">
            <v>4</v>
          </cell>
          <cell r="FG619">
            <v>4</v>
          </cell>
          <cell r="FH619" t="str">
            <v/>
          </cell>
          <cell r="FI619">
            <v>0</v>
          </cell>
          <cell r="FJ619">
            <v>0</v>
          </cell>
          <cell r="FK619">
            <v>4</v>
          </cell>
          <cell r="FL619">
            <v>4</v>
          </cell>
          <cell r="FM619" t="str">
            <v/>
          </cell>
          <cell r="FN619">
            <v>0</v>
          </cell>
          <cell r="FO619">
            <v>0</v>
          </cell>
          <cell r="FP619">
            <v>4</v>
          </cell>
          <cell r="FQ619">
            <v>4</v>
          </cell>
          <cell r="FR619" t="str">
            <v/>
          </cell>
          <cell r="FS619">
            <v>0</v>
          </cell>
          <cell r="FT619">
            <v>0</v>
          </cell>
          <cell r="FU619">
            <v>2.0333333333333332</v>
          </cell>
          <cell r="FW619" t="str">
            <v>STOCK OK</v>
          </cell>
          <cell r="FX619" t="str">
            <v>NUEVO</v>
          </cell>
          <cell r="FY619" t="str">
            <v>Si</v>
          </cell>
        </row>
        <row r="620">
          <cell r="B620" t="str">
            <v>REP-0639</v>
          </cell>
          <cell r="C620" t="str">
            <v>MIX</v>
          </cell>
          <cell r="E620">
            <v>8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8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BQ620">
            <v>74</v>
          </cell>
          <cell r="BR620" t="str">
            <v/>
          </cell>
          <cell r="BS620">
            <v>0</v>
          </cell>
          <cell r="BT620">
            <v>4</v>
          </cell>
          <cell r="CJ620">
            <v>0</v>
          </cell>
          <cell r="CL620">
            <v>0</v>
          </cell>
          <cell r="CM620">
            <v>0</v>
          </cell>
          <cell r="CN620">
            <v>12</v>
          </cell>
          <cell r="CO620">
            <v>73</v>
          </cell>
          <cell r="CP620">
            <v>15.133333333333301</v>
          </cell>
          <cell r="CQ620">
            <v>0</v>
          </cell>
          <cell r="CR620">
            <v>0</v>
          </cell>
          <cell r="CS620">
            <v>47</v>
          </cell>
          <cell r="CT620">
            <v>54</v>
          </cell>
          <cell r="CU620">
            <v>15.695652173913</v>
          </cell>
          <cell r="CV620" t="e">
            <v>#N/A</v>
          </cell>
          <cell r="CY620">
            <v>8</v>
          </cell>
          <cell r="CZ620" t="str">
            <v/>
          </cell>
          <cell r="DA620">
            <v>0</v>
          </cell>
          <cell r="DB620">
            <v>0</v>
          </cell>
          <cell r="DC620">
            <v>8</v>
          </cell>
          <cell r="DD620">
            <v>8</v>
          </cell>
          <cell r="DE620" t="str">
            <v/>
          </cell>
          <cell r="DF620">
            <v>0</v>
          </cell>
          <cell r="DG620">
            <v>0</v>
          </cell>
          <cell r="DH620">
            <v>8</v>
          </cell>
          <cell r="DI620">
            <v>8</v>
          </cell>
          <cell r="DJ620" t="str">
            <v/>
          </cell>
          <cell r="DK620">
            <v>0</v>
          </cell>
          <cell r="DL620">
            <v>0</v>
          </cell>
          <cell r="DM620">
            <v>8</v>
          </cell>
          <cell r="DN620">
            <v>8</v>
          </cell>
          <cell r="DO620" t="str">
            <v/>
          </cell>
          <cell r="DP620">
            <v>0</v>
          </cell>
          <cell r="DQ620">
            <v>0</v>
          </cell>
          <cell r="DR620">
            <v>8</v>
          </cell>
          <cell r="DS620">
            <v>8</v>
          </cell>
          <cell r="DT620" t="str">
            <v/>
          </cell>
          <cell r="DU620">
            <v>0</v>
          </cell>
          <cell r="DV620">
            <v>0</v>
          </cell>
          <cell r="DW620">
            <v>8</v>
          </cell>
          <cell r="DX620">
            <v>8</v>
          </cell>
          <cell r="DY620" t="str">
            <v/>
          </cell>
          <cell r="DZ620">
            <v>0</v>
          </cell>
          <cell r="EA620">
            <v>0</v>
          </cell>
          <cell r="EB620">
            <v>8</v>
          </cell>
          <cell r="EC620">
            <v>8</v>
          </cell>
          <cell r="ED620" t="str">
            <v/>
          </cell>
          <cell r="EE620">
            <v>0</v>
          </cell>
          <cell r="EF620">
            <v>0</v>
          </cell>
          <cell r="EG620">
            <v>8</v>
          </cell>
          <cell r="EH620">
            <v>8</v>
          </cell>
          <cell r="EI620" t="str">
            <v/>
          </cell>
          <cell r="EJ620">
            <v>0</v>
          </cell>
          <cell r="EK620">
            <v>0</v>
          </cell>
          <cell r="EL620">
            <v>8</v>
          </cell>
          <cell r="EM620">
            <v>8</v>
          </cell>
          <cell r="EN620" t="str">
            <v/>
          </cell>
          <cell r="EO620">
            <v>0</v>
          </cell>
          <cell r="EP620">
            <v>0</v>
          </cell>
          <cell r="EQ620">
            <v>8</v>
          </cell>
          <cell r="ER620">
            <v>8</v>
          </cell>
          <cell r="ES620" t="str">
            <v/>
          </cell>
          <cell r="ET620">
            <v>0</v>
          </cell>
          <cell r="EU620">
            <v>0</v>
          </cell>
          <cell r="EV620">
            <v>8</v>
          </cell>
          <cell r="EW620">
            <v>8</v>
          </cell>
          <cell r="EX620" t="str">
            <v/>
          </cell>
          <cell r="EY620">
            <v>0</v>
          </cell>
          <cell r="EZ620">
            <v>0</v>
          </cell>
          <cell r="FA620">
            <v>8</v>
          </cell>
          <cell r="FB620">
            <v>8</v>
          </cell>
          <cell r="FC620" t="str">
            <v/>
          </cell>
          <cell r="FD620">
            <v>0</v>
          </cell>
          <cell r="FE620">
            <v>0</v>
          </cell>
          <cell r="FF620">
            <v>8</v>
          </cell>
          <cell r="FG620">
            <v>8</v>
          </cell>
          <cell r="FH620" t="str">
            <v/>
          </cell>
          <cell r="FI620">
            <v>0</v>
          </cell>
          <cell r="FJ620">
            <v>0</v>
          </cell>
          <cell r="FK620">
            <v>8</v>
          </cell>
          <cell r="FL620">
            <v>8</v>
          </cell>
          <cell r="FM620" t="str">
            <v/>
          </cell>
          <cell r="FN620">
            <v>0</v>
          </cell>
          <cell r="FO620">
            <v>0</v>
          </cell>
          <cell r="FP620">
            <v>8</v>
          </cell>
          <cell r="FQ620">
            <v>8</v>
          </cell>
          <cell r="FR620" t="str">
            <v/>
          </cell>
          <cell r="FS620">
            <v>0</v>
          </cell>
          <cell r="FT620">
            <v>0</v>
          </cell>
          <cell r="FU620">
            <v>2.0333333333333332</v>
          </cell>
          <cell r="FW620" t="str">
            <v>STOCK OK</v>
          </cell>
          <cell r="FX620" t="str">
            <v>NUEVO</v>
          </cell>
          <cell r="FY620" t="str">
            <v>Si</v>
          </cell>
        </row>
        <row r="621">
          <cell r="B621" t="str">
            <v>REP-0640</v>
          </cell>
          <cell r="C621" t="str">
            <v>MIX</v>
          </cell>
          <cell r="E621">
            <v>2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BQ621">
            <v>75</v>
          </cell>
          <cell r="BR621" t="str">
            <v/>
          </cell>
          <cell r="BS621">
            <v>0</v>
          </cell>
          <cell r="BT621">
            <v>4</v>
          </cell>
          <cell r="CJ621">
            <v>0</v>
          </cell>
          <cell r="CL621">
            <v>0</v>
          </cell>
          <cell r="CM621">
            <v>0</v>
          </cell>
          <cell r="CN621">
            <v>13</v>
          </cell>
          <cell r="CO621">
            <v>74</v>
          </cell>
          <cell r="CP621">
            <v>16.133333333333301</v>
          </cell>
          <cell r="CQ621">
            <v>0</v>
          </cell>
          <cell r="CR621">
            <v>0</v>
          </cell>
          <cell r="CS621">
            <v>47</v>
          </cell>
          <cell r="CT621">
            <v>54</v>
          </cell>
          <cell r="CU621">
            <v>16.695652173913</v>
          </cell>
          <cell r="CV621" t="e">
            <v>#N/A</v>
          </cell>
          <cell r="CY621">
            <v>2</v>
          </cell>
          <cell r="CZ621" t="str">
            <v/>
          </cell>
          <cell r="DA621">
            <v>0</v>
          </cell>
          <cell r="DB621">
            <v>0</v>
          </cell>
          <cell r="DC621">
            <v>2</v>
          </cell>
          <cell r="DD621">
            <v>2</v>
          </cell>
          <cell r="DE621" t="str">
            <v/>
          </cell>
          <cell r="DF621">
            <v>0</v>
          </cell>
          <cell r="DG621">
            <v>0</v>
          </cell>
          <cell r="DH621">
            <v>2</v>
          </cell>
          <cell r="DI621">
            <v>2</v>
          </cell>
          <cell r="DJ621" t="str">
            <v/>
          </cell>
          <cell r="DK621">
            <v>0</v>
          </cell>
          <cell r="DL621">
            <v>0</v>
          </cell>
          <cell r="DM621">
            <v>2</v>
          </cell>
          <cell r="DN621">
            <v>2</v>
          </cell>
          <cell r="DO621" t="str">
            <v/>
          </cell>
          <cell r="DP621">
            <v>0</v>
          </cell>
          <cell r="DQ621">
            <v>0</v>
          </cell>
          <cell r="DR621">
            <v>2</v>
          </cell>
          <cell r="DS621">
            <v>2</v>
          </cell>
          <cell r="DT621" t="str">
            <v/>
          </cell>
          <cell r="DU621">
            <v>0</v>
          </cell>
          <cell r="DV621">
            <v>0</v>
          </cell>
          <cell r="DW621">
            <v>2</v>
          </cell>
          <cell r="DX621">
            <v>2</v>
          </cell>
          <cell r="DY621" t="str">
            <v/>
          </cell>
          <cell r="DZ621">
            <v>0</v>
          </cell>
          <cell r="EA621">
            <v>0</v>
          </cell>
          <cell r="EB621">
            <v>2</v>
          </cell>
          <cell r="EC621">
            <v>2</v>
          </cell>
          <cell r="ED621" t="str">
            <v/>
          </cell>
          <cell r="EE621">
            <v>0</v>
          </cell>
          <cell r="EF621">
            <v>0</v>
          </cell>
          <cell r="EG621">
            <v>2</v>
          </cell>
          <cell r="EH621">
            <v>2</v>
          </cell>
          <cell r="EI621" t="str">
            <v/>
          </cell>
          <cell r="EJ621">
            <v>0</v>
          </cell>
          <cell r="EK621">
            <v>0</v>
          </cell>
          <cell r="EL621">
            <v>2</v>
          </cell>
          <cell r="EM621">
            <v>2</v>
          </cell>
          <cell r="EN621" t="str">
            <v/>
          </cell>
          <cell r="EO621">
            <v>0</v>
          </cell>
          <cell r="EP621">
            <v>0</v>
          </cell>
          <cell r="EQ621">
            <v>2</v>
          </cell>
          <cell r="ER621">
            <v>2</v>
          </cell>
          <cell r="ES621" t="str">
            <v/>
          </cell>
          <cell r="ET621">
            <v>0</v>
          </cell>
          <cell r="EU621">
            <v>0</v>
          </cell>
          <cell r="EV621">
            <v>2</v>
          </cell>
          <cell r="EW621">
            <v>2</v>
          </cell>
          <cell r="EX621" t="str">
            <v/>
          </cell>
          <cell r="EY621">
            <v>0</v>
          </cell>
          <cell r="EZ621">
            <v>0</v>
          </cell>
          <cell r="FA621">
            <v>2</v>
          </cell>
          <cell r="FB621">
            <v>2</v>
          </cell>
          <cell r="FC621" t="str">
            <v/>
          </cell>
          <cell r="FD621">
            <v>0</v>
          </cell>
          <cell r="FE621">
            <v>0</v>
          </cell>
          <cell r="FF621">
            <v>2</v>
          </cell>
          <cell r="FG621">
            <v>2</v>
          </cell>
          <cell r="FH621" t="str">
            <v/>
          </cell>
          <cell r="FI621">
            <v>0</v>
          </cell>
          <cell r="FJ621">
            <v>0</v>
          </cell>
          <cell r="FK621">
            <v>2</v>
          </cell>
          <cell r="FL621">
            <v>2</v>
          </cell>
          <cell r="FM621" t="str">
            <v/>
          </cell>
          <cell r="FN621">
            <v>0</v>
          </cell>
          <cell r="FO621">
            <v>0</v>
          </cell>
          <cell r="FP621">
            <v>2</v>
          </cell>
          <cell r="FQ621">
            <v>2</v>
          </cell>
          <cell r="FR621" t="str">
            <v/>
          </cell>
          <cell r="FS621">
            <v>0</v>
          </cell>
          <cell r="FT621">
            <v>0</v>
          </cell>
          <cell r="FU621">
            <v>2.0333333333333332</v>
          </cell>
          <cell r="FW621" t="str">
            <v>STOCK OK</v>
          </cell>
          <cell r="FX621" t="str">
            <v>NUEVO</v>
          </cell>
          <cell r="FY621" t="str">
            <v>Si</v>
          </cell>
        </row>
        <row r="622">
          <cell r="B622" t="str">
            <v>REP-0641</v>
          </cell>
          <cell r="C622" t="str">
            <v>MIX</v>
          </cell>
          <cell r="E622">
            <v>4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4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BQ622">
            <v>76</v>
          </cell>
          <cell r="BR622" t="str">
            <v/>
          </cell>
          <cell r="BS622">
            <v>0</v>
          </cell>
          <cell r="BT622">
            <v>4</v>
          </cell>
          <cell r="CJ622">
            <v>0</v>
          </cell>
          <cell r="CL622">
            <v>0</v>
          </cell>
          <cell r="CM622">
            <v>0</v>
          </cell>
          <cell r="CN622">
            <v>14</v>
          </cell>
          <cell r="CO622">
            <v>75</v>
          </cell>
          <cell r="CP622">
            <v>17.133333333333301</v>
          </cell>
          <cell r="CQ622">
            <v>0</v>
          </cell>
          <cell r="CR622">
            <v>0</v>
          </cell>
          <cell r="CS622">
            <v>47</v>
          </cell>
          <cell r="CT622">
            <v>54</v>
          </cell>
          <cell r="CU622">
            <v>17.695652173913</v>
          </cell>
          <cell r="CV622" t="e">
            <v>#N/A</v>
          </cell>
          <cell r="CY622">
            <v>4</v>
          </cell>
          <cell r="CZ622" t="str">
            <v/>
          </cell>
          <cell r="DA622">
            <v>0</v>
          </cell>
          <cell r="DB622">
            <v>0</v>
          </cell>
          <cell r="DC622">
            <v>4</v>
          </cell>
          <cell r="DD622">
            <v>4</v>
          </cell>
          <cell r="DE622" t="str">
            <v/>
          </cell>
          <cell r="DF622">
            <v>0</v>
          </cell>
          <cell r="DG622">
            <v>0</v>
          </cell>
          <cell r="DH622">
            <v>4</v>
          </cell>
          <cell r="DI622">
            <v>4</v>
          </cell>
          <cell r="DJ622" t="str">
            <v/>
          </cell>
          <cell r="DK622">
            <v>0</v>
          </cell>
          <cell r="DL622">
            <v>0</v>
          </cell>
          <cell r="DM622">
            <v>4</v>
          </cell>
          <cell r="DN622">
            <v>4</v>
          </cell>
          <cell r="DO622" t="str">
            <v/>
          </cell>
          <cell r="DP622">
            <v>0</v>
          </cell>
          <cell r="DQ622">
            <v>0</v>
          </cell>
          <cell r="DR622">
            <v>4</v>
          </cell>
          <cell r="DS622">
            <v>4</v>
          </cell>
          <cell r="DT622" t="str">
            <v/>
          </cell>
          <cell r="DU622">
            <v>0</v>
          </cell>
          <cell r="DV622">
            <v>0</v>
          </cell>
          <cell r="DW622">
            <v>4</v>
          </cell>
          <cell r="DX622">
            <v>4</v>
          </cell>
          <cell r="DY622" t="str">
            <v/>
          </cell>
          <cell r="DZ622">
            <v>0</v>
          </cell>
          <cell r="EA622">
            <v>0</v>
          </cell>
          <cell r="EB622">
            <v>4</v>
          </cell>
          <cell r="EC622">
            <v>4</v>
          </cell>
          <cell r="ED622" t="str">
            <v/>
          </cell>
          <cell r="EE622">
            <v>0</v>
          </cell>
          <cell r="EF622">
            <v>0</v>
          </cell>
          <cell r="EG622">
            <v>4</v>
          </cell>
          <cell r="EH622">
            <v>4</v>
          </cell>
          <cell r="EI622" t="str">
            <v/>
          </cell>
          <cell r="EJ622">
            <v>0</v>
          </cell>
          <cell r="EK622">
            <v>0</v>
          </cell>
          <cell r="EL622">
            <v>4</v>
          </cell>
          <cell r="EM622">
            <v>4</v>
          </cell>
          <cell r="EN622" t="str">
            <v/>
          </cell>
          <cell r="EO622">
            <v>0</v>
          </cell>
          <cell r="EP622">
            <v>0</v>
          </cell>
          <cell r="EQ622">
            <v>4</v>
          </cell>
          <cell r="ER622">
            <v>4</v>
          </cell>
          <cell r="ES622" t="str">
            <v/>
          </cell>
          <cell r="ET622">
            <v>0</v>
          </cell>
          <cell r="EU622">
            <v>0</v>
          </cell>
          <cell r="EV622">
            <v>4</v>
          </cell>
          <cell r="EW622">
            <v>4</v>
          </cell>
          <cell r="EX622" t="str">
            <v/>
          </cell>
          <cell r="EY622">
            <v>0</v>
          </cell>
          <cell r="EZ622">
            <v>0</v>
          </cell>
          <cell r="FA622">
            <v>4</v>
          </cell>
          <cell r="FB622">
            <v>4</v>
          </cell>
          <cell r="FC622" t="str">
            <v/>
          </cell>
          <cell r="FD622">
            <v>0</v>
          </cell>
          <cell r="FE622">
            <v>0</v>
          </cell>
          <cell r="FF622">
            <v>4</v>
          </cell>
          <cell r="FG622">
            <v>4</v>
          </cell>
          <cell r="FH622" t="str">
            <v/>
          </cell>
          <cell r="FI622">
            <v>0</v>
          </cell>
          <cell r="FJ622">
            <v>0</v>
          </cell>
          <cell r="FK622">
            <v>4</v>
          </cell>
          <cell r="FL622">
            <v>4</v>
          </cell>
          <cell r="FM622" t="str">
            <v/>
          </cell>
          <cell r="FN622">
            <v>0</v>
          </cell>
          <cell r="FO622">
            <v>0</v>
          </cell>
          <cell r="FP622">
            <v>4</v>
          </cell>
          <cell r="FQ622">
            <v>4</v>
          </cell>
          <cell r="FR622" t="str">
            <v/>
          </cell>
          <cell r="FS622">
            <v>0</v>
          </cell>
          <cell r="FT622">
            <v>0</v>
          </cell>
          <cell r="FU622">
            <v>2.0333333333333332</v>
          </cell>
          <cell r="FW622" t="str">
            <v>STOCK OK</v>
          </cell>
          <cell r="FX622" t="str">
            <v>NUEVO</v>
          </cell>
          <cell r="FY622" t="str">
            <v>Si</v>
          </cell>
        </row>
        <row r="623">
          <cell r="B623" t="str">
            <v>REP-0642</v>
          </cell>
          <cell r="C623" t="str">
            <v>MIX</v>
          </cell>
          <cell r="E623">
            <v>3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BQ623">
            <v>77</v>
          </cell>
          <cell r="BR623" t="str">
            <v/>
          </cell>
          <cell r="BS623">
            <v>0</v>
          </cell>
          <cell r="BT623">
            <v>4</v>
          </cell>
          <cell r="CJ623">
            <v>0</v>
          </cell>
          <cell r="CL623">
            <v>0</v>
          </cell>
          <cell r="CM623">
            <v>0</v>
          </cell>
          <cell r="CN623">
            <v>15</v>
          </cell>
          <cell r="CO623">
            <v>76</v>
          </cell>
          <cell r="CP623">
            <v>18.133333333333301</v>
          </cell>
          <cell r="CQ623">
            <v>0</v>
          </cell>
          <cell r="CR623">
            <v>0</v>
          </cell>
          <cell r="CS623">
            <v>47</v>
          </cell>
          <cell r="CT623">
            <v>54</v>
          </cell>
          <cell r="CU623">
            <v>18.695652173913</v>
          </cell>
          <cell r="CV623" t="e">
            <v>#N/A</v>
          </cell>
          <cell r="CY623">
            <v>2</v>
          </cell>
          <cell r="CZ623" t="str">
            <v/>
          </cell>
          <cell r="DA623">
            <v>0</v>
          </cell>
          <cell r="DB623">
            <v>0</v>
          </cell>
          <cell r="DC623">
            <v>2</v>
          </cell>
          <cell r="DD623">
            <v>2</v>
          </cell>
          <cell r="DE623" t="str">
            <v/>
          </cell>
          <cell r="DF623">
            <v>0</v>
          </cell>
          <cell r="DG623">
            <v>1</v>
          </cell>
          <cell r="DH623">
            <v>3</v>
          </cell>
          <cell r="DI623">
            <v>3</v>
          </cell>
          <cell r="DJ623" t="str">
            <v/>
          </cell>
          <cell r="DK623">
            <v>0</v>
          </cell>
          <cell r="DL623">
            <v>0</v>
          </cell>
          <cell r="DM623">
            <v>3</v>
          </cell>
          <cell r="DN623">
            <v>3</v>
          </cell>
          <cell r="DO623" t="str">
            <v/>
          </cell>
          <cell r="DP623">
            <v>0</v>
          </cell>
          <cell r="DQ623">
            <v>0</v>
          </cell>
          <cell r="DR623">
            <v>3</v>
          </cell>
          <cell r="DS623">
            <v>3</v>
          </cell>
          <cell r="DT623" t="str">
            <v/>
          </cell>
          <cell r="DU623">
            <v>0</v>
          </cell>
          <cell r="DV623">
            <v>0</v>
          </cell>
          <cell r="DW623">
            <v>3</v>
          </cell>
          <cell r="DX623">
            <v>3</v>
          </cell>
          <cell r="DY623" t="str">
            <v/>
          </cell>
          <cell r="DZ623">
            <v>0</v>
          </cell>
          <cell r="EA623">
            <v>0</v>
          </cell>
          <cell r="EB623">
            <v>3</v>
          </cell>
          <cell r="EC623">
            <v>3</v>
          </cell>
          <cell r="ED623" t="str">
            <v/>
          </cell>
          <cell r="EE623">
            <v>0</v>
          </cell>
          <cell r="EF623">
            <v>0</v>
          </cell>
          <cell r="EG623">
            <v>3</v>
          </cell>
          <cell r="EH623">
            <v>3</v>
          </cell>
          <cell r="EI623" t="str">
            <v/>
          </cell>
          <cell r="EJ623">
            <v>0</v>
          </cell>
          <cell r="EK623">
            <v>0</v>
          </cell>
          <cell r="EL623">
            <v>3</v>
          </cell>
          <cell r="EM623">
            <v>3</v>
          </cell>
          <cell r="EN623" t="str">
            <v/>
          </cell>
          <cell r="EO623">
            <v>0</v>
          </cell>
          <cell r="EP623">
            <v>0</v>
          </cell>
          <cell r="EQ623">
            <v>3</v>
          </cell>
          <cell r="ER623">
            <v>3</v>
          </cell>
          <cell r="ES623" t="str">
            <v/>
          </cell>
          <cell r="ET623">
            <v>0</v>
          </cell>
          <cell r="EU623">
            <v>0</v>
          </cell>
          <cell r="EV623">
            <v>3</v>
          </cell>
          <cell r="EW623">
            <v>3</v>
          </cell>
          <cell r="EX623" t="str">
            <v/>
          </cell>
          <cell r="EY623">
            <v>0</v>
          </cell>
          <cell r="EZ623">
            <v>0</v>
          </cell>
          <cell r="FA623">
            <v>3</v>
          </cell>
          <cell r="FB623">
            <v>3</v>
          </cell>
          <cell r="FC623" t="str">
            <v/>
          </cell>
          <cell r="FD623">
            <v>0</v>
          </cell>
          <cell r="FE623">
            <v>0</v>
          </cell>
          <cell r="FF623">
            <v>3</v>
          </cell>
          <cell r="FG623">
            <v>3</v>
          </cell>
          <cell r="FH623" t="str">
            <v/>
          </cell>
          <cell r="FI623">
            <v>0</v>
          </cell>
          <cell r="FJ623">
            <v>0</v>
          </cell>
          <cell r="FK623">
            <v>3</v>
          </cell>
          <cell r="FL623">
            <v>3</v>
          </cell>
          <cell r="FM623" t="str">
            <v/>
          </cell>
          <cell r="FN623">
            <v>0</v>
          </cell>
          <cell r="FO623">
            <v>0</v>
          </cell>
          <cell r="FP623">
            <v>3</v>
          </cell>
          <cell r="FQ623">
            <v>3</v>
          </cell>
          <cell r="FR623" t="str">
            <v/>
          </cell>
          <cell r="FS623">
            <v>0</v>
          </cell>
          <cell r="FT623">
            <v>0</v>
          </cell>
          <cell r="FU623">
            <v>2.0333333333333332</v>
          </cell>
          <cell r="FW623" t="str">
            <v>STOCK OK</v>
          </cell>
          <cell r="FX623" t="str">
            <v>NUEVO</v>
          </cell>
          <cell r="FY623" t="str">
            <v>Si</v>
          </cell>
        </row>
        <row r="624">
          <cell r="B624" t="str">
            <v>REP-0643</v>
          </cell>
          <cell r="C624" t="str">
            <v>MIX</v>
          </cell>
          <cell r="E624">
            <v>3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3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BQ624">
            <v>78</v>
          </cell>
          <cell r="BR624" t="str">
            <v/>
          </cell>
          <cell r="BS624">
            <v>0</v>
          </cell>
          <cell r="BT624">
            <v>4</v>
          </cell>
          <cell r="CJ624">
            <v>0</v>
          </cell>
          <cell r="CL624">
            <v>0</v>
          </cell>
          <cell r="CM624">
            <v>0</v>
          </cell>
          <cell r="CN624">
            <v>16</v>
          </cell>
          <cell r="CO624">
            <v>77</v>
          </cell>
          <cell r="CP624">
            <v>19.133333333333301</v>
          </cell>
          <cell r="CQ624">
            <v>0</v>
          </cell>
          <cell r="CR624">
            <v>0</v>
          </cell>
          <cell r="CS624">
            <v>47</v>
          </cell>
          <cell r="CT624">
            <v>54</v>
          </cell>
          <cell r="CU624">
            <v>19.695652173913</v>
          </cell>
          <cell r="CV624" t="e">
            <v>#N/A</v>
          </cell>
          <cell r="CY624">
            <v>2</v>
          </cell>
          <cell r="CZ624" t="str">
            <v/>
          </cell>
          <cell r="DA624">
            <v>0</v>
          </cell>
          <cell r="DB624">
            <v>0</v>
          </cell>
          <cell r="DC624">
            <v>2</v>
          </cell>
          <cell r="DD624">
            <v>2</v>
          </cell>
          <cell r="DE624" t="str">
            <v/>
          </cell>
          <cell r="DF624">
            <v>0</v>
          </cell>
          <cell r="DG624">
            <v>1</v>
          </cell>
          <cell r="DH624">
            <v>3</v>
          </cell>
          <cell r="DI624">
            <v>3</v>
          </cell>
          <cell r="DJ624" t="str">
            <v/>
          </cell>
          <cell r="DK624">
            <v>0</v>
          </cell>
          <cell r="DL624">
            <v>0</v>
          </cell>
          <cell r="DM624">
            <v>3</v>
          </cell>
          <cell r="DN624">
            <v>3</v>
          </cell>
          <cell r="DO624" t="str">
            <v/>
          </cell>
          <cell r="DP624">
            <v>0</v>
          </cell>
          <cell r="DQ624">
            <v>0</v>
          </cell>
          <cell r="DR624">
            <v>3</v>
          </cell>
          <cell r="DS624">
            <v>3</v>
          </cell>
          <cell r="DT624" t="str">
            <v/>
          </cell>
          <cell r="DU624">
            <v>0</v>
          </cell>
          <cell r="DV624">
            <v>0</v>
          </cell>
          <cell r="DW624">
            <v>3</v>
          </cell>
          <cell r="DX624">
            <v>3</v>
          </cell>
          <cell r="DY624" t="str">
            <v/>
          </cell>
          <cell r="DZ624">
            <v>0</v>
          </cell>
          <cell r="EA624">
            <v>0</v>
          </cell>
          <cell r="EB624">
            <v>3</v>
          </cell>
          <cell r="EC624">
            <v>3</v>
          </cell>
          <cell r="ED624" t="str">
            <v/>
          </cell>
          <cell r="EE624">
            <v>0</v>
          </cell>
          <cell r="EF624">
            <v>0</v>
          </cell>
          <cell r="EG624">
            <v>3</v>
          </cell>
          <cell r="EH624">
            <v>3</v>
          </cell>
          <cell r="EI624" t="str">
            <v/>
          </cell>
          <cell r="EJ624">
            <v>0</v>
          </cell>
          <cell r="EK624">
            <v>0</v>
          </cell>
          <cell r="EL624">
            <v>3</v>
          </cell>
          <cell r="EM624">
            <v>3</v>
          </cell>
          <cell r="EN624" t="str">
            <v/>
          </cell>
          <cell r="EO624">
            <v>0</v>
          </cell>
          <cell r="EP624">
            <v>0</v>
          </cell>
          <cell r="EQ624">
            <v>3</v>
          </cell>
          <cell r="ER624">
            <v>3</v>
          </cell>
          <cell r="ES624" t="str">
            <v/>
          </cell>
          <cell r="ET624">
            <v>0</v>
          </cell>
          <cell r="EU624">
            <v>0</v>
          </cell>
          <cell r="EV624">
            <v>3</v>
          </cell>
          <cell r="EW624">
            <v>3</v>
          </cell>
          <cell r="EX624" t="str">
            <v/>
          </cell>
          <cell r="EY624">
            <v>0</v>
          </cell>
          <cell r="EZ624">
            <v>0</v>
          </cell>
          <cell r="FA624">
            <v>3</v>
          </cell>
          <cell r="FB624">
            <v>3</v>
          </cell>
          <cell r="FC624" t="str">
            <v/>
          </cell>
          <cell r="FD624">
            <v>0</v>
          </cell>
          <cell r="FE624">
            <v>0</v>
          </cell>
          <cell r="FF624">
            <v>3</v>
          </cell>
          <cell r="FG624">
            <v>3</v>
          </cell>
          <cell r="FH624" t="str">
            <v/>
          </cell>
          <cell r="FI624">
            <v>0</v>
          </cell>
          <cell r="FJ624">
            <v>0</v>
          </cell>
          <cell r="FK624">
            <v>3</v>
          </cell>
          <cell r="FL624">
            <v>3</v>
          </cell>
          <cell r="FM624" t="str">
            <v/>
          </cell>
          <cell r="FN624">
            <v>0</v>
          </cell>
          <cell r="FO624">
            <v>0</v>
          </cell>
          <cell r="FP624">
            <v>3</v>
          </cell>
          <cell r="FQ624">
            <v>3</v>
          </cell>
          <cell r="FR624" t="str">
            <v/>
          </cell>
          <cell r="FS624">
            <v>0</v>
          </cell>
          <cell r="FT624">
            <v>0</v>
          </cell>
          <cell r="FU624">
            <v>2.0333333333333332</v>
          </cell>
          <cell r="FW624" t="str">
            <v>STOCK OK</v>
          </cell>
          <cell r="FX624" t="str">
            <v>NUEVO</v>
          </cell>
          <cell r="FY624" t="str">
            <v>Si</v>
          </cell>
        </row>
        <row r="625">
          <cell r="B625" t="str">
            <v>REP-0644</v>
          </cell>
          <cell r="C625" t="str">
            <v>NACIONAL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AC625">
            <v>0</v>
          </cell>
          <cell r="AD625">
            <v>0</v>
          </cell>
          <cell r="AE625">
            <v>0</v>
          </cell>
          <cell r="AI625">
            <v>0.16666666666666666</v>
          </cell>
          <cell r="AJ625">
            <v>0.16666666666666666</v>
          </cell>
          <cell r="AK625">
            <v>0.16666666666666666</v>
          </cell>
          <cell r="AL625">
            <v>0</v>
          </cell>
          <cell r="AM625">
            <v>0.16666666666666666</v>
          </cell>
          <cell r="AN625">
            <v>0</v>
          </cell>
          <cell r="BQ625">
            <v>79</v>
          </cell>
          <cell r="BR625">
            <v>474</v>
          </cell>
          <cell r="BS625">
            <v>0</v>
          </cell>
          <cell r="BT625">
            <v>4</v>
          </cell>
          <cell r="CJ625">
            <v>0</v>
          </cell>
          <cell r="CL625">
            <v>0</v>
          </cell>
          <cell r="CM625">
            <v>0</v>
          </cell>
          <cell r="CN625">
            <v>17</v>
          </cell>
          <cell r="CO625">
            <v>78</v>
          </cell>
          <cell r="CP625">
            <v>20.133333333333301</v>
          </cell>
          <cell r="CQ625">
            <v>0</v>
          </cell>
          <cell r="CR625">
            <v>0</v>
          </cell>
          <cell r="CS625">
            <v>47</v>
          </cell>
          <cell r="CT625">
            <v>54</v>
          </cell>
          <cell r="CU625">
            <v>20.695652173913</v>
          </cell>
          <cell r="CV625" t="e">
            <v>#N/A</v>
          </cell>
          <cell r="CY625">
            <v>0</v>
          </cell>
          <cell r="CZ625">
            <v>0</v>
          </cell>
          <cell r="DA625">
            <v>1</v>
          </cell>
          <cell r="DB625">
            <v>0</v>
          </cell>
          <cell r="DC625">
            <v>-0.25</v>
          </cell>
          <cell r="DD625">
            <v>0</v>
          </cell>
          <cell r="DE625">
            <v>-4</v>
          </cell>
          <cell r="DF625">
            <v>1.25</v>
          </cell>
          <cell r="DG625">
            <v>0</v>
          </cell>
          <cell r="DH625">
            <v>-0.25</v>
          </cell>
          <cell r="DI625">
            <v>0</v>
          </cell>
          <cell r="DJ625">
            <v>-3</v>
          </cell>
          <cell r="DK625">
            <v>1.25</v>
          </cell>
          <cell r="DL625">
            <v>0</v>
          </cell>
          <cell r="DM625">
            <v>0.8</v>
          </cell>
          <cell r="DN625">
            <v>0</v>
          </cell>
          <cell r="DO625">
            <v>-4</v>
          </cell>
          <cell r="DP625">
            <v>1</v>
          </cell>
          <cell r="DQ625">
            <v>0</v>
          </cell>
          <cell r="DR625">
            <v>-0.16666666666666666</v>
          </cell>
          <cell r="DS625">
            <v>-0.16666666666666666</v>
          </cell>
          <cell r="DT625">
            <v>-5.0000000000000009</v>
          </cell>
          <cell r="DU625">
            <v>1.1666666666666667</v>
          </cell>
          <cell r="DV625">
            <v>0</v>
          </cell>
          <cell r="DW625">
            <v>-0.33333333333333331</v>
          </cell>
          <cell r="DX625">
            <v>-0.33333333333333331</v>
          </cell>
          <cell r="DY625">
            <v>-6</v>
          </cell>
          <cell r="DZ625">
            <v>1.3333333333333333</v>
          </cell>
          <cell r="EA625">
            <v>0</v>
          </cell>
          <cell r="EB625">
            <v>-0.5</v>
          </cell>
          <cell r="EC625">
            <v>-0.5</v>
          </cell>
          <cell r="ED625">
            <v>-7</v>
          </cell>
          <cell r="EE625">
            <v>1.5</v>
          </cell>
          <cell r="EF625">
            <v>0</v>
          </cell>
          <cell r="EG625">
            <v>-0.66666666666666663</v>
          </cell>
          <cell r="EH625">
            <v>-0.66666666666666663</v>
          </cell>
          <cell r="EI625">
            <v>-8</v>
          </cell>
          <cell r="EJ625">
            <v>1.6666666666666665</v>
          </cell>
          <cell r="EK625">
            <v>0</v>
          </cell>
          <cell r="EL625">
            <v>-0.83333333333333326</v>
          </cell>
          <cell r="EM625">
            <v>-0.83333333333333326</v>
          </cell>
          <cell r="EN625">
            <v>-9</v>
          </cell>
          <cell r="EO625">
            <v>1.8333333333333333</v>
          </cell>
          <cell r="EP625">
            <v>0</v>
          </cell>
          <cell r="EQ625">
            <v>-0.99999999999999989</v>
          </cell>
          <cell r="ER625">
            <v>-0.99999999999999989</v>
          </cell>
          <cell r="ES625">
            <v>-10</v>
          </cell>
          <cell r="ET625">
            <v>2</v>
          </cell>
          <cell r="EU625">
            <v>0</v>
          </cell>
          <cell r="EV625">
            <v>-1.1666666666666665</v>
          </cell>
          <cell r="EW625">
            <v>-1.1666666666666665</v>
          </cell>
          <cell r="EX625">
            <v>-11</v>
          </cell>
          <cell r="EY625">
            <v>2.1666666666666665</v>
          </cell>
          <cell r="EZ625">
            <v>0</v>
          </cell>
          <cell r="FA625">
            <v>-1.3333333333333333</v>
          </cell>
          <cell r="FB625">
            <v>-1.3333333333333333</v>
          </cell>
          <cell r="FC625">
            <v>-11.999999999999998</v>
          </cell>
          <cell r="FD625">
            <v>2.333333333333333</v>
          </cell>
          <cell r="FE625">
            <v>0</v>
          </cell>
          <cell r="FF625">
            <v>-1.5</v>
          </cell>
          <cell r="FG625">
            <v>-1.5</v>
          </cell>
          <cell r="FH625">
            <v>-13</v>
          </cell>
          <cell r="FI625">
            <v>2.5</v>
          </cell>
          <cell r="FJ625">
            <v>0</v>
          </cell>
          <cell r="FK625">
            <v>-1.6666666666666667</v>
          </cell>
          <cell r="FL625">
            <v>-1.6666666666666667</v>
          </cell>
          <cell r="FM625">
            <v>-14.000000000000004</v>
          </cell>
          <cell r="FN625">
            <v>2.666666666666667</v>
          </cell>
          <cell r="FO625">
            <v>0</v>
          </cell>
          <cell r="FP625">
            <v>-1.8333333333333335</v>
          </cell>
          <cell r="FQ625">
            <v>-1.8333333333333335</v>
          </cell>
          <cell r="FR625">
            <v>-15.000000000000004</v>
          </cell>
          <cell r="FS625">
            <v>2.8333333333333335</v>
          </cell>
          <cell r="FT625">
            <v>1</v>
          </cell>
          <cell r="FU625">
            <v>1</v>
          </cell>
          <cell r="FW625" t="str">
            <v>STOCK OK</v>
          </cell>
          <cell r="FX625" t="str">
            <v>NUEVO</v>
          </cell>
          <cell r="FY625" t="str">
            <v>Si</v>
          </cell>
        </row>
        <row r="626">
          <cell r="B626" t="str">
            <v>REP-0645</v>
          </cell>
          <cell r="C626" t="str">
            <v>mix</v>
          </cell>
          <cell r="E626">
            <v>2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2</v>
          </cell>
          <cell r="AC626">
            <v>0</v>
          </cell>
          <cell r="AD626">
            <v>0</v>
          </cell>
          <cell r="AE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BQ626">
            <v>80</v>
          </cell>
          <cell r="BR626" t="str">
            <v/>
          </cell>
          <cell r="BS626">
            <v>0</v>
          </cell>
          <cell r="BT626">
            <v>4</v>
          </cell>
          <cell r="CJ626">
            <v>0</v>
          </cell>
          <cell r="CL626">
            <v>0</v>
          </cell>
          <cell r="CM626">
            <v>0</v>
          </cell>
          <cell r="CN626">
            <v>18</v>
          </cell>
          <cell r="CO626">
            <v>79</v>
          </cell>
          <cell r="CP626">
            <v>21.133333333333301</v>
          </cell>
          <cell r="CQ626">
            <v>0</v>
          </cell>
          <cell r="CR626">
            <v>0</v>
          </cell>
          <cell r="CS626">
            <v>47</v>
          </cell>
          <cell r="CT626">
            <v>54</v>
          </cell>
          <cell r="CU626">
            <v>21.695652173913</v>
          </cell>
          <cell r="CV626" t="e">
            <v>#N/A</v>
          </cell>
          <cell r="CY626">
            <v>1</v>
          </cell>
          <cell r="CZ626">
            <v>1</v>
          </cell>
          <cell r="DA626">
            <v>1</v>
          </cell>
          <cell r="DB626">
            <v>0</v>
          </cell>
          <cell r="DC626">
            <v>-0.25</v>
          </cell>
          <cell r="DD626">
            <v>0</v>
          </cell>
          <cell r="DE626">
            <v>-4</v>
          </cell>
          <cell r="DF626">
            <v>1.25</v>
          </cell>
          <cell r="DG626">
            <v>0</v>
          </cell>
          <cell r="DH626">
            <v>0.75</v>
          </cell>
          <cell r="DI626">
            <v>2</v>
          </cell>
          <cell r="DJ626" t="str">
            <v/>
          </cell>
          <cell r="DK626">
            <v>0</v>
          </cell>
          <cell r="DL626">
            <v>0</v>
          </cell>
          <cell r="DM626">
            <v>0.75</v>
          </cell>
          <cell r="DN626">
            <v>2</v>
          </cell>
          <cell r="DO626" t="str">
            <v/>
          </cell>
          <cell r="DP626">
            <v>0</v>
          </cell>
          <cell r="DQ626">
            <v>0</v>
          </cell>
          <cell r="DR626">
            <v>2</v>
          </cell>
          <cell r="DS626">
            <v>2</v>
          </cell>
          <cell r="DT626" t="str">
            <v/>
          </cell>
          <cell r="DU626">
            <v>0</v>
          </cell>
          <cell r="DV626">
            <v>0</v>
          </cell>
          <cell r="DW626">
            <v>2</v>
          </cell>
          <cell r="DX626">
            <v>2</v>
          </cell>
          <cell r="DY626" t="str">
            <v/>
          </cell>
          <cell r="DZ626">
            <v>0</v>
          </cell>
          <cell r="EA626">
            <v>0</v>
          </cell>
          <cell r="EB626">
            <v>2</v>
          </cell>
          <cell r="EC626">
            <v>2</v>
          </cell>
          <cell r="ED626" t="str">
            <v/>
          </cell>
          <cell r="EE626">
            <v>0</v>
          </cell>
          <cell r="EF626">
            <v>0</v>
          </cell>
          <cell r="EG626">
            <v>2</v>
          </cell>
          <cell r="EH626">
            <v>2</v>
          </cell>
          <cell r="EI626" t="str">
            <v/>
          </cell>
          <cell r="EJ626">
            <v>0</v>
          </cell>
          <cell r="EK626">
            <v>0</v>
          </cell>
          <cell r="EL626">
            <v>2</v>
          </cell>
          <cell r="EM626">
            <v>2</v>
          </cell>
          <cell r="EN626" t="str">
            <v/>
          </cell>
          <cell r="EO626">
            <v>0</v>
          </cell>
          <cell r="EP626">
            <v>0</v>
          </cell>
          <cell r="EQ626">
            <v>2</v>
          </cell>
          <cell r="ER626">
            <v>2</v>
          </cell>
          <cell r="ES626" t="str">
            <v/>
          </cell>
          <cell r="ET626">
            <v>0</v>
          </cell>
          <cell r="EU626">
            <v>0</v>
          </cell>
          <cell r="EV626">
            <v>2</v>
          </cell>
          <cell r="EW626">
            <v>2</v>
          </cell>
          <cell r="EX626" t="str">
            <v/>
          </cell>
          <cell r="EY626">
            <v>0</v>
          </cell>
          <cell r="EZ626">
            <v>0</v>
          </cell>
          <cell r="FA626">
            <v>2</v>
          </cell>
          <cell r="FB626">
            <v>2</v>
          </cell>
          <cell r="FC626" t="str">
            <v/>
          </cell>
          <cell r="FD626">
            <v>0</v>
          </cell>
          <cell r="FE626">
            <v>0</v>
          </cell>
          <cell r="FF626">
            <v>2</v>
          </cell>
          <cell r="FG626">
            <v>2</v>
          </cell>
          <cell r="FH626" t="str">
            <v/>
          </cell>
          <cell r="FI626">
            <v>0</v>
          </cell>
          <cell r="FJ626">
            <v>0</v>
          </cell>
          <cell r="FK626">
            <v>2</v>
          </cell>
          <cell r="FL626">
            <v>2</v>
          </cell>
          <cell r="FM626" t="str">
            <v/>
          </cell>
          <cell r="FN626">
            <v>0</v>
          </cell>
          <cell r="FO626">
            <v>0</v>
          </cell>
          <cell r="FP626">
            <v>2</v>
          </cell>
          <cell r="FQ626">
            <v>2</v>
          </cell>
          <cell r="FR626" t="str">
            <v/>
          </cell>
          <cell r="FS626">
            <v>0</v>
          </cell>
          <cell r="FT626">
            <v>0</v>
          </cell>
          <cell r="FU626">
            <v>2.0333333333333332</v>
          </cell>
          <cell r="FW626" t="str">
            <v>STOCK OK</v>
          </cell>
          <cell r="FX626" t="str">
            <v/>
          </cell>
          <cell r="FY626" t="str">
            <v>Si</v>
          </cell>
        </row>
        <row r="627">
          <cell r="B627" t="str">
            <v>REP-0646</v>
          </cell>
          <cell r="C627" t="str">
            <v>OSBORNE</v>
          </cell>
          <cell r="E627">
            <v>0</v>
          </cell>
          <cell r="F627">
            <v>0</v>
          </cell>
          <cell r="G627">
            <v>7800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7800</v>
          </cell>
          <cell r="AC627">
            <v>0</v>
          </cell>
          <cell r="AD627">
            <v>0</v>
          </cell>
          <cell r="AE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BQ627">
            <v>81</v>
          </cell>
          <cell r="BR627" t="str">
            <v/>
          </cell>
          <cell r="BS627">
            <v>0</v>
          </cell>
          <cell r="BT627">
            <v>4</v>
          </cell>
          <cell r="CJ627">
            <v>0</v>
          </cell>
          <cell r="CL627">
            <v>0</v>
          </cell>
          <cell r="CM627">
            <v>0</v>
          </cell>
          <cell r="CN627">
            <v>19</v>
          </cell>
          <cell r="CO627">
            <v>80</v>
          </cell>
          <cell r="CP627">
            <v>22.133333333333301</v>
          </cell>
          <cell r="CQ627">
            <v>0</v>
          </cell>
          <cell r="CR627">
            <v>0</v>
          </cell>
          <cell r="CS627">
            <v>47</v>
          </cell>
          <cell r="CT627">
            <v>54</v>
          </cell>
          <cell r="CU627">
            <v>22.695652173913</v>
          </cell>
          <cell r="CV627" t="e">
            <v>#N/A</v>
          </cell>
          <cell r="CY627">
            <v>2</v>
          </cell>
          <cell r="CZ627">
            <v>2</v>
          </cell>
          <cell r="DA627">
            <v>1</v>
          </cell>
          <cell r="DB627">
            <v>0</v>
          </cell>
          <cell r="DC627">
            <v>-0.25</v>
          </cell>
          <cell r="DD627">
            <v>0</v>
          </cell>
          <cell r="DE627">
            <v>-4</v>
          </cell>
          <cell r="DF627">
            <v>1.25</v>
          </cell>
          <cell r="DG627">
            <v>0</v>
          </cell>
          <cell r="DH627">
            <v>1.75</v>
          </cell>
          <cell r="DI627">
            <v>9000</v>
          </cell>
          <cell r="DJ627" t="str">
            <v/>
          </cell>
          <cell r="DK627">
            <v>0</v>
          </cell>
          <cell r="DL627">
            <v>0</v>
          </cell>
          <cell r="DM627">
            <v>1.75</v>
          </cell>
          <cell r="DN627">
            <v>7800</v>
          </cell>
          <cell r="DO627" t="str">
            <v/>
          </cell>
          <cell r="DP627">
            <v>0</v>
          </cell>
          <cell r="DQ627">
            <v>0</v>
          </cell>
          <cell r="DR627">
            <v>7800</v>
          </cell>
          <cell r="DS627">
            <v>7800</v>
          </cell>
          <cell r="DT627" t="str">
            <v/>
          </cell>
          <cell r="DU627">
            <v>0</v>
          </cell>
          <cell r="DV627">
            <v>0</v>
          </cell>
          <cell r="DW627">
            <v>7800</v>
          </cell>
          <cell r="DX627">
            <v>7800</v>
          </cell>
          <cell r="DY627" t="str">
            <v/>
          </cell>
          <cell r="DZ627">
            <v>0</v>
          </cell>
          <cell r="EA627">
            <v>0</v>
          </cell>
          <cell r="EB627">
            <v>7800</v>
          </cell>
          <cell r="EC627">
            <v>7800</v>
          </cell>
          <cell r="ED627" t="str">
            <v/>
          </cell>
          <cell r="EE627">
            <v>0</v>
          </cell>
          <cell r="EF627">
            <v>0</v>
          </cell>
          <cell r="EG627">
            <v>7800</v>
          </cell>
          <cell r="EH627">
            <v>7800</v>
          </cell>
          <cell r="EI627" t="str">
            <v/>
          </cell>
          <cell r="EJ627">
            <v>0</v>
          </cell>
          <cell r="EK627">
            <v>0</v>
          </cell>
          <cell r="EL627">
            <v>7800</v>
          </cell>
          <cell r="EM627">
            <v>7800</v>
          </cell>
          <cell r="EN627" t="str">
            <v/>
          </cell>
          <cell r="EO627">
            <v>0</v>
          </cell>
          <cell r="EP627">
            <v>0</v>
          </cell>
          <cell r="EQ627">
            <v>7800</v>
          </cell>
          <cell r="ER627">
            <v>7800</v>
          </cell>
          <cell r="ES627" t="str">
            <v/>
          </cell>
          <cell r="ET627">
            <v>0</v>
          </cell>
          <cell r="EU627">
            <v>0</v>
          </cell>
          <cell r="EV627">
            <v>7800</v>
          </cell>
          <cell r="EW627">
            <v>7800</v>
          </cell>
          <cell r="EX627" t="str">
            <v/>
          </cell>
          <cell r="EY627">
            <v>0</v>
          </cell>
          <cell r="EZ627">
            <v>0</v>
          </cell>
          <cell r="FA627">
            <v>7800</v>
          </cell>
          <cell r="FB627">
            <v>7800</v>
          </cell>
          <cell r="FC627" t="str">
            <v/>
          </cell>
          <cell r="FD627">
            <v>0</v>
          </cell>
          <cell r="FE627">
            <v>0</v>
          </cell>
          <cell r="FF627">
            <v>7800</v>
          </cell>
          <cell r="FG627">
            <v>7800</v>
          </cell>
          <cell r="FH627" t="str">
            <v/>
          </cell>
          <cell r="FI627">
            <v>0</v>
          </cell>
          <cell r="FJ627">
            <v>0</v>
          </cell>
          <cell r="FK627">
            <v>7800</v>
          </cell>
          <cell r="FL627">
            <v>7800</v>
          </cell>
          <cell r="FM627" t="str">
            <v/>
          </cell>
          <cell r="FN627">
            <v>0</v>
          </cell>
          <cell r="FO627">
            <v>0</v>
          </cell>
          <cell r="FP627">
            <v>7800</v>
          </cell>
          <cell r="FQ627">
            <v>7800</v>
          </cell>
          <cell r="FR627" t="str">
            <v/>
          </cell>
          <cell r="FS627">
            <v>0</v>
          </cell>
          <cell r="FT627">
            <v>0</v>
          </cell>
          <cell r="FU627">
            <v>2.0333333333333332</v>
          </cell>
          <cell r="FW627" t="str">
            <v>STOCK OK</v>
          </cell>
          <cell r="FX627" t="str">
            <v/>
          </cell>
          <cell r="FY627" t="str">
            <v>Si</v>
          </cell>
        </row>
        <row r="628">
          <cell r="B628" t="str">
            <v>REP-0647</v>
          </cell>
          <cell r="C628" t="str">
            <v>OSBORNE</v>
          </cell>
          <cell r="E628">
            <v>0</v>
          </cell>
          <cell r="F628">
            <v>0</v>
          </cell>
          <cell r="G628">
            <v>8400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8400</v>
          </cell>
          <cell r="AC628">
            <v>0</v>
          </cell>
          <cell r="AD628">
            <v>0</v>
          </cell>
          <cell r="AE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BQ628">
            <v>82</v>
          </cell>
          <cell r="BR628" t="str">
            <v/>
          </cell>
          <cell r="BS628">
            <v>0</v>
          </cell>
          <cell r="BT628">
            <v>4</v>
          </cell>
          <cell r="CJ628">
            <v>0</v>
          </cell>
          <cell r="CL628">
            <v>0</v>
          </cell>
          <cell r="CM628">
            <v>0</v>
          </cell>
          <cell r="CN628">
            <v>20</v>
          </cell>
          <cell r="CO628">
            <v>81</v>
          </cell>
          <cell r="CP628">
            <v>23.133333333333301</v>
          </cell>
          <cell r="CQ628">
            <v>0</v>
          </cell>
          <cell r="CR628">
            <v>0</v>
          </cell>
          <cell r="CS628">
            <v>47</v>
          </cell>
          <cell r="CT628">
            <v>54</v>
          </cell>
          <cell r="CU628">
            <v>23.695652173913</v>
          </cell>
          <cell r="CV628" t="e">
            <v>#N/A</v>
          </cell>
          <cell r="CY628">
            <v>3</v>
          </cell>
          <cell r="CZ628">
            <v>3</v>
          </cell>
          <cell r="DA628">
            <v>1</v>
          </cell>
          <cell r="DB628">
            <v>0</v>
          </cell>
          <cell r="DC628">
            <v>-0.25</v>
          </cell>
          <cell r="DD628">
            <v>0</v>
          </cell>
          <cell r="DE628">
            <v>-4</v>
          </cell>
          <cell r="DF628">
            <v>1.25</v>
          </cell>
          <cell r="DG628">
            <v>0</v>
          </cell>
          <cell r="DH628">
            <v>2.75</v>
          </cell>
          <cell r="DI628">
            <v>9000</v>
          </cell>
          <cell r="DJ628" t="str">
            <v/>
          </cell>
          <cell r="DK628">
            <v>0</v>
          </cell>
          <cell r="DL628">
            <v>0</v>
          </cell>
          <cell r="DM628">
            <v>2.75</v>
          </cell>
          <cell r="DN628">
            <v>8400</v>
          </cell>
          <cell r="DO628" t="str">
            <v/>
          </cell>
          <cell r="DP628">
            <v>0</v>
          </cell>
          <cell r="DQ628">
            <v>0</v>
          </cell>
          <cell r="DR628">
            <v>8400</v>
          </cell>
          <cell r="DS628">
            <v>8400</v>
          </cell>
          <cell r="DT628" t="str">
            <v/>
          </cell>
          <cell r="DU628">
            <v>0</v>
          </cell>
          <cell r="DV628">
            <v>0</v>
          </cell>
          <cell r="DW628">
            <v>8400</v>
          </cell>
          <cell r="DX628">
            <v>8400</v>
          </cell>
          <cell r="DY628" t="str">
            <v/>
          </cell>
          <cell r="DZ628">
            <v>0</v>
          </cell>
          <cell r="EA628">
            <v>0</v>
          </cell>
          <cell r="EB628">
            <v>8400</v>
          </cell>
          <cell r="EC628">
            <v>8400</v>
          </cell>
          <cell r="ED628" t="str">
            <v/>
          </cell>
          <cell r="EE628">
            <v>0</v>
          </cell>
          <cell r="EF628">
            <v>0</v>
          </cell>
          <cell r="EG628">
            <v>8400</v>
          </cell>
          <cell r="EH628">
            <v>8400</v>
          </cell>
          <cell r="EI628" t="str">
            <v/>
          </cell>
          <cell r="EJ628">
            <v>0</v>
          </cell>
          <cell r="EK628">
            <v>0</v>
          </cell>
          <cell r="EL628">
            <v>8400</v>
          </cell>
          <cell r="EM628">
            <v>8400</v>
          </cell>
          <cell r="EN628" t="str">
            <v/>
          </cell>
          <cell r="EO628">
            <v>0</v>
          </cell>
          <cell r="EP628">
            <v>0</v>
          </cell>
          <cell r="EQ628">
            <v>8400</v>
          </cell>
          <cell r="ER628">
            <v>8400</v>
          </cell>
          <cell r="ES628" t="str">
            <v/>
          </cell>
          <cell r="ET628">
            <v>0</v>
          </cell>
          <cell r="EU628">
            <v>0</v>
          </cell>
          <cell r="EV628">
            <v>8400</v>
          </cell>
          <cell r="EW628">
            <v>8400</v>
          </cell>
          <cell r="EX628" t="str">
            <v/>
          </cell>
          <cell r="EY628">
            <v>0</v>
          </cell>
          <cell r="EZ628">
            <v>0</v>
          </cell>
          <cell r="FA628">
            <v>8400</v>
          </cell>
          <cell r="FB628">
            <v>8400</v>
          </cell>
          <cell r="FC628" t="str">
            <v/>
          </cell>
          <cell r="FD628">
            <v>0</v>
          </cell>
          <cell r="FE628">
            <v>0</v>
          </cell>
          <cell r="FF628">
            <v>8400</v>
          </cell>
          <cell r="FG628">
            <v>8400</v>
          </cell>
          <cell r="FH628" t="str">
            <v/>
          </cell>
          <cell r="FI628">
            <v>0</v>
          </cell>
          <cell r="FJ628">
            <v>0</v>
          </cell>
          <cell r="FK628">
            <v>8400</v>
          </cell>
          <cell r="FL628">
            <v>8400</v>
          </cell>
          <cell r="FM628" t="str">
            <v/>
          </cell>
          <cell r="FN628">
            <v>0</v>
          </cell>
          <cell r="FO628">
            <v>0</v>
          </cell>
          <cell r="FP628">
            <v>8400</v>
          </cell>
          <cell r="FQ628">
            <v>8400</v>
          </cell>
          <cell r="FR628" t="str">
            <v/>
          </cell>
          <cell r="FS628">
            <v>0</v>
          </cell>
          <cell r="FT628">
            <v>0</v>
          </cell>
          <cell r="FU628">
            <v>2.0333333333333332</v>
          </cell>
          <cell r="FW628" t="str">
            <v>STOCK OK</v>
          </cell>
          <cell r="FX628" t="str">
            <v/>
          </cell>
          <cell r="FY628" t="str">
            <v>Si</v>
          </cell>
        </row>
        <row r="629">
          <cell r="B629" t="str">
            <v>REP-0648</v>
          </cell>
          <cell r="C629" t="str">
            <v>MIX</v>
          </cell>
          <cell r="E629">
            <v>9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9</v>
          </cell>
          <cell r="AC629">
            <v>0</v>
          </cell>
          <cell r="AD629">
            <v>0</v>
          </cell>
          <cell r="AE629">
            <v>0</v>
          </cell>
          <cell r="AI629">
            <v>0.16666666666666666</v>
          </cell>
          <cell r="AJ629">
            <v>0.16666666666666666</v>
          </cell>
          <cell r="AK629">
            <v>0.16666666666666666</v>
          </cell>
          <cell r="AL629">
            <v>0</v>
          </cell>
          <cell r="AM629">
            <v>0.16666666666666666</v>
          </cell>
          <cell r="AN629">
            <v>0</v>
          </cell>
          <cell r="BQ629">
            <v>83</v>
          </cell>
          <cell r="BR629">
            <v>498</v>
          </cell>
          <cell r="BS629">
            <v>0</v>
          </cell>
          <cell r="BT629">
            <v>4</v>
          </cell>
          <cell r="CJ629">
            <v>0</v>
          </cell>
          <cell r="CL629">
            <v>0</v>
          </cell>
          <cell r="CM629">
            <v>0</v>
          </cell>
          <cell r="CN629">
            <v>21</v>
          </cell>
          <cell r="CO629">
            <v>82</v>
          </cell>
          <cell r="CP629">
            <v>24.133333333333301</v>
          </cell>
          <cell r="CQ629">
            <v>0</v>
          </cell>
          <cell r="CR629">
            <v>0</v>
          </cell>
          <cell r="CS629">
            <v>47</v>
          </cell>
          <cell r="CT629">
            <v>54</v>
          </cell>
          <cell r="CU629">
            <v>24.695652173913</v>
          </cell>
          <cell r="CV629" t="e">
            <v>#N/A</v>
          </cell>
          <cell r="CY629">
            <v>4</v>
          </cell>
          <cell r="CZ629">
            <v>4</v>
          </cell>
          <cell r="DA629">
            <v>1</v>
          </cell>
          <cell r="DB629">
            <v>0</v>
          </cell>
          <cell r="DC629">
            <v>-0.25</v>
          </cell>
          <cell r="DD629">
            <v>0</v>
          </cell>
          <cell r="DE629">
            <v>-4</v>
          </cell>
          <cell r="DF629">
            <v>1.25</v>
          </cell>
          <cell r="DG629">
            <v>0</v>
          </cell>
          <cell r="DH629">
            <v>3.75</v>
          </cell>
          <cell r="DI629">
            <v>0</v>
          </cell>
          <cell r="DJ629" t="str">
            <v/>
          </cell>
          <cell r="DK629">
            <v>0</v>
          </cell>
          <cell r="DL629">
            <v>0</v>
          </cell>
          <cell r="DM629">
            <v>3.75</v>
          </cell>
          <cell r="DN629">
            <v>9</v>
          </cell>
          <cell r="DO629">
            <v>50</v>
          </cell>
          <cell r="DP629">
            <v>0</v>
          </cell>
          <cell r="DQ629">
            <v>0</v>
          </cell>
          <cell r="DR629">
            <v>8.8333333333333339</v>
          </cell>
          <cell r="DS629">
            <v>8.8333333333333339</v>
          </cell>
          <cell r="DT629">
            <v>49.000000000000007</v>
          </cell>
          <cell r="DU629">
            <v>0</v>
          </cell>
          <cell r="DV629">
            <v>0</v>
          </cell>
          <cell r="DW629">
            <v>8.6666666666666679</v>
          </cell>
          <cell r="DX629">
            <v>8.6666666666666679</v>
          </cell>
          <cell r="DY629">
            <v>48.000000000000007</v>
          </cell>
          <cell r="DZ629">
            <v>0</v>
          </cell>
          <cell r="EA629">
            <v>0</v>
          </cell>
          <cell r="EB629">
            <v>8.5000000000000018</v>
          </cell>
          <cell r="EC629">
            <v>8.5000000000000018</v>
          </cell>
          <cell r="ED629">
            <v>47.000000000000014</v>
          </cell>
          <cell r="EE629">
            <v>0</v>
          </cell>
          <cell r="EF629">
            <v>0</v>
          </cell>
          <cell r="EG629">
            <v>8.3333333333333357</v>
          </cell>
          <cell r="EH629">
            <v>8.3333333333333357</v>
          </cell>
          <cell r="EI629">
            <v>46.000000000000014</v>
          </cell>
          <cell r="EJ629">
            <v>0</v>
          </cell>
          <cell r="EK629">
            <v>0</v>
          </cell>
          <cell r="EL629">
            <v>8.1666666666666696</v>
          </cell>
          <cell r="EM629">
            <v>8.1666666666666696</v>
          </cell>
          <cell r="EN629">
            <v>45.000000000000021</v>
          </cell>
          <cell r="EO629">
            <v>0</v>
          </cell>
          <cell r="EP629">
            <v>0</v>
          </cell>
          <cell r="EQ629">
            <v>8.0000000000000036</v>
          </cell>
          <cell r="ER629">
            <v>8.0000000000000036</v>
          </cell>
          <cell r="ES629">
            <v>44.000000000000021</v>
          </cell>
          <cell r="ET629">
            <v>0</v>
          </cell>
          <cell r="EU629">
            <v>0</v>
          </cell>
          <cell r="EV629">
            <v>7.8333333333333366</v>
          </cell>
          <cell r="EW629">
            <v>7.8333333333333366</v>
          </cell>
          <cell r="EX629">
            <v>43.000000000000021</v>
          </cell>
          <cell r="EY629">
            <v>0</v>
          </cell>
          <cell r="EZ629">
            <v>0</v>
          </cell>
          <cell r="FA629">
            <v>7.6666666666666696</v>
          </cell>
          <cell r="FB629">
            <v>7.6666666666666696</v>
          </cell>
          <cell r="FC629">
            <v>42.000000000000021</v>
          </cell>
          <cell r="FD629">
            <v>0</v>
          </cell>
          <cell r="FE629">
            <v>0</v>
          </cell>
          <cell r="FF629">
            <v>7.5000000000000027</v>
          </cell>
          <cell r="FG629">
            <v>7.5000000000000027</v>
          </cell>
          <cell r="FH629">
            <v>41.000000000000021</v>
          </cell>
          <cell r="FI629">
            <v>0</v>
          </cell>
          <cell r="FJ629">
            <v>0</v>
          </cell>
          <cell r="FK629">
            <v>7.3333333333333357</v>
          </cell>
          <cell r="FL629">
            <v>7.3333333333333357</v>
          </cell>
          <cell r="FM629">
            <v>40.000000000000014</v>
          </cell>
          <cell r="FN629">
            <v>0</v>
          </cell>
          <cell r="FO629">
            <v>0</v>
          </cell>
          <cell r="FP629">
            <v>7.1666666666666687</v>
          </cell>
          <cell r="FQ629">
            <v>7.1666666666666687</v>
          </cell>
          <cell r="FR629">
            <v>39.000000000000014</v>
          </cell>
          <cell r="FS629">
            <v>0</v>
          </cell>
          <cell r="FT629">
            <v>1</v>
          </cell>
          <cell r="FU629">
            <v>2.0333333333333332</v>
          </cell>
          <cell r="FW629" t="str">
            <v>STOCK OK</v>
          </cell>
          <cell r="FX629" t="str">
            <v/>
          </cell>
          <cell r="FY629" t="str">
            <v>Si</v>
          </cell>
        </row>
        <row r="630">
          <cell r="B630" t="str">
            <v>REP-0649</v>
          </cell>
          <cell r="C630" t="str">
            <v>MIX</v>
          </cell>
          <cell r="E630">
            <v>18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2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20</v>
          </cell>
          <cell r="AC630">
            <v>0</v>
          </cell>
          <cell r="AD630">
            <v>0</v>
          </cell>
          <cell r="AE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BQ630">
            <v>84</v>
          </cell>
          <cell r="BR630" t="str">
            <v/>
          </cell>
          <cell r="BS630">
            <v>0</v>
          </cell>
          <cell r="BT630">
            <v>4</v>
          </cell>
          <cell r="CJ630">
            <v>0</v>
          </cell>
          <cell r="CL630">
            <v>0</v>
          </cell>
          <cell r="CM630">
            <v>0</v>
          </cell>
          <cell r="CN630">
            <v>22</v>
          </cell>
          <cell r="CO630">
            <v>83</v>
          </cell>
          <cell r="CP630">
            <v>25.133333333333301</v>
          </cell>
          <cell r="CQ630">
            <v>0</v>
          </cell>
          <cell r="CR630">
            <v>0</v>
          </cell>
          <cell r="CS630">
            <v>47</v>
          </cell>
          <cell r="CT630">
            <v>54</v>
          </cell>
          <cell r="CU630">
            <v>25.695652173913</v>
          </cell>
          <cell r="CV630" t="e">
            <v>#N/A</v>
          </cell>
          <cell r="CY630">
            <v>5</v>
          </cell>
          <cell r="CZ630">
            <v>5</v>
          </cell>
          <cell r="DA630">
            <v>1</v>
          </cell>
          <cell r="DB630">
            <v>0</v>
          </cell>
          <cell r="DC630">
            <v>-0.25</v>
          </cell>
          <cell r="DD630">
            <v>0</v>
          </cell>
          <cell r="DE630">
            <v>-4</v>
          </cell>
          <cell r="DF630">
            <v>1.25</v>
          </cell>
          <cell r="DG630">
            <v>0</v>
          </cell>
          <cell r="DH630">
            <v>4.75</v>
          </cell>
          <cell r="DI630">
            <v>0</v>
          </cell>
          <cell r="DJ630" t="str">
            <v/>
          </cell>
          <cell r="DK630">
            <v>0</v>
          </cell>
          <cell r="DL630">
            <v>0</v>
          </cell>
          <cell r="DM630">
            <v>4.75</v>
          </cell>
          <cell r="DN630">
            <v>20</v>
          </cell>
          <cell r="DO630" t="str">
            <v/>
          </cell>
          <cell r="DP630">
            <v>0</v>
          </cell>
          <cell r="DQ630">
            <v>0</v>
          </cell>
          <cell r="DR630">
            <v>20</v>
          </cell>
          <cell r="DS630">
            <v>20</v>
          </cell>
          <cell r="DT630" t="str">
            <v/>
          </cell>
          <cell r="DU630">
            <v>0</v>
          </cell>
          <cell r="DV630">
            <v>0</v>
          </cell>
          <cell r="DW630">
            <v>20</v>
          </cell>
          <cell r="DX630">
            <v>20</v>
          </cell>
          <cell r="DY630" t="str">
            <v/>
          </cell>
          <cell r="DZ630">
            <v>0</v>
          </cell>
          <cell r="EA630">
            <v>0</v>
          </cell>
          <cell r="EB630">
            <v>20</v>
          </cell>
          <cell r="EC630">
            <v>20</v>
          </cell>
          <cell r="ED630" t="str">
            <v/>
          </cell>
          <cell r="EE630">
            <v>0</v>
          </cell>
          <cell r="EF630">
            <v>0</v>
          </cell>
          <cell r="EG630">
            <v>20</v>
          </cell>
          <cell r="EH630">
            <v>20</v>
          </cell>
          <cell r="EI630" t="str">
            <v/>
          </cell>
          <cell r="EJ630">
            <v>0</v>
          </cell>
          <cell r="EK630">
            <v>0</v>
          </cell>
          <cell r="EL630">
            <v>20</v>
          </cell>
          <cell r="EM630">
            <v>20</v>
          </cell>
          <cell r="EN630" t="str">
            <v/>
          </cell>
          <cell r="EO630">
            <v>0</v>
          </cell>
          <cell r="EP630">
            <v>0</v>
          </cell>
          <cell r="EQ630">
            <v>20</v>
          </cell>
          <cell r="ER630">
            <v>20</v>
          </cell>
          <cell r="ES630" t="str">
            <v/>
          </cell>
          <cell r="ET630">
            <v>0</v>
          </cell>
          <cell r="EU630">
            <v>0</v>
          </cell>
          <cell r="EV630">
            <v>20</v>
          </cell>
          <cell r="EW630">
            <v>20</v>
          </cell>
          <cell r="EX630" t="str">
            <v/>
          </cell>
          <cell r="EY630">
            <v>0</v>
          </cell>
          <cell r="EZ630">
            <v>0</v>
          </cell>
          <cell r="FA630">
            <v>20</v>
          </cell>
          <cell r="FB630">
            <v>20</v>
          </cell>
          <cell r="FC630" t="str">
            <v/>
          </cell>
          <cell r="FD630">
            <v>0</v>
          </cell>
          <cell r="FE630">
            <v>0</v>
          </cell>
          <cell r="FF630">
            <v>20</v>
          </cell>
          <cell r="FG630">
            <v>20</v>
          </cell>
          <cell r="FH630" t="str">
            <v/>
          </cell>
          <cell r="FI630">
            <v>0</v>
          </cell>
          <cell r="FJ630">
            <v>0</v>
          </cell>
          <cell r="FK630">
            <v>20</v>
          </cell>
          <cell r="FL630">
            <v>20</v>
          </cell>
          <cell r="FM630" t="str">
            <v/>
          </cell>
          <cell r="FN630">
            <v>0</v>
          </cell>
          <cell r="FO630">
            <v>0</v>
          </cell>
          <cell r="FP630">
            <v>20</v>
          </cell>
          <cell r="FQ630">
            <v>20</v>
          </cell>
          <cell r="FR630" t="str">
            <v/>
          </cell>
          <cell r="FS630">
            <v>0</v>
          </cell>
          <cell r="FT630">
            <v>0</v>
          </cell>
          <cell r="FU630">
            <v>2.0333333333333332</v>
          </cell>
          <cell r="FW630" t="str">
            <v>STOCK OK</v>
          </cell>
          <cell r="FX630" t="str">
            <v/>
          </cell>
          <cell r="FY630" t="str">
            <v>Si</v>
          </cell>
        </row>
        <row r="631">
          <cell r="DK631">
            <v>0</v>
          </cell>
          <cell r="DN631">
            <v>0</v>
          </cell>
          <cell r="DS631">
            <v>0</v>
          </cell>
          <cell r="DX631">
            <v>0</v>
          </cell>
          <cell r="EC631">
            <v>0</v>
          </cell>
          <cell r="EH631">
            <v>0</v>
          </cell>
          <cell r="EM631">
            <v>0</v>
          </cell>
          <cell r="ER631">
            <v>0</v>
          </cell>
          <cell r="EW631">
            <v>0</v>
          </cell>
          <cell r="FB631">
            <v>0</v>
          </cell>
          <cell r="FG631">
            <v>0</v>
          </cell>
          <cell r="FL631">
            <v>0</v>
          </cell>
          <cell r="FO631">
            <v>0</v>
          </cell>
          <cell r="FQ631">
            <v>0</v>
          </cell>
          <cell r="FW631" t="e">
            <v>#N/A</v>
          </cell>
          <cell r="FX631">
            <v>0</v>
          </cell>
        </row>
        <row r="632">
          <cell r="DK632">
            <v>0</v>
          </cell>
          <cell r="DN632">
            <v>0</v>
          </cell>
          <cell r="DS632">
            <v>0</v>
          </cell>
          <cell r="DX632">
            <v>0</v>
          </cell>
          <cell r="EC632">
            <v>0</v>
          </cell>
          <cell r="EH632">
            <v>0</v>
          </cell>
          <cell r="EM632">
            <v>0</v>
          </cell>
          <cell r="ER632">
            <v>0</v>
          </cell>
          <cell r="EW632">
            <v>0</v>
          </cell>
          <cell r="FB632">
            <v>0</v>
          </cell>
          <cell r="FG632">
            <v>0</v>
          </cell>
          <cell r="FL632">
            <v>0</v>
          </cell>
          <cell r="FO632">
            <v>0</v>
          </cell>
          <cell r="FQ632">
            <v>0</v>
          </cell>
          <cell r="FW632" t="e">
            <v>#N/A</v>
          </cell>
          <cell r="FX632">
            <v>0</v>
          </cell>
        </row>
        <row r="633">
          <cell r="J633" t="e">
            <v>#N/A</v>
          </cell>
          <cell r="W633" t="e">
            <v>#N/A</v>
          </cell>
          <cell r="X633" t="e">
            <v>#N/A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BM633" t="e">
            <v>#N/A</v>
          </cell>
          <cell r="BN633" t="str">
            <v/>
          </cell>
          <cell r="BO633">
            <v>0</v>
          </cell>
          <cell r="BP633" t="e">
            <v>#N/A</v>
          </cell>
          <cell r="BQ633" t="e">
            <v>#N/A</v>
          </cell>
          <cell r="BR633" t="str">
            <v/>
          </cell>
          <cell r="BW633">
            <v>0</v>
          </cell>
          <cell r="BZ633" t="e">
            <v>#N/A</v>
          </cell>
          <cell r="CB633" t="e">
            <v>#N/A</v>
          </cell>
          <cell r="CE633" t="e">
            <v>#N/A</v>
          </cell>
          <cell r="CG633" t="e">
            <v>#N/A</v>
          </cell>
          <cell r="CH633">
            <v>0</v>
          </cell>
          <cell r="CJ633" t="e">
            <v>#N/A</v>
          </cell>
          <cell r="CL633" t="e">
            <v>#N/A</v>
          </cell>
          <cell r="CM633">
            <v>0</v>
          </cell>
          <cell r="CN633" t="e">
            <v>#N/A</v>
          </cell>
          <cell r="CO633" t="e">
            <v>#N/A</v>
          </cell>
          <cell r="CP633" t="str">
            <v/>
          </cell>
          <cell r="CQ633" t="e">
            <v>#N/A</v>
          </cell>
          <cell r="CS633" t="e">
            <v>#N/A</v>
          </cell>
          <cell r="CT633" t="e">
            <v>#N/A</v>
          </cell>
          <cell r="CV633" t="e">
            <v>#N/A</v>
          </cell>
          <cell r="CX633" t="e">
            <v>#N/A</v>
          </cell>
          <cell r="CY633" t="e">
            <v>#N/A</v>
          </cell>
          <cell r="CZ633" t="str">
            <v/>
          </cell>
          <cell r="DA633" t="e">
            <v>#N/A</v>
          </cell>
          <cell r="DB633">
            <v>0</v>
          </cell>
          <cell r="DC633" t="e">
            <v>#N/A</v>
          </cell>
          <cell r="DD633" t="e">
            <v>#N/A</v>
          </cell>
          <cell r="DE633" t="str">
            <v/>
          </cell>
          <cell r="DF633" t="e">
            <v>#N/A</v>
          </cell>
          <cell r="DG633">
            <v>0</v>
          </cell>
          <cell r="DH633" t="e">
            <v>#N/A</v>
          </cell>
          <cell r="DI633" t="e">
            <v>#N/A</v>
          </cell>
          <cell r="DJ633" t="str">
            <v/>
          </cell>
          <cell r="DK633" t="e">
            <v>#N/A</v>
          </cell>
          <cell r="DL633">
            <v>0</v>
          </cell>
          <cell r="DN633">
            <v>0</v>
          </cell>
          <cell r="DO633" t="str">
            <v/>
          </cell>
          <cell r="DP633" t="e">
            <v>#N/A</v>
          </cell>
          <cell r="DR633">
            <v>0</v>
          </cell>
          <cell r="DS633">
            <v>0</v>
          </cell>
          <cell r="DT633" t="str">
            <v/>
          </cell>
          <cell r="DU633" t="e">
            <v>#N/A</v>
          </cell>
          <cell r="DV633">
            <v>0</v>
          </cell>
          <cell r="DW633">
            <v>0</v>
          </cell>
          <cell r="DX633">
            <v>0</v>
          </cell>
          <cell r="DY633" t="str">
            <v/>
          </cell>
          <cell r="DZ633" t="e">
            <v>#N/A</v>
          </cell>
          <cell r="EA633">
            <v>0</v>
          </cell>
          <cell r="EB633">
            <v>0</v>
          </cell>
          <cell r="EC633">
            <v>0</v>
          </cell>
          <cell r="ED633" t="str">
            <v/>
          </cell>
          <cell r="EE633" t="e">
            <v>#N/A</v>
          </cell>
          <cell r="EF633">
            <v>0</v>
          </cell>
          <cell r="EG633">
            <v>0</v>
          </cell>
          <cell r="EH633">
            <v>0</v>
          </cell>
          <cell r="EI633" t="str">
            <v/>
          </cell>
          <cell r="EJ633" t="e">
            <v>#N/A</v>
          </cell>
          <cell r="EK633">
            <v>0</v>
          </cell>
          <cell r="EL633">
            <v>0</v>
          </cell>
          <cell r="EM633">
            <v>0</v>
          </cell>
          <cell r="EN633" t="str">
            <v/>
          </cell>
          <cell r="EO633" t="e">
            <v>#N/A</v>
          </cell>
          <cell r="EP633">
            <v>0</v>
          </cell>
          <cell r="EQ633">
            <v>0</v>
          </cell>
          <cell r="ER633">
            <v>0</v>
          </cell>
          <cell r="ES633" t="str">
            <v/>
          </cell>
          <cell r="ET633" t="e">
            <v>#N/A</v>
          </cell>
          <cell r="EU633">
            <v>0</v>
          </cell>
          <cell r="EV633">
            <v>0</v>
          </cell>
          <cell r="EW633">
            <v>0</v>
          </cell>
          <cell r="EX633" t="str">
            <v/>
          </cell>
          <cell r="EY633" t="e">
            <v>#N/A</v>
          </cell>
          <cell r="EZ633">
            <v>0</v>
          </cell>
          <cell r="FA633">
            <v>0</v>
          </cell>
          <cell r="FB633">
            <v>0</v>
          </cell>
          <cell r="FC633" t="str">
            <v/>
          </cell>
          <cell r="FD633" t="e">
            <v>#N/A</v>
          </cell>
          <cell r="FE633">
            <v>0</v>
          </cell>
          <cell r="FF633">
            <v>0</v>
          </cell>
          <cell r="FG633">
            <v>0</v>
          </cell>
          <cell r="FH633" t="str">
            <v/>
          </cell>
          <cell r="FI633" t="e">
            <v>#N/A</v>
          </cell>
          <cell r="FJ633">
            <v>0</v>
          </cell>
          <cell r="FK633">
            <v>0</v>
          </cell>
          <cell r="FL633">
            <v>0</v>
          </cell>
          <cell r="FM633" t="str">
            <v/>
          </cell>
          <cell r="FN633" t="e">
            <v>#N/A</v>
          </cell>
          <cell r="FO633">
            <v>0</v>
          </cell>
          <cell r="FP633">
            <v>0</v>
          </cell>
          <cell r="FQ633">
            <v>0</v>
          </cell>
          <cell r="FR633" t="str">
            <v/>
          </cell>
          <cell r="FS633" t="e">
            <v>#N/A</v>
          </cell>
          <cell r="FT633" t="e">
            <v>#N/A</v>
          </cell>
          <cell r="FU633" t="e">
            <v>#N/A</v>
          </cell>
          <cell r="FW633" t="e">
            <v>#N/A</v>
          </cell>
          <cell r="FX633">
            <v>0</v>
          </cell>
        </row>
        <row r="634">
          <cell r="B634" t="str">
            <v>INS-0001</v>
          </cell>
          <cell r="C634" t="str">
            <v>FLOWEY</v>
          </cell>
          <cell r="D634">
            <v>0</v>
          </cell>
          <cell r="E634">
            <v>1</v>
          </cell>
          <cell r="F634">
            <v>3</v>
          </cell>
          <cell r="G634">
            <v>0</v>
          </cell>
          <cell r="H634">
            <v>2</v>
          </cell>
          <cell r="I634">
            <v>2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1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9</v>
          </cell>
          <cell r="AA634">
            <v>9</v>
          </cell>
          <cell r="AB634">
            <v>0</v>
          </cell>
          <cell r="AC634">
            <v>41.5</v>
          </cell>
          <cell r="AD634">
            <v>1.3833333333333333</v>
          </cell>
          <cell r="AE634">
            <v>26.583333333333332</v>
          </cell>
          <cell r="AF634">
            <v>46.083333333333336</v>
          </cell>
          <cell r="AG634">
            <v>47.583333333333336</v>
          </cell>
          <cell r="AH634">
            <v>39.583333333333336</v>
          </cell>
          <cell r="AI634">
            <v>0</v>
          </cell>
          <cell r="AJ634">
            <v>0</v>
          </cell>
          <cell r="AK634">
            <v>0</v>
          </cell>
          <cell r="AL634">
            <v>24.513134234528234</v>
          </cell>
          <cell r="AM634">
            <v>21.791666666666668</v>
          </cell>
          <cell r="AN634">
            <v>1.1248857010108557</v>
          </cell>
          <cell r="AP634" t="e">
            <v>#N/A</v>
          </cell>
          <cell r="AQ634">
            <v>1.849498327759197</v>
          </cell>
          <cell r="AR634">
            <v>0</v>
          </cell>
          <cell r="AS634" t="e">
            <v>#N/A</v>
          </cell>
          <cell r="AT634">
            <v>344</v>
          </cell>
          <cell r="AU634">
            <v>6.6796116504854366</v>
          </cell>
          <cell r="AV634">
            <v>0</v>
          </cell>
          <cell r="AW634">
            <v>292.5</v>
          </cell>
          <cell r="AX634">
            <v>307</v>
          </cell>
          <cell r="AY634" t="str">
            <v/>
          </cell>
          <cell r="AZ634">
            <v>0</v>
          </cell>
          <cell r="BA634">
            <v>258.83333333333331</v>
          </cell>
          <cell r="BB634">
            <v>272</v>
          </cell>
          <cell r="BC634">
            <v>5.333333333333333</v>
          </cell>
          <cell r="BE634">
            <v>207.83333333333331</v>
          </cell>
          <cell r="BF634">
            <v>4.0751633986928102</v>
          </cell>
          <cell r="BG634">
            <v>324</v>
          </cell>
          <cell r="BH634">
            <v>480.83333333333326</v>
          </cell>
          <cell r="BI634">
            <v>9</v>
          </cell>
          <cell r="BJ634" t="str">
            <v/>
          </cell>
          <cell r="BK634">
            <v>0</v>
          </cell>
          <cell r="BL634">
            <v>124.41666666666666</v>
          </cell>
          <cell r="BM634">
            <v>453</v>
          </cell>
          <cell r="BN634">
            <v>9.5201401050788093</v>
          </cell>
          <cell r="BO634">
            <v>0</v>
          </cell>
          <cell r="BP634">
            <v>405.41666666666669</v>
          </cell>
          <cell r="BQ634">
            <v>411</v>
          </cell>
          <cell r="BR634" t="str">
            <v/>
          </cell>
          <cell r="BS634">
            <v>0</v>
          </cell>
          <cell r="BT634">
            <v>363.41666666666669</v>
          </cell>
          <cell r="BU634">
            <v>354</v>
          </cell>
          <cell r="BV634">
            <v>7.4395796847635722</v>
          </cell>
          <cell r="BW634">
            <v>0</v>
          </cell>
          <cell r="BX634">
            <v>0</v>
          </cell>
          <cell r="BY634">
            <v>306.41666666666669</v>
          </cell>
          <cell r="BZ634">
            <v>325</v>
          </cell>
          <cell r="CA634">
            <v>6.8301225919439572</v>
          </cell>
          <cell r="CB634">
            <v>0</v>
          </cell>
          <cell r="CC634">
            <v>0</v>
          </cell>
          <cell r="CD634">
            <v>277.41666666666669</v>
          </cell>
          <cell r="CE634">
            <v>271</v>
          </cell>
          <cell r="CF634">
            <v>5.695271453590192</v>
          </cell>
          <cell r="CG634">
            <v>0</v>
          </cell>
          <cell r="CH634">
            <v>0</v>
          </cell>
          <cell r="CI634">
            <v>229.83333333333334</v>
          </cell>
          <cell r="CJ634">
            <v>217</v>
          </cell>
          <cell r="CK634">
            <v>4.5604203152364269</v>
          </cell>
          <cell r="CL634">
            <v>0</v>
          </cell>
          <cell r="CM634">
            <v>0</v>
          </cell>
          <cell r="CN634">
            <v>169.41666666666666</v>
          </cell>
          <cell r="CO634">
            <v>171</v>
          </cell>
          <cell r="CP634">
            <v>3.5936952714535901</v>
          </cell>
          <cell r="CQ634">
            <v>0</v>
          </cell>
          <cell r="CR634">
            <v>0</v>
          </cell>
          <cell r="CS634">
            <v>123.41666666666666</v>
          </cell>
          <cell r="CT634">
            <v>69</v>
          </cell>
          <cell r="CU634">
            <v>1.140495867768595</v>
          </cell>
          <cell r="CV634">
            <v>55</v>
          </cell>
          <cell r="CW634">
            <v>0</v>
          </cell>
          <cell r="CX634">
            <v>8.5</v>
          </cell>
          <cell r="CY634">
            <v>10</v>
          </cell>
          <cell r="CZ634">
            <v>0.21015761821366025</v>
          </cell>
          <cell r="DA634">
            <v>88.5</v>
          </cell>
          <cell r="DB634">
            <v>0</v>
          </cell>
          <cell r="DC634">
            <v>-37.583333333333336</v>
          </cell>
          <cell r="DD634">
            <v>6</v>
          </cell>
          <cell r="DE634">
            <v>-1.9124343257443082</v>
          </cell>
          <cell r="DF634">
            <v>134.58333333333334</v>
          </cell>
          <cell r="DG634">
            <v>0</v>
          </cell>
          <cell r="DH634">
            <v>-41.583333333333336</v>
          </cell>
          <cell r="DI634">
            <v>6</v>
          </cell>
          <cell r="DJ634" t="str">
            <v/>
          </cell>
          <cell r="DK634">
            <v>0</v>
          </cell>
          <cell r="DL634">
            <v>0</v>
          </cell>
          <cell r="DM634">
            <v>-41.583333333333336</v>
          </cell>
          <cell r="DN634">
            <v>9</v>
          </cell>
          <cell r="DO634" t="str">
            <v/>
          </cell>
          <cell r="DP634">
            <v>0</v>
          </cell>
          <cell r="DR634">
            <v>9</v>
          </cell>
          <cell r="DS634">
            <v>9</v>
          </cell>
          <cell r="DT634" t="str">
            <v/>
          </cell>
          <cell r="DU634">
            <v>0</v>
          </cell>
          <cell r="DV634">
            <v>0</v>
          </cell>
          <cell r="DW634">
            <v>9</v>
          </cell>
          <cell r="DX634">
            <v>9</v>
          </cell>
          <cell r="DY634" t="str">
            <v/>
          </cell>
          <cell r="DZ634">
            <v>0</v>
          </cell>
          <cell r="EA634">
            <v>0</v>
          </cell>
          <cell r="EB634">
            <v>9</v>
          </cell>
          <cell r="EC634">
            <v>9</v>
          </cell>
          <cell r="ED634" t="str">
            <v/>
          </cell>
          <cell r="EE634">
            <v>0</v>
          </cell>
          <cell r="EF634">
            <v>0</v>
          </cell>
          <cell r="EG634">
            <v>9</v>
          </cell>
          <cell r="EH634">
            <v>9</v>
          </cell>
          <cell r="EI634" t="str">
            <v/>
          </cell>
          <cell r="EJ634">
            <v>0</v>
          </cell>
          <cell r="EK634">
            <v>0</v>
          </cell>
          <cell r="EL634">
            <v>9</v>
          </cell>
          <cell r="EM634">
            <v>9</v>
          </cell>
          <cell r="EN634" t="str">
            <v/>
          </cell>
          <cell r="EO634">
            <v>0</v>
          </cell>
          <cell r="EP634">
            <v>0</v>
          </cell>
          <cell r="EQ634">
            <v>9</v>
          </cell>
          <cell r="ER634">
            <v>9</v>
          </cell>
          <cell r="ES634" t="str">
            <v/>
          </cell>
          <cell r="ET634">
            <v>0</v>
          </cell>
          <cell r="EU634">
            <v>0</v>
          </cell>
          <cell r="EV634">
            <v>9</v>
          </cell>
          <cell r="EW634">
            <v>9</v>
          </cell>
          <cell r="EX634" t="str">
            <v/>
          </cell>
          <cell r="EY634">
            <v>0</v>
          </cell>
          <cell r="EZ634">
            <v>0</v>
          </cell>
          <cell r="FA634">
            <v>9</v>
          </cell>
          <cell r="FB634">
            <v>9</v>
          </cell>
          <cell r="FC634" t="str">
            <v/>
          </cell>
          <cell r="FD634">
            <v>0</v>
          </cell>
          <cell r="FE634">
            <v>0</v>
          </cell>
          <cell r="FF634">
            <v>9</v>
          </cell>
          <cell r="FG634">
            <v>9</v>
          </cell>
          <cell r="FH634" t="str">
            <v/>
          </cell>
          <cell r="FI634">
            <v>0</v>
          </cell>
          <cell r="FJ634">
            <v>0</v>
          </cell>
          <cell r="FK634">
            <v>9</v>
          </cell>
          <cell r="FL634">
            <v>9</v>
          </cell>
          <cell r="FM634" t="str">
            <v/>
          </cell>
          <cell r="FN634">
            <v>0</v>
          </cell>
          <cell r="FO634">
            <v>0</v>
          </cell>
          <cell r="FP634">
            <v>9</v>
          </cell>
          <cell r="FQ634">
            <v>9</v>
          </cell>
          <cell r="FR634" t="str">
            <v/>
          </cell>
          <cell r="FS634">
            <v>0</v>
          </cell>
          <cell r="FT634">
            <v>0</v>
          </cell>
          <cell r="FU634">
            <v>2.0333333333333332</v>
          </cell>
          <cell r="FW634" t="str">
            <v>SIN ROTACIÓN</v>
          </cell>
          <cell r="FX634" t="str">
            <v>A</v>
          </cell>
          <cell r="FY634" t="str">
            <v>Si</v>
          </cell>
        </row>
        <row r="635">
          <cell r="B635" t="str">
            <v>INS-0002</v>
          </cell>
          <cell r="C635" t="str">
            <v>FLOWEY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M635">
            <v>0</v>
          </cell>
          <cell r="AP635" t="e">
            <v>#N/A</v>
          </cell>
          <cell r="AQ635" t="str">
            <v/>
          </cell>
          <cell r="AR635">
            <v>0</v>
          </cell>
          <cell r="AS635" t="e">
            <v>#N/A</v>
          </cell>
          <cell r="AT635">
            <v>0</v>
          </cell>
          <cell r="AU635" t="str">
            <v/>
          </cell>
          <cell r="AV635">
            <v>0</v>
          </cell>
          <cell r="AW635">
            <v>0</v>
          </cell>
          <cell r="AX635">
            <v>0</v>
          </cell>
          <cell r="AY635" t="str">
            <v/>
          </cell>
          <cell r="AZ635">
            <v>0</v>
          </cell>
          <cell r="BA635">
            <v>0</v>
          </cell>
          <cell r="BB635">
            <v>0</v>
          </cell>
          <cell r="BC635" t="str">
            <v/>
          </cell>
          <cell r="BE635">
            <v>0</v>
          </cell>
          <cell r="BF635" t="str">
            <v/>
          </cell>
          <cell r="BG635">
            <v>0</v>
          </cell>
          <cell r="BH635">
            <v>0</v>
          </cell>
          <cell r="BI635">
            <v>0</v>
          </cell>
          <cell r="BJ635" t="str">
            <v/>
          </cell>
          <cell r="BK635">
            <v>0</v>
          </cell>
          <cell r="BL635">
            <v>0</v>
          </cell>
          <cell r="BM635">
            <v>0</v>
          </cell>
          <cell r="BN635" t="str">
            <v/>
          </cell>
          <cell r="BO635">
            <v>0</v>
          </cell>
          <cell r="BP635">
            <v>0</v>
          </cell>
          <cell r="BQ635">
            <v>0</v>
          </cell>
          <cell r="BR635" t="str">
            <v/>
          </cell>
          <cell r="BS635">
            <v>0</v>
          </cell>
          <cell r="BT635">
            <v>0</v>
          </cell>
          <cell r="BU635">
            <v>0</v>
          </cell>
          <cell r="BV635" t="str">
            <v/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 t="str">
            <v/>
          </cell>
          <cell r="CB635">
            <v>0</v>
          </cell>
          <cell r="CD635">
            <v>0</v>
          </cell>
          <cell r="CE635">
            <v>0</v>
          </cell>
          <cell r="CF635" t="str">
            <v/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 t="str">
            <v/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 t="str">
            <v/>
          </cell>
          <cell r="CQ635">
            <v>0</v>
          </cell>
          <cell r="CS635">
            <v>0</v>
          </cell>
          <cell r="CT635">
            <v>0</v>
          </cell>
          <cell r="CU635" t="str">
            <v/>
          </cell>
          <cell r="CV635">
            <v>0</v>
          </cell>
          <cell r="CX635">
            <v>0</v>
          </cell>
          <cell r="CY635">
            <v>0</v>
          </cell>
          <cell r="CZ635" t="str">
            <v/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 t="str">
            <v/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 t="str">
            <v/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 t="str">
            <v/>
          </cell>
          <cell r="DP635">
            <v>0</v>
          </cell>
          <cell r="DR635">
            <v>0</v>
          </cell>
          <cell r="DS635">
            <v>0</v>
          </cell>
          <cell r="DT635" t="str">
            <v/>
          </cell>
          <cell r="DU635">
            <v>0</v>
          </cell>
          <cell r="DV635">
            <v>0</v>
          </cell>
          <cell r="DW635">
            <v>0</v>
          </cell>
          <cell r="DX635">
            <v>0</v>
          </cell>
          <cell r="DY635" t="str">
            <v/>
          </cell>
          <cell r="DZ635">
            <v>0</v>
          </cell>
          <cell r="EA635">
            <v>0</v>
          </cell>
          <cell r="EB635">
            <v>0</v>
          </cell>
          <cell r="EC635">
            <v>0</v>
          </cell>
          <cell r="ED635" t="str">
            <v/>
          </cell>
          <cell r="EE635">
            <v>0</v>
          </cell>
          <cell r="EF635">
            <v>0</v>
          </cell>
          <cell r="EG635">
            <v>0</v>
          </cell>
          <cell r="EH635">
            <v>0</v>
          </cell>
          <cell r="EI635" t="str">
            <v/>
          </cell>
          <cell r="EJ635">
            <v>0</v>
          </cell>
          <cell r="EK635">
            <v>0</v>
          </cell>
          <cell r="EL635">
            <v>0</v>
          </cell>
          <cell r="EM635">
            <v>0</v>
          </cell>
          <cell r="EN635" t="str">
            <v/>
          </cell>
          <cell r="EO635">
            <v>0</v>
          </cell>
          <cell r="EP635">
            <v>0</v>
          </cell>
          <cell r="EQ635">
            <v>0</v>
          </cell>
          <cell r="ER635">
            <v>0</v>
          </cell>
          <cell r="ES635" t="str">
            <v/>
          </cell>
          <cell r="ET635">
            <v>0</v>
          </cell>
          <cell r="EU635">
            <v>0</v>
          </cell>
          <cell r="EV635">
            <v>0</v>
          </cell>
          <cell r="EW635">
            <v>0</v>
          </cell>
          <cell r="EX635" t="str">
            <v/>
          </cell>
          <cell r="EY635">
            <v>0</v>
          </cell>
          <cell r="EZ635">
            <v>0</v>
          </cell>
          <cell r="FA635">
            <v>0</v>
          </cell>
          <cell r="FB635">
            <v>0</v>
          </cell>
          <cell r="FC635" t="str">
            <v/>
          </cell>
          <cell r="FD635">
            <v>0</v>
          </cell>
          <cell r="FE635">
            <v>0</v>
          </cell>
          <cell r="FF635">
            <v>0</v>
          </cell>
          <cell r="FG635">
            <v>0</v>
          </cell>
          <cell r="FH635" t="str">
            <v/>
          </cell>
          <cell r="FI635">
            <v>0</v>
          </cell>
          <cell r="FJ635">
            <v>0</v>
          </cell>
          <cell r="FK635">
            <v>0</v>
          </cell>
          <cell r="FL635">
            <v>0</v>
          </cell>
          <cell r="FM635" t="str">
            <v/>
          </cell>
          <cell r="FN635">
            <v>0</v>
          </cell>
          <cell r="FO635">
            <v>0</v>
          </cell>
          <cell r="FP635">
            <v>0</v>
          </cell>
          <cell r="FQ635">
            <v>0</v>
          </cell>
          <cell r="FR635" t="str">
            <v/>
          </cell>
          <cell r="FS635">
            <v>0</v>
          </cell>
          <cell r="FT635">
            <v>0</v>
          </cell>
          <cell r="FU635">
            <v>66.666666666666671</v>
          </cell>
          <cell r="FW635" t="str">
            <v>SIN ROTACIÓN</v>
          </cell>
          <cell r="FX635" t="str">
            <v/>
          </cell>
          <cell r="FY635" t="str">
            <v>No</v>
          </cell>
        </row>
        <row r="636">
          <cell r="B636" t="str">
            <v>INS-0003</v>
          </cell>
          <cell r="C636" t="str">
            <v>FLOWEY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AA636">
            <v>0</v>
          </cell>
          <cell r="AB636">
            <v>0</v>
          </cell>
          <cell r="AC636">
            <v>0.66666666666666663</v>
          </cell>
          <cell r="AD636">
            <v>2.222222222222222E-2</v>
          </cell>
          <cell r="AE636">
            <v>9.6666666666666661</v>
          </cell>
          <cell r="AF636">
            <v>0.16666666666666666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M636">
            <v>0</v>
          </cell>
          <cell r="AP636">
            <v>142</v>
          </cell>
          <cell r="AQ636">
            <v>-1</v>
          </cell>
          <cell r="AR636">
            <v>0</v>
          </cell>
          <cell r="AS636">
            <v>122.66666666666667</v>
          </cell>
          <cell r="AT636">
            <v>0</v>
          </cell>
          <cell r="AU636" t="str">
            <v/>
          </cell>
          <cell r="AV636">
            <v>0</v>
          </cell>
          <cell r="AW636">
            <v>0</v>
          </cell>
          <cell r="AX636">
            <v>0</v>
          </cell>
          <cell r="AY636" t="str">
            <v/>
          </cell>
          <cell r="AZ636">
            <v>0</v>
          </cell>
          <cell r="BA636">
            <v>0</v>
          </cell>
          <cell r="BB636">
            <v>0</v>
          </cell>
          <cell r="BC636" t="str">
            <v/>
          </cell>
          <cell r="BE636">
            <v>0</v>
          </cell>
          <cell r="BF636" t="str">
            <v/>
          </cell>
          <cell r="BG636">
            <v>0</v>
          </cell>
          <cell r="BH636">
            <v>0</v>
          </cell>
          <cell r="BI636">
            <v>0</v>
          </cell>
          <cell r="BJ636" t="str">
            <v/>
          </cell>
          <cell r="BK636">
            <v>0</v>
          </cell>
          <cell r="BL636">
            <v>0</v>
          </cell>
          <cell r="BM636">
            <v>0</v>
          </cell>
          <cell r="BN636" t="str">
            <v/>
          </cell>
          <cell r="BO636">
            <v>0</v>
          </cell>
          <cell r="BP636">
            <v>0</v>
          </cell>
          <cell r="BQ636">
            <v>0</v>
          </cell>
          <cell r="BR636" t="str">
            <v/>
          </cell>
          <cell r="BS636">
            <v>0</v>
          </cell>
          <cell r="BT636">
            <v>0</v>
          </cell>
          <cell r="BU636">
            <v>0</v>
          </cell>
          <cell r="BV636" t="str">
            <v/>
          </cell>
          <cell r="BW636">
            <v>2</v>
          </cell>
          <cell r="BX636">
            <v>0</v>
          </cell>
          <cell r="BY636">
            <v>0</v>
          </cell>
          <cell r="BZ636">
            <v>0</v>
          </cell>
          <cell r="CA636" t="str">
            <v/>
          </cell>
          <cell r="CB636">
            <v>2</v>
          </cell>
          <cell r="CD636">
            <v>0</v>
          </cell>
          <cell r="CE636">
            <v>0</v>
          </cell>
          <cell r="CF636" t="str">
            <v/>
          </cell>
          <cell r="CG636">
            <v>2</v>
          </cell>
          <cell r="CH636">
            <v>0</v>
          </cell>
          <cell r="CI636">
            <v>2</v>
          </cell>
          <cell r="CJ636">
            <v>0</v>
          </cell>
          <cell r="CK636" t="str">
            <v/>
          </cell>
          <cell r="CL636">
            <v>2</v>
          </cell>
          <cell r="CM636">
            <v>0</v>
          </cell>
          <cell r="CN636">
            <v>0</v>
          </cell>
          <cell r="CO636">
            <v>0</v>
          </cell>
          <cell r="CP636" t="str">
            <v/>
          </cell>
          <cell r="CQ636">
            <v>2</v>
          </cell>
          <cell r="CS636">
            <v>0</v>
          </cell>
          <cell r="CT636">
            <v>0</v>
          </cell>
          <cell r="CU636" t="str">
            <v/>
          </cell>
          <cell r="CV636">
            <v>0</v>
          </cell>
          <cell r="CX636">
            <v>0</v>
          </cell>
          <cell r="CY636">
            <v>0</v>
          </cell>
          <cell r="CZ636" t="str">
            <v/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 t="str">
            <v/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 t="str">
            <v/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 t="str">
            <v/>
          </cell>
          <cell r="DP636">
            <v>0</v>
          </cell>
          <cell r="DR636">
            <v>0</v>
          </cell>
          <cell r="DS636">
            <v>0</v>
          </cell>
          <cell r="DT636" t="str">
            <v/>
          </cell>
          <cell r="DU636">
            <v>0</v>
          </cell>
          <cell r="DV636">
            <v>0</v>
          </cell>
          <cell r="DW636">
            <v>0</v>
          </cell>
          <cell r="DX636">
            <v>0</v>
          </cell>
          <cell r="DY636" t="str">
            <v/>
          </cell>
          <cell r="DZ636">
            <v>0</v>
          </cell>
          <cell r="EA636">
            <v>0</v>
          </cell>
          <cell r="EB636">
            <v>0</v>
          </cell>
          <cell r="EC636">
            <v>0</v>
          </cell>
          <cell r="ED636" t="str">
            <v/>
          </cell>
          <cell r="EE636">
            <v>0</v>
          </cell>
          <cell r="EF636">
            <v>0</v>
          </cell>
          <cell r="EG636">
            <v>0</v>
          </cell>
          <cell r="EH636">
            <v>0</v>
          </cell>
          <cell r="EI636" t="str">
            <v/>
          </cell>
          <cell r="EJ636">
            <v>0</v>
          </cell>
          <cell r="EK636">
            <v>0</v>
          </cell>
          <cell r="EL636">
            <v>0</v>
          </cell>
          <cell r="EM636">
            <v>0</v>
          </cell>
          <cell r="EN636" t="str">
            <v/>
          </cell>
          <cell r="EO636">
            <v>0</v>
          </cell>
          <cell r="EP636">
            <v>0</v>
          </cell>
          <cell r="EQ636">
            <v>0</v>
          </cell>
          <cell r="ER636">
            <v>0</v>
          </cell>
          <cell r="ES636" t="str">
            <v/>
          </cell>
          <cell r="ET636">
            <v>0</v>
          </cell>
          <cell r="EU636">
            <v>0</v>
          </cell>
          <cell r="EV636">
            <v>0</v>
          </cell>
          <cell r="EW636">
            <v>0</v>
          </cell>
          <cell r="EX636" t="str">
            <v/>
          </cell>
          <cell r="EY636">
            <v>0</v>
          </cell>
          <cell r="EZ636">
            <v>0</v>
          </cell>
          <cell r="FA636">
            <v>0</v>
          </cell>
          <cell r="FB636">
            <v>0</v>
          </cell>
          <cell r="FC636" t="str">
            <v/>
          </cell>
          <cell r="FD636">
            <v>0</v>
          </cell>
          <cell r="FE636">
            <v>0</v>
          </cell>
          <cell r="FF636">
            <v>0</v>
          </cell>
          <cell r="FG636">
            <v>0</v>
          </cell>
          <cell r="FH636" t="str">
            <v/>
          </cell>
          <cell r="FI636">
            <v>0</v>
          </cell>
          <cell r="FJ636">
            <v>0</v>
          </cell>
          <cell r="FK636">
            <v>0</v>
          </cell>
          <cell r="FL636">
            <v>0</v>
          </cell>
          <cell r="FM636" t="str">
            <v/>
          </cell>
          <cell r="FN636">
            <v>0</v>
          </cell>
          <cell r="FO636">
            <v>0</v>
          </cell>
          <cell r="FP636">
            <v>0</v>
          </cell>
          <cell r="FQ636">
            <v>0</v>
          </cell>
          <cell r="FR636" t="str">
            <v/>
          </cell>
          <cell r="FS636">
            <v>0</v>
          </cell>
          <cell r="FT636">
            <v>0</v>
          </cell>
          <cell r="FU636">
            <v>66.666666666666671</v>
          </cell>
          <cell r="FW636" t="str">
            <v>SIN ROTACIÓN</v>
          </cell>
          <cell r="FX636" t="str">
            <v/>
          </cell>
          <cell r="FY636" t="str">
            <v>No</v>
          </cell>
        </row>
        <row r="637">
          <cell r="B637" t="str">
            <v>INS-0004</v>
          </cell>
          <cell r="C637" t="str">
            <v>FLOWEY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M637">
            <v>0</v>
          </cell>
          <cell r="AP637">
            <v>0</v>
          </cell>
          <cell r="AQ637" t="str">
            <v/>
          </cell>
          <cell r="AR637">
            <v>0</v>
          </cell>
          <cell r="AS637">
            <v>0</v>
          </cell>
          <cell r="AT637">
            <v>0</v>
          </cell>
          <cell r="AU637" t="str">
            <v/>
          </cell>
          <cell r="AV637">
            <v>0</v>
          </cell>
          <cell r="AW637">
            <v>0</v>
          </cell>
          <cell r="AX637">
            <v>0</v>
          </cell>
          <cell r="AY637" t="str">
            <v/>
          </cell>
          <cell r="AZ637">
            <v>0</v>
          </cell>
          <cell r="BA637">
            <v>0</v>
          </cell>
          <cell r="BB637">
            <v>0</v>
          </cell>
          <cell r="BC637" t="str">
            <v/>
          </cell>
          <cell r="BE637">
            <v>0</v>
          </cell>
          <cell r="BF637" t="str">
            <v/>
          </cell>
          <cell r="BG637">
            <v>0</v>
          </cell>
          <cell r="BH637">
            <v>0</v>
          </cell>
          <cell r="BI637">
            <v>0</v>
          </cell>
          <cell r="BJ637" t="str">
            <v/>
          </cell>
          <cell r="BK637">
            <v>0</v>
          </cell>
          <cell r="BL637">
            <v>0</v>
          </cell>
          <cell r="BM637">
            <v>0</v>
          </cell>
          <cell r="BN637" t="str">
            <v/>
          </cell>
          <cell r="BO637">
            <v>0</v>
          </cell>
          <cell r="BP637">
            <v>0</v>
          </cell>
          <cell r="BQ637">
            <v>0</v>
          </cell>
          <cell r="BR637" t="str">
            <v/>
          </cell>
          <cell r="BS637">
            <v>0</v>
          </cell>
          <cell r="BT637">
            <v>0</v>
          </cell>
          <cell r="BU637">
            <v>0</v>
          </cell>
          <cell r="BV637" t="str">
            <v/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 t="str">
            <v/>
          </cell>
          <cell r="CB637">
            <v>0</v>
          </cell>
          <cell r="CD637">
            <v>0</v>
          </cell>
          <cell r="CE637">
            <v>0</v>
          </cell>
          <cell r="CF637" t="str">
            <v/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 t="str">
            <v/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 t="str">
            <v/>
          </cell>
          <cell r="CQ637">
            <v>0</v>
          </cell>
          <cell r="CS637">
            <v>0</v>
          </cell>
          <cell r="CT637">
            <v>0</v>
          </cell>
          <cell r="CU637" t="str">
            <v/>
          </cell>
          <cell r="CV637">
            <v>0</v>
          </cell>
          <cell r="CX637">
            <v>0</v>
          </cell>
          <cell r="CY637">
            <v>0</v>
          </cell>
          <cell r="CZ637" t="str">
            <v/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 t="str">
            <v/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 t="str">
            <v/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 t="str">
            <v/>
          </cell>
          <cell r="DP637">
            <v>0</v>
          </cell>
          <cell r="DR637">
            <v>0</v>
          </cell>
          <cell r="DS637">
            <v>0</v>
          </cell>
          <cell r="DT637" t="str">
            <v/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 t="str">
            <v/>
          </cell>
          <cell r="DZ637">
            <v>0</v>
          </cell>
          <cell r="EA637">
            <v>0</v>
          </cell>
          <cell r="EB637">
            <v>0</v>
          </cell>
          <cell r="EC637">
            <v>0</v>
          </cell>
          <cell r="ED637" t="str">
            <v/>
          </cell>
          <cell r="EE637">
            <v>0</v>
          </cell>
          <cell r="EF637">
            <v>0</v>
          </cell>
          <cell r="EG637">
            <v>0</v>
          </cell>
          <cell r="EH637">
            <v>0</v>
          </cell>
          <cell r="EI637" t="str">
            <v/>
          </cell>
          <cell r="EJ637">
            <v>0</v>
          </cell>
          <cell r="EK637">
            <v>0</v>
          </cell>
          <cell r="EL637">
            <v>0</v>
          </cell>
          <cell r="EM637">
            <v>0</v>
          </cell>
          <cell r="EN637" t="str">
            <v/>
          </cell>
          <cell r="EO637">
            <v>0</v>
          </cell>
          <cell r="EP637">
            <v>0</v>
          </cell>
          <cell r="EQ637">
            <v>0</v>
          </cell>
          <cell r="ER637">
            <v>0</v>
          </cell>
          <cell r="ES637" t="str">
            <v/>
          </cell>
          <cell r="ET637">
            <v>0</v>
          </cell>
          <cell r="EU637">
            <v>0</v>
          </cell>
          <cell r="EV637">
            <v>0</v>
          </cell>
          <cell r="EW637">
            <v>0</v>
          </cell>
          <cell r="EX637" t="str">
            <v/>
          </cell>
          <cell r="EY637">
            <v>0</v>
          </cell>
          <cell r="EZ637">
            <v>0</v>
          </cell>
          <cell r="FA637">
            <v>0</v>
          </cell>
          <cell r="FB637">
            <v>0</v>
          </cell>
          <cell r="FC637" t="str">
            <v/>
          </cell>
          <cell r="FD637">
            <v>0</v>
          </cell>
          <cell r="FE637">
            <v>0</v>
          </cell>
          <cell r="FF637">
            <v>0</v>
          </cell>
          <cell r="FG637">
            <v>0</v>
          </cell>
          <cell r="FH637" t="str">
            <v/>
          </cell>
          <cell r="FI637">
            <v>0</v>
          </cell>
          <cell r="FJ637">
            <v>0</v>
          </cell>
          <cell r="FK637">
            <v>0</v>
          </cell>
          <cell r="FL637">
            <v>0</v>
          </cell>
          <cell r="FM637" t="str">
            <v/>
          </cell>
          <cell r="FN637">
            <v>0</v>
          </cell>
          <cell r="FO637">
            <v>0</v>
          </cell>
          <cell r="FP637">
            <v>0</v>
          </cell>
          <cell r="FQ637">
            <v>0</v>
          </cell>
          <cell r="FR637" t="str">
            <v/>
          </cell>
          <cell r="FS637">
            <v>0</v>
          </cell>
          <cell r="FT637">
            <v>0</v>
          </cell>
          <cell r="FU637">
            <v>66.666666666666671</v>
          </cell>
          <cell r="FW637" t="str">
            <v>SIN ROTACIÓN</v>
          </cell>
          <cell r="FX637" t="str">
            <v/>
          </cell>
          <cell r="FY637" t="str">
            <v>No</v>
          </cell>
        </row>
        <row r="638">
          <cell r="B638" t="str">
            <v>INS-0006</v>
          </cell>
          <cell r="C638" t="str">
            <v>FLOWEY</v>
          </cell>
          <cell r="D638">
            <v>0</v>
          </cell>
          <cell r="E638">
            <v>5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5</v>
          </cell>
          <cell r="AA638">
            <v>5</v>
          </cell>
          <cell r="AB638">
            <v>0</v>
          </cell>
          <cell r="AC638">
            <v>0</v>
          </cell>
          <cell r="AD638">
            <v>0</v>
          </cell>
          <cell r="AE638">
            <v>0.25</v>
          </cell>
          <cell r="AF638">
            <v>0</v>
          </cell>
          <cell r="AG638">
            <v>0</v>
          </cell>
          <cell r="AH638">
            <v>8.3333333333333329E-2</v>
          </cell>
          <cell r="AI638">
            <v>0.83333333333333337</v>
          </cell>
          <cell r="AJ638">
            <v>0.83333333333333337</v>
          </cell>
          <cell r="AK638">
            <v>0.83333333333333337</v>
          </cell>
          <cell r="AL638">
            <v>0.45833333333333337</v>
          </cell>
          <cell r="AM638">
            <v>0.4375</v>
          </cell>
          <cell r="AN638">
            <v>1.0476190476190477</v>
          </cell>
          <cell r="AP638">
            <v>-0.16666666666666666</v>
          </cell>
          <cell r="AQ638">
            <v>123</v>
          </cell>
          <cell r="AR638">
            <v>0</v>
          </cell>
          <cell r="AS638">
            <v>-0.5</v>
          </cell>
          <cell r="AT638">
            <v>31</v>
          </cell>
          <cell r="AU638" t="str">
            <v/>
          </cell>
          <cell r="AV638">
            <v>0</v>
          </cell>
          <cell r="AW638">
            <v>31</v>
          </cell>
          <cell r="AX638">
            <v>31</v>
          </cell>
          <cell r="AY638">
            <v>37.199999999999996</v>
          </cell>
          <cell r="AZ638">
            <v>0</v>
          </cell>
          <cell r="BA638">
            <v>31</v>
          </cell>
          <cell r="BB638">
            <v>31</v>
          </cell>
          <cell r="BC638" t="str">
            <v/>
          </cell>
          <cell r="BE638">
            <v>31</v>
          </cell>
          <cell r="BF638" t="str">
            <v/>
          </cell>
          <cell r="BG638">
            <v>0</v>
          </cell>
          <cell r="BH638">
            <v>31</v>
          </cell>
          <cell r="BI638">
            <v>5</v>
          </cell>
          <cell r="BJ638">
            <v>6</v>
          </cell>
          <cell r="BK638">
            <v>0</v>
          </cell>
          <cell r="BL638">
            <v>21</v>
          </cell>
          <cell r="BM638">
            <v>21</v>
          </cell>
          <cell r="BN638" t="str">
            <v/>
          </cell>
          <cell r="BO638">
            <v>0</v>
          </cell>
          <cell r="BP638">
            <v>21</v>
          </cell>
          <cell r="BQ638">
            <v>19</v>
          </cell>
          <cell r="BR638">
            <v>22.8</v>
          </cell>
          <cell r="BS638">
            <v>0</v>
          </cell>
          <cell r="BT638">
            <v>19</v>
          </cell>
          <cell r="BU638">
            <v>20</v>
          </cell>
          <cell r="BV638">
            <v>120</v>
          </cell>
          <cell r="BW638">
            <v>0</v>
          </cell>
          <cell r="BX638">
            <v>0</v>
          </cell>
          <cell r="BY638">
            <v>19.833333333333332</v>
          </cell>
          <cell r="BZ638">
            <v>20</v>
          </cell>
          <cell r="CA638">
            <v>120</v>
          </cell>
          <cell r="CB638">
            <v>0</v>
          </cell>
          <cell r="CC638">
            <v>0</v>
          </cell>
          <cell r="CD638">
            <v>19.833333333333332</v>
          </cell>
          <cell r="CE638">
            <v>20</v>
          </cell>
          <cell r="CF638">
            <v>120</v>
          </cell>
          <cell r="CG638">
            <v>0</v>
          </cell>
          <cell r="CH638">
            <v>0</v>
          </cell>
          <cell r="CI638">
            <v>19.666666666666664</v>
          </cell>
          <cell r="CJ638">
            <v>10</v>
          </cell>
          <cell r="CK638">
            <v>60</v>
          </cell>
          <cell r="CL638">
            <v>0</v>
          </cell>
          <cell r="CM638">
            <v>0</v>
          </cell>
          <cell r="CN638">
            <v>9.8333333333333339</v>
          </cell>
          <cell r="CO638">
            <v>10</v>
          </cell>
          <cell r="CP638">
            <v>60</v>
          </cell>
          <cell r="CQ638">
            <v>0</v>
          </cell>
          <cell r="CR638">
            <v>0</v>
          </cell>
          <cell r="CS638">
            <v>9.8333333333333339</v>
          </cell>
          <cell r="CT638">
            <v>10</v>
          </cell>
          <cell r="CU638">
            <v>60</v>
          </cell>
          <cell r="CV638">
            <v>0</v>
          </cell>
          <cell r="CW638">
            <v>0</v>
          </cell>
          <cell r="CX638">
            <v>9.8333333333333339</v>
          </cell>
          <cell r="CY638">
            <v>10</v>
          </cell>
          <cell r="CZ638">
            <v>6</v>
          </cell>
          <cell r="DA638">
            <v>0</v>
          </cell>
          <cell r="DB638">
            <v>0</v>
          </cell>
          <cell r="DC638">
            <v>7.5</v>
          </cell>
          <cell r="DD638">
            <v>5</v>
          </cell>
          <cell r="DE638">
            <v>-0.4</v>
          </cell>
          <cell r="DF638">
            <v>-1.5</v>
          </cell>
          <cell r="DG638">
            <v>0</v>
          </cell>
          <cell r="DH638">
            <v>2.5</v>
          </cell>
          <cell r="DI638">
            <v>5</v>
          </cell>
          <cell r="DJ638">
            <v>-1.4</v>
          </cell>
          <cell r="DK638">
            <v>3.5</v>
          </cell>
          <cell r="DL638">
            <v>0</v>
          </cell>
          <cell r="DM638">
            <v>3.5</v>
          </cell>
          <cell r="DN638">
            <v>5</v>
          </cell>
          <cell r="DO638">
            <v>3.5999999999999996</v>
          </cell>
          <cell r="DP638">
            <v>0</v>
          </cell>
          <cell r="DR638">
            <v>4.166666666666667</v>
          </cell>
          <cell r="DS638">
            <v>4.166666666666667</v>
          </cell>
          <cell r="DT638">
            <v>2.6</v>
          </cell>
          <cell r="DU638">
            <v>0</v>
          </cell>
          <cell r="DV638">
            <v>0</v>
          </cell>
          <cell r="DW638">
            <v>3.3333333333333335</v>
          </cell>
          <cell r="DX638">
            <v>3.3333333333333335</v>
          </cell>
          <cell r="DY638">
            <v>1.6</v>
          </cell>
          <cell r="DZ638">
            <v>0</v>
          </cell>
          <cell r="EA638">
            <v>0</v>
          </cell>
          <cell r="EB638">
            <v>2.5</v>
          </cell>
          <cell r="EC638">
            <v>2.5</v>
          </cell>
          <cell r="ED638">
            <v>0.6</v>
          </cell>
          <cell r="EE638">
            <v>0</v>
          </cell>
          <cell r="EF638">
            <v>0</v>
          </cell>
          <cell r="EG638">
            <v>1.6666666666666665</v>
          </cell>
          <cell r="EH638">
            <v>1.6666666666666665</v>
          </cell>
          <cell r="EI638">
            <v>-0.40000000000000013</v>
          </cell>
          <cell r="EJ638">
            <v>0.33333333333333348</v>
          </cell>
          <cell r="EK638">
            <v>0</v>
          </cell>
          <cell r="EL638">
            <v>0.83333333333333315</v>
          </cell>
          <cell r="EM638">
            <v>0.83333333333333315</v>
          </cell>
          <cell r="EN638">
            <v>-1.4000000000000004</v>
          </cell>
          <cell r="EO638">
            <v>1.166666666666667</v>
          </cell>
          <cell r="EP638">
            <v>0</v>
          </cell>
          <cell r="EQ638">
            <v>0</v>
          </cell>
          <cell r="ER638">
            <v>0</v>
          </cell>
          <cell r="ES638">
            <v>-2.4</v>
          </cell>
          <cell r="ET638">
            <v>2</v>
          </cell>
          <cell r="EU638">
            <v>0</v>
          </cell>
          <cell r="EV638">
            <v>-0.83333333333333337</v>
          </cell>
          <cell r="EW638">
            <v>-0.83333333333333337</v>
          </cell>
          <cell r="EX638">
            <v>-3.4</v>
          </cell>
          <cell r="EY638">
            <v>2.8333333333333335</v>
          </cell>
          <cell r="EZ638">
            <v>0</v>
          </cell>
          <cell r="FA638">
            <v>-1.6666666666666667</v>
          </cell>
          <cell r="FB638">
            <v>-1.6666666666666667</v>
          </cell>
          <cell r="FC638">
            <v>-4.4000000000000004</v>
          </cell>
          <cell r="FD638">
            <v>3.666666666666667</v>
          </cell>
          <cell r="FE638">
            <v>0</v>
          </cell>
          <cell r="FF638">
            <v>-2.5</v>
          </cell>
          <cell r="FG638">
            <v>-2.5</v>
          </cell>
          <cell r="FH638">
            <v>-5.3999999999999995</v>
          </cell>
          <cell r="FI638">
            <v>4.5</v>
          </cell>
          <cell r="FJ638">
            <v>0</v>
          </cell>
          <cell r="FK638">
            <v>-3.3333333333333335</v>
          </cell>
          <cell r="FL638">
            <v>-3.3333333333333335</v>
          </cell>
          <cell r="FM638">
            <v>-6.4</v>
          </cell>
          <cell r="FN638">
            <v>5.3333333333333339</v>
          </cell>
          <cell r="FO638">
            <v>0</v>
          </cell>
          <cell r="FP638">
            <v>-4.166666666666667</v>
          </cell>
          <cell r="FQ638">
            <v>-4.166666666666667</v>
          </cell>
          <cell r="FR638">
            <v>-7.4</v>
          </cell>
          <cell r="FS638">
            <v>6.166666666666667</v>
          </cell>
          <cell r="FT638">
            <v>2</v>
          </cell>
          <cell r="FU638">
            <v>2.0333333333333332</v>
          </cell>
          <cell r="FW638" t="str">
            <v>STOCK OK</v>
          </cell>
          <cell r="FX638" t="str">
            <v>B</v>
          </cell>
          <cell r="FY638" t="str">
            <v>Si</v>
          </cell>
        </row>
        <row r="639">
          <cell r="B639" t="str">
            <v>INS-0007</v>
          </cell>
          <cell r="C639" t="str">
            <v>MIX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AA639">
            <v>0</v>
          </cell>
          <cell r="AB639">
            <v>0</v>
          </cell>
          <cell r="AC639">
            <v>3.1666666666666665</v>
          </cell>
          <cell r="AD639">
            <v>0.10555555555555556</v>
          </cell>
          <cell r="AE639">
            <v>2.5833333333333335</v>
          </cell>
          <cell r="AF639">
            <v>0.91666666666666663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M639">
            <v>0</v>
          </cell>
          <cell r="AP639">
            <v>0</v>
          </cell>
          <cell r="AQ639">
            <v>-1</v>
          </cell>
          <cell r="AR639">
            <v>0</v>
          </cell>
          <cell r="AS639">
            <v>-5.166666666666667</v>
          </cell>
          <cell r="AT639">
            <v>0</v>
          </cell>
          <cell r="AU639" t="str">
            <v/>
          </cell>
          <cell r="AV639">
            <v>0</v>
          </cell>
          <cell r="AW639">
            <v>0</v>
          </cell>
          <cell r="AX639">
            <v>0</v>
          </cell>
          <cell r="AY639" t="str">
            <v/>
          </cell>
          <cell r="AZ639">
            <v>0</v>
          </cell>
          <cell r="BA639">
            <v>0</v>
          </cell>
          <cell r="BB639">
            <v>0</v>
          </cell>
          <cell r="BC639" t="str">
            <v/>
          </cell>
          <cell r="BE639">
            <v>0</v>
          </cell>
          <cell r="BF639" t="str">
            <v/>
          </cell>
          <cell r="BG639">
            <v>0</v>
          </cell>
          <cell r="BH639">
            <v>0</v>
          </cell>
          <cell r="BI639">
            <v>0</v>
          </cell>
          <cell r="BJ639" t="str">
            <v/>
          </cell>
          <cell r="BK639">
            <v>0</v>
          </cell>
          <cell r="BL639">
            <v>0</v>
          </cell>
          <cell r="BM639">
            <v>0</v>
          </cell>
          <cell r="BN639" t="str">
            <v/>
          </cell>
          <cell r="BO639">
            <v>0</v>
          </cell>
          <cell r="BP639">
            <v>0</v>
          </cell>
          <cell r="BQ639">
            <v>0</v>
          </cell>
          <cell r="BR639" t="str">
            <v/>
          </cell>
          <cell r="BS639">
            <v>0</v>
          </cell>
          <cell r="BT639">
            <v>0</v>
          </cell>
          <cell r="BU639">
            <v>0</v>
          </cell>
          <cell r="BV639" t="str">
            <v/>
          </cell>
          <cell r="BW639">
            <v>9.5</v>
          </cell>
          <cell r="BX639">
            <v>0</v>
          </cell>
          <cell r="BY639">
            <v>0</v>
          </cell>
          <cell r="BZ639">
            <v>0</v>
          </cell>
          <cell r="CA639" t="str">
            <v/>
          </cell>
          <cell r="CB639">
            <v>9.5</v>
          </cell>
          <cell r="CC639">
            <v>0</v>
          </cell>
          <cell r="CD639">
            <v>0</v>
          </cell>
          <cell r="CE639">
            <v>0</v>
          </cell>
          <cell r="CF639" t="str">
            <v/>
          </cell>
          <cell r="CG639">
            <v>9.5</v>
          </cell>
          <cell r="CH639">
            <v>0</v>
          </cell>
          <cell r="CI639">
            <v>9.5</v>
          </cell>
          <cell r="CJ639">
            <v>0</v>
          </cell>
          <cell r="CK639" t="str">
            <v/>
          </cell>
          <cell r="CL639">
            <v>9.5</v>
          </cell>
          <cell r="CM639">
            <v>0</v>
          </cell>
          <cell r="CN639">
            <v>0</v>
          </cell>
          <cell r="CO639">
            <v>0</v>
          </cell>
          <cell r="CP639" t="str">
            <v/>
          </cell>
          <cell r="CQ639">
            <v>9.5</v>
          </cell>
          <cell r="CS639">
            <v>0</v>
          </cell>
          <cell r="CT639">
            <v>0</v>
          </cell>
          <cell r="CU639" t="str">
            <v/>
          </cell>
          <cell r="CV639">
            <v>0</v>
          </cell>
          <cell r="CX639">
            <v>0</v>
          </cell>
          <cell r="CY639">
            <v>0</v>
          </cell>
          <cell r="CZ639" t="str">
            <v/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 t="str">
            <v/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 t="str">
            <v/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 t="str">
            <v/>
          </cell>
          <cell r="DP639">
            <v>0</v>
          </cell>
          <cell r="DR639">
            <v>0</v>
          </cell>
          <cell r="DS639">
            <v>0</v>
          </cell>
          <cell r="DT639" t="str">
            <v/>
          </cell>
          <cell r="DU639">
            <v>0</v>
          </cell>
          <cell r="DV639">
            <v>0</v>
          </cell>
          <cell r="DW639">
            <v>0</v>
          </cell>
          <cell r="DX639">
            <v>0</v>
          </cell>
          <cell r="DY639" t="str">
            <v/>
          </cell>
          <cell r="DZ639">
            <v>0</v>
          </cell>
          <cell r="EA639">
            <v>0</v>
          </cell>
          <cell r="EB639">
            <v>0</v>
          </cell>
          <cell r="EC639">
            <v>0</v>
          </cell>
          <cell r="ED639" t="str">
            <v/>
          </cell>
          <cell r="EE639">
            <v>0</v>
          </cell>
          <cell r="EF639">
            <v>0</v>
          </cell>
          <cell r="EG639">
            <v>0</v>
          </cell>
          <cell r="EH639">
            <v>0</v>
          </cell>
          <cell r="EI639" t="str">
            <v/>
          </cell>
          <cell r="EJ639">
            <v>0</v>
          </cell>
          <cell r="EK639">
            <v>0</v>
          </cell>
          <cell r="EL639">
            <v>0</v>
          </cell>
          <cell r="EM639">
            <v>0</v>
          </cell>
          <cell r="EN639" t="str">
            <v/>
          </cell>
          <cell r="EO639">
            <v>0</v>
          </cell>
          <cell r="EP639">
            <v>0</v>
          </cell>
          <cell r="EQ639">
            <v>0</v>
          </cell>
          <cell r="ER639">
            <v>0</v>
          </cell>
          <cell r="ES639" t="str">
            <v/>
          </cell>
          <cell r="ET639">
            <v>0</v>
          </cell>
          <cell r="EU639">
            <v>0</v>
          </cell>
          <cell r="EV639">
            <v>0</v>
          </cell>
          <cell r="EW639">
            <v>0</v>
          </cell>
          <cell r="EX639" t="str">
            <v/>
          </cell>
          <cell r="EY639">
            <v>0</v>
          </cell>
          <cell r="EZ639">
            <v>0</v>
          </cell>
          <cell r="FA639">
            <v>0</v>
          </cell>
          <cell r="FB639">
            <v>0</v>
          </cell>
          <cell r="FC639" t="str">
            <v/>
          </cell>
          <cell r="FD639">
            <v>0</v>
          </cell>
          <cell r="FE639">
            <v>0</v>
          </cell>
          <cell r="FF639">
            <v>0</v>
          </cell>
          <cell r="FG639">
            <v>0</v>
          </cell>
          <cell r="FH639" t="str">
            <v/>
          </cell>
          <cell r="FI639">
            <v>0</v>
          </cell>
          <cell r="FJ639">
            <v>0</v>
          </cell>
          <cell r="FK639">
            <v>0</v>
          </cell>
          <cell r="FL639">
            <v>0</v>
          </cell>
          <cell r="FM639" t="str">
            <v/>
          </cell>
          <cell r="FN639">
            <v>0</v>
          </cell>
          <cell r="FO639">
            <v>0</v>
          </cell>
          <cell r="FP639">
            <v>0</v>
          </cell>
          <cell r="FQ639">
            <v>0</v>
          </cell>
          <cell r="FR639" t="str">
            <v/>
          </cell>
          <cell r="FS639">
            <v>0</v>
          </cell>
          <cell r="FT639">
            <v>0</v>
          </cell>
          <cell r="FU639">
            <v>66.666666666666671</v>
          </cell>
          <cell r="FW639" t="str">
            <v>SIN ROTACIÓN</v>
          </cell>
          <cell r="FX639" t="str">
            <v/>
          </cell>
          <cell r="FY639" t="str">
            <v>No</v>
          </cell>
        </row>
        <row r="640">
          <cell r="B640" t="str">
            <v>INS-0008</v>
          </cell>
          <cell r="C640" t="str">
            <v>MIX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M640">
            <v>0</v>
          </cell>
          <cell r="AP640">
            <v>31</v>
          </cell>
          <cell r="AQ640" t="str">
            <v/>
          </cell>
          <cell r="AR640">
            <v>0</v>
          </cell>
          <cell r="AS640">
            <v>31</v>
          </cell>
          <cell r="AT640">
            <v>0</v>
          </cell>
          <cell r="AU640" t="str">
            <v/>
          </cell>
          <cell r="AV640">
            <v>0</v>
          </cell>
          <cell r="AW640">
            <v>0</v>
          </cell>
          <cell r="AX640">
            <v>0</v>
          </cell>
          <cell r="AY640" t="str">
            <v/>
          </cell>
          <cell r="AZ640">
            <v>0</v>
          </cell>
          <cell r="BA640">
            <v>0</v>
          </cell>
          <cell r="BB640">
            <v>0</v>
          </cell>
          <cell r="BC640" t="str">
            <v/>
          </cell>
          <cell r="BE640">
            <v>0</v>
          </cell>
          <cell r="BF640" t="str">
            <v/>
          </cell>
          <cell r="BH640">
            <v>0</v>
          </cell>
          <cell r="BI640">
            <v>0</v>
          </cell>
          <cell r="BJ640" t="str">
            <v/>
          </cell>
          <cell r="BK640">
            <v>0</v>
          </cell>
          <cell r="BL640">
            <v>0</v>
          </cell>
          <cell r="BM640">
            <v>0</v>
          </cell>
          <cell r="BN640" t="str">
            <v/>
          </cell>
          <cell r="BO640">
            <v>0</v>
          </cell>
          <cell r="BP640">
            <v>0</v>
          </cell>
          <cell r="BQ640">
            <v>0</v>
          </cell>
          <cell r="BR640" t="str">
            <v/>
          </cell>
          <cell r="BS640">
            <v>0</v>
          </cell>
          <cell r="BT640">
            <v>0</v>
          </cell>
          <cell r="BU640">
            <v>0</v>
          </cell>
          <cell r="BV640" t="str">
            <v/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 t="str">
            <v/>
          </cell>
          <cell r="CB640">
            <v>0</v>
          </cell>
          <cell r="CD640">
            <v>0</v>
          </cell>
          <cell r="CE640">
            <v>0</v>
          </cell>
          <cell r="CF640" t="str">
            <v/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 t="str">
            <v/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 t="str">
            <v/>
          </cell>
          <cell r="CQ640">
            <v>0</v>
          </cell>
          <cell r="CS640">
            <v>0</v>
          </cell>
          <cell r="CT640">
            <v>0</v>
          </cell>
          <cell r="CU640" t="str">
            <v/>
          </cell>
          <cell r="CV640">
            <v>0</v>
          </cell>
          <cell r="CX640">
            <v>0</v>
          </cell>
          <cell r="CY640">
            <v>0</v>
          </cell>
          <cell r="CZ640" t="str">
            <v/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 t="str">
            <v/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 t="str">
            <v/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 t="str">
            <v/>
          </cell>
          <cell r="DP640">
            <v>0</v>
          </cell>
          <cell r="DR640">
            <v>0</v>
          </cell>
          <cell r="DS640">
            <v>0</v>
          </cell>
          <cell r="DT640" t="str">
            <v/>
          </cell>
          <cell r="DU640">
            <v>0</v>
          </cell>
          <cell r="DV640">
            <v>0</v>
          </cell>
          <cell r="DW640">
            <v>0</v>
          </cell>
          <cell r="DX640">
            <v>0</v>
          </cell>
          <cell r="DY640" t="str">
            <v/>
          </cell>
          <cell r="DZ640">
            <v>0</v>
          </cell>
          <cell r="EA640">
            <v>0</v>
          </cell>
          <cell r="EB640">
            <v>0</v>
          </cell>
          <cell r="EC640">
            <v>0</v>
          </cell>
          <cell r="ED640" t="str">
            <v/>
          </cell>
          <cell r="EE640">
            <v>0</v>
          </cell>
          <cell r="EF640">
            <v>0</v>
          </cell>
          <cell r="EG640">
            <v>0</v>
          </cell>
          <cell r="EH640">
            <v>0</v>
          </cell>
          <cell r="EI640" t="str">
            <v/>
          </cell>
          <cell r="EJ640">
            <v>0</v>
          </cell>
          <cell r="EK640">
            <v>0</v>
          </cell>
          <cell r="EL640">
            <v>0</v>
          </cell>
          <cell r="EM640">
            <v>0</v>
          </cell>
          <cell r="EN640" t="str">
            <v/>
          </cell>
          <cell r="EO640">
            <v>0</v>
          </cell>
          <cell r="EP640">
            <v>0</v>
          </cell>
          <cell r="EQ640">
            <v>0</v>
          </cell>
          <cell r="ER640">
            <v>0</v>
          </cell>
          <cell r="ES640" t="str">
            <v/>
          </cell>
          <cell r="ET640">
            <v>0</v>
          </cell>
          <cell r="EU640">
            <v>0</v>
          </cell>
          <cell r="EV640">
            <v>0</v>
          </cell>
          <cell r="EW640">
            <v>0</v>
          </cell>
          <cell r="EX640" t="str">
            <v/>
          </cell>
          <cell r="EY640">
            <v>0</v>
          </cell>
          <cell r="EZ640">
            <v>0</v>
          </cell>
          <cell r="FA640">
            <v>0</v>
          </cell>
          <cell r="FB640">
            <v>0</v>
          </cell>
          <cell r="FC640" t="str">
            <v/>
          </cell>
          <cell r="FD640">
            <v>0</v>
          </cell>
          <cell r="FE640">
            <v>0</v>
          </cell>
          <cell r="FF640">
            <v>0</v>
          </cell>
          <cell r="FG640">
            <v>0</v>
          </cell>
          <cell r="FH640" t="str">
            <v/>
          </cell>
          <cell r="FI640">
            <v>0</v>
          </cell>
          <cell r="FJ640">
            <v>0</v>
          </cell>
          <cell r="FK640">
            <v>0</v>
          </cell>
          <cell r="FL640">
            <v>0</v>
          </cell>
          <cell r="FM640" t="str">
            <v/>
          </cell>
          <cell r="FN640">
            <v>0</v>
          </cell>
          <cell r="FO640">
            <v>0</v>
          </cell>
          <cell r="FP640">
            <v>0</v>
          </cell>
          <cell r="FQ640">
            <v>0</v>
          </cell>
          <cell r="FR640" t="str">
            <v/>
          </cell>
          <cell r="FS640">
            <v>0</v>
          </cell>
          <cell r="FT640">
            <v>0</v>
          </cell>
          <cell r="FU640">
            <v>66.666666666666671</v>
          </cell>
          <cell r="FW640" t="str">
            <v>SIN ROTACIÓN</v>
          </cell>
          <cell r="FX640" t="str">
            <v/>
          </cell>
          <cell r="FY640" t="str">
            <v>No</v>
          </cell>
        </row>
        <row r="641">
          <cell r="B641" t="str">
            <v>INS-0009</v>
          </cell>
          <cell r="C641" t="str">
            <v>FLOWEY</v>
          </cell>
          <cell r="D641">
            <v>0</v>
          </cell>
          <cell r="E641">
            <v>15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15</v>
          </cell>
          <cell r="AA641">
            <v>15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0.41666666666666669</v>
          </cell>
          <cell r="AG641">
            <v>0</v>
          </cell>
          <cell r="AH641">
            <v>0</v>
          </cell>
          <cell r="AI641">
            <v>0.16666666666666666</v>
          </cell>
          <cell r="AJ641">
            <v>0.16666666666666666</v>
          </cell>
          <cell r="AK641">
            <v>0.16666666666666666</v>
          </cell>
          <cell r="AL641">
            <v>0.17078251276599332</v>
          </cell>
          <cell r="AM641">
            <v>8.3333333333333329E-2</v>
          </cell>
          <cell r="AN641">
            <v>2.0493901531919199</v>
          </cell>
          <cell r="AP641">
            <v>0</v>
          </cell>
          <cell r="AQ641">
            <v>37.4</v>
          </cell>
          <cell r="AR641">
            <v>0</v>
          </cell>
          <cell r="AS641">
            <v>-0.83333333333333337</v>
          </cell>
          <cell r="AT641">
            <v>16</v>
          </cell>
          <cell r="AU641" t="str">
            <v/>
          </cell>
          <cell r="AV641">
            <v>0</v>
          </cell>
          <cell r="AW641">
            <v>16</v>
          </cell>
          <cell r="AX641">
            <v>16</v>
          </cell>
          <cell r="AY641">
            <v>96</v>
          </cell>
          <cell r="AZ641">
            <v>0</v>
          </cell>
          <cell r="BA641">
            <v>16</v>
          </cell>
          <cell r="BB641">
            <v>16</v>
          </cell>
          <cell r="BC641" t="str">
            <v/>
          </cell>
          <cell r="BE641">
            <v>16</v>
          </cell>
          <cell r="BF641" t="str">
            <v/>
          </cell>
          <cell r="BH641">
            <v>16</v>
          </cell>
          <cell r="BI641">
            <v>15</v>
          </cell>
          <cell r="BJ641">
            <v>90</v>
          </cell>
          <cell r="BK641">
            <v>0</v>
          </cell>
          <cell r="BL641">
            <v>16</v>
          </cell>
          <cell r="BM641">
            <v>16</v>
          </cell>
          <cell r="BN641" t="str">
            <v/>
          </cell>
          <cell r="BO641">
            <v>0</v>
          </cell>
          <cell r="BP641">
            <v>16</v>
          </cell>
          <cell r="BQ641">
            <v>16</v>
          </cell>
          <cell r="BR641">
            <v>96</v>
          </cell>
          <cell r="BS641">
            <v>0</v>
          </cell>
          <cell r="BT641">
            <v>16</v>
          </cell>
          <cell r="BU641">
            <v>16</v>
          </cell>
          <cell r="BV641" t="str">
            <v/>
          </cell>
          <cell r="BW641">
            <v>0</v>
          </cell>
          <cell r="BX641">
            <v>0</v>
          </cell>
          <cell r="BY641">
            <v>16</v>
          </cell>
          <cell r="BZ641">
            <v>16</v>
          </cell>
          <cell r="CA641" t="str">
            <v/>
          </cell>
          <cell r="CB641">
            <v>0</v>
          </cell>
          <cell r="CC641">
            <v>0</v>
          </cell>
          <cell r="CD641">
            <v>16</v>
          </cell>
          <cell r="CE641">
            <v>16</v>
          </cell>
          <cell r="CF641" t="str">
            <v/>
          </cell>
          <cell r="CG641">
            <v>0</v>
          </cell>
          <cell r="CH641">
            <v>0</v>
          </cell>
          <cell r="CI641">
            <v>16</v>
          </cell>
          <cell r="CJ641">
            <v>16</v>
          </cell>
          <cell r="CK641" t="str">
            <v/>
          </cell>
          <cell r="CL641">
            <v>0</v>
          </cell>
          <cell r="CM641">
            <v>0</v>
          </cell>
          <cell r="CN641">
            <v>16</v>
          </cell>
          <cell r="CO641">
            <v>16</v>
          </cell>
          <cell r="CP641" t="str">
            <v/>
          </cell>
          <cell r="CQ641">
            <v>0</v>
          </cell>
          <cell r="CR641">
            <v>0</v>
          </cell>
          <cell r="CS641">
            <v>16</v>
          </cell>
          <cell r="CT641">
            <v>16</v>
          </cell>
          <cell r="CU641" t="str">
            <v/>
          </cell>
          <cell r="CV641">
            <v>0</v>
          </cell>
          <cell r="CW641">
            <v>0</v>
          </cell>
          <cell r="CX641">
            <v>16</v>
          </cell>
          <cell r="CY641">
            <v>16</v>
          </cell>
          <cell r="CZ641" t="str">
            <v/>
          </cell>
          <cell r="DA641">
            <v>0</v>
          </cell>
          <cell r="DB641">
            <v>0</v>
          </cell>
          <cell r="DC641">
            <v>16</v>
          </cell>
          <cell r="DD641">
            <v>16</v>
          </cell>
          <cell r="DE641" t="str">
            <v/>
          </cell>
          <cell r="DF641">
            <v>0</v>
          </cell>
          <cell r="DG641">
            <v>0</v>
          </cell>
          <cell r="DH641">
            <v>16</v>
          </cell>
          <cell r="DI641">
            <v>15</v>
          </cell>
          <cell r="DJ641">
            <v>90</v>
          </cell>
          <cell r="DK641">
            <v>0</v>
          </cell>
          <cell r="DL641">
            <v>0</v>
          </cell>
          <cell r="DM641">
            <v>15.833333333333334</v>
          </cell>
          <cell r="DN641">
            <v>15</v>
          </cell>
          <cell r="DO641">
            <v>84</v>
          </cell>
          <cell r="DP641">
            <v>0</v>
          </cell>
          <cell r="DR641">
            <v>14.833333333333334</v>
          </cell>
          <cell r="DS641">
            <v>14.833333333333334</v>
          </cell>
          <cell r="DT641">
            <v>83.000000000000014</v>
          </cell>
          <cell r="DU641">
            <v>0</v>
          </cell>
          <cell r="DV641">
            <v>0</v>
          </cell>
          <cell r="DW641">
            <v>14.666666666666668</v>
          </cell>
          <cell r="DX641">
            <v>14.666666666666668</v>
          </cell>
          <cell r="DY641">
            <v>82.000000000000014</v>
          </cell>
          <cell r="DZ641">
            <v>0</v>
          </cell>
          <cell r="EA641">
            <v>0</v>
          </cell>
          <cell r="EB641">
            <v>14.500000000000002</v>
          </cell>
          <cell r="EC641">
            <v>14.500000000000002</v>
          </cell>
          <cell r="ED641">
            <v>81.000000000000014</v>
          </cell>
          <cell r="EE641">
            <v>0</v>
          </cell>
          <cell r="EF641">
            <v>0</v>
          </cell>
          <cell r="EG641">
            <v>14.333333333333336</v>
          </cell>
          <cell r="EH641">
            <v>14.333333333333336</v>
          </cell>
          <cell r="EI641">
            <v>80.000000000000014</v>
          </cell>
          <cell r="EJ641">
            <v>0</v>
          </cell>
          <cell r="EK641">
            <v>0</v>
          </cell>
          <cell r="EL641">
            <v>14.16666666666667</v>
          </cell>
          <cell r="EM641">
            <v>14.16666666666667</v>
          </cell>
          <cell r="EN641">
            <v>79.000000000000028</v>
          </cell>
          <cell r="EO641">
            <v>0</v>
          </cell>
          <cell r="EP641">
            <v>0</v>
          </cell>
          <cell r="EQ641">
            <v>14.000000000000004</v>
          </cell>
          <cell r="ER641">
            <v>14.000000000000004</v>
          </cell>
          <cell r="ES641">
            <v>78.000000000000028</v>
          </cell>
          <cell r="ET641">
            <v>0</v>
          </cell>
          <cell r="EU641">
            <v>0</v>
          </cell>
          <cell r="EV641">
            <v>13.833333333333337</v>
          </cell>
          <cell r="EW641">
            <v>13.833333333333337</v>
          </cell>
          <cell r="EX641">
            <v>77.000000000000028</v>
          </cell>
          <cell r="EY641">
            <v>0</v>
          </cell>
          <cell r="EZ641">
            <v>0</v>
          </cell>
          <cell r="FA641">
            <v>13.666666666666671</v>
          </cell>
          <cell r="FB641">
            <v>13.666666666666671</v>
          </cell>
          <cell r="FC641">
            <v>76.000000000000028</v>
          </cell>
          <cell r="FD641">
            <v>0</v>
          </cell>
          <cell r="FE641">
            <v>0</v>
          </cell>
          <cell r="FF641">
            <v>13.500000000000005</v>
          </cell>
          <cell r="FG641">
            <v>13.500000000000005</v>
          </cell>
          <cell r="FH641">
            <v>75.000000000000043</v>
          </cell>
          <cell r="FI641">
            <v>0</v>
          </cell>
          <cell r="FJ641">
            <v>0</v>
          </cell>
          <cell r="FK641">
            <v>13.333333333333339</v>
          </cell>
          <cell r="FL641">
            <v>13.333333333333339</v>
          </cell>
          <cell r="FM641">
            <v>74.000000000000043</v>
          </cell>
          <cell r="FN641">
            <v>0</v>
          </cell>
          <cell r="FO641">
            <v>0</v>
          </cell>
          <cell r="FP641">
            <v>13.166666666666673</v>
          </cell>
          <cell r="FQ641">
            <v>13.166666666666673</v>
          </cell>
          <cell r="FR641">
            <v>73.000000000000043</v>
          </cell>
          <cell r="FS641">
            <v>0</v>
          </cell>
          <cell r="FT641">
            <v>1</v>
          </cell>
          <cell r="FU641">
            <v>2.0333333333333332</v>
          </cell>
          <cell r="FW641" t="str">
            <v>SOBRESTOCK</v>
          </cell>
          <cell r="FX641" t="str">
            <v>C</v>
          </cell>
          <cell r="FY641" t="str">
            <v>Si</v>
          </cell>
        </row>
        <row r="642">
          <cell r="B642" t="str">
            <v>INS-0010</v>
          </cell>
          <cell r="C642" t="str">
            <v>FLOWEY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M642">
            <v>0</v>
          </cell>
          <cell r="AP642">
            <v>0</v>
          </cell>
          <cell r="AQ642" t="str">
            <v/>
          </cell>
          <cell r="AR642">
            <v>0</v>
          </cell>
          <cell r="AS642">
            <v>0</v>
          </cell>
          <cell r="AT642">
            <v>0</v>
          </cell>
          <cell r="AU642" t="str">
            <v/>
          </cell>
          <cell r="AV642">
            <v>0</v>
          </cell>
          <cell r="AW642">
            <v>0</v>
          </cell>
          <cell r="AX642">
            <v>0</v>
          </cell>
          <cell r="AY642" t="str">
            <v/>
          </cell>
          <cell r="AZ642">
            <v>0</v>
          </cell>
          <cell r="BA642">
            <v>0</v>
          </cell>
          <cell r="BB642">
            <v>0</v>
          </cell>
          <cell r="BC642" t="str">
            <v/>
          </cell>
          <cell r="BE642">
            <v>0</v>
          </cell>
          <cell r="BF642" t="str">
            <v/>
          </cell>
          <cell r="BH642">
            <v>0</v>
          </cell>
          <cell r="BI642">
            <v>0</v>
          </cell>
          <cell r="BJ642" t="str">
            <v/>
          </cell>
          <cell r="BK642">
            <v>0</v>
          </cell>
          <cell r="BL642">
            <v>0</v>
          </cell>
          <cell r="BM642">
            <v>0</v>
          </cell>
          <cell r="BN642" t="str">
            <v/>
          </cell>
          <cell r="BO642">
            <v>0</v>
          </cell>
          <cell r="BP642">
            <v>0</v>
          </cell>
          <cell r="BQ642">
            <v>0</v>
          </cell>
          <cell r="BR642" t="str">
            <v/>
          </cell>
          <cell r="BS642">
            <v>0</v>
          </cell>
          <cell r="BT642">
            <v>0</v>
          </cell>
          <cell r="BU642">
            <v>0</v>
          </cell>
          <cell r="BV642" t="str">
            <v/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 t="str">
            <v/>
          </cell>
          <cell r="CB642">
            <v>0</v>
          </cell>
          <cell r="CD642">
            <v>0</v>
          </cell>
          <cell r="CE642">
            <v>0</v>
          </cell>
          <cell r="CF642" t="str">
            <v/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 t="str">
            <v/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 t="str">
            <v/>
          </cell>
          <cell r="CQ642">
            <v>0</v>
          </cell>
          <cell r="CS642">
            <v>0</v>
          </cell>
          <cell r="CT642">
            <v>0</v>
          </cell>
          <cell r="CU642" t="str">
            <v/>
          </cell>
          <cell r="CV642">
            <v>0</v>
          </cell>
          <cell r="CX642">
            <v>0</v>
          </cell>
          <cell r="CY642">
            <v>0</v>
          </cell>
          <cell r="CZ642" t="str">
            <v/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 t="str">
            <v/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 t="str">
            <v/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 t="str">
            <v/>
          </cell>
          <cell r="DP642">
            <v>0</v>
          </cell>
          <cell r="DR642">
            <v>0</v>
          </cell>
          <cell r="DS642">
            <v>0</v>
          </cell>
          <cell r="DT642" t="str">
            <v/>
          </cell>
          <cell r="DU642">
            <v>0</v>
          </cell>
          <cell r="DV642">
            <v>0</v>
          </cell>
          <cell r="DW642">
            <v>0</v>
          </cell>
          <cell r="DX642">
            <v>0</v>
          </cell>
          <cell r="DY642" t="str">
            <v/>
          </cell>
          <cell r="DZ642">
            <v>0</v>
          </cell>
          <cell r="EA642">
            <v>0</v>
          </cell>
          <cell r="EB642">
            <v>0</v>
          </cell>
          <cell r="EC642">
            <v>0</v>
          </cell>
          <cell r="ED642" t="str">
            <v/>
          </cell>
          <cell r="EE642">
            <v>0</v>
          </cell>
          <cell r="EF642">
            <v>0</v>
          </cell>
          <cell r="EG642">
            <v>0</v>
          </cell>
          <cell r="EH642">
            <v>0</v>
          </cell>
          <cell r="EI642" t="str">
            <v/>
          </cell>
          <cell r="EJ642">
            <v>0</v>
          </cell>
          <cell r="EK642">
            <v>0</v>
          </cell>
          <cell r="EL642">
            <v>0</v>
          </cell>
          <cell r="EM642">
            <v>0</v>
          </cell>
          <cell r="EN642" t="str">
            <v/>
          </cell>
          <cell r="EO642">
            <v>0</v>
          </cell>
          <cell r="EP642">
            <v>0</v>
          </cell>
          <cell r="EQ642">
            <v>0</v>
          </cell>
          <cell r="ER642">
            <v>0</v>
          </cell>
          <cell r="ES642" t="str">
            <v/>
          </cell>
          <cell r="ET642">
            <v>0</v>
          </cell>
          <cell r="EU642">
            <v>0</v>
          </cell>
          <cell r="EV642">
            <v>0</v>
          </cell>
          <cell r="EW642">
            <v>0</v>
          </cell>
          <cell r="EX642" t="str">
            <v/>
          </cell>
          <cell r="EY642">
            <v>0</v>
          </cell>
          <cell r="EZ642">
            <v>0</v>
          </cell>
          <cell r="FA642">
            <v>0</v>
          </cell>
          <cell r="FB642">
            <v>0</v>
          </cell>
          <cell r="FC642" t="str">
            <v/>
          </cell>
          <cell r="FD642">
            <v>0</v>
          </cell>
          <cell r="FE642">
            <v>0</v>
          </cell>
          <cell r="FF642">
            <v>0</v>
          </cell>
          <cell r="FG642">
            <v>0</v>
          </cell>
          <cell r="FH642" t="str">
            <v/>
          </cell>
          <cell r="FI642">
            <v>0</v>
          </cell>
          <cell r="FJ642">
            <v>0</v>
          </cell>
          <cell r="FK642">
            <v>0</v>
          </cell>
          <cell r="FL642">
            <v>0</v>
          </cell>
          <cell r="FM642" t="str">
            <v/>
          </cell>
          <cell r="FN642">
            <v>0</v>
          </cell>
          <cell r="FO642">
            <v>0</v>
          </cell>
          <cell r="FP642">
            <v>0</v>
          </cell>
          <cell r="FQ642">
            <v>0</v>
          </cell>
          <cell r="FR642" t="str">
            <v/>
          </cell>
          <cell r="FS642">
            <v>0</v>
          </cell>
          <cell r="FT642">
            <v>0</v>
          </cell>
          <cell r="FU642">
            <v>66.666666666666671</v>
          </cell>
          <cell r="FW642" t="str">
            <v>SIN ROTACIÓN</v>
          </cell>
          <cell r="FX642" t="str">
            <v/>
          </cell>
          <cell r="FY642" t="str">
            <v>No</v>
          </cell>
        </row>
        <row r="643">
          <cell r="B643" t="str">
            <v>INS-0011</v>
          </cell>
          <cell r="C643" t="str">
            <v>FLOWEY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M643">
            <v>0</v>
          </cell>
          <cell r="AP643">
            <v>16</v>
          </cell>
          <cell r="AQ643" t="str">
            <v/>
          </cell>
          <cell r="AR643">
            <v>0</v>
          </cell>
          <cell r="AS643">
            <v>16</v>
          </cell>
          <cell r="AT643">
            <v>0</v>
          </cell>
          <cell r="AU643" t="str">
            <v/>
          </cell>
          <cell r="AV643">
            <v>0</v>
          </cell>
          <cell r="AW643">
            <v>0</v>
          </cell>
          <cell r="AX643">
            <v>0</v>
          </cell>
          <cell r="AY643" t="str">
            <v/>
          </cell>
          <cell r="AZ643">
            <v>0</v>
          </cell>
          <cell r="BA643">
            <v>0</v>
          </cell>
          <cell r="BB643">
            <v>0</v>
          </cell>
          <cell r="BC643" t="str">
            <v/>
          </cell>
          <cell r="BE643">
            <v>0</v>
          </cell>
          <cell r="BF643" t="str">
            <v/>
          </cell>
          <cell r="BH643">
            <v>0</v>
          </cell>
          <cell r="BI643">
            <v>0</v>
          </cell>
          <cell r="BJ643" t="str">
            <v/>
          </cell>
          <cell r="BK643">
            <v>0</v>
          </cell>
          <cell r="BL643">
            <v>0</v>
          </cell>
          <cell r="BM643">
            <v>0</v>
          </cell>
          <cell r="BN643" t="str">
            <v/>
          </cell>
          <cell r="BO643">
            <v>0</v>
          </cell>
          <cell r="BP643">
            <v>0</v>
          </cell>
          <cell r="BQ643">
            <v>0</v>
          </cell>
          <cell r="BR643" t="str">
            <v/>
          </cell>
          <cell r="BS643">
            <v>0</v>
          </cell>
          <cell r="BT643">
            <v>0</v>
          </cell>
          <cell r="BU643">
            <v>0</v>
          </cell>
          <cell r="BV643" t="str">
            <v/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 t="str">
            <v/>
          </cell>
          <cell r="CB643">
            <v>0</v>
          </cell>
          <cell r="CD643">
            <v>0</v>
          </cell>
          <cell r="CE643">
            <v>0</v>
          </cell>
          <cell r="CF643" t="str">
            <v/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 t="str">
            <v/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 t="str">
            <v/>
          </cell>
          <cell r="CQ643">
            <v>0</v>
          </cell>
          <cell r="CS643">
            <v>0</v>
          </cell>
          <cell r="CT643">
            <v>0</v>
          </cell>
          <cell r="CU643" t="str">
            <v/>
          </cell>
          <cell r="CV643">
            <v>0</v>
          </cell>
          <cell r="CX643">
            <v>0</v>
          </cell>
          <cell r="CY643">
            <v>0</v>
          </cell>
          <cell r="CZ643" t="str">
            <v/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 t="str">
            <v/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 t="str">
            <v/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 t="str">
            <v/>
          </cell>
          <cell r="DP643">
            <v>0</v>
          </cell>
          <cell r="DR643">
            <v>0</v>
          </cell>
          <cell r="DS643">
            <v>0</v>
          </cell>
          <cell r="DT643" t="str">
            <v/>
          </cell>
          <cell r="DU643">
            <v>0</v>
          </cell>
          <cell r="DV643">
            <v>0</v>
          </cell>
          <cell r="DW643">
            <v>0</v>
          </cell>
          <cell r="DX643">
            <v>0</v>
          </cell>
          <cell r="DY643" t="str">
            <v/>
          </cell>
          <cell r="DZ643">
            <v>0</v>
          </cell>
          <cell r="EA643">
            <v>0</v>
          </cell>
          <cell r="EB643">
            <v>0</v>
          </cell>
          <cell r="EC643">
            <v>0</v>
          </cell>
          <cell r="ED643" t="str">
            <v/>
          </cell>
          <cell r="EE643">
            <v>0</v>
          </cell>
          <cell r="EF643">
            <v>0</v>
          </cell>
          <cell r="EG643">
            <v>0</v>
          </cell>
          <cell r="EH643">
            <v>0</v>
          </cell>
          <cell r="EI643" t="str">
            <v/>
          </cell>
          <cell r="EJ643">
            <v>0</v>
          </cell>
          <cell r="EK643">
            <v>0</v>
          </cell>
          <cell r="EL643">
            <v>0</v>
          </cell>
          <cell r="EM643">
            <v>0</v>
          </cell>
          <cell r="EN643" t="str">
            <v/>
          </cell>
          <cell r="EO643">
            <v>0</v>
          </cell>
          <cell r="EP643">
            <v>0</v>
          </cell>
          <cell r="EQ643">
            <v>0</v>
          </cell>
          <cell r="ER643">
            <v>0</v>
          </cell>
          <cell r="ES643" t="str">
            <v/>
          </cell>
          <cell r="ET643">
            <v>0</v>
          </cell>
          <cell r="EU643">
            <v>0</v>
          </cell>
          <cell r="EV643">
            <v>0</v>
          </cell>
          <cell r="EW643">
            <v>0</v>
          </cell>
          <cell r="EX643" t="str">
            <v/>
          </cell>
          <cell r="EY643">
            <v>0</v>
          </cell>
          <cell r="EZ643">
            <v>0</v>
          </cell>
          <cell r="FA643">
            <v>0</v>
          </cell>
          <cell r="FB643">
            <v>0</v>
          </cell>
          <cell r="FC643" t="str">
            <v/>
          </cell>
          <cell r="FD643">
            <v>0</v>
          </cell>
          <cell r="FE643">
            <v>0</v>
          </cell>
          <cell r="FF643">
            <v>0</v>
          </cell>
          <cell r="FG643">
            <v>0</v>
          </cell>
          <cell r="FH643" t="str">
            <v/>
          </cell>
          <cell r="FI643">
            <v>0</v>
          </cell>
          <cell r="FJ643">
            <v>0</v>
          </cell>
          <cell r="FK643">
            <v>0</v>
          </cell>
          <cell r="FL643">
            <v>0</v>
          </cell>
          <cell r="FM643" t="str">
            <v/>
          </cell>
          <cell r="FN643">
            <v>0</v>
          </cell>
          <cell r="FO643">
            <v>0</v>
          </cell>
          <cell r="FP643">
            <v>0</v>
          </cell>
          <cell r="FQ643">
            <v>0</v>
          </cell>
          <cell r="FR643" t="str">
            <v/>
          </cell>
          <cell r="FS643">
            <v>0</v>
          </cell>
          <cell r="FT643">
            <v>0</v>
          </cell>
          <cell r="FU643">
            <v>66.666666666666671</v>
          </cell>
          <cell r="FW643" t="str">
            <v>SIN ROTACIÓN</v>
          </cell>
          <cell r="FX643" t="str">
            <v/>
          </cell>
          <cell r="FY643" t="str">
            <v>No</v>
          </cell>
        </row>
        <row r="644">
          <cell r="B644" t="str">
            <v>INS-0012</v>
          </cell>
          <cell r="C644" t="str">
            <v>FLOWEY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M644">
            <v>0</v>
          </cell>
          <cell r="AP644">
            <v>0</v>
          </cell>
          <cell r="AQ644" t="str">
            <v/>
          </cell>
          <cell r="AR644">
            <v>0</v>
          </cell>
          <cell r="AS644">
            <v>0</v>
          </cell>
          <cell r="AT644">
            <v>0</v>
          </cell>
          <cell r="AU644" t="str">
            <v/>
          </cell>
          <cell r="AV644">
            <v>0</v>
          </cell>
          <cell r="AW644">
            <v>0</v>
          </cell>
          <cell r="AX644">
            <v>0</v>
          </cell>
          <cell r="AY644" t="str">
            <v/>
          </cell>
          <cell r="AZ644">
            <v>0</v>
          </cell>
          <cell r="BA644">
            <v>0</v>
          </cell>
          <cell r="BB644">
            <v>0</v>
          </cell>
          <cell r="BC644" t="str">
            <v/>
          </cell>
          <cell r="BE644">
            <v>0</v>
          </cell>
          <cell r="BF644" t="str">
            <v/>
          </cell>
          <cell r="BH644">
            <v>0</v>
          </cell>
          <cell r="BI644">
            <v>0</v>
          </cell>
          <cell r="BJ644" t="str">
            <v/>
          </cell>
          <cell r="BK644">
            <v>0</v>
          </cell>
          <cell r="BL644">
            <v>0</v>
          </cell>
          <cell r="BM644">
            <v>0</v>
          </cell>
          <cell r="BN644" t="str">
            <v/>
          </cell>
          <cell r="BO644">
            <v>0</v>
          </cell>
          <cell r="BP644">
            <v>0</v>
          </cell>
          <cell r="BQ644">
            <v>0</v>
          </cell>
          <cell r="BR644" t="str">
            <v/>
          </cell>
          <cell r="BS644">
            <v>0</v>
          </cell>
          <cell r="BT644">
            <v>0</v>
          </cell>
          <cell r="BU644">
            <v>0</v>
          </cell>
          <cell r="BV644" t="str">
            <v/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 t="str">
            <v/>
          </cell>
          <cell r="CB644">
            <v>0</v>
          </cell>
          <cell r="CD644">
            <v>0</v>
          </cell>
          <cell r="CE644">
            <v>0</v>
          </cell>
          <cell r="CF644" t="str">
            <v/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 t="str">
            <v/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 t="str">
            <v/>
          </cell>
          <cell r="CQ644">
            <v>0</v>
          </cell>
          <cell r="CS644">
            <v>0</v>
          </cell>
          <cell r="CT644">
            <v>0</v>
          </cell>
          <cell r="CU644" t="str">
            <v/>
          </cell>
          <cell r="CV644">
            <v>0</v>
          </cell>
          <cell r="CX644">
            <v>0</v>
          </cell>
          <cell r="CY644">
            <v>0</v>
          </cell>
          <cell r="CZ644" t="str">
            <v/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 t="str">
            <v/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 t="str">
            <v/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 t="str">
            <v/>
          </cell>
          <cell r="DP644">
            <v>0</v>
          </cell>
          <cell r="DR644">
            <v>0</v>
          </cell>
          <cell r="DS644">
            <v>0</v>
          </cell>
          <cell r="DT644" t="str">
            <v/>
          </cell>
          <cell r="DU644">
            <v>0</v>
          </cell>
          <cell r="DV644">
            <v>0</v>
          </cell>
          <cell r="DW644">
            <v>0</v>
          </cell>
          <cell r="DX644">
            <v>0</v>
          </cell>
          <cell r="DY644" t="str">
            <v/>
          </cell>
          <cell r="DZ644">
            <v>0</v>
          </cell>
          <cell r="EA644">
            <v>0</v>
          </cell>
          <cell r="EB644">
            <v>0</v>
          </cell>
          <cell r="EC644">
            <v>0</v>
          </cell>
          <cell r="ED644" t="str">
            <v/>
          </cell>
          <cell r="EE644">
            <v>0</v>
          </cell>
          <cell r="EF644">
            <v>0</v>
          </cell>
          <cell r="EG644">
            <v>0</v>
          </cell>
          <cell r="EH644">
            <v>0</v>
          </cell>
          <cell r="EI644" t="str">
            <v/>
          </cell>
          <cell r="EJ644">
            <v>0</v>
          </cell>
          <cell r="EK644">
            <v>0</v>
          </cell>
          <cell r="EL644">
            <v>0</v>
          </cell>
          <cell r="EM644">
            <v>0</v>
          </cell>
          <cell r="EN644" t="str">
            <v/>
          </cell>
          <cell r="EO644">
            <v>0</v>
          </cell>
          <cell r="EP644">
            <v>0</v>
          </cell>
          <cell r="EQ644">
            <v>0</v>
          </cell>
          <cell r="ER644">
            <v>0</v>
          </cell>
          <cell r="ES644" t="str">
            <v/>
          </cell>
          <cell r="ET644">
            <v>0</v>
          </cell>
          <cell r="EU644">
            <v>0</v>
          </cell>
          <cell r="EV644">
            <v>0</v>
          </cell>
          <cell r="EW644">
            <v>0</v>
          </cell>
          <cell r="EX644" t="str">
            <v/>
          </cell>
          <cell r="EY644">
            <v>0</v>
          </cell>
          <cell r="EZ644">
            <v>0</v>
          </cell>
          <cell r="FA644">
            <v>0</v>
          </cell>
          <cell r="FB644">
            <v>0</v>
          </cell>
          <cell r="FC644" t="str">
            <v/>
          </cell>
          <cell r="FD644">
            <v>0</v>
          </cell>
          <cell r="FE644">
            <v>0</v>
          </cell>
          <cell r="FF644">
            <v>0</v>
          </cell>
          <cell r="FG644">
            <v>0</v>
          </cell>
          <cell r="FH644" t="str">
            <v/>
          </cell>
          <cell r="FI644">
            <v>0</v>
          </cell>
          <cell r="FJ644">
            <v>0</v>
          </cell>
          <cell r="FK644">
            <v>0</v>
          </cell>
          <cell r="FL644">
            <v>0</v>
          </cell>
          <cell r="FM644" t="str">
            <v/>
          </cell>
          <cell r="FN644">
            <v>0</v>
          </cell>
          <cell r="FO644">
            <v>0</v>
          </cell>
          <cell r="FP644">
            <v>0</v>
          </cell>
          <cell r="FQ644">
            <v>0</v>
          </cell>
          <cell r="FR644" t="str">
            <v/>
          </cell>
          <cell r="FS644">
            <v>0</v>
          </cell>
          <cell r="FT644">
            <v>0</v>
          </cell>
          <cell r="FU644">
            <v>66.666666666666671</v>
          </cell>
          <cell r="FW644" t="str">
            <v>SIN ROTACIÓN</v>
          </cell>
          <cell r="FX644" t="str">
            <v/>
          </cell>
          <cell r="FY644" t="str">
            <v>No</v>
          </cell>
        </row>
        <row r="645">
          <cell r="B645" t="str">
            <v>INS-0013</v>
          </cell>
          <cell r="C645" t="str">
            <v>FLOWEY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M645">
            <v>0</v>
          </cell>
          <cell r="AP645">
            <v>0</v>
          </cell>
          <cell r="AQ645" t="str">
            <v/>
          </cell>
          <cell r="AR645">
            <v>0</v>
          </cell>
          <cell r="AS645">
            <v>0</v>
          </cell>
          <cell r="AT645">
            <v>0</v>
          </cell>
          <cell r="AU645" t="str">
            <v/>
          </cell>
          <cell r="AV645">
            <v>0</v>
          </cell>
          <cell r="AW645">
            <v>0</v>
          </cell>
          <cell r="AX645">
            <v>0</v>
          </cell>
          <cell r="AY645" t="str">
            <v/>
          </cell>
          <cell r="AZ645">
            <v>0</v>
          </cell>
          <cell r="BA645">
            <v>0</v>
          </cell>
          <cell r="BB645">
            <v>0</v>
          </cell>
          <cell r="BC645" t="str">
            <v/>
          </cell>
          <cell r="BE645">
            <v>0</v>
          </cell>
          <cell r="BF645" t="str">
            <v/>
          </cell>
          <cell r="BH645">
            <v>0</v>
          </cell>
          <cell r="BI645">
            <v>0</v>
          </cell>
          <cell r="BJ645" t="str">
            <v/>
          </cell>
          <cell r="BK645">
            <v>0</v>
          </cell>
          <cell r="BL645">
            <v>0</v>
          </cell>
          <cell r="BM645">
            <v>0</v>
          </cell>
          <cell r="BN645" t="str">
            <v/>
          </cell>
          <cell r="BO645">
            <v>0</v>
          </cell>
          <cell r="BP645">
            <v>0</v>
          </cell>
          <cell r="BQ645">
            <v>0</v>
          </cell>
          <cell r="BR645" t="str">
            <v/>
          </cell>
          <cell r="BS645">
            <v>0</v>
          </cell>
          <cell r="BT645">
            <v>0</v>
          </cell>
          <cell r="BU645">
            <v>0</v>
          </cell>
          <cell r="BV645" t="str">
            <v/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 t="str">
            <v/>
          </cell>
          <cell r="CB645">
            <v>0</v>
          </cell>
          <cell r="CD645">
            <v>0</v>
          </cell>
          <cell r="CE645">
            <v>0</v>
          </cell>
          <cell r="CF645" t="str">
            <v/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 t="str">
            <v/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 t="str">
            <v/>
          </cell>
          <cell r="CQ645">
            <v>0</v>
          </cell>
          <cell r="CS645">
            <v>0</v>
          </cell>
          <cell r="CT645">
            <v>0</v>
          </cell>
          <cell r="CU645" t="str">
            <v/>
          </cell>
          <cell r="CV645">
            <v>0</v>
          </cell>
          <cell r="CX645">
            <v>0</v>
          </cell>
          <cell r="CY645">
            <v>0</v>
          </cell>
          <cell r="CZ645" t="str">
            <v/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 t="str">
            <v/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 t="str">
            <v/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 t="str">
            <v/>
          </cell>
          <cell r="DP645">
            <v>0</v>
          </cell>
          <cell r="DR645">
            <v>0</v>
          </cell>
          <cell r="DS645">
            <v>0</v>
          </cell>
          <cell r="DT645" t="str">
            <v/>
          </cell>
          <cell r="DU645">
            <v>0</v>
          </cell>
          <cell r="DV645">
            <v>0</v>
          </cell>
          <cell r="DW645">
            <v>0</v>
          </cell>
          <cell r="DX645">
            <v>0</v>
          </cell>
          <cell r="DY645" t="str">
            <v/>
          </cell>
          <cell r="DZ645">
            <v>0</v>
          </cell>
          <cell r="EA645">
            <v>0</v>
          </cell>
          <cell r="EB645">
            <v>0</v>
          </cell>
          <cell r="EC645">
            <v>0</v>
          </cell>
          <cell r="ED645" t="str">
            <v/>
          </cell>
          <cell r="EE645">
            <v>0</v>
          </cell>
          <cell r="EF645">
            <v>0</v>
          </cell>
          <cell r="EG645">
            <v>0</v>
          </cell>
          <cell r="EH645">
            <v>0</v>
          </cell>
          <cell r="EI645" t="str">
            <v/>
          </cell>
          <cell r="EJ645">
            <v>0</v>
          </cell>
          <cell r="EK645">
            <v>0</v>
          </cell>
          <cell r="EL645">
            <v>0</v>
          </cell>
          <cell r="EM645">
            <v>0</v>
          </cell>
          <cell r="EN645" t="str">
            <v/>
          </cell>
          <cell r="EO645">
            <v>0</v>
          </cell>
          <cell r="EP645">
            <v>0</v>
          </cell>
          <cell r="EQ645">
            <v>0</v>
          </cell>
          <cell r="ER645">
            <v>0</v>
          </cell>
          <cell r="ES645" t="str">
            <v/>
          </cell>
          <cell r="ET645">
            <v>0</v>
          </cell>
          <cell r="EU645">
            <v>0</v>
          </cell>
          <cell r="EV645">
            <v>0</v>
          </cell>
          <cell r="EW645">
            <v>0</v>
          </cell>
          <cell r="EX645" t="str">
            <v/>
          </cell>
          <cell r="EY645">
            <v>0</v>
          </cell>
          <cell r="EZ645">
            <v>0</v>
          </cell>
          <cell r="FA645">
            <v>0</v>
          </cell>
          <cell r="FB645">
            <v>0</v>
          </cell>
          <cell r="FC645" t="str">
            <v/>
          </cell>
          <cell r="FD645">
            <v>0</v>
          </cell>
          <cell r="FE645">
            <v>0</v>
          </cell>
          <cell r="FF645">
            <v>0</v>
          </cell>
          <cell r="FG645">
            <v>0</v>
          </cell>
          <cell r="FH645" t="str">
            <v/>
          </cell>
          <cell r="FI645">
            <v>0</v>
          </cell>
          <cell r="FJ645">
            <v>0</v>
          </cell>
          <cell r="FK645">
            <v>0</v>
          </cell>
          <cell r="FL645">
            <v>0</v>
          </cell>
          <cell r="FM645" t="str">
            <v/>
          </cell>
          <cell r="FN645">
            <v>0</v>
          </cell>
          <cell r="FO645">
            <v>0</v>
          </cell>
          <cell r="FP645">
            <v>0</v>
          </cell>
          <cell r="FQ645">
            <v>0</v>
          </cell>
          <cell r="FR645" t="str">
            <v/>
          </cell>
          <cell r="FS645">
            <v>0</v>
          </cell>
          <cell r="FT645">
            <v>0</v>
          </cell>
          <cell r="FU645">
            <v>66.666666666666671</v>
          </cell>
          <cell r="FW645" t="str">
            <v>SIN ROTACIÓN</v>
          </cell>
          <cell r="FX645" t="str">
            <v/>
          </cell>
          <cell r="FY645" t="str">
            <v>No</v>
          </cell>
        </row>
        <row r="646">
          <cell r="B646" t="str">
            <v>INS-0015</v>
          </cell>
          <cell r="C646" t="str">
            <v>FLOWEY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AA646">
            <v>0</v>
          </cell>
          <cell r="AB646">
            <v>0</v>
          </cell>
          <cell r="AC646">
            <v>3.8333333333333335</v>
          </cell>
          <cell r="AD646">
            <v>0.1277777777777778</v>
          </cell>
          <cell r="AE646">
            <v>3.5833333333333335</v>
          </cell>
          <cell r="AF646">
            <v>7.5</v>
          </cell>
          <cell r="AG646">
            <v>4.75</v>
          </cell>
          <cell r="AH646">
            <v>4</v>
          </cell>
          <cell r="AI646">
            <v>0</v>
          </cell>
          <cell r="AJ646">
            <v>0</v>
          </cell>
          <cell r="AK646">
            <v>0</v>
          </cell>
          <cell r="AL646">
            <v>2.5443974401286709</v>
          </cell>
          <cell r="AM646">
            <v>2.1875</v>
          </cell>
          <cell r="AN646">
            <v>1.1631531154873924</v>
          </cell>
          <cell r="AP646">
            <v>-4.75</v>
          </cell>
          <cell r="AQ646">
            <v>5.666666666666667</v>
          </cell>
          <cell r="AR646">
            <v>0</v>
          </cell>
          <cell r="AS646">
            <v>-15</v>
          </cell>
          <cell r="AT646">
            <v>82</v>
          </cell>
          <cell r="AU646">
            <v>17.263157894736842</v>
          </cell>
          <cell r="AV646">
            <v>0</v>
          </cell>
          <cell r="AW646">
            <v>77.25</v>
          </cell>
          <cell r="AX646">
            <v>81</v>
          </cell>
          <cell r="AY646" t="str">
            <v/>
          </cell>
          <cell r="AZ646">
            <v>0</v>
          </cell>
          <cell r="BA646">
            <v>76.25</v>
          </cell>
          <cell r="BB646">
            <v>78</v>
          </cell>
          <cell r="BC646">
            <v>16.421052631578949</v>
          </cell>
          <cell r="BE646">
            <v>71.5</v>
          </cell>
          <cell r="BF646">
            <v>15.052631578947368</v>
          </cell>
          <cell r="BH646">
            <v>66.75</v>
          </cell>
          <cell r="BI646">
            <v>0</v>
          </cell>
          <cell r="BJ646" t="str">
            <v/>
          </cell>
          <cell r="BK646">
            <v>0</v>
          </cell>
          <cell r="BL646">
            <v>60.25</v>
          </cell>
          <cell r="BM646">
            <v>63</v>
          </cell>
          <cell r="BN646">
            <v>13.263157894736842</v>
          </cell>
          <cell r="BO646">
            <v>0</v>
          </cell>
          <cell r="BP646">
            <v>58.25</v>
          </cell>
          <cell r="BQ646">
            <v>60</v>
          </cell>
          <cell r="BR646" t="str">
            <v/>
          </cell>
          <cell r="BS646">
            <v>0</v>
          </cell>
          <cell r="BT646">
            <v>55.25</v>
          </cell>
          <cell r="BU646">
            <v>55</v>
          </cell>
          <cell r="BV646">
            <v>11.578947368421053</v>
          </cell>
          <cell r="BW646">
            <v>0</v>
          </cell>
          <cell r="BX646">
            <v>0</v>
          </cell>
          <cell r="BY646">
            <v>50.25</v>
          </cell>
          <cell r="BZ646">
            <v>50</v>
          </cell>
          <cell r="CA646">
            <v>10.526315789473685</v>
          </cell>
          <cell r="CB646">
            <v>0</v>
          </cell>
          <cell r="CC646">
            <v>0</v>
          </cell>
          <cell r="CD646">
            <v>45.25</v>
          </cell>
          <cell r="CE646">
            <v>43</v>
          </cell>
          <cell r="CF646">
            <v>9.0526315789473681</v>
          </cell>
          <cell r="CG646">
            <v>0</v>
          </cell>
          <cell r="CH646">
            <v>0</v>
          </cell>
          <cell r="CI646">
            <v>40.5</v>
          </cell>
          <cell r="CJ646">
            <v>35</v>
          </cell>
          <cell r="CK646">
            <v>7.3684210526315788</v>
          </cell>
          <cell r="CL646">
            <v>0</v>
          </cell>
          <cell r="CM646">
            <v>0</v>
          </cell>
          <cell r="CN646">
            <v>30.25</v>
          </cell>
          <cell r="CO646">
            <v>27</v>
          </cell>
          <cell r="CP646">
            <v>5.6842105263157894</v>
          </cell>
          <cell r="CQ646">
            <v>0</v>
          </cell>
          <cell r="CR646">
            <v>0</v>
          </cell>
          <cell r="CS646">
            <v>22.25</v>
          </cell>
          <cell r="CT646">
            <v>0</v>
          </cell>
          <cell r="CU646">
            <v>0</v>
          </cell>
          <cell r="CV646">
            <v>29</v>
          </cell>
          <cell r="CW646">
            <v>0</v>
          </cell>
          <cell r="CX646">
            <v>-14</v>
          </cell>
          <cell r="CY646">
            <v>0</v>
          </cell>
          <cell r="CZ646">
            <v>0</v>
          </cell>
          <cell r="DA646">
            <v>24</v>
          </cell>
          <cell r="DB646">
            <v>0</v>
          </cell>
          <cell r="DC646">
            <v>-4.75</v>
          </cell>
          <cell r="DD646">
            <v>0</v>
          </cell>
          <cell r="DE646">
            <v>-2.1052631578947367</v>
          </cell>
          <cell r="DF646">
            <v>14.75</v>
          </cell>
          <cell r="DG646">
            <v>0</v>
          </cell>
          <cell r="DH646">
            <v>-4.75</v>
          </cell>
          <cell r="DI646">
            <v>0</v>
          </cell>
          <cell r="DJ646" t="str">
            <v/>
          </cell>
          <cell r="DK646">
            <v>0</v>
          </cell>
          <cell r="DL646">
            <v>0</v>
          </cell>
          <cell r="DM646">
            <v>-4.75</v>
          </cell>
          <cell r="DN646">
            <v>0</v>
          </cell>
          <cell r="DO646" t="str">
            <v/>
          </cell>
          <cell r="DP646">
            <v>0</v>
          </cell>
          <cell r="DR646">
            <v>0</v>
          </cell>
          <cell r="DS646">
            <v>0</v>
          </cell>
          <cell r="DT646" t="str">
            <v/>
          </cell>
          <cell r="DU646">
            <v>0</v>
          </cell>
          <cell r="DV646">
            <v>0</v>
          </cell>
          <cell r="DW646">
            <v>0</v>
          </cell>
          <cell r="DX646">
            <v>0</v>
          </cell>
          <cell r="DY646" t="str">
            <v/>
          </cell>
          <cell r="DZ646">
            <v>0</v>
          </cell>
          <cell r="EA646">
            <v>0</v>
          </cell>
          <cell r="EB646">
            <v>0</v>
          </cell>
          <cell r="EC646">
            <v>0</v>
          </cell>
          <cell r="ED646" t="str">
            <v/>
          </cell>
          <cell r="EE646">
            <v>0</v>
          </cell>
          <cell r="EF646">
            <v>0</v>
          </cell>
          <cell r="EG646">
            <v>0</v>
          </cell>
          <cell r="EH646">
            <v>0</v>
          </cell>
          <cell r="EI646" t="str">
            <v/>
          </cell>
          <cell r="EJ646">
            <v>0</v>
          </cell>
          <cell r="EK646">
            <v>0</v>
          </cell>
          <cell r="EL646">
            <v>0</v>
          </cell>
          <cell r="EM646">
            <v>0</v>
          </cell>
          <cell r="EN646" t="str">
            <v/>
          </cell>
          <cell r="EO646">
            <v>0</v>
          </cell>
          <cell r="EP646">
            <v>0</v>
          </cell>
          <cell r="EQ646">
            <v>0</v>
          </cell>
          <cell r="ER646">
            <v>0</v>
          </cell>
          <cell r="ES646" t="str">
            <v/>
          </cell>
          <cell r="ET646">
            <v>0</v>
          </cell>
          <cell r="EU646">
            <v>0</v>
          </cell>
          <cell r="EV646">
            <v>0</v>
          </cell>
          <cell r="EW646">
            <v>0</v>
          </cell>
          <cell r="EX646" t="str">
            <v/>
          </cell>
          <cell r="EY646">
            <v>0</v>
          </cell>
          <cell r="EZ646">
            <v>0</v>
          </cell>
          <cell r="FA646">
            <v>0</v>
          </cell>
          <cell r="FB646">
            <v>0</v>
          </cell>
          <cell r="FC646" t="str">
            <v/>
          </cell>
          <cell r="FD646">
            <v>0</v>
          </cell>
          <cell r="FE646">
            <v>0</v>
          </cell>
          <cell r="FF646">
            <v>0</v>
          </cell>
          <cell r="FG646">
            <v>0</v>
          </cell>
          <cell r="FH646" t="str">
            <v/>
          </cell>
          <cell r="FI646">
            <v>0</v>
          </cell>
          <cell r="FJ646">
            <v>0</v>
          </cell>
          <cell r="FK646">
            <v>0</v>
          </cell>
          <cell r="FL646">
            <v>0</v>
          </cell>
          <cell r="FM646" t="str">
            <v/>
          </cell>
          <cell r="FN646">
            <v>0</v>
          </cell>
          <cell r="FO646">
            <v>0</v>
          </cell>
          <cell r="FP646">
            <v>0</v>
          </cell>
          <cell r="FQ646">
            <v>0</v>
          </cell>
          <cell r="FR646" t="str">
            <v/>
          </cell>
          <cell r="FS646">
            <v>0</v>
          </cell>
          <cell r="FT646">
            <v>0</v>
          </cell>
          <cell r="FU646">
            <v>2.0333333333333332</v>
          </cell>
          <cell r="FW646" t="str">
            <v>SIN ROTACIÓN</v>
          </cell>
          <cell r="FX646" t="str">
            <v/>
          </cell>
          <cell r="FY646" t="str">
            <v>No</v>
          </cell>
        </row>
        <row r="647">
          <cell r="B647" t="str">
            <v>INS-0016</v>
          </cell>
          <cell r="C647" t="str">
            <v>FLOWEY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M647">
            <v>0</v>
          </cell>
          <cell r="AP647">
            <v>0</v>
          </cell>
          <cell r="AQ647" t="str">
            <v/>
          </cell>
          <cell r="AR647">
            <v>0</v>
          </cell>
          <cell r="AS647">
            <v>0</v>
          </cell>
          <cell r="AT647">
            <v>0</v>
          </cell>
          <cell r="AU647" t="str">
            <v/>
          </cell>
          <cell r="AV647">
            <v>0</v>
          </cell>
          <cell r="AW647">
            <v>0</v>
          </cell>
          <cell r="AX647">
            <v>0</v>
          </cell>
          <cell r="AY647" t="str">
            <v/>
          </cell>
          <cell r="AZ647">
            <v>0</v>
          </cell>
          <cell r="BA647">
            <v>0</v>
          </cell>
          <cell r="BB647">
            <v>0</v>
          </cell>
          <cell r="BC647" t="str">
            <v/>
          </cell>
          <cell r="BE647">
            <v>0</v>
          </cell>
          <cell r="BF647" t="str">
            <v/>
          </cell>
          <cell r="BH647">
            <v>0</v>
          </cell>
          <cell r="BI647">
            <v>0</v>
          </cell>
          <cell r="BJ647" t="str">
            <v/>
          </cell>
          <cell r="BK647">
            <v>0</v>
          </cell>
          <cell r="BL647">
            <v>0</v>
          </cell>
          <cell r="BM647">
            <v>0</v>
          </cell>
          <cell r="BN647" t="str">
            <v/>
          </cell>
          <cell r="BO647">
            <v>0</v>
          </cell>
          <cell r="BP647">
            <v>0</v>
          </cell>
          <cell r="BQ647">
            <v>0</v>
          </cell>
          <cell r="BR647" t="str">
            <v/>
          </cell>
          <cell r="BS647">
            <v>0</v>
          </cell>
          <cell r="BT647">
            <v>0</v>
          </cell>
          <cell r="BU647">
            <v>0</v>
          </cell>
          <cell r="BV647" t="str">
            <v/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 t="str">
            <v/>
          </cell>
          <cell r="CB647">
            <v>0</v>
          </cell>
          <cell r="CD647">
            <v>0</v>
          </cell>
          <cell r="CE647">
            <v>0</v>
          </cell>
          <cell r="CF647" t="str">
            <v/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 t="str">
            <v/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 t="str">
            <v/>
          </cell>
          <cell r="CQ647">
            <v>0</v>
          </cell>
          <cell r="CS647">
            <v>0</v>
          </cell>
          <cell r="CT647">
            <v>0</v>
          </cell>
          <cell r="CU647" t="str">
            <v/>
          </cell>
          <cell r="CV647">
            <v>0</v>
          </cell>
          <cell r="CX647">
            <v>0</v>
          </cell>
          <cell r="CY647">
            <v>0</v>
          </cell>
          <cell r="CZ647" t="str">
            <v/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 t="str">
            <v/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 t="str">
            <v/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 t="str">
            <v/>
          </cell>
          <cell r="DP647">
            <v>0</v>
          </cell>
          <cell r="DR647">
            <v>0</v>
          </cell>
          <cell r="DS647">
            <v>0</v>
          </cell>
          <cell r="DT647" t="str">
            <v/>
          </cell>
          <cell r="DU647">
            <v>0</v>
          </cell>
          <cell r="DV647">
            <v>0</v>
          </cell>
          <cell r="DW647">
            <v>0</v>
          </cell>
          <cell r="DX647">
            <v>0</v>
          </cell>
          <cell r="DY647" t="str">
            <v/>
          </cell>
          <cell r="DZ647">
            <v>0</v>
          </cell>
          <cell r="EA647">
            <v>0</v>
          </cell>
          <cell r="EB647">
            <v>0</v>
          </cell>
          <cell r="EC647">
            <v>0</v>
          </cell>
          <cell r="ED647" t="str">
            <v/>
          </cell>
          <cell r="EE647">
            <v>0</v>
          </cell>
          <cell r="EF647">
            <v>0</v>
          </cell>
          <cell r="EG647">
            <v>0</v>
          </cell>
          <cell r="EH647">
            <v>0</v>
          </cell>
          <cell r="EI647" t="str">
            <v/>
          </cell>
          <cell r="EJ647">
            <v>0</v>
          </cell>
          <cell r="EK647">
            <v>0</v>
          </cell>
          <cell r="EL647">
            <v>0</v>
          </cell>
          <cell r="EM647">
            <v>0</v>
          </cell>
          <cell r="EN647" t="str">
            <v/>
          </cell>
          <cell r="EO647">
            <v>0</v>
          </cell>
          <cell r="EP647">
            <v>0</v>
          </cell>
          <cell r="EQ647">
            <v>0</v>
          </cell>
          <cell r="ER647">
            <v>0</v>
          </cell>
          <cell r="ES647" t="str">
            <v/>
          </cell>
          <cell r="ET647">
            <v>0</v>
          </cell>
          <cell r="EU647">
            <v>0</v>
          </cell>
          <cell r="EV647">
            <v>0</v>
          </cell>
          <cell r="EW647">
            <v>0</v>
          </cell>
          <cell r="EX647" t="str">
            <v/>
          </cell>
          <cell r="EY647">
            <v>0</v>
          </cell>
          <cell r="EZ647">
            <v>0</v>
          </cell>
          <cell r="FA647">
            <v>0</v>
          </cell>
          <cell r="FB647">
            <v>0</v>
          </cell>
          <cell r="FC647" t="str">
            <v/>
          </cell>
          <cell r="FD647">
            <v>0</v>
          </cell>
          <cell r="FE647">
            <v>0</v>
          </cell>
          <cell r="FF647">
            <v>0</v>
          </cell>
          <cell r="FG647">
            <v>0</v>
          </cell>
          <cell r="FH647" t="str">
            <v/>
          </cell>
          <cell r="FI647">
            <v>0</v>
          </cell>
          <cell r="FJ647">
            <v>0</v>
          </cell>
          <cell r="FK647">
            <v>0</v>
          </cell>
          <cell r="FL647">
            <v>0</v>
          </cell>
          <cell r="FM647" t="str">
            <v/>
          </cell>
          <cell r="FN647">
            <v>0</v>
          </cell>
          <cell r="FO647">
            <v>0</v>
          </cell>
          <cell r="FP647">
            <v>0</v>
          </cell>
          <cell r="FQ647">
            <v>0</v>
          </cell>
          <cell r="FR647" t="str">
            <v/>
          </cell>
          <cell r="FS647">
            <v>0</v>
          </cell>
          <cell r="FT647">
            <v>0</v>
          </cell>
          <cell r="FU647">
            <v>66.666666666666671</v>
          </cell>
          <cell r="FW647" t="str">
            <v>SIN ROTACIÓN</v>
          </cell>
          <cell r="FX647" t="str">
            <v/>
          </cell>
          <cell r="FY647" t="str">
            <v>No</v>
          </cell>
        </row>
        <row r="648">
          <cell r="B648" t="str">
            <v>INS-0017</v>
          </cell>
          <cell r="C648" t="str">
            <v>FLOWEY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AA648">
            <v>0</v>
          </cell>
          <cell r="AB648">
            <v>0</v>
          </cell>
          <cell r="AC648">
            <v>4</v>
          </cell>
          <cell r="AD648">
            <v>0.13333333333333333</v>
          </cell>
          <cell r="AE648">
            <v>3</v>
          </cell>
          <cell r="AF648">
            <v>3.6666666666666665</v>
          </cell>
          <cell r="AG648">
            <v>3.5</v>
          </cell>
          <cell r="AH648">
            <v>14.416666666666666</v>
          </cell>
          <cell r="AI648">
            <v>0</v>
          </cell>
          <cell r="AJ648">
            <v>0</v>
          </cell>
          <cell r="AK648">
            <v>0</v>
          </cell>
          <cell r="AL648">
            <v>6.8273601942641218</v>
          </cell>
          <cell r="AM648">
            <v>4.4791666666666661</v>
          </cell>
          <cell r="AN648">
            <v>1.5242478573240832</v>
          </cell>
          <cell r="AP648">
            <v>39.666666666666664</v>
          </cell>
          <cell r="AQ648">
            <v>59.81818181818182</v>
          </cell>
          <cell r="AR648">
            <v>0</v>
          </cell>
          <cell r="AS648">
            <v>39</v>
          </cell>
          <cell r="AT648">
            <v>212</v>
          </cell>
          <cell r="AU648">
            <v>38.545454545454547</v>
          </cell>
          <cell r="AV648">
            <v>0</v>
          </cell>
          <cell r="AW648">
            <v>206.5</v>
          </cell>
          <cell r="AX648">
            <v>200</v>
          </cell>
          <cell r="AY648" t="str">
            <v/>
          </cell>
          <cell r="AZ648">
            <v>0</v>
          </cell>
          <cell r="BA648">
            <v>193</v>
          </cell>
          <cell r="BB648">
            <v>189</v>
          </cell>
          <cell r="BC648">
            <v>17.71875</v>
          </cell>
          <cell r="BE648">
            <v>182.33333333333334</v>
          </cell>
          <cell r="BF648">
            <v>17.093750000000004</v>
          </cell>
          <cell r="BH648">
            <v>171.66666666666669</v>
          </cell>
          <cell r="BI648">
            <v>0</v>
          </cell>
          <cell r="BJ648" t="str">
            <v/>
          </cell>
          <cell r="BK648">
            <v>0</v>
          </cell>
          <cell r="BL648">
            <v>162.5</v>
          </cell>
          <cell r="BM648">
            <v>162</v>
          </cell>
          <cell r="BN648">
            <v>16.758620689655174</v>
          </cell>
          <cell r="BO648">
            <v>0</v>
          </cell>
          <cell r="BP648">
            <v>152.33333333333334</v>
          </cell>
          <cell r="BQ648">
            <v>152</v>
          </cell>
          <cell r="BR648" t="str">
            <v/>
          </cell>
          <cell r="BS648">
            <v>0</v>
          </cell>
          <cell r="BT648">
            <v>142</v>
          </cell>
          <cell r="BU648">
            <v>140</v>
          </cell>
          <cell r="BV648">
            <v>13.548387096774192</v>
          </cell>
          <cell r="BW648">
            <v>0</v>
          </cell>
          <cell r="BX648">
            <v>0</v>
          </cell>
          <cell r="BY648">
            <v>129.66666666666666</v>
          </cell>
          <cell r="BZ648">
            <v>121</v>
          </cell>
          <cell r="CA648">
            <v>11.709677419354838</v>
          </cell>
          <cell r="CB648">
            <v>0</v>
          </cell>
          <cell r="CC648">
            <v>0</v>
          </cell>
          <cell r="CD648">
            <v>110.66666666666667</v>
          </cell>
          <cell r="CE648">
            <v>93</v>
          </cell>
          <cell r="CF648">
            <v>6.2</v>
          </cell>
          <cell r="CG648">
            <v>0</v>
          </cell>
          <cell r="CH648">
            <v>0</v>
          </cell>
          <cell r="CI648">
            <v>95.666666666666671</v>
          </cell>
          <cell r="CJ648">
            <v>53</v>
          </cell>
          <cell r="CK648">
            <v>2.6065573770491803</v>
          </cell>
          <cell r="CL648">
            <v>0</v>
          </cell>
          <cell r="CM648">
            <v>0</v>
          </cell>
          <cell r="CN648">
            <v>32.666666666666671</v>
          </cell>
          <cell r="CO648">
            <v>25</v>
          </cell>
          <cell r="CP648">
            <v>1.2295081967213115</v>
          </cell>
          <cell r="CQ648">
            <v>0</v>
          </cell>
          <cell r="CR648">
            <v>0</v>
          </cell>
          <cell r="CS648">
            <v>4.6666666666666679</v>
          </cell>
          <cell r="CT648">
            <v>8</v>
          </cell>
          <cell r="CU648">
            <v>0.39344262295081972</v>
          </cell>
          <cell r="CV648">
            <v>34</v>
          </cell>
          <cell r="CW648">
            <v>0</v>
          </cell>
          <cell r="CX648">
            <v>-12.333333333333332</v>
          </cell>
          <cell r="CY648">
            <v>2</v>
          </cell>
          <cell r="CZ648">
            <v>0.12244897959183675</v>
          </cell>
          <cell r="DA648">
            <v>46.333333333333329</v>
          </cell>
          <cell r="DB648">
            <v>0</v>
          </cell>
          <cell r="DC648">
            <v>-12.416666666666666</v>
          </cell>
          <cell r="DD648">
            <v>0</v>
          </cell>
          <cell r="DE648">
            <v>-2.0809248554913298</v>
          </cell>
          <cell r="DF648">
            <v>42.416666666666664</v>
          </cell>
          <cell r="DG648">
            <v>0</v>
          </cell>
          <cell r="DH648">
            <v>-14.416666666666666</v>
          </cell>
          <cell r="DI648">
            <v>0</v>
          </cell>
          <cell r="DJ648" t="str">
            <v/>
          </cell>
          <cell r="DK648">
            <v>0</v>
          </cell>
          <cell r="DL648">
            <v>0</v>
          </cell>
          <cell r="DM648">
            <v>-14.416666666666666</v>
          </cell>
          <cell r="DN648">
            <v>0</v>
          </cell>
          <cell r="DO648" t="str">
            <v/>
          </cell>
          <cell r="DP648">
            <v>0</v>
          </cell>
          <cell r="DR648">
            <v>0</v>
          </cell>
          <cell r="DS648">
            <v>0</v>
          </cell>
          <cell r="DT648" t="str">
            <v/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 t="str">
            <v/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 t="str">
            <v/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 t="str">
            <v/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N648" t="str">
            <v/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 t="str">
            <v/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 t="str">
            <v/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 t="str">
            <v/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 t="str">
            <v/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 t="str">
            <v/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 t="str">
            <v/>
          </cell>
          <cell r="FS648">
            <v>0</v>
          </cell>
          <cell r="FT648">
            <v>0</v>
          </cell>
          <cell r="FU648">
            <v>2.0333333333333332</v>
          </cell>
          <cell r="FW648" t="e">
            <v>#N/A</v>
          </cell>
          <cell r="FX648" t="str">
            <v>A</v>
          </cell>
          <cell r="FY648" t="str">
            <v>Si</v>
          </cell>
        </row>
        <row r="649">
          <cell r="B649" t="str">
            <v>INS-0018</v>
          </cell>
          <cell r="C649" t="str">
            <v>DECUTEC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0.16666666666666666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M649">
            <v>0</v>
          </cell>
          <cell r="AP649">
            <v>0</v>
          </cell>
          <cell r="AQ649">
            <v>-1</v>
          </cell>
          <cell r="AR649">
            <v>0</v>
          </cell>
          <cell r="AS649">
            <v>-0.33333333333333331</v>
          </cell>
          <cell r="AT649">
            <v>0</v>
          </cell>
          <cell r="AU649" t="str">
            <v/>
          </cell>
          <cell r="AV649">
            <v>0</v>
          </cell>
          <cell r="AW649">
            <v>0</v>
          </cell>
          <cell r="AX649">
            <v>0</v>
          </cell>
          <cell r="AY649" t="str">
            <v/>
          </cell>
          <cell r="AZ649">
            <v>0</v>
          </cell>
          <cell r="BA649">
            <v>0</v>
          </cell>
          <cell r="BB649">
            <v>0</v>
          </cell>
          <cell r="BC649" t="str">
            <v/>
          </cell>
          <cell r="BE649">
            <v>0</v>
          </cell>
          <cell r="BF649" t="str">
            <v/>
          </cell>
          <cell r="BH649">
            <v>0</v>
          </cell>
          <cell r="BI649">
            <v>0</v>
          </cell>
          <cell r="BJ649" t="str">
            <v/>
          </cell>
          <cell r="BK649">
            <v>0</v>
          </cell>
          <cell r="BL649">
            <v>0</v>
          </cell>
          <cell r="BM649">
            <v>0</v>
          </cell>
          <cell r="BN649" t="str">
            <v/>
          </cell>
          <cell r="BO649">
            <v>0</v>
          </cell>
          <cell r="BP649">
            <v>0</v>
          </cell>
          <cell r="BQ649">
            <v>0</v>
          </cell>
          <cell r="BR649" t="str">
            <v/>
          </cell>
          <cell r="BS649">
            <v>0</v>
          </cell>
          <cell r="BT649">
            <v>0</v>
          </cell>
          <cell r="BU649">
            <v>0</v>
          </cell>
          <cell r="BV649" t="str">
            <v/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 t="str">
            <v/>
          </cell>
          <cell r="CB649">
            <v>0</v>
          </cell>
          <cell r="CD649">
            <v>0</v>
          </cell>
          <cell r="CE649">
            <v>0</v>
          </cell>
          <cell r="CF649" t="str">
            <v/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 t="str">
            <v/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 t="str">
            <v/>
          </cell>
          <cell r="CQ649">
            <v>0</v>
          </cell>
          <cell r="CS649">
            <v>0</v>
          </cell>
          <cell r="CT649">
            <v>0</v>
          </cell>
          <cell r="CU649" t="str">
            <v/>
          </cell>
          <cell r="CV649">
            <v>0</v>
          </cell>
          <cell r="CX649">
            <v>0</v>
          </cell>
          <cell r="CY649">
            <v>0</v>
          </cell>
          <cell r="CZ649" t="str">
            <v/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 t="str">
            <v/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 t="str">
            <v/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 t="str">
            <v/>
          </cell>
          <cell r="DP649">
            <v>0</v>
          </cell>
          <cell r="DR649">
            <v>0</v>
          </cell>
          <cell r="DS649">
            <v>0</v>
          </cell>
          <cell r="DT649" t="str">
            <v/>
          </cell>
          <cell r="DU649">
            <v>0</v>
          </cell>
          <cell r="DV649">
            <v>0</v>
          </cell>
          <cell r="DW649">
            <v>0</v>
          </cell>
          <cell r="DX649">
            <v>0</v>
          </cell>
          <cell r="DY649" t="str">
            <v/>
          </cell>
          <cell r="DZ649">
            <v>0</v>
          </cell>
          <cell r="EA649">
            <v>0</v>
          </cell>
          <cell r="EB649">
            <v>0</v>
          </cell>
          <cell r="EC649">
            <v>0</v>
          </cell>
          <cell r="ED649" t="str">
            <v/>
          </cell>
          <cell r="EE649">
            <v>0</v>
          </cell>
          <cell r="EF649">
            <v>0</v>
          </cell>
          <cell r="EG649">
            <v>0</v>
          </cell>
          <cell r="EH649">
            <v>0</v>
          </cell>
          <cell r="EI649" t="str">
            <v/>
          </cell>
          <cell r="EJ649">
            <v>0</v>
          </cell>
          <cell r="EK649">
            <v>0</v>
          </cell>
          <cell r="EL649">
            <v>0</v>
          </cell>
          <cell r="EM649">
            <v>0</v>
          </cell>
          <cell r="EN649" t="str">
            <v/>
          </cell>
          <cell r="EO649">
            <v>0</v>
          </cell>
          <cell r="EP649">
            <v>0</v>
          </cell>
          <cell r="EQ649">
            <v>0</v>
          </cell>
          <cell r="ER649">
            <v>0</v>
          </cell>
          <cell r="ES649" t="str">
            <v/>
          </cell>
          <cell r="ET649">
            <v>0</v>
          </cell>
          <cell r="EU649">
            <v>0</v>
          </cell>
          <cell r="EV649">
            <v>0</v>
          </cell>
          <cell r="EW649">
            <v>0</v>
          </cell>
          <cell r="EX649" t="str">
            <v/>
          </cell>
          <cell r="EY649">
            <v>0</v>
          </cell>
          <cell r="EZ649">
            <v>0</v>
          </cell>
          <cell r="FA649">
            <v>0</v>
          </cell>
          <cell r="FB649">
            <v>0</v>
          </cell>
          <cell r="FC649" t="str">
            <v/>
          </cell>
          <cell r="FD649">
            <v>0</v>
          </cell>
          <cell r="FE649">
            <v>0</v>
          </cell>
          <cell r="FF649">
            <v>0</v>
          </cell>
          <cell r="FG649">
            <v>0</v>
          </cell>
          <cell r="FH649" t="str">
            <v/>
          </cell>
          <cell r="FI649">
            <v>0</v>
          </cell>
          <cell r="FJ649">
            <v>0</v>
          </cell>
          <cell r="FK649">
            <v>0</v>
          </cell>
          <cell r="FL649">
            <v>0</v>
          </cell>
          <cell r="FM649" t="str">
            <v/>
          </cell>
          <cell r="FN649">
            <v>0</v>
          </cell>
          <cell r="FO649">
            <v>0</v>
          </cell>
          <cell r="FP649">
            <v>0</v>
          </cell>
          <cell r="FQ649">
            <v>0</v>
          </cell>
          <cell r="FR649" t="str">
            <v/>
          </cell>
          <cell r="FS649">
            <v>0</v>
          </cell>
          <cell r="FT649">
            <v>0</v>
          </cell>
          <cell r="FU649">
            <v>66.666666666666671</v>
          </cell>
          <cell r="FW649" t="str">
            <v>SIN ROTACIÓN</v>
          </cell>
          <cell r="FX649" t="str">
            <v/>
          </cell>
          <cell r="FY649" t="str">
            <v>No</v>
          </cell>
        </row>
        <row r="650">
          <cell r="B650" t="str">
            <v>INS-0019</v>
          </cell>
          <cell r="C650" t="str">
            <v>QUIMILAB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M650">
            <v>0</v>
          </cell>
          <cell r="AP650">
            <v>223</v>
          </cell>
          <cell r="AQ650" t="str">
            <v/>
          </cell>
          <cell r="AR650">
            <v>0</v>
          </cell>
          <cell r="AS650">
            <v>223</v>
          </cell>
          <cell r="AT650">
            <v>0</v>
          </cell>
          <cell r="AU650" t="str">
            <v/>
          </cell>
          <cell r="AV650">
            <v>0</v>
          </cell>
          <cell r="AW650">
            <v>0</v>
          </cell>
          <cell r="AX650">
            <v>0</v>
          </cell>
          <cell r="AY650" t="str">
            <v/>
          </cell>
          <cell r="AZ650">
            <v>0</v>
          </cell>
          <cell r="BA650">
            <v>0</v>
          </cell>
          <cell r="BB650">
            <v>0</v>
          </cell>
          <cell r="BC650" t="str">
            <v/>
          </cell>
          <cell r="BE650">
            <v>0</v>
          </cell>
          <cell r="BF650" t="str">
            <v/>
          </cell>
          <cell r="BH650">
            <v>0</v>
          </cell>
          <cell r="BI650">
            <v>0</v>
          </cell>
          <cell r="BJ650" t="str">
            <v/>
          </cell>
          <cell r="BK650">
            <v>0</v>
          </cell>
          <cell r="BL650">
            <v>0</v>
          </cell>
          <cell r="BM650">
            <v>0</v>
          </cell>
          <cell r="BN650" t="str">
            <v/>
          </cell>
          <cell r="BO650">
            <v>0</v>
          </cell>
          <cell r="BP650">
            <v>0</v>
          </cell>
          <cell r="BQ650">
            <v>0</v>
          </cell>
          <cell r="BR650" t="str">
            <v/>
          </cell>
          <cell r="BS650">
            <v>0</v>
          </cell>
          <cell r="BT650">
            <v>0</v>
          </cell>
          <cell r="BU650">
            <v>0</v>
          </cell>
          <cell r="BV650" t="str">
            <v/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 t="str">
            <v/>
          </cell>
          <cell r="CB650">
            <v>0</v>
          </cell>
          <cell r="CD650">
            <v>0</v>
          </cell>
          <cell r="CE650">
            <v>0</v>
          </cell>
          <cell r="CF650" t="str">
            <v/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 t="str">
            <v/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 t="str">
            <v/>
          </cell>
          <cell r="CQ650">
            <v>0</v>
          </cell>
          <cell r="CS650">
            <v>0</v>
          </cell>
          <cell r="CT650">
            <v>0</v>
          </cell>
          <cell r="CU650" t="str">
            <v/>
          </cell>
          <cell r="CV650">
            <v>0</v>
          </cell>
          <cell r="CX650">
            <v>0</v>
          </cell>
          <cell r="CY650">
            <v>0</v>
          </cell>
          <cell r="CZ650" t="str">
            <v/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 t="str">
            <v/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 t="str">
            <v/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 t="str">
            <v/>
          </cell>
          <cell r="DP650">
            <v>0</v>
          </cell>
          <cell r="DR650">
            <v>0</v>
          </cell>
          <cell r="DS650">
            <v>0</v>
          </cell>
          <cell r="DT650" t="str">
            <v/>
          </cell>
          <cell r="DU650">
            <v>0</v>
          </cell>
          <cell r="DV650">
            <v>0</v>
          </cell>
          <cell r="DW650">
            <v>0</v>
          </cell>
          <cell r="DX650">
            <v>0</v>
          </cell>
          <cell r="DY650" t="str">
            <v/>
          </cell>
          <cell r="DZ650">
            <v>0</v>
          </cell>
          <cell r="EA650">
            <v>0</v>
          </cell>
          <cell r="EB650">
            <v>0</v>
          </cell>
          <cell r="EC650">
            <v>0</v>
          </cell>
          <cell r="ED650" t="str">
            <v/>
          </cell>
          <cell r="EE650">
            <v>0</v>
          </cell>
          <cell r="EF650">
            <v>0</v>
          </cell>
          <cell r="EG650">
            <v>0</v>
          </cell>
          <cell r="EH650">
            <v>0</v>
          </cell>
          <cell r="EI650" t="str">
            <v/>
          </cell>
          <cell r="EJ650">
            <v>0</v>
          </cell>
          <cell r="EK650">
            <v>0</v>
          </cell>
          <cell r="EL650">
            <v>0</v>
          </cell>
          <cell r="EM650">
            <v>0</v>
          </cell>
          <cell r="EN650" t="str">
            <v/>
          </cell>
          <cell r="EO650">
            <v>0</v>
          </cell>
          <cell r="EP650">
            <v>0</v>
          </cell>
          <cell r="EQ650">
            <v>0</v>
          </cell>
          <cell r="ER650">
            <v>0</v>
          </cell>
          <cell r="ES650" t="str">
            <v/>
          </cell>
          <cell r="ET650">
            <v>0</v>
          </cell>
          <cell r="EU650">
            <v>0</v>
          </cell>
          <cell r="EV650">
            <v>0</v>
          </cell>
          <cell r="EW650">
            <v>0</v>
          </cell>
          <cell r="EX650" t="str">
            <v/>
          </cell>
          <cell r="EY650">
            <v>0</v>
          </cell>
          <cell r="EZ650">
            <v>0</v>
          </cell>
          <cell r="FA650">
            <v>0</v>
          </cell>
          <cell r="FB650">
            <v>0</v>
          </cell>
          <cell r="FC650" t="str">
            <v/>
          </cell>
          <cell r="FD650">
            <v>0</v>
          </cell>
          <cell r="FE650">
            <v>0</v>
          </cell>
          <cell r="FF650">
            <v>0</v>
          </cell>
          <cell r="FG650">
            <v>0</v>
          </cell>
          <cell r="FH650" t="str">
            <v/>
          </cell>
          <cell r="FI650">
            <v>0</v>
          </cell>
          <cell r="FJ650">
            <v>0</v>
          </cell>
          <cell r="FK650">
            <v>0</v>
          </cell>
          <cell r="FL650">
            <v>0</v>
          </cell>
          <cell r="FM650" t="str">
            <v/>
          </cell>
          <cell r="FN650">
            <v>0</v>
          </cell>
          <cell r="FO650">
            <v>0</v>
          </cell>
          <cell r="FP650">
            <v>0</v>
          </cell>
          <cell r="FQ650">
            <v>0</v>
          </cell>
          <cell r="FR650" t="str">
            <v/>
          </cell>
          <cell r="FS650">
            <v>0</v>
          </cell>
          <cell r="FT650">
            <v>0</v>
          </cell>
          <cell r="FU650">
            <v>66.666666666666671</v>
          </cell>
          <cell r="FW650" t="str">
            <v>SIN ROTACIÓN</v>
          </cell>
          <cell r="FX650" t="str">
            <v/>
          </cell>
          <cell r="FY650" t="str">
            <v>No</v>
          </cell>
        </row>
        <row r="651">
          <cell r="B651" t="str">
            <v>INS-0020</v>
          </cell>
          <cell r="C651" t="str">
            <v>QUIMILAB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2</v>
          </cell>
          <cell r="AF651">
            <v>8.3333333333333329E-2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M651">
            <v>0</v>
          </cell>
          <cell r="AP651">
            <v>0</v>
          </cell>
          <cell r="AQ651">
            <v>-1</v>
          </cell>
          <cell r="AR651">
            <v>0</v>
          </cell>
          <cell r="AS651">
            <v>-4</v>
          </cell>
          <cell r="AT651">
            <v>0</v>
          </cell>
          <cell r="AU651" t="str">
            <v/>
          </cell>
          <cell r="AV651">
            <v>0</v>
          </cell>
          <cell r="AW651">
            <v>0</v>
          </cell>
          <cell r="AX651">
            <v>0</v>
          </cell>
          <cell r="AY651" t="str">
            <v/>
          </cell>
          <cell r="AZ651">
            <v>0</v>
          </cell>
          <cell r="BA651">
            <v>0</v>
          </cell>
          <cell r="BB651">
            <v>0</v>
          </cell>
          <cell r="BC651" t="str">
            <v/>
          </cell>
          <cell r="BE651">
            <v>0</v>
          </cell>
          <cell r="BF651" t="str">
            <v/>
          </cell>
          <cell r="BH651">
            <v>0</v>
          </cell>
          <cell r="BI651">
            <v>0</v>
          </cell>
          <cell r="BJ651" t="str">
            <v/>
          </cell>
          <cell r="BK651">
            <v>0</v>
          </cell>
          <cell r="BL651">
            <v>0</v>
          </cell>
          <cell r="BM651">
            <v>0</v>
          </cell>
          <cell r="BN651" t="str">
            <v/>
          </cell>
          <cell r="BO651">
            <v>0</v>
          </cell>
          <cell r="BP651">
            <v>0</v>
          </cell>
          <cell r="BQ651">
            <v>0</v>
          </cell>
          <cell r="BR651" t="str">
            <v/>
          </cell>
          <cell r="BS651">
            <v>0</v>
          </cell>
          <cell r="BT651">
            <v>0</v>
          </cell>
          <cell r="BU651">
            <v>0</v>
          </cell>
          <cell r="BV651" t="str">
            <v/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 t="str">
            <v/>
          </cell>
          <cell r="CB651">
            <v>0</v>
          </cell>
          <cell r="CD651">
            <v>0</v>
          </cell>
          <cell r="CE651">
            <v>0</v>
          </cell>
          <cell r="CF651" t="str">
            <v/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 t="str">
            <v/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 t="str">
            <v/>
          </cell>
          <cell r="CQ651">
            <v>0</v>
          </cell>
          <cell r="CS651">
            <v>0</v>
          </cell>
          <cell r="CT651">
            <v>0</v>
          </cell>
          <cell r="CU651" t="str">
            <v/>
          </cell>
          <cell r="CV651">
            <v>0</v>
          </cell>
          <cell r="CX651">
            <v>0</v>
          </cell>
          <cell r="CY651">
            <v>0</v>
          </cell>
          <cell r="CZ651" t="str">
            <v/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 t="str">
            <v/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 t="str">
            <v/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 t="str">
            <v/>
          </cell>
          <cell r="DP651">
            <v>0</v>
          </cell>
          <cell r="DR651">
            <v>0</v>
          </cell>
          <cell r="DS651">
            <v>0</v>
          </cell>
          <cell r="DT651" t="str">
            <v/>
          </cell>
          <cell r="DU651">
            <v>0</v>
          </cell>
          <cell r="DV651">
            <v>0</v>
          </cell>
          <cell r="DW651">
            <v>0</v>
          </cell>
          <cell r="DX651">
            <v>0</v>
          </cell>
          <cell r="DY651" t="str">
            <v/>
          </cell>
          <cell r="DZ651">
            <v>0</v>
          </cell>
          <cell r="EA651">
            <v>0</v>
          </cell>
          <cell r="EB651">
            <v>0</v>
          </cell>
          <cell r="EC651">
            <v>0</v>
          </cell>
          <cell r="ED651" t="str">
            <v/>
          </cell>
          <cell r="EE651">
            <v>0</v>
          </cell>
          <cell r="EF651">
            <v>0</v>
          </cell>
          <cell r="EG651">
            <v>0</v>
          </cell>
          <cell r="EH651">
            <v>0</v>
          </cell>
          <cell r="EI651" t="str">
            <v/>
          </cell>
          <cell r="EJ651">
            <v>0</v>
          </cell>
          <cell r="EK651">
            <v>0</v>
          </cell>
          <cell r="EL651">
            <v>0</v>
          </cell>
          <cell r="EM651">
            <v>0</v>
          </cell>
          <cell r="EN651" t="str">
            <v/>
          </cell>
          <cell r="EO651">
            <v>0</v>
          </cell>
          <cell r="EP651">
            <v>0</v>
          </cell>
          <cell r="EQ651">
            <v>0</v>
          </cell>
          <cell r="ER651">
            <v>0</v>
          </cell>
          <cell r="ES651" t="str">
            <v/>
          </cell>
          <cell r="ET651">
            <v>0</v>
          </cell>
          <cell r="EU651">
            <v>0</v>
          </cell>
          <cell r="EV651">
            <v>0</v>
          </cell>
          <cell r="EW651">
            <v>0</v>
          </cell>
          <cell r="EX651" t="str">
            <v/>
          </cell>
          <cell r="EY651">
            <v>0</v>
          </cell>
          <cell r="EZ651">
            <v>0</v>
          </cell>
          <cell r="FA651">
            <v>0</v>
          </cell>
          <cell r="FB651">
            <v>0</v>
          </cell>
          <cell r="FC651" t="str">
            <v/>
          </cell>
          <cell r="FD651">
            <v>0</v>
          </cell>
          <cell r="FE651">
            <v>0</v>
          </cell>
          <cell r="FF651">
            <v>0</v>
          </cell>
          <cell r="FG651">
            <v>0</v>
          </cell>
          <cell r="FH651" t="str">
            <v/>
          </cell>
          <cell r="FI651">
            <v>0</v>
          </cell>
          <cell r="FJ651">
            <v>0</v>
          </cell>
          <cell r="FK651">
            <v>0</v>
          </cell>
          <cell r="FL651">
            <v>0</v>
          </cell>
          <cell r="FM651" t="str">
            <v/>
          </cell>
          <cell r="FN651">
            <v>0</v>
          </cell>
          <cell r="FO651">
            <v>0</v>
          </cell>
          <cell r="FP651">
            <v>0</v>
          </cell>
          <cell r="FQ651">
            <v>0</v>
          </cell>
          <cell r="FR651" t="str">
            <v/>
          </cell>
          <cell r="FS651">
            <v>0</v>
          </cell>
          <cell r="FT651">
            <v>0</v>
          </cell>
          <cell r="FU651">
            <v>66.666666666666671</v>
          </cell>
          <cell r="FW651" t="str">
            <v>SIN ROTACIÓN</v>
          </cell>
          <cell r="FX651" t="str">
            <v/>
          </cell>
          <cell r="FY651" t="str">
            <v>No</v>
          </cell>
        </row>
        <row r="652">
          <cell r="B652" t="str">
            <v>INS-0021</v>
          </cell>
          <cell r="C652" t="str">
            <v>QUIMILAB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M652">
            <v>0</v>
          </cell>
          <cell r="AP652">
            <v>0</v>
          </cell>
          <cell r="AQ652" t="str">
            <v/>
          </cell>
          <cell r="AR652">
            <v>0</v>
          </cell>
          <cell r="AS652">
            <v>0</v>
          </cell>
          <cell r="AT652">
            <v>0</v>
          </cell>
          <cell r="AU652" t="str">
            <v/>
          </cell>
          <cell r="AV652">
            <v>0</v>
          </cell>
          <cell r="AW652">
            <v>0</v>
          </cell>
          <cell r="AX652">
            <v>0</v>
          </cell>
          <cell r="AY652" t="str">
            <v/>
          </cell>
          <cell r="AZ652">
            <v>0</v>
          </cell>
          <cell r="BA652">
            <v>0</v>
          </cell>
          <cell r="BB652">
            <v>0</v>
          </cell>
          <cell r="BC652" t="str">
            <v/>
          </cell>
          <cell r="BE652">
            <v>0</v>
          </cell>
          <cell r="BF652" t="str">
            <v/>
          </cell>
          <cell r="BH652">
            <v>0</v>
          </cell>
          <cell r="BI652">
            <v>0</v>
          </cell>
          <cell r="BJ652" t="str">
            <v/>
          </cell>
          <cell r="BK652">
            <v>0</v>
          </cell>
          <cell r="BL652">
            <v>0</v>
          </cell>
          <cell r="BM652">
            <v>0</v>
          </cell>
          <cell r="BN652" t="str">
            <v/>
          </cell>
          <cell r="BO652">
            <v>0</v>
          </cell>
          <cell r="BP652">
            <v>0</v>
          </cell>
          <cell r="BQ652">
            <v>0</v>
          </cell>
          <cell r="BR652" t="str">
            <v/>
          </cell>
          <cell r="BS652">
            <v>0</v>
          </cell>
          <cell r="BT652">
            <v>0</v>
          </cell>
          <cell r="BU652">
            <v>0</v>
          </cell>
          <cell r="BV652" t="str">
            <v/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 t="str">
            <v/>
          </cell>
          <cell r="CB652">
            <v>0</v>
          </cell>
          <cell r="CD652">
            <v>0</v>
          </cell>
          <cell r="CE652">
            <v>0</v>
          </cell>
          <cell r="CF652" t="str">
            <v/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 t="str">
            <v/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 t="str">
            <v/>
          </cell>
          <cell r="CQ652">
            <v>0</v>
          </cell>
          <cell r="CS652">
            <v>0</v>
          </cell>
          <cell r="CT652">
            <v>0</v>
          </cell>
          <cell r="CU652" t="str">
            <v/>
          </cell>
          <cell r="CV652">
            <v>0</v>
          </cell>
          <cell r="CX652">
            <v>0</v>
          </cell>
          <cell r="CY652">
            <v>0</v>
          </cell>
          <cell r="CZ652" t="str">
            <v/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 t="str">
            <v/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 t="str">
            <v/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 t="str">
            <v/>
          </cell>
          <cell r="DP652">
            <v>0</v>
          </cell>
          <cell r="DR652">
            <v>0</v>
          </cell>
          <cell r="DS652">
            <v>0</v>
          </cell>
          <cell r="DT652" t="str">
            <v/>
          </cell>
          <cell r="DU652">
            <v>0</v>
          </cell>
          <cell r="DV652">
            <v>0</v>
          </cell>
          <cell r="DW652">
            <v>0</v>
          </cell>
          <cell r="DX652">
            <v>0</v>
          </cell>
          <cell r="DY652" t="str">
            <v/>
          </cell>
          <cell r="DZ652">
            <v>0</v>
          </cell>
          <cell r="EA652">
            <v>0</v>
          </cell>
          <cell r="EB652">
            <v>0</v>
          </cell>
          <cell r="EC652">
            <v>0</v>
          </cell>
          <cell r="ED652" t="str">
            <v/>
          </cell>
          <cell r="EE652">
            <v>0</v>
          </cell>
          <cell r="EF652">
            <v>0</v>
          </cell>
          <cell r="EG652">
            <v>0</v>
          </cell>
          <cell r="EH652">
            <v>0</v>
          </cell>
          <cell r="EI652" t="str">
            <v/>
          </cell>
          <cell r="EJ652">
            <v>0</v>
          </cell>
          <cell r="EK652">
            <v>0</v>
          </cell>
          <cell r="EL652">
            <v>0</v>
          </cell>
          <cell r="EM652">
            <v>0</v>
          </cell>
          <cell r="EN652" t="str">
            <v/>
          </cell>
          <cell r="EO652">
            <v>0</v>
          </cell>
          <cell r="EP652">
            <v>0</v>
          </cell>
          <cell r="EQ652">
            <v>0</v>
          </cell>
          <cell r="ER652">
            <v>0</v>
          </cell>
          <cell r="ES652" t="str">
            <v/>
          </cell>
          <cell r="ET652">
            <v>0</v>
          </cell>
          <cell r="EU652">
            <v>0</v>
          </cell>
          <cell r="EV652">
            <v>0</v>
          </cell>
          <cell r="EW652">
            <v>0</v>
          </cell>
          <cell r="EX652" t="str">
            <v/>
          </cell>
          <cell r="EY652">
            <v>0</v>
          </cell>
          <cell r="EZ652">
            <v>0</v>
          </cell>
          <cell r="FA652">
            <v>0</v>
          </cell>
          <cell r="FB652">
            <v>0</v>
          </cell>
          <cell r="FC652" t="str">
            <v/>
          </cell>
          <cell r="FD652">
            <v>0</v>
          </cell>
          <cell r="FE652">
            <v>0</v>
          </cell>
          <cell r="FF652">
            <v>0</v>
          </cell>
          <cell r="FG652">
            <v>0</v>
          </cell>
          <cell r="FH652" t="str">
            <v/>
          </cell>
          <cell r="FI652">
            <v>0</v>
          </cell>
          <cell r="FJ652">
            <v>0</v>
          </cell>
          <cell r="FK652">
            <v>0</v>
          </cell>
          <cell r="FL652">
            <v>0</v>
          </cell>
          <cell r="FM652" t="str">
            <v/>
          </cell>
          <cell r="FN652">
            <v>0</v>
          </cell>
          <cell r="FO652">
            <v>0</v>
          </cell>
          <cell r="FP652">
            <v>0</v>
          </cell>
          <cell r="FQ652">
            <v>0</v>
          </cell>
          <cell r="FR652" t="str">
            <v/>
          </cell>
          <cell r="FS652">
            <v>0</v>
          </cell>
          <cell r="FT652">
            <v>0</v>
          </cell>
          <cell r="FU652">
            <v>66.666666666666671</v>
          </cell>
          <cell r="FW652" t="str">
            <v>SIN ROTACIÓN</v>
          </cell>
          <cell r="FX652" t="str">
            <v/>
          </cell>
          <cell r="FY652" t="str">
            <v>No</v>
          </cell>
        </row>
        <row r="653">
          <cell r="B653" t="str">
            <v>INS-0022</v>
          </cell>
          <cell r="C653" t="str">
            <v>QUIMILAB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0.75</v>
          </cell>
          <cell r="AF653">
            <v>8.3333333333333329E-2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M653">
            <v>0</v>
          </cell>
          <cell r="AP653">
            <v>0</v>
          </cell>
          <cell r="AQ653">
            <v>-1</v>
          </cell>
          <cell r="AR653">
            <v>0</v>
          </cell>
          <cell r="AS653">
            <v>-1.5</v>
          </cell>
          <cell r="AT653">
            <v>0</v>
          </cell>
          <cell r="AU653" t="str">
            <v/>
          </cell>
          <cell r="AV653">
            <v>0</v>
          </cell>
          <cell r="AW653">
            <v>0</v>
          </cell>
          <cell r="AX653">
            <v>0</v>
          </cell>
          <cell r="AY653" t="str">
            <v/>
          </cell>
          <cell r="AZ653">
            <v>0</v>
          </cell>
          <cell r="BA653">
            <v>0</v>
          </cell>
          <cell r="BB653">
            <v>0</v>
          </cell>
          <cell r="BC653" t="str">
            <v/>
          </cell>
          <cell r="BE653">
            <v>0</v>
          </cell>
          <cell r="BF653" t="str">
            <v/>
          </cell>
          <cell r="BH653">
            <v>0</v>
          </cell>
          <cell r="BI653">
            <v>0</v>
          </cell>
          <cell r="BJ653" t="str">
            <v/>
          </cell>
          <cell r="BK653">
            <v>0</v>
          </cell>
          <cell r="BL653">
            <v>0</v>
          </cell>
          <cell r="BM653">
            <v>0</v>
          </cell>
          <cell r="BN653" t="str">
            <v/>
          </cell>
          <cell r="BO653">
            <v>0</v>
          </cell>
          <cell r="BP653">
            <v>0</v>
          </cell>
          <cell r="BQ653">
            <v>0</v>
          </cell>
          <cell r="BR653" t="str">
            <v/>
          </cell>
          <cell r="BS653">
            <v>0</v>
          </cell>
          <cell r="BT653">
            <v>0</v>
          </cell>
          <cell r="BU653">
            <v>0</v>
          </cell>
          <cell r="BV653" t="str">
            <v/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 t="str">
            <v/>
          </cell>
          <cell r="CB653">
            <v>0</v>
          </cell>
          <cell r="CD653">
            <v>0</v>
          </cell>
          <cell r="CE653">
            <v>0</v>
          </cell>
          <cell r="CF653" t="str">
            <v/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 t="str">
            <v/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 t="str">
            <v/>
          </cell>
          <cell r="CQ653">
            <v>0</v>
          </cell>
          <cell r="CS653">
            <v>0</v>
          </cell>
          <cell r="CT653">
            <v>0</v>
          </cell>
          <cell r="CU653" t="str">
            <v/>
          </cell>
          <cell r="CV653">
            <v>0</v>
          </cell>
          <cell r="CX653">
            <v>0</v>
          </cell>
          <cell r="CY653">
            <v>0</v>
          </cell>
          <cell r="CZ653" t="str">
            <v/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 t="str">
            <v/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 t="str">
            <v/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 t="str">
            <v/>
          </cell>
          <cell r="DP653">
            <v>0</v>
          </cell>
          <cell r="DR653">
            <v>0</v>
          </cell>
          <cell r="DS653">
            <v>0</v>
          </cell>
          <cell r="DT653" t="str">
            <v/>
          </cell>
          <cell r="DU653">
            <v>0</v>
          </cell>
          <cell r="DV653">
            <v>0</v>
          </cell>
          <cell r="DW653">
            <v>0</v>
          </cell>
          <cell r="DX653">
            <v>0</v>
          </cell>
          <cell r="DY653" t="str">
            <v/>
          </cell>
          <cell r="DZ653">
            <v>0</v>
          </cell>
          <cell r="EA653">
            <v>0</v>
          </cell>
          <cell r="EB653">
            <v>0</v>
          </cell>
          <cell r="EC653">
            <v>0</v>
          </cell>
          <cell r="ED653" t="str">
            <v/>
          </cell>
          <cell r="EE653">
            <v>0</v>
          </cell>
          <cell r="EF653">
            <v>0</v>
          </cell>
          <cell r="EG653">
            <v>0</v>
          </cell>
          <cell r="EH653">
            <v>0</v>
          </cell>
          <cell r="EI653" t="str">
            <v/>
          </cell>
          <cell r="EJ653">
            <v>0</v>
          </cell>
          <cell r="EK653">
            <v>0</v>
          </cell>
          <cell r="EL653">
            <v>0</v>
          </cell>
          <cell r="EM653">
            <v>0</v>
          </cell>
          <cell r="EN653" t="str">
            <v/>
          </cell>
          <cell r="EO653">
            <v>0</v>
          </cell>
          <cell r="EP653">
            <v>0</v>
          </cell>
          <cell r="EQ653">
            <v>0</v>
          </cell>
          <cell r="ER653">
            <v>0</v>
          </cell>
          <cell r="ES653" t="str">
            <v/>
          </cell>
          <cell r="ET653">
            <v>0</v>
          </cell>
          <cell r="EU653">
            <v>0</v>
          </cell>
          <cell r="EV653">
            <v>0</v>
          </cell>
          <cell r="EW653">
            <v>0</v>
          </cell>
          <cell r="EX653" t="str">
            <v/>
          </cell>
          <cell r="EY653">
            <v>0</v>
          </cell>
          <cell r="EZ653">
            <v>0</v>
          </cell>
          <cell r="FA653">
            <v>0</v>
          </cell>
          <cell r="FB653">
            <v>0</v>
          </cell>
          <cell r="FC653" t="str">
            <v/>
          </cell>
          <cell r="FD653">
            <v>0</v>
          </cell>
          <cell r="FE653">
            <v>0</v>
          </cell>
          <cell r="FF653">
            <v>0</v>
          </cell>
          <cell r="FG653">
            <v>0</v>
          </cell>
          <cell r="FH653" t="str">
            <v/>
          </cell>
          <cell r="FI653">
            <v>0</v>
          </cell>
          <cell r="FJ653">
            <v>0</v>
          </cell>
          <cell r="FK653">
            <v>0</v>
          </cell>
          <cell r="FL653">
            <v>0</v>
          </cell>
          <cell r="FM653" t="str">
            <v/>
          </cell>
          <cell r="FN653">
            <v>0</v>
          </cell>
          <cell r="FO653">
            <v>0</v>
          </cell>
          <cell r="FP653">
            <v>0</v>
          </cell>
          <cell r="FQ653">
            <v>0</v>
          </cell>
          <cell r="FR653" t="str">
            <v/>
          </cell>
          <cell r="FS653">
            <v>0</v>
          </cell>
          <cell r="FT653">
            <v>0</v>
          </cell>
          <cell r="FU653">
            <v>66.666666666666671</v>
          </cell>
          <cell r="FW653" t="str">
            <v>SIN ROTACIÓN</v>
          </cell>
          <cell r="FX653" t="str">
            <v/>
          </cell>
          <cell r="FY653" t="str">
            <v>No</v>
          </cell>
        </row>
        <row r="654">
          <cell r="B654" t="str">
            <v>INS-0023</v>
          </cell>
          <cell r="C654" t="str">
            <v>FLOWEY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1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M654">
            <v>0</v>
          </cell>
          <cell r="AP654">
            <v>0</v>
          </cell>
          <cell r="AQ654">
            <v>-1</v>
          </cell>
          <cell r="AR654">
            <v>0</v>
          </cell>
          <cell r="AS654">
            <v>-2</v>
          </cell>
          <cell r="AT654">
            <v>0</v>
          </cell>
          <cell r="AU654" t="str">
            <v/>
          </cell>
          <cell r="AV654">
            <v>0</v>
          </cell>
          <cell r="AW654">
            <v>0</v>
          </cell>
          <cell r="AX654">
            <v>0</v>
          </cell>
          <cell r="AY654" t="str">
            <v/>
          </cell>
          <cell r="AZ654">
            <v>0</v>
          </cell>
          <cell r="BA654">
            <v>0</v>
          </cell>
          <cell r="BB654">
            <v>0</v>
          </cell>
          <cell r="BC654" t="str">
            <v/>
          </cell>
          <cell r="BE654">
            <v>0</v>
          </cell>
          <cell r="BF654" t="str">
            <v/>
          </cell>
          <cell r="BH654">
            <v>0</v>
          </cell>
          <cell r="BI654">
            <v>0</v>
          </cell>
          <cell r="BJ654" t="str">
            <v/>
          </cell>
          <cell r="BK654">
            <v>0</v>
          </cell>
          <cell r="BL654">
            <v>0</v>
          </cell>
          <cell r="BM654">
            <v>0</v>
          </cell>
          <cell r="BN654" t="str">
            <v/>
          </cell>
          <cell r="BO654">
            <v>0</v>
          </cell>
          <cell r="BP654">
            <v>0</v>
          </cell>
          <cell r="BQ654">
            <v>0</v>
          </cell>
          <cell r="BR654" t="str">
            <v/>
          </cell>
          <cell r="BS654">
            <v>0</v>
          </cell>
          <cell r="BT654">
            <v>0</v>
          </cell>
          <cell r="BU654">
            <v>0</v>
          </cell>
          <cell r="BV654" t="str">
            <v/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 t="str">
            <v/>
          </cell>
          <cell r="CB654">
            <v>0</v>
          </cell>
          <cell r="CD654">
            <v>0</v>
          </cell>
          <cell r="CE654">
            <v>0</v>
          </cell>
          <cell r="CF654" t="str">
            <v/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 t="str">
            <v/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 t="str">
            <v/>
          </cell>
          <cell r="CQ654">
            <v>0</v>
          </cell>
          <cell r="CS654">
            <v>0</v>
          </cell>
          <cell r="CT654">
            <v>0</v>
          </cell>
          <cell r="CU654" t="str">
            <v/>
          </cell>
          <cell r="CV654">
            <v>0</v>
          </cell>
          <cell r="CX654">
            <v>0</v>
          </cell>
          <cell r="CY654">
            <v>0</v>
          </cell>
          <cell r="CZ654" t="str">
            <v/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 t="str">
            <v/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 t="str">
            <v/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 t="str">
            <v/>
          </cell>
          <cell r="DP654">
            <v>0</v>
          </cell>
          <cell r="DR654">
            <v>0</v>
          </cell>
          <cell r="DS654">
            <v>0</v>
          </cell>
          <cell r="DT654" t="str">
            <v/>
          </cell>
          <cell r="DU654">
            <v>0</v>
          </cell>
          <cell r="DV654">
            <v>0</v>
          </cell>
          <cell r="DW654">
            <v>0</v>
          </cell>
          <cell r="DX654">
            <v>0</v>
          </cell>
          <cell r="DY654" t="str">
            <v/>
          </cell>
          <cell r="DZ654">
            <v>0</v>
          </cell>
          <cell r="EA654">
            <v>0</v>
          </cell>
          <cell r="EB654">
            <v>0</v>
          </cell>
          <cell r="EC654">
            <v>0</v>
          </cell>
          <cell r="ED654" t="str">
            <v/>
          </cell>
          <cell r="EE654">
            <v>0</v>
          </cell>
          <cell r="EF654">
            <v>0</v>
          </cell>
          <cell r="EG654">
            <v>0</v>
          </cell>
          <cell r="EH654">
            <v>0</v>
          </cell>
          <cell r="EI654" t="str">
            <v/>
          </cell>
          <cell r="EJ654">
            <v>0</v>
          </cell>
          <cell r="EK654">
            <v>0</v>
          </cell>
          <cell r="EL654">
            <v>0</v>
          </cell>
          <cell r="EM654">
            <v>0</v>
          </cell>
          <cell r="EN654" t="str">
            <v/>
          </cell>
          <cell r="EO654">
            <v>0</v>
          </cell>
          <cell r="EP654">
            <v>0</v>
          </cell>
          <cell r="EQ654">
            <v>0</v>
          </cell>
          <cell r="ER654">
            <v>0</v>
          </cell>
          <cell r="ES654" t="str">
            <v/>
          </cell>
          <cell r="ET654">
            <v>0</v>
          </cell>
          <cell r="EU654">
            <v>0</v>
          </cell>
          <cell r="EV654">
            <v>0</v>
          </cell>
          <cell r="EW654">
            <v>0</v>
          </cell>
          <cell r="EX654" t="str">
            <v/>
          </cell>
          <cell r="EY654">
            <v>0</v>
          </cell>
          <cell r="EZ654">
            <v>0</v>
          </cell>
          <cell r="FA654">
            <v>0</v>
          </cell>
          <cell r="FB654">
            <v>0</v>
          </cell>
          <cell r="FC654" t="str">
            <v/>
          </cell>
          <cell r="FD654">
            <v>0</v>
          </cell>
          <cell r="FE654">
            <v>0</v>
          </cell>
          <cell r="FF654">
            <v>0</v>
          </cell>
          <cell r="FG654">
            <v>0</v>
          </cell>
          <cell r="FH654" t="str">
            <v/>
          </cell>
          <cell r="FI654">
            <v>0</v>
          </cell>
          <cell r="FJ654">
            <v>0</v>
          </cell>
          <cell r="FK654">
            <v>0</v>
          </cell>
          <cell r="FL654">
            <v>0</v>
          </cell>
          <cell r="FM654" t="str">
            <v/>
          </cell>
          <cell r="FN654">
            <v>0</v>
          </cell>
          <cell r="FO654">
            <v>0</v>
          </cell>
          <cell r="FP654">
            <v>0</v>
          </cell>
          <cell r="FQ654">
            <v>0</v>
          </cell>
          <cell r="FR654" t="str">
            <v/>
          </cell>
          <cell r="FS654">
            <v>0</v>
          </cell>
          <cell r="FT654">
            <v>0</v>
          </cell>
          <cell r="FU654">
            <v>66.666666666666671</v>
          </cell>
          <cell r="FW654" t="str">
            <v>SIN ROTACIÓN</v>
          </cell>
          <cell r="FX654" t="str">
            <v/>
          </cell>
          <cell r="FY654" t="str">
            <v>No</v>
          </cell>
        </row>
        <row r="655">
          <cell r="B655" t="str">
            <v>INS-0024</v>
          </cell>
          <cell r="C655" t="str">
            <v>FLOWEY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AA655">
            <v>0</v>
          </cell>
          <cell r="AB655">
            <v>0</v>
          </cell>
          <cell r="AC655">
            <v>21</v>
          </cell>
          <cell r="AD655">
            <v>0.7</v>
          </cell>
          <cell r="AE655">
            <v>17.666666666666668</v>
          </cell>
          <cell r="AF655">
            <v>25</v>
          </cell>
          <cell r="AG655">
            <v>18.25</v>
          </cell>
          <cell r="AH655">
            <v>0.66666666666666663</v>
          </cell>
          <cell r="AI655">
            <v>0</v>
          </cell>
          <cell r="AJ655">
            <v>0</v>
          </cell>
          <cell r="AK655">
            <v>0</v>
          </cell>
          <cell r="AL655">
            <v>9.0193657389715227</v>
          </cell>
          <cell r="AM655">
            <v>4.729166666666667</v>
          </cell>
          <cell r="AN655">
            <v>1.9071786584609387</v>
          </cell>
          <cell r="AP655">
            <v>-18.25</v>
          </cell>
          <cell r="AQ655">
            <v>-0.72</v>
          </cell>
          <cell r="AR655">
            <v>0</v>
          </cell>
          <cell r="AS655">
            <v>-50</v>
          </cell>
          <cell r="AT655">
            <v>6</v>
          </cell>
          <cell r="AU655">
            <v>0.32876712328767121</v>
          </cell>
          <cell r="AV655">
            <v>0</v>
          </cell>
          <cell r="AW655">
            <v>-12.25</v>
          </cell>
          <cell r="AX655">
            <v>5</v>
          </cell>
          <cell r="AY655" t="str">
            <v/>
          </cell>
          <cell r="AZ655">
            <v>0</v>
          </cell>
          <cell r="BA655">
            <v>-13.25</v>
          </cell>
          <cell r="BB655">
            <v>5</v>
          </cell>
          <cell r="BC655">
            <v>0.27397260273972601</v>
          </cell>
          <cell r="BE655">
            <v>-31.5</v>
          </cell>
          <cell r="BF655">
            <v>-1.726027397260274</v>
          </cell>
          <cell r="BH655">
            <v>-49.75</v>
          </cell>
          <cell r="BI655">
            <v>0</v>
          </cell>
          <cell r="BJ655" t="str">
            <v/>
          </cell>
          <cell r="BK655">
            <v>0</v>
          </cell>
          <cell r="BL655">
            <v>-13.25</v>
          </cell>
          <cell r="BM655">
            <v>5</v>
          </cell>
          <cell r="BN655">
            <v>0.27397260273972601</v>
          </cell>
          <cell r="BO655">
            <v>0</v>
          </cell>
          <cell r="BP655">
            <v>-13.25</v>
          </cell>
          <cell r="BQ655">
            <v>5</v>
          </cell>
          <cell r="BR655" t="str">
            <v/>
          </cell>
          <cell r="BS655">
            <v>0</v>
          </cell>
          <cell r="BT655">
            <v>-13.25</v>
          </cell>
          <cell r="BU655">
            <v>5</v>
          </cell>
          <cell r="BV655">
            <v>0.27397260273972601</v>
          </cell>
          <cell r="BW655">
            <v>58</v>
          </cell>
          <cell r="BX655">
            <v>0</v>
          </cell>
          <cell r="BY655">
            <v>-13.25</v>
          </cell>
          <cell r="BZ655">
            <v>5</v>
          </cell>
          <cell r="CA655">
            <v>0.27397260273972601</v>
          </cell>
          <cell r="CB655">
            <v>58</v>
          </cell>
          <cell r="CC655">
            <v>0</v>
          </cell>
          <cell r="CD655">
            <v>-13.25</v>
          </cell>
          <cell r="CE655">
            <v>4</v>
          </cell>
          <cell r="CF655">
            <v>0.21917808219178081</v>
          </cell>
          <cell r="CG655">
            <v>59</v>
          </cell>
          <cell r="CH655">
            <v>0</v>
          </cell>
          <cell r="CI655">
            <v>27.5</v>
          </cell>
          <cell r="CJ655">
            <v>0</v>
          </cell>
          <cell r="CK655">
            <v>0</v>
          </cell>
          <cell r="CL655">
            <v>63</v>
          </cell>
          <cell r="CM655">
            <v>0</v>
          </cell>
          <cell r="CN655">
            <v>-18.25</v>
          </cell>
          <cell r="CO655">
            <v>0</v>
          </cell>
          <cell r="CP655">
            <v>0</v>
          </cell>
          <cell r="CQ655">
            <v>81.25</v>
          </cell>
          <cell r="CR655">
            <v>0</v>
          </cell>
          <cell r="CS655">
            <v>-18.25</v>
          </cell>
          <cell r="CT655">
            <v>0</v>
          </cell>
          <cell r="CU655">
            <v>0</v>
          </cell>
          <cell r="CV655">
            <v>38</v>
          </cell>
          <cell r="CW655">
            <v>0</v>
          </cell>
          <cell r="CX655">
            <v>-18.25</v>
          </cell>
          <cell r="CY655">
            <v>0</v>
          </cell>
          <cell r="CZ655">
            <v>0</v>
          </cell>
          <cell r="DA655">
            <v>56.25</v>
          </cell>
          <cell r="DB655">
            <v>0</v>
          </cell>
          <cell r="DC655">
            <v>-18.25</v>
          </cell>
          <cell r="DD655">
            <v>0</v>
          </cell>
          <cell r="DE655">
            <v>-2.0821917808219177</v>
          </cell>
          <cell r="DF655">
            <v>56.25</v>
          </cell>
          <cell r="DG655">
            <v>0</v>
          </cell>
          <cell r="DH655">
            <v>-18.25</v>
          </cell>
          <cell r="DI655">
            <v>0</v>
          </cell>
          <cell r="DJ655" t="str">
            <v/>
          </cell>
          <cell r="DK655">
            <v>0</v>
          </cell>
          <cell r="DL655">
            <v>0</v>
          </cell>
          <cell r="DM655">
            <v>-18.25</v>
          </cell>
          <cell r="DN655">
            <v>0</v>
          </cell>
          <cell r="DO655" t="str">
            <v/>
          </cell>
          <cell r="DP655">
            <v>0</v>
          </cell>
          <cell r="DR655">
            <v>0</v>
          </cell>
          <cell r="DS655">
            <v>0</v>
          </cell>
          <cell r="DT655" t="str">
            <v/>
          </cell>
          <cell r="DU655">
            <v>0</v>
          </cell>
          <cell r="DV655">
            <v>0</v>
          </cell>
          <cell r="DW655">
            <v>0</v>
          </cell>
          <cell r="DX655">
            <v>0</v>
          </cell>
          <cell r="DY655" t="str">
            <v/>
          </cell>
          <cell r="DZ655">
            <v>0</v>
          </cell>
          <cell r="EA655">
            <v>0</v>
          </cell>
          <cell r="EB655">
            <v>0</v>
          </cell>
          <cell r="EC655">
            <v>0</v>
          </cell>
          <cell r="ED655" t="str">
            <v/>
          </cell>
          <cell r="EE655">
            <v>0</v>
          </cell>
          <cell r="EF655">
            <v>0</v>
          </cell>
          <cell r="EG655">
            <v>0</v>
          </cell>
          <cell r="EH655">
            <v>0</v>
          </cell>
          <cell r="EI655" t="str">
            <v/>
          </cell>
          <cell r="EJ655">
            <v>0</v>
          </cell>
          <cell r="EK655">
            <v>0</v>
          </cell>
          <cell r="EL655">
            <v>0</v>
          </cell>
          <cell r="EM655">
            <v>0</v>
          </cell>
          <cell r="EN655" t="str">
            <v/>
          </cell>
          <cell r="EO655">
            <v>0</v>
          </cell>
          <cell r="EP655">
            <v>0</v>
          </cell>
          <cell r="EQ655">
            <v>0</v>
          </cell>
          <cell r="ER655">
            <v>0</v>
          </cell>
          <cell r="ES655" t="str">
            <v/>
          </cell>
          <cell r="ET655">
            <v>0</v>
          </cell>
          <cell r="EU655">
            <v>0</v>
          </cell>
          <cell r="EV655">
            <v>0</v>
          </cell>
          <cell r="EW655">
            <v>0</v>
          </cell>
          <cell r="EX655" t="str">
            <v/>
          </cell>
          <cell r="EY655">
            <v>0</v>
          </cell>
          <cell r="EZ655">
            <v>0</v>
          </cell>
          <cell r="FA655">
            <v>0</v>
          </cell>
          <cell r="FB655">
            <v>0</v>
          </cell>
          <cell r="FC655" t="str">
            <v/>
          </cell>
          <cell r="FD655">
            <v>0</v>
          </cell>
          <cell r="FE655">
            <v>0</v>
          </cell>
          <cell r="FF655">
            <v>0</v>
          </cell>
          <cell r="FG655">
            <v>0</v>
          </cell>
          <cell r="FH655" t="str">
            <v/>
          </cell>
          <cell r="FI655">
            <v>0</v>
          </cell>
          <cell r="FJ655">
            <v>0</v>
          </cell>
          <cell r="FK655">
            <v>0</v>
          </cell>
          <cell r="FL655">
            <v>0</v>
          </cell>
          <cell r="FM655" t="str">
            <v/>
          </cell>
          <cell r="FN655">
            <v>0</v>
          </cell>
          <cell r="FO655">
            <v>0</v>
          </cell>
          <cell r="FP655">
            <v>0</v>
          </cell>
          <cell r="FQ655">
            <v>0</v>
          </cell>
          <cell r="FR655" t="str">
            <v/>
          </cell>
          <cell r="FS655">
            <v>0</v>
          </cell>
          <cell r="FT655">
            <v>0</v>
          </cell>
          <cell r="FU655">
            <v>2.0333333333333332</v>
          </cell>
          <cell r="FW655" t="str">
            <v>SIN ROTACIÓN</v>
          </cell>
          <cell r="FX655" t="str">
            <v/>
          </cell>
          <cell r="FY655" t="str">
            <v>No</v>
          </cell>
        </row>
        <row r="656">
          <cell r="B656" t="str">
            <v>INS-0025</v>
          </cell>
          <cell r="C656" t="str">
            <v>FLOWEY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8.3333333333333329E-2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M656">
            <v>0</v>
          </cell>
          <cell r="AP656">
            <v>0</v>
          </cell>
          <cell r="AQ656">
            <v>-1</v>
          </cell>
          <cell r="AR656">
            <v>0</v>
          </cell>
          <cell r="AS656">
            <v>-0.16666666666666666</v>
          </cell>
          <cell r="AT656">
            <v>0</v>
          </cell>
          <cell r="AU656" t="str">
            <v/>
          </cell>
          <cell r="AV656">
            <v>0</v>
          </cell>
          <cell r="AW656">
            <v>0</v>
          </cell>
          <cell r="AX656">
            <v>0</v>
          </cell>
          <cell r="AY656" t="str">
            <v/>
          </cell>
          <cell r="AZ656">
            <v>0</v>
          </cell>
          <cell r="BA656">
            <v>0</v>
          </cell>
          <cell r="BB656">
            <v>0</v>
          </cell>
          <cell r="BC656" t="str">
            <v/>
          </cell>
          <cell r="BE656">
            <v>0</v>
          </cell>
          <cell r="BF656" t="str">
            <v/>
          </cell>
          <cell r="BH656">
            <v>0</v>
          </cell>
          <cell r="BI656">
            <v>0</v>
          </cell>
          <cell r="BJ656" t="str">
            <v/>
          </cell>
          <cell r="BK656">
            <v>0</v>
          </cell>
          <cell r="BL656">
            <v>0</v>
          </cell>
          <cell r="BM656">
            <v>0</v>
          </cell>
          <cell r="BN656" t="str">
            <v/>
          </cell>
          <cell r="BO656">
            <v>0</v>
          </cell>
          <cell r="BP656">
            <v>0</v>
          </cell>
          <cell r="BQ656">
            <v>0</v>
          </cell>
          <cell r="BR656" t="str">
            <v/>
          </cell>
          <cell r="BS656">
            <v>0</v>
          </cell>
          <cell r="BT656">
            <v>0</v>
          </cell>
          <cell r="BU656">
            <v>0</v>
          </cell>
          <cell r="BV656" t="str">
            <v/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 t="str">
            <v/>
          </cell>
          <cell r="CB656">
            <v>0</v>
          </cell>
          <cell r="CD656">
            <v>0</v>
          </cell>
          <cell r="CE656">
            <v>0</v>
          </cell>
          <cell r="CF656" t="str">
            <v/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 t="str">
            <v/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 t="str">
            <v/>
          </cell>
          <cell r="CQ656">
            <v>0</v>
          </cell>
          <cell r="CS656">
            <v>0</v>
          </cell>
          <cell r="CT656">
            <v>0</v>
          </cell>
          <cell r="CU656" t="str">
            <v/>
          </cell>
          <cell r="CV656">
            <v>0</v>
          </cell>
          <cell r="CX656">
            <v>0</v>
          </cell>
          <cell r="CY656">
            <v>0</v>
          </cell>
          <cell r="CZ656" t="str">
            <v/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 t="str">
            <v/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 t="str">
            <v/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 t="str">
            <v/>
          </cell>
          <cell r="DP656">
            <v>0</v>
          </cell>
          <cell r="DR656">
            <v>0</v>
          </cell>
          <cell r="DS656">
            <v>0</v>
          </cell>
          <cell r="DT656" t="str">
            <v/>
          </cell>
          <cell r="DU656">
            <v>0</v>
          </cell>
          <cell r="DV656">
            <v>0</v>
          </cell>
          <cell r="DW656">
            <v>0</v>
          </cell>
          <cell r="DX656">
            <v>0</v>
          </cell>
          <cell r="DY656" t="str">
            <v/>
          </cell>
          <cell r="DZ656">
            <v>0</v>
          </cell>
          <cell r="EA656">
            <v>0</v>
          </cell>
          <cell r="EB656">
            <v>0</v>
          </cell>
          <cell r="EC656">
            <v>0</v>
          </cell>
          <cell r="ED656" t="str">
            <v/>
          </cell>
          <cell r="EE656">
            <v>0</v>
          </cell>
          <cell r="EF656">
            <v>0</v>
          </cell>
          <cell r="EG656">
            <v>0</v>
          </cell>
          <cell r="EH656">
            <v>0</v>
          </cell>
          <cell r="EI656" t="str">
            <v/>
          </cell>
          <cell r="EJ656">
            <v>0</v>
          </cell>
          <cell r="EK656">
            <v>0</v>
          </cell>
          <cell r="EL656">
            <v>0</v>
          </cell>
          <cell r="EM656">
            <v>0</v>
          </cell>
          <cell r="EN656" t="str">
            <v/>
          </cell>
          <cell r="EO656">
            <v>0</v>
          </cell>
          <cell r="EP656">
            <v>0</v>
          </cell>
          <cell r="EQ656">
            <v>0</v>
          </cell>
          <cell r="ER656">
            <v>0</v>
          </cell>
          <cell r="ES656" t="str">
            <v/>
          </cell>
          <cell r="ET656">
            <v>0</v>
          </cell>
          <cell r="EU656">
            <v>0</v>
          </cell>
          <cell r="EV656">
            <v>0</v>
          </cell>
          <cell r="EW656">
            <v>0</v>
          </cell>
          <cell r="EX656" t="str">
            <v/>
          </cell>
          <cell r="EY656">
            <v>0</v>
          </cell>
          <cell r="EZ656">
            <v>0</v>
          </cell>
          <cell r="FA656">
            <v>0</v>
          </cell>
          <cell r="FB656">
            <v>0</v>
          </cell>
          <cell r="FC656" t="str">
            <v/>
          </cell>
          <cell r="FD656">
            <v>0</v>
          </cell>
          <cell r="FE656">
            <v>0</v>
          </cell>
          <cell r="FF656">
            <v>0</v>
          </cell>
          <cell r="FG656">
            <v>0</v>
          </cell>
          <cell r="FH656" t="str">
            <v/>
          </cell>
          <cell r="FI656">
            <v>0</v>
          </cell>
          <cell r="FJ656">
            <v>0</v>
          </cell>
          <cell r="FK656">
            <v>0</v>
          </cell>
          <cell r="FL656">
            <v>0</v>
          </cell>
          <cell r="FM656" t="str">
            <v/>
          </cell>
          <cell r="FN656">
            <v>0</v>
          </cell>
          <cell r="FO656">
            <v>0</v>
          </cell>
          <cell r="FP656">
            <v>0</v>
          </cell>
          <cell r="FQ656">
            <v>0</v>
          </cell>
          <cell r="FR656" t="str">
            <v/>
          </cell>
          <cell r="FS656">
            <v>0</v>
          </cell>
          <cell r="FT656">
            <v>0</v>
          </cell>
          <cell r="FU656">
            <v>66.666666666666671</v>
          </cell>
          <cell r="FW656" t="str">
            <v>SIN ROTACIÓN</v>
          </cell>
          <cell r="FX656" t="str">
            <v/>
          </cell>
          <cell r="FY656" t="str">
            <v>No</v>
          </cell>
        </row>
        <row r="657">
          <cell r="B657" t="str">
            <v>INS-0026</v>
          </cell>
          <cell r="C657" t="str">
            <v>FLOWEY</v>
          </cell>
          <cell r="D657">
            <v>0</v>
          </cell>
          <cell r="E657">
            <v>22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22</v>
          </cell>
          <cell r="AA657">
            <v>22</v>
          </cell>
          <cell r="AB657">
            <v>0</v>
          </cell>
          <cell r="AC657">
            <v>9</v>
          </cell>
          <cell r="AD657">
            <v>0.3</v>
          </cell>
          <cell r="AE657">
            <v>7</v>
          </cell>
          <cell r="AF657">
            <v>48.25</v>
          </cell>
          <cell r="AG657">
            <v>49.916666666666664</v>
          </cell>
          <cell r="AH657">
            <v>3.5</v>
          </cell>
          <cell r="AI657">
            <v>0</v>
          </cell>
          <cell r="AJ657">
            <v>0</v>
          </cell>
          <cell r="AK657">
            <v>1</v>
          </cell>
          <cell r="AL657">
            <v>24.43077663976776</v>
          </cell>
          <cell r="AM657">
            <v>13.354166666666666</v>
          </cell>
          <cell r="AN657">
            <v>1.8294497327751209</v>
          </cell>
          <cell r="AP657">
            <v>-42.916666666666664</v>
          </cell>
          <cell r="AQ657">
            <v>-0.11853088480801331</v>
          </cell>
          <cell r="AR657">
            <v>0</v>
          </cell>
          <cell r="AS657">
            <v>-89.5</v>
          </cell>
          <cell r="AT657">
            <v>6</v>
          </cell>
          <cell r="AU657">
            <v>0.12020033388981637</v>
          </cell>
          <cell r="AV657">
            <v>0</v>
          </cell>
          <cell r="AW657">
            <v>-43.916666666666664</v>
          </cell>
          <cell r="AX657">
            <v>4</v>
          </cell>
          <cell r="AY657">
            <v>4</v>
          </cell>
          <cell r="AZ657">
            <v>0</v>
          </cell>
          <cell r="BA657">
            <v>-45.916666666666664</v>
          </cell>
          <cell r="BB657">
            <v>2</v>
          </cell>
          <cell r="BC657">
            <v>4.006677796327212E-2</v>
          </cell>
          <cell r="BE657">
            <v>-95.833333333333329</v>
          </cell>
          <cell r="BF657">
            <v>-1.9198664440734559</v>
          </cell>
          <cell r="BH657">
            <v>-145.75</v>
          </cell>
          <cell r="BI657">
            <v>22</v>
          </cell>
          <cell r="BJ657">
            <v>22</v>
          </cell>
          <cell r="BK657">
            <v>0</v>
          </cell>
          <cell r="BL657">
            <v>-47.916666666666664</v>
          </cell>
          <cell r="BM657">
            <v>6</v>
          </cell>
          <cell r="BN657">
            <v>0.12020033388981637</v>
          </cell>
          <cell r="BO657">
            <v>0</v>
          </cell>
          <cell r="BP657">
            <v>-43.916666666666664</v>
          </cell>
          <cell r="BQ657">
            <v>6</v>
          </cell>
          <cell r="BR657">
            <v>6</v>
          </cell>
          <cell r="BS657">
            <v>0</v>
          </cell>
          <cell r="BT657">
            <v>-43.916666666666664</v>
          </cell>
          <cell r="BU657">
            <v>6</v>
          </cell>
          <cell r="BV657">
            <v>0.12020033388981637</v>
          </cell>
          <cell r="BW657">
            <v>21</v>
          </cell>
          <cell r="BX657">
            <v>0</v>
          </cell>
          <cell r="BY657">
            <v>-43.916666666666664</v>
          </cell>
          <cell r="BZ657">
            <v>6</v>
          </cell>
          <cell r="CA657">
            <v>0.12020033388981637</v>
          </cell>
          <cell r="CB657">
            <v>21</v>
          </cell>
          <cell r="CC657">
            <v>0</v>
          </cell>
          <cell r="CD657">
            <v>-43.916666666666664</v>
          </cell>
          <cell r="CE657">
            <v>6</v>
          </cell>
          <cell r="CF657">
            <v>0.12020033388981637</v>
          </cell>
          <cell r="CG657">
            <v>21</v>
          </cell>
          <cell r="CH657">
            <v>0</v>
          </cell>
          <cell r="CI657">
            <v>-72.833333333333329</v>
          </cell>
          <cell r="CJ657">
            <v>6</v>
          </cell>
          <cell r="CK657">
            <v>0.12020033388981637</v>
          </cell>
          <cell r="CL657">
            <v>21</v>
          </cell>
          <cell r="CM657">
            <v>0</v>
          </cell>
          <cell r="CN657">
            <v>-43.916666666666664</v>
          </cell>
          <cell r="CO657">
            <v>6</v>
          </cell>
          <cell r="CP657">
            <v>0.12020033388981637</v>
          </cell>
          <cell r="CQ657">
            <v>70.916666666666657</v>
          </cell>
          <cell r="CR657">
            <v>0</v>
          </cell>
          <cell r="CS657">
            <v>-43.916666666666664</v>
          </cell>
          <cell r="CT657">
            <v>6</v>
          </cell>
          <cell r="CU657">
            <v>0.12020033388981637</v>
          </cell>
          <cell r="CV657">
            <v>96</v>
          </cell>
          <cell r="CW657">
            <v>0</v>
          </cell>
          <cell r="CX657">
            <v>-43.916666666666664</v>
          </cell>
          <cell r="CY657">
            <v>6</v>
          </cell>
          <cell r="CZ657">
            <v>0.12020033388981637</v>
          </cell>
          <cell r="DA657">
            <v>145.91666666666666</v>
          </cell>
          <cell r="DB657">
            <v>0</v>
          </cell>
          <cell r="DC657">
            <v>-43.916666666666664</v>
          </cell>
          <cell r="DD657">
            <v>30</v>
          </cell>
          <cell r="DE657">
            <v>-1.4424040066777963</v>
          </cell>
          <cell r="DF657">
            <v>145.91666666666666</v>
          </cell>
          <cell r="DG657">
            <v>0</v>
          </cell>
          <cell r="DH657">
            <v>-19.916666666666664</v>
          </cell>
          <cell r="DI657">
            <v>30</v>
          </cell>
          <cell r="DJ657">
            <v>-22.916666666666664</v>
          </cell>
          <cell r="DK657">
            <v>0</v>
          </cell>
          <cell r="DL657">
            <v>0</v>
          </cell>
          <cell r="DM657">
            <v>-20.916666666666664</v>
          </cell>
          <cell r="DN657">
            <v>22</v>
          </cell>
          <cell r="DO657">
            <v>19</v>
          </cell>
          <cell r="DP657">
            <v>0</v>
          </cell>
          <cell r="DR657">
            <v>21</v>
          </cell>
          <cell r="DS657">
            <v>21</v>
          </cell>
          <cell r="DT657">
            <v>18</v>
          </cell>
          <cell r="DU657">
            <v>0</v>
          </cell>
          <cell r="DV657">
            <v>0</v>
          </cell>
          <cell r="DW657">
            <v>20</v>
          </cell>
          <cell r="DX657">
            <v>20</v>
          </cell>
          <cell r="DY657">
            <v>17</v>
          </cell>
          <cell r="DZ657">
            <v>0</v>
          </cell>
          <cell r="EA657">
            <v>0</v>
          </cell>
          <cell r="EB657">
            <v>19</v>
          </cell>
          <cell r="EC657">
            <v>19</v>
          </cell>
          <cell r="ED657">
            <v>16</v>
          </cell>
          <cell r="EE657">
            <v>0</v>
          </cell>
          <cell r="EF657">
            <v>0</v>
          </cell>
          <cell r="EG657">
            <v>18</v>
          </cell>
          <cell r="EH657">
            <v>18</v>
          </cell>
          <cell r="EI657">
            <v>15</v>
          </cell>
          <cell r="EJ657">
            <v>0</v>
          </cell>
          <cell r="EK657">
            <v>0</v>
          </cell>
          <cell r="EL657">
            <v>17</v>
          </cell>
          <cell r="EM657">
            <v>17</v>
          </cell>
          <cell r="EN657">
            <v>14</v>
          </cell>
          <cell r="EO657">
            <v>0</v>
          </cell>
          <cell r="EP657">
            <v>0</v>
          </cell>
          <cell r="EQ657">
            <v>16</v>
          </cell>
          <cell r="ER657">
            <v>16</v>
          </cell>
          <cell r="ES657">
            <v>13</v>
          </cell>
          <cell r="ET657">
            <v>0</v>
          </cell>
          <cell r="EU657">
            <v>0</v>
          </cell>
          <cell r="EV657">
            <v>15</v>
          </cell>
          <cell r="EW657">
            <v>15</v>
          </cell>
          <cell r="EX657">
            <v>12</v>
          </cell>
          <cell r="EY657">
            <v>0</v>
          </cell>
          <cell r="EZ657">
            <v>0</v>
          </cell>
          <cell r="FA657">
            <v>14</v>
          </cell>
          <cell r="FB657">
            <v>14</v>
          </cell>
          <cell r="FC657">
            <v>11</v>
          </cell>
          <cell r="FD657">
            <v>0</v>
          </cell>
          <cell r="FE657">
            <v>0</v>
          </cell>
          <cell r="FF657">
            <v>13</v>
          </cell>
          <cell r="FG657">
            <v>13</v>
          </cell>
          <cell r="FH657">
            <v>10</v>
          </cell>
          <cell r="FI657">
            <v>0</v>
          </cell>
          <cell r="FJ657">
            <v>0</v>
          </cell>
          <cell r="FK657">
            <v>12</v>
          </cell>
          <cell r="FL657">
            <v>12</v>
          </cell>
          <cell r="FM657">
            <v>9</v>
          </cell>
          <cell r="FN657">
            <v>0</v>
          </cell>
          <cell r="FO657">
            <v>0</v>
          </cell>
          <cell r="FP657">
            <v>11</v>
          </cell>
          <cell r="FQ657">
            <v>11</v>
          </cell>
          <cell r="FR657">
            <v>8</v>
          </cell>
          <cell r="FS657">
            <v>0</v>
          </cell>
          <cell r="FT657">
            <v>3</v>
          </cell>
          <cell r="FU657">
            <v>2.0333333333333332</v>
          </cell>
          <cell r="FW657" t="str">
            <v>SIN ROTACIÓN</v>
          </cell>
          <cell r="FX657" t="str">
            <v>A</v>
          </cell>
          <cell r="FY657" t="str">
            <v>Si</v>
          </cell>
        </row>
        <row r="658">
          <cell r="B658" t="str">
            <v>INS-0027</v>
          </cell>
          <cell r="C658" t="str">
            <v>FLOWEY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AA658">
            <v>0</v>
          </cell>
          <cell r="AB658">
            <v>0</v>
          </cell>
          <cell r="AC658">
            <v>10</v>
          </cell>
          <cell r="AD658">
            <v>0.33333333333333331</v>
          </cell>
          <cell r="AE658">
            <v>7</v>
          </cell>
          <cell r="AF658">
            <v>67.666666666666671</v>
          </cell>
          <cell r="AG658">
            <v>102.16666666666667</v>
          </cell>
          <cell r="AH658">
            <v>5.916666666666667</v>
          </cell>
          <cell r="AI658">
            <v>0</v>
          </cell>
          <cell r="AJ658">
            <v>0</v>
          </cell>
          <cell r="AK658">
            <v>0</v>
          </cell>
          <cell r="AL658">
            <v>50.174804387963199</v>
          </cell>
          <cell r="AM658">
            <v>27.020833333333336</v>
          </cell>
          <cell r="AN658">
            <v>1.8568933004026471</v>
          </cell>
          <cell r="AP658">
            <v>-102.16666666666667</v>
          </cell>
          <cell r="AQ658">
            <v>-0.3050570962479609</v>
          </cell>
          <cell r="AR658">
            <v>0</v>
          </cell>
          <cell r="AS658">
            <v>-135.33333333333334</v>
          </cell>
          <cell r="AT658">
            <v>2</v>
          </cell>
          <cell r="AU658">
            <v>1.9575856443719411E-2</v>
          </cell>
          <cell r="AV658">
            <v>0</v>
          </cell>
          <cell r="AW658">
            <v>-100.16666666666667</v>
          </cell>
          <cell r="AX658">
            <v>0</v>
          </cell>
          <cell r="AY658" t="str">
            <v/>
          </cell>
          <cell r="AZ658">
            <v>0</v>
          </cell>
          <cell r="BA658">
            <v>-102.16666666666667</v>
          </cell>
          <cell r="BB658">
            <v>0</v>
          </cell>
          <cell r="BC658">
            <v>0</v>
          </cell>
          <cell r="BE658">
            <v>-204.33333333333334</v>
          </cell>
          <cell r="BF658">
            <v>-2</v>
          </cell>
          <cell r="BH658">
            <v>-306.5</v>
          </cell>
          <cell r="BI658">
            <v>0</v>
          </cell>
          <cell r="BJ658" t="str">
            <v/>
          </cell>
          <cell r="BK658">
            <v>0</v>
          </cell>
          <cell r="BL658">
            <v>-102.16666666666667</v>
          </cell>
          <cell r="BM658">
            <v>0</v>
          </cell>
          <cell r="BN658">
            <v>0</v>
          </cell>
          <cell r="BO658">
            <v>0</v>
          </cell>
          <cell r="BP658">
            <v>-102.16666666666667</v>
          </cell>
          <cell r="BQ658">
            <v>0</v>
          </cell>
          <cell r="BR658" t="str">
            <v/>
          </cell>
          <cell r="BS658">
            <v>0</v>
          </cell>
          <cell r="BT658">
            <v>-102.16666666666667</v>
          </cell>
          <cell r="BU658">
            <v>0</v>
          </cell>
          <cell r="BV658">
            <v>0</v>
          </cell>
          <cell r="BW658">
            <v>30</v>
          </cell>
          <cell r="BX658">
            <v>0</v>
          </cell>
          <cell r="BY658">
            <v>-102.16666666666667</v>
          </cell>
          <cell r="BZ658">
            <v>0</v>
          </cell>
          <cell r="CA658">
            <v>0</v>
          </cell>
          <cell r="CB658">
            <v>30</v>
          </cell>
          <cell r="CC658">
            <v>0</v>
          </cell>
          <cell r="CD658">
            <v>-102.16666666666667</v>
          </cell>
          <cell r="CE658">
            <v>0</v>
          </cell>
          <cell r="CF658">
            <v>0</v>
          </cell>
          <cell r="CG658">
            <v>30</v>
          </cell>
          <cell r="CH658">
            <v>0</v>
          </cell>
          <cell r="CI658">
            <v>-174.33333333333334</v>
          </cell>
          <cell r="CJ658">
            <v>0</v>
          </cell>
          <cell r="CK658">
            <v>0</v>
          </cell>
          <cell r="CL658">
            <v>30</v>
          </cell>
          <cell r="CM658">
            <v>0</v>
          </cell>
          <cell r="CN658">
            <v>-102.16666666666667</v>
          </cell>
          <cell r="CO658">
            <v>0</v>
          </cell>
          <cell r="CP658">
            <v>0</v>
          </cell>
          <cell r="CQ658">
            <v>132.16666666666669</v>
          </cell>
          <cell r="CR658">
            <v>0</v>
          </cell>
          <cell r="CS658">
            <v>-102.16666666666667</v>
          </cell>
          <cell r="CT658">
            <v>0</v>
          </cell>
          <cell r="CU658" t="str">
            <v/>
          </cell>
          <cell r="CV658">
            <v>208</v>
          </cell>
          <cell r="CW658">
            <v>0</v>
          </cell>
          <cell r="CX658">
            <v>0</v>
          </cell>
          <cell r="CY658">
            <v>0</v>
          </cell>
          <cell r="CZ658" t="str">
            <v/>
          </cell>
          <cell r="DA658">
            <v>208</v>
          </cell>
          <cell r="DB658">
            <v>0</v>
          </cell>
          <cell r="DC658">
            <v>0</v>
          </cell>
          <cell r="DD658">
            <v>0</v>
          </cell>
          <cell r="DE658" t="str">
            <v/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 t="str">
            <v/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 t="str">
            <v/>
          </cell>
          <cell r="DP658">
            <v>0</v>
          </cell>
          <cell r="DR658">
            <v>0</v>
          </cell>
          <cell r="DS658">
            <v>0</v>
          </cell>
          <cell r="DT658" t="str">
            <v/>
          </cell>
          <cell r="DU658">
            <v>0</v>
          </cell>
          <cell r="DV658">
            <v>0</v>
          </cell>
          <cell r="DW658">
            <v>0</v>
          </cell>
          <cell r="DX658">
            <v>0</v>
          </cell>
          <cell r="DY658" t="str">
            <v/>
          </cell>
          <cell r="DZ658">
            <v>0</v>
          </cell>
          <cell r="EA658">
            <v>0</v>
          </cell>
          <cell r="EB658">
            <v>0</v>
          </cell>
          <cell r="EC658">
            <v>0</v>
          </cell>
          <cell r="ED658" t="str">
            <v/>
          </cell>
          <cell r="EE658">
            <v>0</v>
          </cell>
          <cell r="EF658">
            <v>0</v>
          </cell>
          <cell r="EG658">
            <v>0</v>
          </cell>
          <cell r="EH658">
            <v>0</v>
          </cell>
          <cell r="EI658" t="str">
            <v/>
          </cell>
          <cell r="EJ658">
            <v>0</v>
          </cell>
          <cell r="EK658">
            <v>0</v>
          </cell>
          <cell r="EL658">
            <v>0</v>
          </cell>
          <cell r="EM658">
            <v>0</v>
          </cell>
          <cell r="EN658" t="str">
            <v/>
          </cell>
          <cell r="EO658">
            <v>0</v>
          </cell>
          <cell r="EP658">
            <v>0</v>
          </cell>
          <cell r="EQ658">
            <v>0</v>
          </cell>
          <cell r="ER658">
            <v>0</v>
          </cell>
          <cell r="ES658" t="str">
            <v/>
          </cell>
          <cell r="ET658">
            <v>0</v>
          </cell>
          <cell r="EU658">
            <v>0</v>
          </cell>
          <cell r="EV658">
            <v>0</v>
          </cell>
          <cell r="EW658">
            <v>0</v>
          </cell>
          <cell r="EX658" t="str">
            <v/>
          </cell>
          <cell r="EY658">
            <v>0</v>
          </cell>
          <cell r="EZ658">
            <v>0</v>
          </cell>
          <cell r="FA658">
            <v>0</v>
          </cell>
          <cell r="FB658">
            <v>0</v>
          </cell>
          <cell r="FC658" t="str">
            <v/>
          </cell>
          <cell r="FD658">
            <v>0</v>
          </cell>
          <cell r="FE658">
            <v>0</v>
          </cell>
          <cell r="FF658">
            <v>0</v>
          </cell>
          <cell r="FG658">
            <v>0</v>
          </cell>
          <cell r="FH658" t="str">
            <v/>
          </cell>
          <cell r="FI658">
            <v>0</v>
          </cell>
          <cell r="FJ658">
            <v>0</v>
          </cell>
          <cell r="FK658">
            <v>0</v>
          </cell>
          <cell r="FL658">
            <v>0</v>
          </cell>
          <cell r="FM658" t="str">
            <v/>
          </cell>
          <cell r="FN658">
            <v>0</v>
          </cell>
          <cell r="FO658">
            <v>0</v>
          </cell>
          <cell r="FP658">
            <v>0</v>
          </cell>
          <cell r="FQ658">
            <v>0</v>
          </cell>
          <cell r="FR658" t="str">
            <v/>
          </cell>
          <cell r="FS658">
            <v>0</v>
          </cell>
          <cell r="FT658">
            <v>0</v>
          </cell>
          <cell r="FU658">
            <v>2.0333333333333332</v>
          </cell>
          <cell r="FW658" t="e">
            <v>#N/A</v>
          </cell>
          <cell r="FX658" t="str">
            <v>A</v>
          </cell>
          <cell r="FY658" t="str">
            <v>Si</v>
          </cell>
        </row>
        <row r="659">
          <cell r="B659" t="str">
            <v>INS-0028</v>
          </cell>
          <cell r="C659" t="str">
            <v>FLOWEY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M659">
            <v>0</v>
          </cell>
          <cell r="AP659">
            <v>44</v>
          </cell>
          <cell r="AQ659" t="str">
            <v/>
          </cell>
          <cell r="AR659">
            <v>0</v>
          </cell>
          <cell r="AS659">
            <v>44</v>
          </cell>
          <cell r="AT659">
            <v>0</v>
          </cell>
          <cell r="AU659" t="str">
            <v/>
          </cell>
          <cell r="AV659">
            <v>0</v>
          </cell>
          <cell r="AW659">
            <v>0</v>
          </cell>
          <cell r="AX659">
            <v>0</v>
          </cell>
          <cell r="AY659" t="str">
            <v/>
          </cell>
          <cell r="AZ659">
            <v>0</v>
          </cell>
          <cell r="BA659">
            <v>0</v>
          </cell>
          <cell r="BB659">
            <v>0</v>
          </cell>
          <cell r="BC659" t="str">
            <v/>
          </cell>
          <cell r="BE659">
            <v>0</v>
          </cell>
          <cell r="BF659" t="str">
            <v/>
          </cell>
          <cell r="BH659">
            <v>0</v>
          </cell>
          <cell r="BI659">
            <v>0</v>
          </cell>
          <cell r="BJ659" t="str">
            <v/>
          </cell>
          <cell r="BK659">
            <v>0</v>
          </cell>
          <cell r="BL659">
            <v>0</v>
          </cell>
          <cell r="BM659">
            <v>0</v>
          </cell>
          <cell r="BN659" t="str">
            <v/>
          </cell>
          <cell r="BO659">
            <v>0</v>
          </cell>
          <cell r="BP659">
            <v>0</v>
          </cell>
          <cell r="BQ659">
            <v>0</v>
          </cell>
          <cell r="BR659" t="str">
            <v/>
          </cell>
          <cell r="BS659">
            <v>0</v>
          </cell>
          <cell r="BT659">
            <v>0</v>
          </cell>
          <cell r="BU659">
            <v>0</v>
          </cell>
          <cell r="BV659" t="str">
            <v/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 t="str">
            <v/>
          </cell>
          <cell r="CB659">
            <v>0</v>
          </cell>
          <cell r="CD659">
            <v>0</v>
          </cell>
          <cell r="CE659">
            <v>0</v>
          </cell>
          <cell r="CF659" t="str">
            <v/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 t="str">
            <v/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 t="str">
            <v/>
          </cell>
          <cell r="CQ659">
            <v>0</v>
          </cell>
          <cell r="CS659">
            <v>0</v>
          </cell>
          <cell r="CT659">
            <v>0</v>
          </cell>
          <cell r="CU659" t="str">
            <v/>
          </cell>
          <cell r="CV659">
            <v>0</v>
          </cell>
          <cell r="CX659">
            <v>0</v>
          </cell>
          <cell r="CY659">
            <v>0</v>
          </cell>
          <cell r="CZ659" t="str">
            <v/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 t="str">
            <v/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 t="str">
            <v/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 t="str">
            <v/>
          </cell>
          <cell r="DP659">
            <v>0</v>
          </cell>
          <cell r="DR659">
            <v>0</v>
          </cell>
          <cell r="DS659">
            <v>0</v>
          </cell>
          <cell r="DT659" t="str">
            <v/>
          </cell>
          <cell r="DU659">
            <v>0</v>
          </cell>
          <cell r="DV659">
            <v>0</v>
          </cell>
          <cell r="DW659">
            <v>0</v>
          </cell>
          <cell r="DX659">
            <v>0</v>
          </cell>
          <cell r="DY659" t="str">
            <v/>
          </cell>
          <cell r="DZ659">
            <v>0</v>
          </cell>
          <cell r="EA659">
            <v>0</v>
          </cell>
          <cell r="EB659">
            <v>0</v>
          </cell>
          <cell r="EC659">
            <v>0</v>
          </cell>
          <cell r="ED659" t="str">
            <v/>
          </cell>
          <cell r="EE659">
            <v>0</v>
          </cell>
          <cell r="EF659">
            <v>0</v>
          </cell>
          <cell r="EG659">
            <v>0</v>
          </cell>
          <cell r="EH659">
            <v>0</v>
          </cell>
          <cell r="EI659" t="str">
            <v/>
          </cell>
          <cell r="EJ659">
            <v>0</v>
          </cell>
          <cell r="EK659">
            <v>0</v>
          </cell>
          <cell r="EL659">
            <v>0</v>
          </cell>
          <cell r="EM659">
            <v>0</v>
          </cell>
          <cell r="EN659" t="str">
            <v/>
          </cell>
          <cell r="EO659">
            <v>0</v>
          </cell>
          <cell r="EP659">
            <v>0</v>
          </cell>
          <cell r="EQ659">
            <v>0</v>
          </cell>
          <cell r="ER659">
            <v>0</v>
          </cell>
          <cell r="ES659" t="str">
            <v/>
          </cell>
          <cell r="ET659">
            <v>0</v>
          </cell>
          <cell r="EU659">
            <v>0</v>
          </cell>
          <cell r="EV659">
            <v>0</v>
          </cell>
          <cell r="EW659">
            <v>0</v>
          </cell>
          <cell r="EX659" t="str">
            <v/>
          </cell>
          <cell r="EY659">
            <v>0</v>
          </cell>
          <cell r="EZ659">
            <v>0</v>
          </cell>
          <cell r="FA659">
            <v>0</v>
          </cell>
          <cell r="FB659">
            <v>0</v>
          </cell>
          <cell r="FC659" t="str">
            <v/>
          </cell>
          <cell r="FD659">
            <v>0</v>
          </cell>
          <cell r="FE659">
            <v>0</v>
          </cell>
          <cell r="FF659">
            <v>0</v>
          </cell>
          <cell r="FG659">
            <v>0</v>
          </cell>
          <cell r="FH659" t="str">
            <v/>
          </cell>
          <cell r="FI659">
            <v>0</v>
          </cell>
          <cell r="FJ659">
            <v>0</v>
          </cell>
          <cell r="FK659">
            <v>0</v>
          </cell>
          <cell r="FL659">
            <v>0</v>
          </cell>
          <cell r="FM659" t="str">
            <v/>
          </cell>
          <cell r="FN659">
            <v>0</v>
          </cell>
          <cell r="FO659">
            <v>0</v>
          </cell>
          <cell r="FP659">
            <v>0</v>
          </cell>
          <cell r="FQ659">
            <v>0</v>
          </cell>
          <cell r="FR659" t="str">
            <v/>
          </cell>
          <cell r="FS659">
            <v>0</v>
          </cell>
          <cell r="FT659">
            <v>0</v>
          </cell>
          <cell r="FU659">
            <v>66.666666666666671</v>
          </cell>
          <cell r="FW659" t="str">
            <v>SIN ROTACIÓN</v>
          </cell>
          <cell r="FX659" t="str">
            <v/>
          </cell>
          <cell r="FY659" t="str">
            <v>No</v>
          </cell>
        </row>
        <row r="660">
          <cell r="B660" t="str">
            <v>INS-0029</v>
          </cell>
          <cell r="C660" t="str">
            <v>AVALCO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15.083333333333334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6.7454717321243658</v>
          </cell>
          <cell r="AM660">
            <v>0</v>
          </cell>
          <cell r="AN660">
            <v>0</v>
          </cell>
          <cell r="AP660">
            <v>71</v>
          </cell>
          <cell r="AQ660">
            <v>-1</v>
          </cell>
          <cell r="AR660">
            <v>0</v>
          </cell>
          <cell r="AS660">
            <v>40.833333333333329</v>
          </cell>
          <cell r="AT660">
            <v>0</v>
          </cell>
          <cell r="AU660" t="str">
            <v/>
          </cell>
          <cell r="AV660">
            <v>0</v>
          </cell>
          <cell r="AW660">
            <v>0</v>
          </cell>
          <cell r="AX660">
            <v>0</v>
          </cell>
          <cell r="AY660" t="str">
            <v/>
          </cell>
          <cell r="AZ660">
            <v>0</v>
          </cell>
          <cell r="BA660">
            <v>0</v>
          </cell>
          <cell r="BB660">
            <v>0</v>
          </cell>
          <cell r="BC660" t="str">
            <v/>
          </cell>
          <cell r="BE660">
            <v>0</v>
          </cell>
          <cell r="BF660" t="str">
            <v/>
          </cell>
          <cell r="BH660">
            <v>0</v>
          </cell>
          <cell r="BI660">
            <v>0</v>
          </cell>
          <cell r="BJ660" t="str">
            <v/>
          </cell>
          <cell r="BK660">
            <v>0</v>
          </cell>
          <cell r="BL660">
            <v>0</v>
          </cell>
          <cell r="BM660">
            <v>0</v>
          </cell>
          <cell r="BN660" t="str">
            <v/>
          </cell>
          <cell r="BO660">
            <v>0</v>
          </cell>
          <cell r="BP660">
            <v>0</v>
          </cell>
          <cell r="BQ660">
            <v>0</v>
          </cell>
          <cell r="BR660" t="str">
            <v/>
          </cell>
          <cell r="BS660">
            <v>0</v>
          </cell>
          <cell r="BT660">
            <v>0</v>
          </cell>
          <cell r="BU660">
            <v>0</v>
          </cell>
          <cell r="BV660" t="str">
            <v/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 t="str">
            <v/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 t="str">
            <v/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 t="str">
            <v/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 t="str">
            <v/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 t="str">
            <v/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 t="str">
            <v/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 t="str">
            <v/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 t="str">
            <v/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 t="str">
            <v/>
          </cell>
          <cell r="DP660">
            <v>0</v>
          </cell>
          <cell r="DR660">
            <v>0</v>
          </cell>
          <cell r="DS660">
            <v>0</v>
          </cell>
          <cell r="DT660" t="str">
            <v/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 t="str">
            <v/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 t="str">
            <v/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 t="str">
            <v/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N660" t="str">
            <v/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 t="str">
            <v/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 t="str">
            <v/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 t="str">
            <v/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 t="str">
            <v/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 t="str">
            <v/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 t="str">
            <v/>
          </cell>
          <cell r="FS660">
            <v>0</v>
          </cell>
          <cell r="FT660">
            <v>0</v>
          </cell>
          <cell r="FU660">
            <v>1.0333333333333334</v>
          </cell>
          <cell r="FW660" t="str">
            <v>SIN ROTACIÓN</v>
          </cell>
          <cell r="FX660" t="str">
            <v/>
          </cell>
          <cell r="FY660" t="str">
            <v>No</v>
          </cell>
        </row>
        <row r="661">
          <cell r="B661" t="str">
            <v>INS-0030</v>
          </cell>
          <cell r="C661" t="str">
            <v>AVALCO</v>
          </cell>
          <cell r="D661">
            <v>0</v>
          </cell>
          <cell r="E661">
            <v>24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24</v>
          </cell>
          <cell r="AA661">
            <v>24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62.5</v>
          </cell>
          <cell r="AG661">
            <v>84.75</v>
          </cell>
          <cell r="AH661">
            <v>4.833333333333333</v>
          </cell>
          <cell r="AI661">
            <v>0</v>
          </cell>
          <cell r="AJ661">
            <v>0</v>
          </cell>
          <cell r="AK661">
            <v>0</v>
          </cell>
          <cell r="AL661">
            <v>41.631839611581476</v>
          </cell>
          <cell r="AM661">
            <v>22.395833333333332</v>
          </cell>
          <cell r="AN661">
            <v>1.8589100477729403</v>
          </cell>
          <cell r="AP661">
            <v>-84.75</v>
          </cell>
          <cell r="AQ661">
            <v>-0.12684365781710916</v>
          </cell>
          <cell r="AR661">
            <v>0</v>
          </cell>
          <cell r="AS661">
            <v>-125</v>
          </cell>
          <cell r="AT661">
            <v>26</v>
          </cell>
          <cell r="AU661">
            <v>0.30678466076696165</v>
          </cell>
          <cell r="AV661">
            <v>0</v>
          </cell>
          <cell r="AW661">
            <v>-58.75</v>
          </cell>
          <cell r="AX661">
            <v>25</v>
          </cell>
          <cell r="AY661" t="str">
            <v/>
          </cell>
          <cell r="AZ661">
            <v>0</v>
          </cell>
          <cell r="BA661">
            <v>-59.75</v>
          </cell>
          <cell r="BB661">
            <v>26</v>
          </cell>
          <cell r="BC661">
            <v>0.30678466076696165</v>
          </cell>
          <cell r="BE661">
            <v>-144.5</v>
          </cell>
          <cell r="BF661">
            <v>-1.7050147492625369</v>
          </cell>
          <cell r="BH661">
            <v>-229.25</v>
          </cell>
          <cell r="BI661">
            <v>24</v>
          </cell>
          <cell r="BJ661" t="str">
            <v/>
          </cell>
          <cell r="BK661">
            <v>0</v>
          </cell>
          <cell r="BL661">
            <v>-58.75</v>
          </cell>
          <cell r="BM661">
            <v>26</v>
          </cell>
          <cell r="BN661">
            <v>0.30678466076696165</v>
          </cell>
          <cell r="BO661">
            <v>0</v>
          </cell>
          <cell r="BP661">
            <v>-58.75</v>
          </cell>
          <cell r="BQ661">
            <v>24</v>
          </cell>
          <cell r="BR661" t="str">
            <v/>
          </cell>
          <cell r="BS661">
            <v>0</v>
          </cell>
          <cell r="BT661">
            <v>-60.75</v>
          </cell>
          <cell r="BU661">
            <v>25</v>
          </cell>
          <cell r="BV661">
            <v>0.29498525073746312</v>
          </cell>
          <cell r="BW661">
            <v>0</v>
          </cell>
          <cell r="BX661">
            <v>0</v>
          </cell>
          <cell r="BY661">
            <v>-59.75</v>
          </cell>
          <cell r="BZ661">
            <v>25</v>
          </cell>
          <cell r="CA661">
            <v>0.29498525073746312</v>
          </cell>
          <cell r="CB661">
            <v>0</v>
          </cell>
          <cell r="CC661">
            <v>0</v>
          </cell>
          <cell r="CD661">
            <v>-59.75</v>
          </cell>
          <cell r="CE661">
            <v>25</v>
          </cell>
          <cell r="CF661">
            <v>0.29498525073746312</v>
          </cell>
          <cell r="CG661">
            <v>0</v>
          </cell>
          <cell r="CH661">
            <v>0</v>
          </cell>
          <cell r="CI661">
            <v>-144.5</v>
          </cell>
          <cell r="CJ661">
            <v>17</v>
          </cell>
          <cell r="CK661">
            <v>0.20058997050147492</v>
          </cell>
          <cell r="CL661">
            <v>0</v>
          </cell>
          <cell r="CM661">
            <v>0</v>
          </cell>
          <cell r="CN661">
            <v>-67.75</v>
          </cell>
          <cell r="CO661">
            <v>17</v>
          </cell>
          <cell r="CP661">
            <v>0.20058997050147492</v>
          </cell>
          <cell r="CQ661">
            <v>67.75</v>
          </cell>
          <cell r="CR661">
            <v>0</v>
          </cell>
          <cell r="CS661">
            <v>-67.75</v>
          </cell>
          <cell r="CT661">
            <v>17</v>
          </cell>
          <cell r="CU661">
            <v>0.20058997050147492</v>
          </cell>
          <cell r="CV661">
            <v>71</v>
          </cell>
          <cell r="CW661">
            <v>0</v>
          </cell>
          <cell r="CX661">
            <v>-67.75</v>
          </cell>
          <cell r="CY661">
            <v>17</v>
          </cell>
          <cell r="CZ661">
            <v>0.20058997050147492</v>
          </cell>
          <cell r="DA661">
            <v>155.75</v>
          </cell>
          <cell r="DB661">
            <v>0</v>
          </cell>
          <cell r="DC661">
            <v>-67.75</v>
          </cell>
          <cell r="DD661">
            <v>24</v>
          </cell>
          <cell r="DE661">
            <v>-0.75516224188790559</v>
          </cell>
          <cell r="DF661">
            <v>155.75</v>
          </cell>
          <cell r="DG661">
            <v>0</v>
          </cell>
          <cell r="DH661">
            <v>-60.75</v>
          </cell>
          <cell r="DI661">
            <v>24</v>
          </cell>
          <cell r="DJ661" t="str">
            <v/>
          </cell>
          <cell r="DK661">
            <v>0</v>
          </cell>
          <cell r="DL661">
            <v>0</v>
          </cell>
          <cell r="DM661">
            <v>-60.75</v>
          </cell>
          <cell r="DN661">
            <v>24</v>
          </cell>
          <cell r="DO661" t="str">
            <v/>
          </cell>
          <cell r="DP661">
            <v>0</v>
          </cell>
          <cell r="DR661">
            <v>24</v>
          </cell>
          <cell r="DS661">
            <v>24</v>
          </cell>
          <cell r="DT661" t="str">
            <v/>
          </cell>
          <cell r="DU661">
            <v>0</v>
          </cell>
          <cell r="DV661">
            <v>0</v>
          </cell>
          <cell r="DW661">
            <v>24</v>
          </cell>
          <cell r="DX661">
            <v>24</v>
          </cell>
          <cell r="DY661" t="str">
            <v/>
          </cell>
          <cell r="DZ661">
            <v>0</v>
          </cell>
          <cell r="EA661">
            <v>0</v>
          </cell>
          <cell r="EB661">
            <v>24</v>
          </cell>
          <cell r="EC661">
            <v>24</v>
          </cell>
          <cell r="ED661" t="str">
            <v/>
          </cell>
          <cell r="EE661">
            <v>0</v>
          </cell>
          <cell r="EF661">
            <v>0</v>
          </cell>
          <cell r="EG661">
            <v>24</v>
          </cell>
          <cell r="EH661">
            <v>24</v>
          </cell>
          <cell r="EI661" t="str">
            <v/>
          </cell>
          <cell r="EJ661">
            <v>0</v>
          </cell>
          <cell r="EK661">
            <v>0</v>
          </cell>
          <cell r="EL661">
            <v>24</v>
          </cell>
          <cell r="EM661">
            <v>24</v>
          </cell>
          <cell r="EN661" t="str">
            <v/>
          </cell>
          <cell r="EO661">
            <v>0</v>
          </cell>
          <cell r="EP661">
            <v>0</v>
          </cell>
          <cell r="EQ661">
            <v>24</v>
          </cell>
          <cell r="ER661">
            <v>24</v>
          </cell>
          <cell r="ES661" t="str">
            <v/>
          </cell>
          <cell r="ET661">
            <v>0</v>
          </cell>
          <cell r="EU661">
            <v>0</v>
          </cell>
          <cell r="EV661">
            <v>24</v>
          </cell>
          <cell r="EW661">
            <v>24</v>
          </cell>
          <cell r="EX661" t="str">
            <v/>
          </cell>
          <cell r="EY661">
            <v>0</v>
          </cell>
          <cell r="EZ661">
            <v>0</v>
          </cell>
          <cell r="FA661">
            <v>24</v>
          </cell>
          <cell r="FB661">
            <v>24</v>
          </cell>
          <cell r="FC661" t="str">
            <v/>
          </cell>
          <cell r="FD661">
            <v>0</v>
          </cell>
          <cell r="FE661">
            <v>0</v>
          </cell>
          <cell r="FF661">
            <v>24</v>
          </cell>
          <cell r="FG661">
            <v>24</v>
          </cell>
          <cell r="FH661" t="str">
            <v/>
          </cell>
          <cell r="FI661">
            <v>0</v>
          </cell>
          <cell r="FJ661">
            <v>0</v>
          </cell>
          <cell r="FK661">
            <v>24</v>
          </cell>
          <cell r="FL661">
            <v>24</v>
          </cell>
          <cell r="FM661" t="str">
            <v/>
          </cell>
          <cell r="FN661">
            <v>0</v>
          </cell>
          <cell r="FO661">
            <v>0</v>
          </cell>
          <cell r="FP661">
            <v>24</v>
          </cell>
          <cell r="FQ661">
            <v>24</v>
          </cell>
          <cell r="FR661" t="str">
            <v/>
          </cell>
          <cell r="FS661">
            <v>0</v>
          </cell>
          <cell r="FT661">
            <v>0</v>
          </cell>
          <cell r="FU661">
            <v>1.0333333333333334</v>
          </cell>
          <cell r="FW661" t="str">
            <v>SIN ROTACIÓN</v>
          </cell>
          <cell r="FX661" t="str">
            <v>A</v>
          </cell>
          <cell r="FY661" t="str">
            <v>Si</v>
          </cell>
        </row>
        <row r="662">
          <cell r="B662" t="str">
            <v>INS-0031</v>
          </cell>
          <cell r="C662" t="str">
            <v>AVALCO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4.75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2.1242645786248002</v>
          </cell>
          <cell r="AM662">
            <v>0</v>
          </cell>
          <cell r="AN662">
            <v>0</v>
          </cell>
          <cell r="AP662">
            <v>0</v>
          </cell>
          <cell r="AQ662">
            <v>-1</v>
          </cell>
          <cell r="AR662">
            <v>0</v>
          </cell>
          <cell r="AS662">
            <v>-9.5</v>
          </cell>
          <cell r="AT662">
            <v>0</v>
          </cell>
          <cell r="AU662" t="str">
            <v/>
          </cell>
          <cell r="AV662">
            <v>0</v>
          </cell>
          <cell r="AW662">
            <v>0</v>
          </cell>
          <cell r="AX662">
            <v>0</v>
          </cell>
          <cell r="AY662" t="str">
            <v/>
          </cell>
          <cell r="AZ662">
            <v>0</v>
          </cell>
          <cell r="BA662">
            <v>0</v>
          </cell>
          <cell r="BB662">
            <v>0</v>
          </cell>
          <cell r="BC662" t="str">
            <v/>
          </cell>
          <cell r="BE662">
            <v>0</v>
          </cell>
          <cell r="BF662" t="str">
            <v/>
          </cell>
          <cell r="BH662">
            <v>0</v>
          </cell>
          <cell r="BI662">
            <v>0</v>
          </cell>
          <cell r="BJ662" t="str">
            <v/>
          </cell>
          <cell r="BK662">
            <v>0</v>
          </cell>
          <cell r="BL662">
            <v>0</v>
          </cell>
          <cell r="BM662">
            <v>0</v>
          </cell>
          <cell r="BN662" t="str">
            <v/>
          </cell>
          <cell r="BO662">
            <v>0</v>
          </cell>
          <cell r="BP662">
            <v>0</v>
          </cell>
          <cell r="BQ662">
            <v>0</v>
          </cell>
          <cell r="BR662" t="str">
            <v/>
          </cell>
          <cell r="BS662">
            <v>0</v>
          </cell>
          <cell r="BT662">
            <v>0</v>
          </cell>
          <cell r="BU662">
            <v>0</v>
          </cell>
          <cell r="BV662" t="str">
            <v/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 t="str">
            <v/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 t="str">
            <v/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 t="str">
            <v/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 t="str">
            <v/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 t="str">
            <v/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 t="str">
            <v/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 t="str">
            <v/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 t="str">
            <v/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 t="str">
            <v/>
          </cell>
          <cell r="DP662">
            <v>0</v>
          </cell>
          <cell r="DR662">
            <v>0</v>
          </cell>
          <cell r="DS662">
            <v>0</v>
          </cell>
          <cell r="DT662" t="str">
            <v/>
          </cell>
          <cell r="DU662">
            <v>0</v>
          </cell>
          <cell r="DV662">
            <v>0</v>
          </cell>
          <cell r="DW662">
            <v>0</v>
          </cell>
          <cell r="DX662">
            <v>0</v>
          </cell>
          <cell r="DY662" t="str">
            <v/>
          </cell>
          <cell r="DZ662">
            <v>0</v>
          </cell>
          <cell r="EA662">
            <v>0</v>
          </cell>
          <cell r="EB662">
            <v>0</v>
          </cell>
          <cell r="EC662">
            <v>0</v>
          </cell>
          <cell r="ED662" t="str">
            <v/>
          </cell>
          <cell r="EE662">
            <v>0</v>
          </cell>
          <cell r="EF662">
            <v>0</v>
          </cell>
          <cell r="EG662">
            <v>0</v>
          </cell>
          <cell r="EH662">
            <v>0</v>
          </cell>
          <cell r="EI662" t="str">
            <v/>
          </cell>
          <cell r="EJ662">
            <v>0</v>
          </cell>
          <cell r="EK662">
            <v>0</v>
          </cell>
          <cell r="EL662">
            <v>0</v>
          </cell>
          <cell r="EM662">
            <v>0</v>
          </cell>
          <cell r="EN662" t="str">
            <v/>
          </cell>
          <cell r="EO662">
            <v>0</v>
          </cell>
          <cell r="EP662">
            <v>0</v>
          </cell>
          <cell r="EQ662">
            <v>0</v>
          </cell>
          <cell r="ER662">
            <v>0</v>
          </cell>
          <cell r="ES662" t="str">
            <v/>
          </cell>
          <cell r="ET662">
            <v>0</v>
          </cell>
          <cell r="EU662">
            <v>0</v>
          </cell>
          <cell r="EV662">
            <v>0</v>
          </cell>
          <cell r="EW662">
            <v>0</v>
          </cell>
          <cell r="EX662" t="str">
            <v/>
          </cell>
          <cell r="EY662">
            <v>0</v>
          </cell>
          <cell r="EZ662">
            <v>0</v>
          </cell>
          <cell r="FA662">
            <v>0</v>
          </cell>
          <cell r="FB662">
            <v>0</v>
          </cell>
          <cell r="FC662" t="str">
            <v/>
          </cell>
          <cell r="FD662">
            <v>0</v>
          </cell>
          <cell r="FE662">
            <v>0</v>
          </cell>
          <cell r="FF662">
            <v>0</v>
          </cell>
          <cell r="FG662">
            <v>0</v>
          </cell>
          <cell r="FH662" t="str">
            <v/>
          </cell>
          <cell r="FI662">
            <v>0</v>
          </cell>
          <cell r="FJ662">
            <v>0</v>
          </cell>
          <cell r="FK662">
            <v>0</v>
          </cell>
          <cell r="FL662">
            <v>0</v>
          </cell>
          <cell r="FM662" t="str">
            <v/>
          </cell>
          <cell r="FN662">
            <v>0</v>
          </cell>
          <cell r="FO662">
            <v>0</v>
          </cell>
          <cell r="FP662">
            <v>0</v>
          </cell>
          <cell r="FQ662">
            <v>0</v>
          </cell>
          <cell r="FR662" t="str">
            <v/>
          </cell>
          <cell r="FS662">
            <v>0</v>
          </cell>
          <cell r="FT662">
            <v>0</v>
          </cell>
          <cell r="FU662">
            <v>1.0333333333333334</v>
          </cell>
          <cell r="FW662" t="str">
            <v>SIN ROTACIÓN</v>
          </cell>
          <cell r="FX662" t="str">
            <v/>
          </cell>
          <cell r="FY662" t="str">
            <v>No</v>
          </cell>
        </row>
        <row r="663">
          <cell r="B663" t="str">
            <v>INS-0032</v>
          </cell>
          <cell r="C663" t="str">
            <v>FLOWEY</v>
          </cell>
          <cell r="D663">
            <v>0</v>
          </cell>
          <cell r="E663">
            <v>1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1</v>
          </cell>
          <cell r="AA663">
            <v>1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8.3333333333333329E-2</v>
          </cell>
          <cell r="AI663">
            <v>0</v>
          </cell>
          <cell r="AJ663">
            <v>0</v>
          </cell>
          <cell r="AK663">
            <v>8.3333333333333329E-2</v>
          </cell>
          <cell r="AL663">
            <v>4.1666666666666664E-2</v>
          </cell>
          <cell r="AM663">
            <v>2.0833333333333332E-2</v>
          </cell>
          <cell r="AN663">
            <v>2</v>
          </cell>
          <cell r="AP663">
            <v>74</v>
          </cell>
          <cell r="AQ663" t="str">
            <v/>
          </cell>
          <cell r="AR663">
            <v>0</v>
          </cell>
          <cell r="AS663">
            <v>74</v>
          </cell>
          <cell r="AT663">
            <v>2</v>
          </cell>
          <cell r="AU663" t="str">
            <v/>
          </cell>
          <cell r="AV663">
            <v>0</v>
          </cell>
          <cell r="AW663">
            <v>2</v>
          </cell>
          <cell r="AX663">
            <v>2</v>
          </cell>
          <cell r="AY663">
            <v>24</v>
          </cell>
          <cell r="AZ663">
            <v>0</v>
          </cell>
          <cell r="BA663">
            <v>2</v>
          </cell>
          <cell r="BB663">
            <v>2</v>
          </cell>
          <cell r="BC663" t="str">
            <v/>
          </cell>
          <cell r="BE663">
            <v>2</v>
          </cell>
          <cell r="BF663" t="str">
            <v/>
          </cell>
          <cell r="BH663">
            <v>2</v>
          </cell>
          <cell r="BI663">
            <v>1</v>
          </cell>
          <cell r="BJ663">
            <v>12</v>
          </cell>
          <cell r="BK663">
            <v>0</v>
          </cell>
          <cell r="BL663">
            <v>2</v>
          </cell>
          <cell r="BM663">
            <v>2</v>
          </cell>
          <cell r="BN663" t="str">
            <v/>
          </cell>
          <cell r="BO663">
            <v>0</v>
          </cell>
          <cell r="BP663">
            <v>2</v>
          </cell>
          <cell r="BQ663">
            <v>2</v>
          </cell>
          <cell r="BR663">
            <v>24</v>
          </cell>
          <cell r="BS663">
            <v>0</v>
          </cell>
          <cell r="BT663">
            <v>2</v>
          </cell>
          <cell r="BU663">
            <v>2</v>
          </cell>
          <cell r="BV663" t="str">
            <v/>
          </cell>
          <cell r="BW663">
            <v>0</v>
          </cell>
          <cell r="BX663">
            <v>0</v>
          </cell>
          <cell r="BY663">
            <v>2</v>
          </cell>
          <cell r="BZ663">
            <v>2</v>
          </cell>
          <cell r="CA663" t="str">
            <v/>
          </cell>
          <cell r="CB663">
            <v>0</v>
          </cell>
          <cell r="CC663">
            <v>0</v>
          </cell>
          <cell r="CD663">
            <v>2</v>
          </cell>
          <cell r="CE663">
            <v>2</v>
          </cell>
          <cell r="CF663" t="str">
            <v/>
          </cell>
          <cell r="CG663">
            <v>0</v>
          </cell>
          <cell r="CH663">
            <v>0</v>
          </cell>
          <cell r="CI663">
            <v>2</v>
          </cell>
          <cell r="CJ663">
            <v>1</v>
          </cell>
          <cell r="CK663">
            <v>6</v>
          </cell>
          <cell r="CL663">
            <v>0</v>
          </cell>
          <cell r="CM663">
            <v>0</v>
          </cell>
          <cell r="CN663">
            <v>0.83333333333333337</v>
          </cell>
          <cell r="CO663">
            <v>1</v>
          </cell>
          <cell r="CP663">
            <v>6</v>
          </cell>
          <cell r="CQ663">
            <v>0</v>
          </cell>
          <cell r="CR663">
            <v>0</v>
          </cell>
          <cell r="CS663">
            <v>0.83333333333333337</v>
          </cell>
          <cell r="CT663">
            <v>1</v>
          </cell>
          <cell r="CU663">
            <v>6</v>
          </cell>
          <cell r="CV663">
            <v>0</v>
          </cell>
          <cell r="CW663">
            <v>0</v>
          </cell>
          <cell r="CX663">
            <v>0.83333333333333337</v>
          </cell>
          <cell r="CY663">
            <v>1</v>
          </cell>
          <cell r="CZ663">
            <v>12</v>
          </cell>
          <cell r="DA663">
            <v>0.16666666666666663</v>
          </cell>
          <cell r="DB663">
            <v>0</v>
          </cell>
          <cell r="DC663">
            <v>0.91666666666666663</v>
          </cell>
          <cell r="DD663">
            <v>1</v>
          </cell>
          <cell r="DE663">
            <v>0</v>
          </cell>
          <cell r="DF663">
            <v>0</v>
          </cell>
          <cell r="DG663">
            <v>0</v>
          </cell>
          <cell r="DH663">
            <v>0.91666666666666663</v>
          </cell>
          <cell r="DI663">
            <v>1</v>
          </cell>
          <cell r="DJ663">
            <v>-1.0000000000000004</v>
          </cell>
          <cell r="DK663">
            <v>0</v>
          </cell>
          <cell r="DL663">
            <v>0</v>
          </cell>
          <cell r="DM663">
            <v>0.83333333333333326</v>
          </cell>
          <cell r="DN663">
            <v>1</v>
          </cell>
          <cell r="DO663">
            <v>0</v>
          </cell>
          <cell r="DP663">
            <v>0</v>
          </cell>
          <cell r="DR663">
            <v>0.91666666666666663</v>
          </cell>
          <cell r="DS663">
            <v>0.91666666666666663</v>
          </cell>
          <cell r="DT663">
            <v>-1.0000000000000004</v>
          </cell>
          <cell r="DU663">
            <v>8.333333333333337E-2</v>
          </cell>
          <cell r="DV663">
            <v>0</v>
          </cell>
          <cell r="DW663">
            <v>0.83333333333333326</v>
          </cell>
          <cell r="DX663">
            <v>0.83333333333333326</v>
          </cell>
          <cell r="DY663">
            <v>-2.0000000000000009</v>
          </cell>
          <cell r="DZ663">
            <v>0.16666666666666674</v>
          </cell>
          <cell r="EA663">
            <v>0</v>
          </cell>
          <cell r="EB663">
            <v>0.74999999999999989</v>
          </cell>
          <cell r="EC663">
            <v>0.74999999999999989</v>
          </cell>
          <cell r="ED663">
            <v>-3.0000000000000013</v>
          </cell>
          <cell r="EE663">
            <v>0.25000000000000011</v>
          </cell>
          <cell r="EF663">
            <v>0</v>
          </cell>
          <cell r="EG663">
            <v>0.66666666666666652</v>
          </cell>
          <cell r="EH663">
            <v>0.66666666666666652</v>
          </cell>
          <cell r="EI663">
            <v>-4.0000000000000018</v>
          </cell>
          <cell r="EJ663">
            <v>0.33333333333333348</v>
          </cell>
          <cell r="EK663">
            <v>0</v>
          </cell>
          <cell r="EL663">
            <v>0.58333333333333315</v>
          </cell>
          <cell r="EM663">
            <v>0.58333333333333315</v>
          </cell>
          <cell r="EN663">
            <v>-5.0000000000000027</v>
          </cell>
          <cell r="EO663">
            <v>0.41666666666666685</v>
          </cell>
          <cell r="EP663">
            <v>0</v>
          </cell>
          <cell r="EQ663">
            <v>0.49999999999999983</v>
          </cell>
          <cell r="ER663">
            <v>0.49999999999999983</v>
          </cell>
          <cell r="ES663">
            <v>-6.0000000000000027</v>
          </cell>
          <cell r="ET663">
            <v>0.50000000000000022</v>
          </cell>
          <cell r="EU663">
            <v>0</v>
          </cell>
          <cell r="EV663">
            <v>0.41666666666666652</v>
          </cell>
          <cell r="EW663">
            <v>0.41666666666666652</v>
          </cell>
          <cell r="EX663">
            <v>-7.0000000000000018</v>
          </cell>
          <cell r="EY663">
            <v>0.58333333333333348</v>
          </cell>
          <cell r="EZ663">
            <v>0</v>
          </cell>
          <cell r="FA663">
            <v>0.3333333333333332</v>
          </cell>
          <cell r="FB663">
            <v>0.3333333333333332</v>
          </cell>
          <cell r="FC663">
            <v>-8.0000000000000018</v>
          </cell>
          <cell r="FD663">
            <v>0.66666666666666674</v>
          </cell>
          <cell r="FE663">
            <v>0</v>
          </cell>
          <cell r="FF663">
            <v>0.24999999999999989</v>
          </cell>
          <cell r="FG663">
            <v>0.24999999999999989</v>
          </cell>
          <cell r="FH663">
            <v>-9.0000000000000018</v>
          </cell>
          <cell r="FI663">
            <v>0.75000000000000011</v>
          </cell>
          <cell r="FJ663">
            <v>0</v>
          </cell>
          <cell r="FK663">
            <v>0.16666666666666657</v>
          </cell>
          <cell r="FL663">
            <v>0.16666666666666657</v>
          </cell>
          <cell r="FM663">
            <v>-10.000000000000002</v>
          </cell>
          <cell r="FN663">
            <v>0.83333333333333348</v>
          </cell>
          <cell r="FO663">
            <v>0</v>
          </cell>
          <cell r="FP663">
            <v>8.3333333333333245E-2</v>
          </cell>
          <cell r="FQ663">
            <v>8.3333333333333245E-2</v>
          </cell>
          <cell r="FR663">
            <v>-11.000000000000002</v>
          </cell>
          <cell r="FS663">
            <v>0.91666666666666674</v>
          </cell>
          <cell r="FT663">
            <v>1</v>
          </cell>
          <cell r="FU663">
            <v>2.0333333333333332</v>
          </cell>
          <cell r="FW663" t="str">
            <v>SIN ROTACIÓN</v>
          </cell>
          <cell r="FX663" t="str">
            <v>STOCK MUERTO</v>
          </cell>
          <cell r="FY663" t="str">
            <v>Si</v>
          </cell>
        </row>
        <row r="664">
          <cell r="B664" t="str">
            <v>INS-0033</v>
          </cell>
          <cell r="C664" t="str">
            <v>FLOWEY</v>
          </cell>
          <cell r="D664">
            <v>0</v>
          </cell>
          <cell r="E664">
            <v>5</v>
          </cell>
          <cell r="F664">
            <v>36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41</v>
          </cell>
          <cell r="AA664">
            <v>41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0.33333333333333331</v>
          </cell>
          <cell r="AH664">
            <v>0</v>
          </cell>
          <cell r="AI664">
            <v>0</v>
          </cell>
          <cell r="AJ664">
            <v>0</v>
          </cell>
          <cell r="AK664">
            <v>0.33333333333333331</v>
          </cell>
          <cell r="AL664">
            <v>0.16666666666666666</v>
          </cell>
          <cell r="AM664">
            <v>8.3333333333333329E-2</v>
          </cell>
          <cell r="AN664">
            <v>2</v>
          </cell>
          <cell r="AP664">
            <v>-0.33333333333333331</v>
          </cell>
          <cell r="AQ664">
            <v>122</v>
          </cell>
          <cell r="AR664">
            <v>0</v>
          </cell>
          <cell r="AS664">
            <v>0</v>
          </cell>
          <cell r="AT664">
            <v>41</v>
          </cell>
          <cell r="AU664">
            <v>123</v>
          </cell>
          <cell r="AV664">
            <v>0</v>
          </cell>
          <cell r="AW664">
            <v>40.666666666666664</v>
          </cell>
          <cell r="AX664">
            <v>41</v>
          </cell>
          <cell r="AY664">
            <v>123</v>
          </cell>
          <cell r="AZ664">
            <v>0</v>
          </cell>
          <cell r="BA664">
            <v>40.666666666666664</v>
          </cell>
          <cell r="BB664">
            <v>41</v>
          </cell>
          <cell r="BC664">
            <v>123</v>
          </cell>
          <cell r="BE664">
            <v>40.333333333333329</v>
          </cell>
          <cell r="BF664">
            <v>120.99999999999999</v>
          </cell>
          <cell r="BH664">
            <v>39.999999999999993</v>
          </cell>
          <cell r="BI664">
            <v>41</v>
          </cell>
          <cell r="BJ664">
            <v>123</v>
          </cell>
          <cell r="BK664">
            <v>0</v>
          </cell>
          <cell r="BL664">
            <v>40.666666666666664</v>
          </cell>
          <cell r="BM664">
            <v>41</v>
          </cell>
          <cell r="BN664">
            <v>123</v>
          </cell>
          <cell r="BO664">
            <v>0</v>
          </cell>
          <cell r="BP664">
            <v>40.666666666666664</v>
          </cell>
          <cell r="BQ664">
            <v>41</v>
          </cell>
          <cell r="BR664">
            <v>123</v>
          </cell>
          <cell r="BS664">
            <v>0</v>
          </cell>
          <cell r="BT664">
            <v>40.666666666666664</v>
          </cell>
          <cell r="BU664">
            <v>41</v>
          </cell>
          <cell r="BV664">
            <v>123</v>
          </cell>
          <cell r="BW664">
            <v>0</v>
          </cell>
          <cell r="BX664">
            <v>0</v>
          </cell>
          <cell r="BY664">
            <v>40.666666666666664</v>
          </cell>
          <cell r="BZ664">
            <v>41</v>
          </cell>
          <cell r="CA664">
            <v>123</v>
          </cell>
          <cell r="CB664">
            <v>0</v>
          </cell>
          <cell r="CC664">
            <v>0</v>
          </cell>
          <cell r="CD664">
            <v>40.666666666666664</v>
          </cell>
          <cell r="CE664">
            <v>41</v>
          </cell>
          <cell r="CF664">
            <v>123</v>
          </cell>
          <cell r="CG664">
            <v>0</v>
          </cell>
          <cell r="CH664">
            <v>0</v>
          </cell>
          <cell r="CI664">
            <v>40.333333333333329</v>
          </cell>
          <cell r="CJ664">
            <v>41</v>
          </cell>
          <cell r="CK664">
            <v>123</v>
          </cell>
          <cell r="CL664">
            <v>0</v>
          </cell>
          <cell r="CM664">
            <v>0</v>
          </cell>
          <cell r="CN664">
            <v>40.666666666666664</v>
          </cell>
          <cell r="CO664">
            <v>41</v>
          </cell>
          <cell r="CP664">
            <v>123</v>
          </cell>
          <cell r="CQ664">
            <v>0</v>
          </cell>
          <cell r="CR664">
            <v>0</v>
          </cell>
          <cell r="CS664">
            <v>40.666666666666664</v>
          </cell>
          <cell r="CT664">
            <v>41</v>
          </cell>
          <cell r="CU664">
            <v>123</v>
          </cell>
          <cell r="CV664">
            <v>0</v>
          </cell>
          <cell r="CW664">
            <v>0</v>
          </cell>
          <cell r="CX664">
            <v>40.666666666666664</v>
          </cell>
          <cell r="CY664">
            <v>41</v>
          </cell>
          <cell r="CZ664">
            <v>123</v>
          </cell>
          <cell r="DA664">
            <v>0</v>
          </cell>
          <cell r="DB664">
            <v>0</v>
          </cell>
          <cell r="DC664">
            <v>40.666666666666664</v>
          </cell>
          <cell r="DD664">
            <v>41</v>
          </cell>
          <cell r="DE664">
            <v>120</v>
          </cell>
          <cell r="DF664">
            <v>0</v>
          </cell>
          <cell r="DG664">
            <v>0</v>
          </cell>
          <cell r="DH664">
            <v>40.666666666666664</v>
          </cell>
          <cell r="DI664">
            <v>41</v>
          </cell>
          <cell r="DJ664">
            <v>119</v>
          </cell>
          <cell r="DK664">
            <v>0</v>
          </cell>
          <cell r="DL664">
            <v>0</v>
          </cell>
          <cell r="DM664">
            <v>40.333333333333329</v>
          </cell>
          <cell r="DN664">
            <v>41</v>
          </cell>
          <cell r="DO664">
            <v>120</v>
          </cell>
          <cell r="DP664">
            <v>0</v>
          </cell>
          <cell r="DR664">
            <v>40.666666666666664</v>
          </cell>
          <cell r="DS664">
            <v>40.666666666666664</v>
          </cell>
          <cell r="DT664">
            <v>119</v>
          </cell>
          <cell r="DU664">
            <v>0</v>
          </cell>
          <cell r="DV664">
            <v>0</v>
          </cell>
          <cell r="DW664">
            <v>40.333333333333329</v>
          </cell>
          <cell r="DX664">
            <v>40.333333333333329</v>
          </cell>
          <cell r="DY664">
            <v>117.99999999999999</v>
          </cell>
          <cell r="DZ664">
            <v>0</v>
          </cell>
          <cell r="EA664">
            <v>0</v>
          </cell>
          <cell r="EB664">
            <v>39.999999999999993</v>
          </cell>
          <cell r="EC664">
            <v>39.999999999999993</v>
          </cell>
          <cell r="ED664">
            <v>116.99999999999999</v>
          </cell>
          <cell r="EE664">
            <v>0</v>
          </cell>
          <cell r="EF664">
            <v>0</v>
          </cell>
          <cell r="EG664">
            <v>39.666666666666657</v>
          </cell>
          <cell r="EH664">
            <v>39.666666666666657</v>
          </cell>
          <cell r="EI664">
            <v>115.99999999999997</v>
          </cell>
          <cell r="EJ664">
            <v>0</v>
          </cell>
          <cell r="EK664">
            <v>0</v>
          </cell>
          <cell r="EL664">
            <v>39.333333333333321</v>
          </cell>
          <cell r="EM664">
            <v>39.333333333333321</v>
          </cell>
          <cell r="EN664">
            <v>114.99999999999997</v>
          </cell>
          <cell r="EO664">
            <v>0</v>
          </cell>
          <cell r="EP664">
            <v>0</v>
          </cell>
          <cell r="EQ664">
            <v>38.999999999999986</v>
          </cell>
          <cell r="ER664">
            <v>38.999999999999986</v>
          </cell>
          <cell r="ES664">
            <v>113.99999999999996</v>
          </cell>
          <cell r="ET664">
            <v>0</v>
          </cell>
          <cell r="EU664">
            <v>0</v>
          </cell>
          <cell r="EV664">
            <v>38.66666666666665</v>
          </cell>
          <cell r="EW664">
            <v>38.66666666666665</v>
          </cell>
          <cell r="EX664">
            <v>112.99999999999996</v>
          </cell>
          <cell r="EY664">
            <v>0</v>
          </cell>
          <cell r="EZ664">
            <v>0</v>
          </cell>
          <cell r="FA664">
            <v>38.333333333333314</v>
          </cell>
          <cell r="FB664">
            <v>38.333333333333314</v>
          </cell>
          <cell r="FC664">
            <v>111.99999999999994</v>
          </cell>
          <cell r="FD664">
            <v>0</v>
          </cell>
          <cell r="FE664">
            <v>0</v>
          </cell>
          <cell r="FF664">
            <v>37.999999999999979</v>
          </cell>
          <cell r="FG664">
            <v>37.999999999999979</v>
          </cell>
          <cell r="FH664">
            <v>110.99999999999994</v>
          </cell>
          <cell r="FI664">
            <v>0</v>
          </cell>
          <cell r="FJ664">
            <v>0</v>
          </cell>
          <cell r="FK664">
            <v>37.666666666666643</v>
          </cell>
          <cell r="FL664">
            <v>37.666666666666643</v>
          </cell>
          <cell r="FM664">
            <v>109.99999999999993</v>
          </cell>
          <cell r="FN664">
            <v>0</v>
          </cell>
          <cell r="FO664">
            <v>0</v>
          </cell>
          <cell r="FP664">
            <v>37.333333333333307</v>
          </cell>
          <cell r="FQ664">
            <v>37.333333333333307</v>
          </cell>
          <cell r="FR664">
            <v>108.99999999999993</v>
          </cell>
          <cell r="FS664">
            <v>0</v>
          </cell>
          <cell r="FT664">
            <v>1</v>
          </cell>
          <cell r="FU664">
            <v>2.0333333333333332</v>
          </cell>
          <cell r="FW664" t="str">
            <v>SIN ROTACIÓN</v>
          </cell>
          <cell r="FX664" t="str">
            <v>C</v>
          </cell>
          <cell r="FY664" t="str">
            <v>Si</v>
          </cell>
        </row>
        <row r="665">
          <cell r="B665" t="str">
            <v>INS-0034</v>
          </cell>
          <cell r="C665" t="str">
            <v>FLOWEY</v>
          </cell>
          <cell r="D665">
            <v>0</v>
          </cell>
          <cell r="E665">
            <v>10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10</v>
          </cell>
          <cell r="AA665">
            <v>10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P665">
            <v>2</v>
          </cell>
          <cell r="AQ665" t="str">
            <v/>
          </cell>
          <cell r="AR665">
            <v>0</v>
          </cell>
          <cell r="AS665">
            <v>2</v>
          </cell>
          <cell r="AT665">
            <v>10</v>
          </cell>
          <cell r="AU665" t="str">
            <v/>
          </cell>
          <cell r="AV665">
            <v>0</v>
          </cell>
          <cell r="AW665">
            <v>10</v>
          </cell>
          <cell r="AX665">
            <v>10</v>
          </cell>
          <cell r="AY665" t="str">
            <v/>
          </cell>
          <cell r="AZ665">
            <v>0</v>
          </cell>
          <cell r="BA665">
            <v>10</v>
          </cell>
          <cell r="BB665">
            <v>10</v>
          </cell>
          <cell r="BC665" t="str">
            <v/>
          </cell>
          <cell r="BE665">
            <v>10</v>
          </cell>
          <cell r="BF665" t="str">
            <v/>
          </cell>
          <cell r="BH665">
            <v>10</v>
          </cell>
          <cell r="BI665">
            <v>10</v>
          </cell>
          <cell r="BJ665" t="str">
            <v/>
          </cell>
          <cell r="BK665">
            <v>0</v>
          </cell>
          <cell r="BL665">
            <v>10</v>
          </cell>
          <cell r="BM665">
            <v>10</v>
          </cell>
          <cell r="BN665" t="str">
            <v/>
          </cell>
          <cell r="BO665">
            <v>0</v>
          </cell>
          <cell r="BP665">
            <v>10</v>
          </cell>
          <cell r="BQ665">
            <v>10</v>
          </cell>
          <cell r="BR665" t="str">
            <v/>
          </cell>
          <cell r="BS665">
            <v>0</v>
          </cell>
          <cell r="BT665">
            <v>10</v>
          </cell>
          <cell r="BU665">
            <v>10</v>
          </cell>
          <cell r="BV665" t="str">
            <v/>
          </cell>
          <cell r="BW665">
            <v>0</v>
          </cell>
          <cell r="BX665">
            <v>0</v>
          </cell>
          <cell r="BY665">
            <v>10</v>
          </cell>
          <cell r="BZ665">
            <v>10</v>
          </cell>
          <cell r="CA665" t="str">
            <v/>
          </cell>
          <cell r="CB665">
            <v>0</v>
          </cell>
          <cell r="CC665">
            <v>0</v>
          </cell>
          <cell r="CD665">
            <v>10</v>
          </cell>
          <cell r="CE665">
            <v>10</v>
          </cell>
          <cell r="CF665" t="str">
            <v/>
          </cell>
          <cell r="CG665">
            <v>0</v>
          </cell>
          <cell r="CH665">
            <v>0</v>
          </cell>
          <cell r="CI665">
            <v>10</v>
          </cell>
          <cell r="CJ665">
            <v>10</v>
          </cell>
          <cell r="CK665" t="str">
            <v/>
          </cell>
          <cell r="CL665">
            <v>0</v>
          </cell>
          <cell r="CM665">
            <v>0</v>
          </cell>
          <cell r="CN665">
            <v>10</v>
          </cell>
          <cell r="CO665">
            <v>10</v>
          </cell>
          <cell r="CP665" t="str">
            <v/>
          </cell>
          <cell r="CQ665">
            <v>0</v>
          </cell>
          <cell r="CR665">
            <v>0</v>
          </cell>
          <cell r="CS665">
            <v>10</v>
          </cell>
          <cell r="CT665">
            <v>10</v>
          </cell>
          <cell r="CU665" t="str">
            <v/>
          </cell>
          <cell r="CV665">
            <v>0</v>
          </cell>
          <cell r="CW665">
            <v>0</v>
          </cell>
          <cell r="CX665">
            <v>10</v>
          </cell>
          <cell r="CY665">
            <v>10</v>
          </cell>
          <cell r="CZ665" t="str">
            <v/>
          </cell>
          <cell r="DA665">
            <v>0</v>
          </cell>
          <cell r="DB665">
            <v>0</v>
          </cell>
          <cell r="DC665">
            <v>10</v>
          </cell>
          <cell r="DD665">
            <v>10</v>
          </cell>
          <cell r="DE665" t="str">
            <v/>
          </cell>
          <cell r="DF665">
            <v>0</v>
          </cell>
          <cell r="DG665">
            <v>0</v>
          </cell>
          <cell r="DH665">
            <v>10</v>
          </cell>
          <cell r="DI665">
            <v>10</v>
          </cell>
          <cell r="DJ665" t="str">
            <v/>
          </cell>
          <cell r="DK665">
            <v>0</v>
          </cell>
          <cell r="DL665">
            <v>0</v>
          </cell>
          <cell r="DM665">
            <v>10</v>
          </cell>
          <cell r="DN665">
            <v>10</v>
          </cell>
          <cell r="DO665" t="str">
            <v/>
          </cell>
          <cell r="DP665">
            <v>0</v>
          </cell>
          <cell r="DR665">
            <v>10</v>
          </cell>
          <cell r="DS665">
            <v>10</v>
          </cell>
          <cell r="DT665" t="str">
            <v/>
          </cell>
          <cell r="DU665">
            <v>0</v>
          </cell>
          <cell r="DV665">
            <v>0</v>
          </cell>
          <cell r="DW665">
            <v>10</v>
          </cell>
          <cell r="DX665">
            <v>10</v>
          </cell>
          <cell r="DY665" t="str">
            <v/>
          </cell>
          <cell r="DZ665">
            <v>0</v>
          </cell>
          <cell r="EA665">
            <v>0</v>
          </cell>
          <cell r="EB665">
            <v>10</v>
          </cell>
          <cell r="EC665">
            <v>10</v>
          </cell>
          <cell r="ED665" t="str">
            <v/>
          </cell>
          <cell r="EE665">
            <v>0</v>
          </cell>
          <cell r="EF665">
            <v>0</v>
          </cell>
          <cell r="EG665">
            <v>10</v>
          </cell>
          <cell r="EH665">
            <v>10</v>
          </cell>
          <cell r="EI665" t="str">
            <v/>
          </cell>
          <cell r="EJ665">
            <v>0</v>
          </cell>
          <cell r="EK665">
            <v>0</v>
          </cell>
          <cell r="EL665">
            <v>10</v>
          </cell>
          <cell r="EM665">
            <v>10</v>
          </cell>
          <cell r="EN665" t="str">
            <v/>
          </cell>
          <cell r="EO665">
            <v>0</v>
          </cell>
          <cell r="EP665">
            <v>0</v>
          </cell>
          <cell r="EQ665">
            <v>10</v>
          </cell>
          <cell r="ER665">
            <v>10</v>
          </cell>
          <cell r="ES665" t="str">
            <v/>
          </cell>
          <cell r="ET665">
            <v>0</v>
          </cell>
          <cell r="EU665">
            <v>0</v>
          </cell>
          <cell r="EV665">
            <v>10</v>
          </cell>
          <cell r="EW665">
            <v>10</v>
          </cell>
          <cell r="EX665" t="str">
            <v/>
          </cell>
          <cell r="EY665">
            <v>0</v>
          </cell>
          <cell r="EZ665">
            <v>0</v>
          </cell>
          <cell r="FA665">
            <v>10</v>
          </cell>
          <cell r="FB665">
            <v>10</v>
          </cell>
          <cell r="FC665" t="str">
            <v/>
          </cell>
          <cell r="FD665">
            <v>0</v>
          </cell>
          <cell r="FE665">
            <v>0</v>
          </cell>
          <cell r="FF665">
            <v>10</v>
          </cell>
          <cell r="FG665">
            <v>10</v>
          </cell>
          <cell r="FH665" t="str">
            <v/>
          </cell>
          <cell r="FI665">
            <v>0</v>
          </cell>
          <cell r="FJ665">
            <v>0</v>
          </cell>
          <cell r="FK665">
            <v>10</v>
          </cell>
          <cell r="FL665">
            <v>10</v>
          </cell>
          <cell r="FM665" t="str">
            <v/>
          </cell>
          <cell r="FN665">
            <v>0</v>
          </cell>
          <cell r="FO665">
            <v>0</v>
          </cell>
          <cell r="FP665">
            <v>10</v>
          </cell>
          <cell r="FQ665">
            <v>10</v>
          </cell>
          <cell r="FR665" t="str">
            <v/>
          </cell>
          <cell r="FS665">
            <v>0</v>
          </cell>
          <cell r="FT665">
            <v>0</v>
          </cell>
          <cell r="FU665">
            <v>2.0333333333333332</v>
          </cell>
          <cell r="FW665" t="str">
            <v>SIN ROTACIÓN</v>
          </cell>
          <cell r="FX665" t="str">
            <v>STOCK MUERTO</v>
          </cell>
          <cell r="FY665" t="str">
            <v>Si</v>
          </cell>
        </row>
        <row r="666">
          <cell r="B666" t="str">
            <v>INS-0035</v>
          </cell>
          <cell r="C666" t="str">
            <v>FLOWEY</v>
          </cell>
          <cell r="D666">
            <v>0</v>
          </cell>
          <cell r="E666">
            <v>3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3</v>
          </cell>
          <cell r="AA666">
            <v>3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P666">
            <v>41</v>
          </cell>
          <cell r="AQ666" t="str">
            <v/>
          </cell>
          <cell r="AR666">
            <v>0</v>
          </cell>
          <cell r="AS666">
            <v>41</v>
          </cell>
          <cell r="AT666">
            <v>3</v>
          </cell>
          <cell r="AU666" t="str">
            <v/>
          </cell>
          <cell r="AV666">
            <v>0</v>
          </cell>
          <cell r="AW666">
            <v>3</v>
          </cell>
          <cell r="AX666">
            <v>3</v>
          </cell>
          <cell r="AY666" t="str">
            <v/>
          </cell>
          <cell r="AZ666">
            <v>0</v>
          </cell>
          <cell r="BA666">
            <v>3</v>
          </cell>
          <cell r="BB666">
            <v>3</v>
          </cell>
          <cell r="BC666" t="str">
            <v/>
          </cell>
          <cell r="BE666">
            <v>3</v>
          </cell>
          <cell r="BF666" t="str">
            <v/>
          </cell>
          <cell r="BH666">
            <v>3</v>
          </cell>
          <cell r="BI666">
            <v>3</v>
          </cell>
          <cell r="BJ666" t="str">
            <v/>
          </cell>
          <cell r="BK666">
            <v>0</v>
          </cell>
          <cell r="BL666">
            <v>3</v>
          </cell>
          <cell r="BM666">
            <v>3</v>
          </cell>
          <cell r="BN666" t="str">
            <v/>
          </cell>
          <cell r="BO666">
            <v>0</v>
          </cell>
          <cell r="BP666">
            <v>3</v>
          </cell>
          <cell r="BQ666">
            <v>3</v>
          </cell>
          <cell r="BR666" t="str">
            <v/>
          </cell>
          <cell r="BS666">
            <v>0</v>
          </cell>
          <cell r="BT666">
            <v>3</v>
          </cell>
          <cell r="BU666">
            <v>3</v>
          </cell>
          <cell r="BV666" t="str">
            <v/>
          </cell>
          <cell r="BW666">
            <v>0</v>
          </cell>
          <cell r="BX666">
            <v>0</v>
          </cell>
          <cell r="BY666">
            <v>3</v>
          </cell>
          <cell r="BZ666">
            <v>3</v>
          </cell>
          <cell r="CA666" t="str">
            <v/>
          </cell>
          <cell r="CB666">
            <v>0</v>
          </cell>
          <cell r="CC666">
            <v>0</v>
          </cell>
          <cell r="CD666">
            <v>3</v>
          </cell>
          <cell r="CE666">
            <v>3</v>
          </cell>
          <cell r="CF666" t="str">
            <v/>
          </cell>
          <cell r="CG666">
            <v>0</v>
          </cell>
          <cell r="CH666">
            <v>0</v>
          </cell>
          <cell r="CI666">
            <v>3</v>
          </cell>
          <cell r="CJ666">
            <v>3</v>
          </cell>
          <cell r="CK666" t="str">
            <v/>
          </cell>
          <cell r="CL666">
            <v>0</v>
          </cell>
          <cell r="CM666">
            <v>0</v>
          </cell>
          <cell r="CN666">
            <v>3</v>
          </cell>
          <cell r="CO666">
            <v>3</v>
          </cell>
          <cell r="CP666" t="str">
            <v/>
          </cell>
          <cell r="CQ666">
            <v>0</v>
          </cell>
          <cell r="CR666">
            <v>0</v>
          </cell>
          <cell r="CS666">
            <v>3</v>
          </cell>
          <cell r="CT666">
            <v>3</v>
          </cell>
          <cell r="CU666" t="str">
            <v/>
          </cell>
          <cell r="CV666">
            <v>0</v>
          </cell>
          <cell r="CW666">
            <v>0</v>
          </cell>
          <cell r="CX666">
            <v>3</v>
          </cell>
          <cell r="CY666">
            <v>3</v>
          </cell>
          <cell r="CZ666" t="str">
            <v/>
          </cell>
          <cell r="DA666">
            <v>0</v>
          </cell>
          <cell r="DB666">
            <v>0</v>
          </cell>
          <cell r="DC666">
            <v>3</v>
          </cell>
          <cell r="DD666">
            <v>3</v>
          </cell>
          <cell r="DE666" t="str">
            <v/>
          </cell>
          <cell r="DF666">
            <v>0</v>
          </cell>
          <cell r="DG666">
            <v>0</v>
          </cell>
          <cell r="DH666">
            <v>3</v>
          </cell>
          <cell r="DI666">
            <v>3</v>
          </cell>
          <cell r="DJ666" t="str">
            <v/>
          </cell>
          <cell r="DK666">
            <v>0</v>
          </cell>
          <cell r="DL666">
            <v>0</v>
          </cell>
          <cell r="DM666">
            <v>3</v>
          </cell>
          <cell r="DN666">
            <v>3</v>
          </cell>
          <cell r="DO666" t="str">
            <v/>
          </cell>
          <cell r="DP666">
            <v>0</v>
          </cell>
          <cell r="DR666">
            <v>3</v>
          </cell>
          <cell r="DS666">
            <v>3</v>
          </cell>
          <cell r="DT666" t="str">
            <v/>
          </cell>
          <cell r="DU666">
            <v>0</v>
          </cell>
          <cell r="DV666">
            <v>0</v>
          </cell>
          <cell r="DW666">
            <v>3</v>
          </cell>
          <cell r="DX666">
            <v>3</v>
          </cell>
          <cell r="DY666" t="str">
            <v/>
          </cell>
          <cell r="DZ666">
            <v>0</v>
          </cell>
          <cell r="EA666">
            <v>0</v>
          </cell>
          <cell r="EB666">
            <v>3</v>
          </cell>
          <cell r="EC666">
            <v>3</v>
          </cell>
          <cell r="ED666" t="str">
            <v/>
          </cell>
          <cell r="EE666">
            <v>0</v>
          </cell>
          <cell r="EF666">
            <v>0</v>
          </cell>
          <cell r="EG666">
            <v>3</v>
          </cell>
          <cell r="EH666">
            <v>3</v>
          </cell>
          <cell r="EI666" t="str">
            <v/>
          </cell>
          <cell r="EJ666">
            <v>0</v>
          </cell>
          <cell r="EK666">
            <v>0</v>
          </cell>
          <cell r="EL666">
            <v>3</v>
          </cell>
          <cell r="EM666">
            <v>3</v>
          </cell>
          <cell r="EN666" t="str">
            <v/>
          </cell>
          <cell r="EO666">
            <v>0</v>
          </cell>
          <cell r="EP666">
            <v>0</v>
          </cell>
          <cell r="EQ666">
            <v>3</v>
          </cell>
          <cell r="ER666">
            <v>3</v>
          </cell>
          <cell r="ES666" t="str">
            <v/>
          </cell>
          <cell r="ET666">
            <v>0</v>
          </cell>
          <cell r="EU666">
            <v>0</v>
          </cell>
          <cell r="EV666">
            <v>3</v>
          </cell>
          <cell r="EW666">
            <v>3</v>
          </cell>
          <cell r="EX666" t="str">
            <v/>
          </cell>
          <cell r="EY666">
            <v>0</v>
          </cell>
          <cell r="EZ666">
            <v>0</v>
          </cell>
          <cell r="FA666">
            <v>3</v>
          </cell>
          <cell r="FB666">
            <v>3</v>
          </cell>
          <cell r="FC666" t="str">
            <v/>
          </cell>
          <cell r="FD666">
            <v>0</v>
          </cell>
          <cell r="FE666">
            <v>0</v>
          </cell>
          <cell r="FF666">
            <v>3</v>
          </cell>
          <cell r="FG666">
            <v>3</v>
          </cell>
          <cell r="FH666" t="str">
            <v/>
          </cell>
          <cell r="FI666">
            <v>0</v>
          </cell>
          <cell r="FJ666">
            <v>0</v>
          </cell>
          <cell r="FK666">
            <v>3</v>
          </cell>
          <cell r="FL666">
            <v>3</v>
          </cell>
          <cell r="FM666" t="str">
            <v/>
          </cell>
          <cell r="FN666">
            <v>0</v>
          </cell>
          <cell r="FO666">
            <v>0</v>
          </cell>
          <cell r="FP666">
            <v>3</v>
          </cell>
          <cell r="FQ666">
            <v>3</v>
          </cell>
          <cell r="FR666" t="str">
            <v/>
          </cell>
          <cell r="FS666">
            <v>0</v>
          </cell>
          <cell r="FT666">
            <v>0</v>
          </cell>
          <cell r="FU666">
            <v>2.0333333333333332</v>
          </cell>
          <cell r="FW666" t="str">
            <v>SIN ROTACIÓN</v>
          </cell>
          <cell r="FX666" t="str">
            <v>STOCK MUERTO</v>
          </cell>
          <cell r="FY666" t="str">
            <v>Si</v>
          </cell>
        </row>
        <row r="667">
          <cell r="B667" t="str">
            <v>INS-0036</v>
          </cell>
          <cell r="C667" t="str">
            <v>FLOWEY</v>
          </cell>
          <cell r="D667">
            <v>0</v>
          </cell>
          <cell r="E667">
            <v>4</v>
          </cell>
          <cell r="F667">
            <v>131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1</v>
          </cell>
          <cell r="W667">
            <v>0</v>
          </cell>
          <cell r="X667">
            <v>0</v>
          </cell>
          <cell r="Y667">
            <v>136</v>
          </cell>
          <cell r="AA667">
            <v>136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5.833333333333333</v>
          </cell>
          <cell r="AH667">
            <v>14.916666666666666</v>
          </cell>
          <cell r="AI667">
            <v>22.833333333333332</v>
          </cell>
          <cell r="AJ667">
            <v>22.833333333333332</v>
          </cell>
          <cell r="AK667">
            <v>22.833333333333332</v>
          </cell>
          <cell r="AL667">
            <v>8.0924561921719622</v>
          </cell>
          <cell r="AM667">
            <v>16.604166666666664</v>
          </cell>
          <cell r="AN667">
            <v>0.48737502788488613</v>
          </cell>
          <cell r="AP667">
            <v>-2.3333333333333339</v>
          </cell>
          <cell r="AQ667">
            <v>14.514285714285716</v>
          </cell>
          <cell r="AR667">
            <v>0</v>
          </cell>
          <cell r="AS667">
            <v>-16</v>
          </cell>
          <cell r="AT667">
            <v>209</v>
          </cell>
          <cell r="AU667">
            <v>16.076923076923077</v>
          </cell>
          <cell r="AV667">
            <v>0</v>
          </cell>
          <cell r="AW667">
            <v>196</v>
          </cell>
          <cell r="AX667">
            <v>190</v>
          </cell>
          <cell r="AY667">
            <v>8.3211678832116789</v>
          </cell>
          <cell r="AZ667">
            <v>0</v>
          </cell>
          <cell r="BA667">
            <v>174.5</v>
          </cell>
          <cell r="BB667">
            <v>176</v>
          </cell>
          <cell r="BC667">
            <v>10.153846153846155</v>
          </cell>
          <cell r="BE667">
            <v>157.16666666666666</v>
          </cell>
          <cell r="BF667">
            <v>9.0673076923076916</v>
          </cell>
          <cell r="BH667">
            <v>139.83333333333331</v>
          </cell>
          <cell r="BI667">
            <v>136</v>
          </cell>
          <cell r="BJ667">
            <v>5.9562043795620445</v>
          </cell>
          <cell r="BK667">
            <v>0</v>
          </cell>
          <cell r="BL667">
            <v>122.83333333333333</v>
          </cell>
          <cell r="BM667">
            <v>162</v>
          </cell>
          <cell r="BN667">
            <v>11.045454545454547</v>
          </cell>
          <cell r="BO667">
            <v>0</v>
          </cell>
          <cell r="BP667">
            <v>147.33333333333334</v>
          </cell>
          <cell r="BQ667">
            <v>159</v>
          </cell>
          <cell r="BR667">
            <v>6.9635036496350367</v>
          </cell>
          <cell r="BS667">
            <v>0</v>
          </cell>
          <cell r="BT667">
            <v>145.16666666666666</v>
          </cell>
          <cell r="BU667">
            <v>140</v>
          </cell>
          <cell r="BV667">
            <v>11.351351351351351</v>
          </cell>
          <cell r="BW667">
            <v>0</v>
          </cell>
          <cell r="BX667">
            <v>0</v>
          </cell>
          <cell r="BY667">
            <v>127.66666666666667</v>
          </cell>
          <cell r="BZ667">
            <v>130</v>
          </cell>
          <cell r="CA667">
            <v>11.304347826086957</v>
          </cell>
          <cell r="CB667">
            <v>0</v>
          </cell>
          <cell r="CD667">
            <v>118.5</v>
          </cell>
          <cell r="CE667">
            <v>84</v>
          </cell>
          <cell r="CF667">
            <v>5.3052631578947365</v>
          </cell>
          <cell r="CG667">
            <v>0</v>
          </cell>
          <cell r="CH667">
            <v>0</v>
          </cell>
          <cell r="CI667">
            <v>102.66666666666667</v>
          </cell>
          <cell r="CJ667">
            <v>61</v>
          </cell>
          <cell r="CK667">
            <v>3.6599999999999997</v>
          </cell>
          <cell r="CL667">
            <v>0</v>
          </cell>
          <cell r="CM667">
            <v>0</v>
          </cell>
          <cell r="CN667">
            <v>44.333333333333329</v>
          </cell>
          <cell r="CO667">
            <v>48</v>
          </cell>
          <cell r="CP667">
            <v>2.88</v>
          </cell>
          <cell r="CQ667">
            <v>0</v>
          </cell>
          <cell r="CR667">
            <v>0</v>
          </cell>
          <cell r="CS667">
            <v>31.333333333333332</v>
          </cell>
          <cell r="CT667">
            <v>160</v>
          </cell>
          <cell r="CU667">
            <v>7.8048780487804876</v>
          </cell>
          <cell r="CV667">
            <v>0</v>
          </cell>
          <cell r="CW667">
            <v>0</v>
          </cell>
          <cell r="CX667">
            <v>139.5</v>
          </cell>
          <cell r="CY667">
            <v>120</v>
          </cell>
          <cell r="CZ667">
            <v>5.333333333333333</v>
          </cell>
          <cell r="DA667">
            <v>0</v>
          </cell>
          <cell r="DB667">
            <v>0</v>
          </cell>
          <cell r="DC667">
            <v>96.5</v>
          </cell>
          <cell r="DD667">
            <v>89</v>
          </cell>
          <cell r="DE667">
            <v>1.9183673469387754</v>
          </cell>
          <cell r="DF667">
            <v>0</v>
          </cell>
          <cell r="DG667">
            <v>0</v>
          </cell>
          <cell r="DH667">
            <v>64.5</v>
          </cell>
          <cell r="DI667">
            <v>176</v>
          </cell>
          <cell r="DJ667">
            <v>1.1065573770491803</v>
          </cell>
          <cell r="DK667">
            <v>0</v>
          </cell>
          <cell r="DL667">
            <v>0</v>
          </cell>
          <cell r="DM667">
            <v>44.166666666666671</v>
          </cell>
          <cell r="DN667">
            <v>136</v>
          </cell>
          <cell r="DO667">
            <v>3.8978102189781025</v>
          </cell>
          <cell r="DP667">
            <v>0</v>
          </cell>
          <cell r="DR667">
            <v>113.16666666666667</v>
          </cell>
          <cell r="DS667">
            <v>113.16666666666667</v>
          </cell>
          <cell r="DT667">
            <v>2.8978102189781025</v>
          </cell>
          <cell r="DU667">
            <v>0</v>
          </cell>
          <cell r="DV667">
            <v>0</v>
          </cell>
          <cell r="DW667">
            <v>90.333333333333343</v>
          </cell>
          <cell r="DX667">
            <v>90.333333333333343</v>
          </cell>
          <cell r="DY667">
            <v>1.8978102189781028</v>
          </cell>
          <cell r="DZ667">
            <v>0</v>
          </cell>
          <cell r="EA667">
            <v>0</v>
          </cell>
          <cell r="EB667">
            <v>67.500000000000014</v>
          </cell>
          <cell r="EC667">
            <v>67.500000000000014</v>
          </cell>
          <cell r="ED667">
            <v>0.89781021897810287</v>
          </cell>
          <cell r="EE667">
            <v>0</v>
          </cell>
          <cell r="EF667">
            <v>0</v>
          </cell>
          <cell r="EG667">
            <v>44.666666666666686</v>
          </cell>
          <cell r="EH667">
            <v>44.666666666666686</v>
          </cell>
          <cell r="EI667">
            <v>-0.10218978102189699</v>
          </cell>
          <cell r="EJ667">
            <v>2.3333333333333144</v>
          </cell>
          <cell r="EK667">
            <v>0</v>
          </cell>
          <cell r="EL667">
            <v>21.833333333333353</v>
          </cell>
          <cell r="EM667">
            <v>21.833333333333353</v>
          </cell>
          <cell r="EN667">
            <v>-1.102189781021897</v>
          </cell>
          <cell r="EO667">
            <v>25.166666666666647</v>
          </cell>
          <cell r="EP667">
            <v>108</v>
          </cell>
          <cell r="EQ667">
            <v>107.00000000000001</v>
          </cell>
          <cell r="ER667">
            <v>107.00000000000001</v>
          </cell>
          <cell r="ES667">
            <v>2.6277372262773731</v>
          </cell>
          <cell r="ET667">
            <v>0</v>
          </cell>
          <cell r="EU667">
            <v>0</v>
          </cell>
          <cell r="EV667">
            <v>84.166666666666686</v>
          </cell>
          <cell r="EW667">
            <v>84.166666666666686</v>
          </cell>
          <cell r="EX667">
            <v>1.6277372262773733</v>
          </cell>
          <cell r="EY667">
            <v>0</v>
          </cell>
          <cell r="EZ667">
            <v>0</v>
          </cell>
          <cell r="FA667">
            <v>61.333333333333357</v>
          </cell>
          <cell r="FB667">
            <v>61.333333333333357</v>
          </cell>
          <cell r="FC667">
            <v>0.62773722627737338</v>
          </cell>
          <cell r="FD667">
            <v>0</v>
          </cell>
          <cell r="FE667">
            <v>0</v>
          </cell>
          <cell r="FF667">
            <v>38.500000000000028</v>
          </cell>
          <cell r="FG667">
            <v>38.500000000000028</v>
          </cell>
          <cell r="FH667">
            <v>-0.37226277372262651</v>
          </cell>
          <cell r="FI667">
            <v>8.4999999999999716</v>
          </cell>
          <cell r="FJ667">
            <v>0</v>
          </cell>
          <cell r="FK667">
            <v>15.666666666666696</v>
          </cell>
          <cell r="FL667">
            <v>15.666666666666696</v>
          </cell>
          <cell r="FM667">
            <v>-1.3722627737226265</v>
          </cell>
          <cell r="FN667">
            <v>31.333333333333304</v>
          </cell>
          <cell r="FO667">
            <v>0</v>
          </cell>
          <cell r="FP667">
            <v>-7.1666666666666359</v>
          </cell>
          <cell r="FQ667">
            <v>-7.1666666666666359</v>
          </cell>
          <cell r="FR667">
            <v>-2.3722627737226265</v>
          </cell>
          <cell r="FS667">
            <v>54.166666666666636</v>
          </cell>
          <cell r="FT667">
            <v>47</v>
          </cell>
          <cell r="FU667">
            <v>2.0333333333333332</v>
          </cell>
          <cell r="FW667" t="str">
            <v>SOBRESTOCK</v>
          </cell>
          <cell r="FX667" t="str">
            <v>A</v>
          </cell>
          <cell r="FY667" t="str">
            <v>Si</v>
          </cell>
        </row>
        <row r="668">
          <cell r="B668" t="str">
            <v>INS-0037</v>
          </cell>
          <cell r="C668" t="str">
            <v>FLOWEY</v>
          </cell>
          <cell r="D668">
            <v>0</v>
          </cell>
          <cell r="E668">
            <v>2</v>
          </cell>
          <cell r="F668">
            <v>237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5</v>
          </cell>
          <cell r="W668">
            <v>0</v>
          </cell>
          <cell r="X668">
            <v>0</v>
          </cell>
          <cell r="Y668">
            <v>244</v>
          </cell>
          <cell r="AA668">
            <v>244</v>
          </cell>
          <cell r="AB668">
            <v>1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14.166666666666666</v>
          </cell>
          <cell r="AJ668">
            <v>14.166666666666666</v>
          </cell>
          <cell r="AK668">
            <v>14.166666666666666</v>
          </cell>
          <cell r="AL668">
            <v>8.1791288135196982</v>
          </cell>
          <cell r="AM668">
            <v>7.083333333333333</v>
          </cell>
          <cell r="AN668">
            <v>1.1547005383792515</v>
          </cell>
          <cell r="AP668">
            <v>-2.3333333333333339</v>
          </cell>
          <cell r="AQ668">
            <v>14.514285714285716</v>
          </cell>
          <cell r="AR668">
            <v>0</v>
          </cell>
          <cell r="AS668">
            <v>-16</v>
          </cell>
          <cell r="AT668">
            <v>209</v>
          </cell>
          <cell r="AU668">
            <v>16.076923076923077</v>
          </cell>
          <cell r="AV668">
            <v>1</v>
          </cell>
          <cell r="AW668">
            <v>196</v>
          </cell>
          <cell r="AX668">
            <v>190</v>
          </cell>
          <cell r="AY668">
            <v>13.411764705882353</v>
          </cell>
          <cell r="AZ668">
            <v>0</v>
          </cell>
          <cell r="BA668">
            <v>174.5</v>
          </cell>
          <cell r="BB668">
            <v>176</v>
          </cell>
          <cell r="BC668">
            <v>10.153846153846155</v>
          </cell>
          <cell r="BE668">
            <v>157.16666666666666</v>
          </cell>
          <cell r="BF668">
            <v>9.0673076923076916</v>
          </cell>
          <cell r="BH668">
            <v>139.83333333333331</v>
          </cell>
          <cell r="BI668">
            <v>244</v>
          </cell>
          <cell r="BJ668">
            <v>17.223529411764705</v>
          </cell>
          <cell r="BK668">
            <v>0</v>
          </cell>
          <cell r="BL668">
            <v>122.83333333333333</v>
          </cell>
          <cell r="BM668">
            <v>162</v>
          </cell>
          <cell r="BN668">
            <v>11.045454545454547</v>
          </cell>
          <cell r="BO668">
            <v>0</v>
          </cell>
          <cell r="BP668">
            <v>147.33333333333334</v>
          </cell>
          <cell r="BQ668">
            <v>159</v>
          </cell>
          <cell r="BR668">
            <v>11.223529411764707</v>
          </cell>
          <cell r="BS668">
            <v>0</v>
          </cell>
          <cell r="BT668">
            <v>145.16666666666666</v>
          </cell>
          <cell r="BU668">
            <v>140</v>
          </cell>
          <cell r="BV668">
            <v>11.351351351351351</v>
          </cell>
          <cell r="BW668">
            <v>1</v>
          </cell>
          <cell r="BX668">
            <v>0</v>
          </cell>
          <cell r="BY668">
            <v>127.66666666666667</v>
          </cell>
          <cell r="BZ668">
            <v>130</v>
          </cell>
          <cell r="CA668">
            <v>11.304347826086957</v>
          </cell>
          <cell r="CB668">
            <v>1</v>
          </cell>
          <cell r="CD668">
            <v>118.5</v>
          </cell>
          <cell r="CE668">
            <v>84</v>
          </cell>
          <cell r="CF668">
            <v>5.3052631578947365</v>
          </cell>
          <cell r="CG668">
            <v>0</v>
          </cell>
          <cell r="CH668">
            <v>0</v>
          </cell>
          <cell r="CI668">
            <v>102.66666666666667</v>
          </cell>
          <cell r="CJ668">
            <v>61</v>
          </cell>
          <cell r="CK668">
            <v>3.6599999999999997</v>
          </cell>
          <cell r="CL668">
            <v>0</v>
          </cell>
          <cell r="CM668">
            <v>0</v>
          </cell>
          <cell r="CN668">
            <v>45.3333333333333</v>
          </cell>
          <cell r="CO668">
            <v>49</v>
          </cell>
          <cell r="CP668">
            <v>3.88</v>
          </cell>
          <cell r="CQ668">
            <v>0</v>
          </cell>
          <cell r="CR668">
            <v>0</v>
          </cell>
          <cell r="CS668">
            <v>31.333333333333332</v>
          </cell>
          <cell r="CT668">
            <v>160</v>
          </cell>
          <cell r="CU668">
            <v>8.8048780487804894</v>
          </cell>
          <cell r="CV668">
            <v>0</v>
          </cell>
          <cell r="CW668">
            <v>0</v>
          </cell>
          <cell r="CX668">
            <v>140.5</v>
          </cell>
          <cell r="CY668">
            <v>121</v>
          </cell>
          <cell r="CZ668">
            <v>6.3333333333333304</v>
          </cell>
          <cell r="DA668">
            <v>0</v>
          </cell>
          <cell r="DB668">
            <v>0</v>
          </cell>
          <cell r="DC668">
            <v>96.5</v>
          </cell>
          <cell r="DD668">
            <v>89</v>
          </cell>
          <cell r="DE668">
            <v>1.9183673469387754</v>
          </cell>
          <cell r="DF668">
            <v>0</v>
          </cell>
          <cell r="DG668">
            <v>0</v>
          </cell>
          <cell r="DH668">
            <v>65.5</v>
          </cell>
          <cell r="DI668">
            <v>273</v>
          </cell>
          <cell r="DJ668">
            <v>1.7352941176470589</v>
          </cell>
          <cell r="DK668">
            <v>0</v>
          </cell>
          <cell r="DL668">
            <v>0</v>
          </cell>
          <cell r="DM668">
            <v>48.5</v>
          </cell>
          <cell r="DN668">
            <v>244</v>
          </cell>
          <cell r="DO668">
            <v>15.105882352941178</v>
          </cell>
          <cell r="DP668">
            <v>0</v>
          </cell>
          <cell r="DR668">
            <v>229.83333333333334</v>
          </cell>
          <cell r="DS668">
            <v>229.83333333333334</v>
          </cell>
          <cell r="DT668">
            <v>14.105882352941178</v>
          </cell>
          <cell r="DU668">
            <v>0</v>
          </cell>
          <cell r="DV668">
            <v>0</v>
          </cell>
          <cell r="DW668">
            <v>215.66666666666669</v>
          </cell>
          <cell r="DX668">
            <v>215.66666666666669</v>
          </cell>
          <cell r="DY668">
            <v>13.105882352941178</v>
          </cell>
          <cell r="DZ668">
            <v>0</v>
          </cell>
          <cell r="EA668">
            <v>0</v>
          </cell>
          <cell r="EB668">
            <v>201.50000000000003</v>
          </cell>
          <cell r="EC668">
            <v>201.50000000000003</v>
          </cell>
          <cell r="ED668">
            <v>12.10588235294118</v>
          </cell>
          <cell r="EE668">
            <v>0</v>
          </cell>
          <cell r="EF668">
            <v>0</v>
          </cell>
          <cell r="EG668">
            <v>187.33333333333337</v>
          </cell>
          <cell r="EH668">
            <v>187.33333333333337</v>
          </cell>
          <cell r="EI668">
            <v>11.10588235294118</v>
          </cell>
          <cell r="EJ668">
            <v>0</v>
          </cell>
          <cell r="EK668">
            <v>0</v>
          </cell>
          <cell r="EL668">
            <v>173.16666666666671</v>
          </cell>
          <cell r="EM668">
            <v>173.16666666666671</v>
          </cell>
          <cell r="EN668">
            <v>10.10588235294118</v>
          </cell>
          <cell r="EO668">
            <v>0</v>
          </cell>
          <cell r="EP668">
            <v>72</v>
          </cell>
          <cell r="EQ668">
            <v>231.00000000000006</v>
          </cell>
          <cell r="ER668">
            <v>231.00000000000006</v>
          </cell>
          <cell r="ES668">
            <v>14.188235294117652</v>
          </cell>
          <cell r="ET668">
            <v>0</v>
          </cell>
          <cell r="EU668">
            <v>0</v>
          </cell>
          <cell r="EV668">
            <v>216.8333333333334</v>
          </cell>
          <cell r="EW668">
            <v>216.8333333333334</v>
          </cell>
          <cell r="EX668">
            <v>13.188235294117652</v>
          </cell>
          <cell r="EY668">
            <v>0</v>
          </cell>
          <cell r="EZ668">
            <v>0</v>
          </cell>
          <cell r="FA668">
            <v>202.66666666666674</v>
          </cell>
          <cell r="FB668">
            <v>202.66666666666674</v>
          </cell>
          <cell r="FC668">
            <v>12.188235294117653</v>
          </cell>
          <cell r="FD668">
            <v>0</v>
          </cell>
          <cell r="FE668">
            <v>0</v>
          </cell>
          <cell r="FF668">
            <v>188.50000000000009</v>
          </cell>
          <cell r="FG668">
            <v>188.50000000000009</v>
          </cell>
          <cell r="FH668">
            <v>11.188235294117653</v>
          </cell>
          <cell r="FI668">
            <v>0</v>
          </cell>
          <cell r="FJ668">
            <v>0</v>
          </cell>
          <cell r="FK668">
            <v>174.33333333333343</v>
          </cell>
          <cell r="FL668">
            <v>174.33333333333343</v>
          </cell>
          <cell r="FM668">
            <v>10.188235294117653</v>
          </cell>
          <cell r="FN668">
            <v>0</v>
          </cell>
          <cell r="FO668">
            <v>0</v>
          </cell>
          <cell r="FP668">
            <v>160.16666666666677</v>
          </cell>
          <cell r="FQ668">
            <v>160.16666666666677</v>
          </cell>
          <cell r="FR668">
            <v>9.1882352941176553</v>
          </cell>
          <cell r="FS668">
            <v>0</v>
          </cell>
          <cell r="FT668">
            <v>30</v>
          </cell>
          <cell r="FU668">
            <v>2.0666666666666669</v>
          </cell>
          <cell r="FW668" t="str">
            <v>SOBRESTOCK</v>
          </cell>
          <cell r="FX668" t="str">
            <v>NUEVO</v>
          </cell>
          <cell r="FY668" t="str">
            <v>Si</v>
          </cell>
        </row>
        <row r="669">
          <cell r="B669" t="str">
            <v>INS-0038</v>
          </cell>
          <cell r="C669" t="str">
            <v>FLOWEY</v>
          </cell>
          <cell r="D669">
            <v>0</v>
          </cell>
          <cell r="E669">
            <v>4</v>
          </cell>
          <cell r="F669">
            <v>231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5</v>
          </cell>
          <cell r="W669">
            <v>0</v>
          </cell>
          <cell r="X669">
            <v>0</v>
          </cell>
          <cell r="Y669">
            <v>240</v>
          </cell>
          <cell r="AA669">
            <v>240</v>
          </cell>
          <cell r="AB669">
            <v>2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44.833333333333336</v>
          </cell>
          <cell r="AJ669">
            <v>44.833333333333336</v>
          </cell>
          <cell r="AK669">
            <v>44.833333333333336</v>
          </cell>
          <cell r="AL669">
            <v>25.884537068668223</v>
          </cell>
          <cell r="AM669">
            <v>22.416666666666668</v>
          </cell>
          <cell r="AN669">
            <v>1.1547005383792515</v>
          </cell>
          <cell r="AP669">
            <v>-2.3333333333333339</v>
          </cell>
          <cell r="AQ669">
            <v>14.514285714285716</v>
          </cell>
          <cell r="AR669">
            <v>0</v>
          </cell>
          <cell r="AS669">
            <v>-16</v>
          </cell>
          <cell r="AT669">
            <v>209</v>
          </cell>
          <cell r="AU669">
            <v>16.076923076923077</v>
          </cell>
          <cell r="AV669">
            <v>2</v>
          </cell>
          <cell r="AW669">
            <v>196</v>
          </cell>
          <cell r="AX669">
            <v>190</v>
          </cell>
          <cell r="AY669">
            <v>4.2379182156133828</v>
          </cell>
          <cell r="AZ669">
            <v>0</v>
          </cell>
          <cell r="BA669">
            <v>174.5</v>
          </cell>
          <cell r="BB669">
            <v>176</v>
          </cell>
          <cell r="BC669">
            <v>10.153846153846155</v>
          </cell>
          <cell r="BE669">
            <v>157.16666666666666</v>
          </cell>
          <cell r="BF669">
            <v>9.0673076923076916</v>
          </cell>
          <cell r="BH669">
            <v>139.83333333333331</v>
          </cell>
          <cell r="BI669">
            <v>240</v>
          </cell>
          <cell r="BJ669">
            <v>5.3531598513011147</v>
          </cell>
          <cell r="BK669">
            <v>0</v>
          </cell>
          <cell r="BL669">
            <v>122.83333333333333</v>
          </cell>
          <cell r="BM669">
            <v>162</v>
          </cell>
          <cell r="BN669">
            <v>11.045454545454547</v>
          </cell>
          <cell r="BO669">
            <v>0</v>
          </cell>
          <cell r="BP669">
            <v>147.33333333333334</v>
          </cell>
          <cell r="BQ669">
            <v>159</v>
          </cell>
          <cell r="BR669">
            <v>3.5464684014869885</v>
          </cell>
          <cell r="BS669">
            <v>0</v>
          </cell>
          <cell r="BT669">
            <v>145.16666666666666</v>
          </cell>
          <cell r="BU669">
            <v>140</v>
          </cell>
          <cell r="BV669">
            <v>11.351351351351351</v>
          </cell>
          <cell r="BW669">
            <v>2</v>
          </cell>
          <cell r="BX669">
            <v>0</v>
          </cell>
          <cell r="BY669">
            <v>127.66666666666667</v>
          </cell>
          <cell r="BZ669">
            <v>130</v>
          </cell>
          <cell r="CA669">
            <v>11.304347826086957</v>
          </cell>
          <cell r="CB669">
            <v>2</v>
          </cell>
          <cell r="CD669">
            <v>118.5</v>
          </cell>
          <cell r="CE669">
            <v>84</v>
          </cell>
          <cell r="CF669">
            <v>5.3052631578947365</v>
          </cell>
          <cell r="CG669">
            <v>0</v>
          </cell>
          <cell r="CH669">
            <v>0</v>
          </cell>
          <cell r="CI669">
            <v>102.66666666666667</v>
          </cell>
          <cell r="CJ669">
            <v>61</v>
          </cell>
          <cell r="CK669">
            <v>3.6599999999999997</v>
          </cell>
          <cell r="CL669">
            <v>0</v>
          </cell>
          <cell r="CM669">
            <v>0</v>
          </cell>
          <cell r="CN669">
            <v>46.3333333333333</v>
          </cell>
          <cell r="CO669">
            <v>50</v>
          </cell>
          <cell r="CP669">
            <v>4.88</v>
          </cell>
          <cell r="CQ669">
            <v>0</v>
          </cell>
          <cell r="CR669">
            <v>0</v>
          </cell>
          <cell r="CS669">
            <v>31.333333333333332</v>
          </cell>
          <cell r="CT669">
            <v>160</v>
          </cell>
          <cell r="CU669">
            <v>9.8048780487804894</v>
          </cell>
          <cell r="CV669">
            <v>0</v>
          </cell>
          <cell r="CW669">
            <v>0</v>
          </cell>
          <cell r="CX669">
            <v>141.5</v>
          </cell>
          <cell r="CY669">
            <v>122</v>
          </cell>
          <cell r="CZ669">
            <v>7.3333333333333304</v>
          </cell>
          <cell r="DA669">
            <v>0</v>
          </cell>
          <cell r="DB669">
            <v>0</v>
          </cell>
          <cell r="DC669">
            <v>96.5</v>
          </cell>
          <cell r="DD669">
            <v>89</v>
          </cell>
          <cell r="DE669">
            <v>1.9183673469387754</v>
          </cell>
          <cell r="DF669">
            <v>0</v>
          </cell>
          <cell r="DG669">
            <v>0</v>
          </cell>
          <cell r="DH669">
            <v>66.5</v>
          </cell>
          <cell r="DI669">
            <v>297</v>
          </cell>
          <cell r="DJ669">
            <v>-4.6875E-2</v>
          </cell>
          <cell r="DK669">
            <v>0</v>
          </cell>
          <cell r="DL669">
            <v>0</v>
          </cell>
          <cell r="DM669">
            <v>34.5</v>
          </cell>
          <cell r="DN669">
            <v>240</v>
          </cell>
          <cell r="DO669">
            <v>3.2342007434944238</v>
          </cell>
          <cell r="DP669">
            <v>0</v>
          </cell>
          <cell r="DR669">
            <v>195.16666666666666</v>
          </cell>
          <cell r="DS669">
            <v>195.16666666666666</v>
          </cell>
          <cell r="DT669">
            <v>2.2342007434944233</v>
          </cell>
          <cell r="DU669">
            <v>0</v>
          </cell>
          <cell r="DV669">
            <v>0</v>
          </cell>
          <cell r="DW669">
            <v>150.33333333333331</v>
          </cell>
          <cell r="DX669">
            <v>150.33333333333331</v>
          </cell>
          <cell r="DY669">
            <v>1.2342007434944233</v>
          </cell>
          <cell r="DZ669">
            <v>0</v>
          </cell>
          <cell r="EA669">
            <v>0</v>
          </cell>
          <cell r="EB669">
            <v>105.49999999999997</v>
          </cell>
          <cell r="EC669">
            <v>105.49999999999997</v>
          </cell>
          <cell r="ED669">
            <v>0.23420074349442316</v>
          </cell>
          <cell r="EE669">
            <v>0</v>
          </cell>
          <cell r="EF669">
            <v>0</v>
          </cell>
          <cell r="EG669">
            <v>60.666666666666636</v>
          </cell>
          <cell r="EH669">
            <v>60.666666666666636</v>
          </cell>
          <cell r="EI669">
            <v>-0.7657992565055769</v>
          </cell>
          <cell r="EJ669">
            <v>34.333333333333364</v>
          </cell>
          <cell r="EK669">
            <v>0</v>
          </cell>
          <cell r="EL669">
            <v>15.8333333333333</v>
          </cell>
          <cell r="EM669">
            <v>15.8333333333333</v>
          </cell>
          <cell r="EN669">
            <v>-1.7657992565055769</v>
          </cell>
          <cell r="EO669">
            <v>79.1666666666667</v>
          </cell>
          <cell r="EP669">
            <v>144</v>
          </cell>
          <cell r="EQ669">
            <v>114.99999999999997</v>
          </cell>
          <cell r="ER669">
            <v>114.99999999999997</v>
          </cell>
          <cell r="ES669">
            <v>0.44609665427509226</v>
          </cell>
          <cell r="ET669">
            <v>0</v>
          </cell>
          <cell r="EU669">
            <v>0</v>
          </cell>
          <cell r="EV669">
            <v>70.166666666666629</v>
          </cell>
          <cell r="EW669">
            <v>70.166666666666629</v>
          </cell>
          <cell r="EX669">
            <v>-0.55390334572490785</v>
          </cell>
          <cell r="EY669">
            <v>24.833333333333371</v>
          </cell>
          <cell r="EZ669">
            <v>0</v>
          </cell>
          <cell r="FA669">
            <v>25.333333333333293</v>
          </cell>
          <cell r="FB669">
            <v>25.333333333333293</v>
          </cell>
          <cell r="FC669">
            <v>-1.5539033457249081</v>
          </cell>
          <cell r="FD669">
            <v>69.666666666666714</v>
          </cell>
          <cell r="FE669">
            <v>0</v>
          </cell>
          <cell r="FF669">
            <v>-19.500000000000043</v>
          </cell>
          <cell r="FG669">
            <v>-19.500000000000043</v>
          </cell>
          <cell r="FH669">
            <v>-2.5539033457249078</v>
          </cell>
          <cell r="FI669">
            <v>114.50000000000004</v>
          </cell>
          <cell r="FJ669">
            <v>0</v>
          </cell>
          <cell r="FK669">
            <v>-64.333333333333371</v>
          </cell>
          <cell r="FL669">
            <v>-64.333333333333371</v>
          </cell>
          <cell r="FM669">
            <v>-3.5539033457249078</v>
          </cell>
          <cell r="FN669">
            <v>159.33333333333337</v>
          </cell>
          <cell r="FO669">
            <v>0</v>
          </cell>
          <cell r="FP669">
            <v>-109.16666666666671</v>
          </cell>
          <cell r="FQ669">
            <v>-109.16666666666671</v>
          </cell>
          <cell r="FR669">
            <v>-4.5539033457249083</v>
          </cell>
          <cell r="FS669">
            <v>204.16666666666671</v>
          </cell>
          <cell r="FT669">
            <v>95</v>
          </cell>
          <cell r="FU669">
            <v>2.1</v>
          </cell>
          <cell r="FW669" t="str">
            <v>SOBRESTOCK</v>
          </cell>
          <cell r="FX669" t="str">
            <v>NUEVO</v>
          </cell>
          <cell r="FY669" t="str">
            <v>Si</v>
          </cell>
        </row>
        <row r="670">
          <cell r="B670" t="str">
            <v>INS-0039</v>
          </cell>
          <cell r="C670" t="str">
            <v>FLOWEY</v>
          </cell>
          <cell r="D670">
            <v>0</v>
          </cell>
          <cell r="E670">
            <v>4</v>
          </cell>
          <cell r="F670">
            <v>67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71</v>
          </cell>
          <cell r="AA670">
            <v>71</v>
          </cell>
          <cell r="AB670">
            <v>3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6</v>
          </cell>
          <cell r="AJ670">
            <v>6</v>
          </cell>
          <cell r="AK670">
            <v>6</v>
          </cell>
          <cell r="AL670">
            <v>3.4641016151377544</v>
          </cell>
          <cell r="AM670">
            <v>3</v>
          </cell>
          <cell r="AN670">
            <v>1.1547005383792515</v>
          </cell>
          <cell r="AP670">
            <v>-2.3333333333333339</v>
          </cell>
          <cell r="AQ670">
            <v>14.514285714285716</v>
          </cell>
          <cell r="AR670">
            <v>0</v>
          </cell>
          <cell r="AS670">
            <v>-16</v>
          </cell>
          <cell r="AT670">
            <v>209</v>
          </cell>
          <cell r="AU670">
            <v>16.076923076923077</v>
          </cell>
          <cell r="AV670">
            <v>3</v>
          </cell>
          <cell r="AW670">
            <v>196</v>
          </cell>
          <cell r="AX670">
            <v>190</v>
          </cell>
          <cell r="AY670">
            <v>31.666666666666668</v>
          </cell>
          <cell r="AZ670">
            <v>0</v>
          </cell>
          <cell r="BA670">
            <v>174.5</v>
          </cell>
          <cell r="BB670">
            <v>176</v>
          </cell>
          <cell r="BC670">
            <v>10.153846153846155</v>
          </cell>
          <cell r="BE670">
            <v>157.16666666666666</v>
          </cell>
          <cell r="BF670">
            <v>9.0673076923076916</v>
          </cell>
          <cell r="BH670">
            <v>139.83333333333331</v>
          </cell>
          <cell r="BI670">
            <v>71</v>
          </cell>
          <cell r="BJ670">
            <v>11.833333333333334</v>
          </cell>
          <cell r="BK670">
            <v>0</v>
          </cell>
          <cell r="BL670">
            <v>122.83333333333333</v>
          </cell>
          <cell r="BM670">
            <v>162</v>
          </cell>
          <cell r="BN670">
            <v>11.045454545454547</v>
          </cell>
          <cell r="BO670">
            <v>0</v>
          </cell>
          <cell r="BP670">
            <v>147.33333333333334</v>
          </cell>
          <cell r="BQ670">
            <v>159</v>
          </cell>
          <cell r="BR670">
            <v>26.5</v>
          </cell>
          <cell r="BS670">
            <v>0</v>
          </cell>
          <cell r="BT670">
            <v>145.16666666666666</v>
          </cell>
          <cell r="BU670">
            <v>140</v>
          </cell>
          <cell r="BV670">
            <v>11.351351351351351</v>
          </cell>
          <cell r="BW670">
            <v>3</v>
          </cell>
          <cell r="BX670">
            <v>0</v>
          </cell>
          <cell r="BY670">
            <v>127.66666666666667</v>
          </cell>
          <cell r="BZ670">
            <v>130</v>
          </cell>
          <cell r="CA670">
            <v>11.304347826086957</v>
          </cell>
          <cell r="CB670">
            <v>3</v>
          </cell>
          <cell r="CD670">
            <v>118.5</v>
          </cell>
          <cell r="CE670">
            <v>84</v>
          </cell>
          <cell r="CF670">
            <v>5.3052631578947365</v>
          </cell>
          <cell r="CG670">
            <v>0</v>
          </cell>
          <cell r="CH670">
            <v>0</v>
          </cell>
          <cell r="CI670">
            <v>102.66666666666667</v>
          </cell>
          <cell r="CJ670">
            <v>61</v>
          </cell>
          <cell r="CK670">
            <v>3.6599999999999997</v>
          </cell>
          <cell r="CL670">
            <v>0</v>
          </cell>
          <cell r="CM670">
            <v>0</v>
          </cell>
          <cell r="CN670">
            <v>47.3333333333333</v>
          </cell>
          <cell r="CO670">
            <v>51</v>
          </cell>
          <cell r="CP670">
            <v>5.88</v>
          </cell>
          <cell r="CQ670">
            <v>0</v>
          </cell>
          <cell r="CR670">
            <v>0</v>
          </cell>
          <cell r="CS670">
            <v>31.333333333333332</v>
          </cell>
          <cell r="CT670">
            <v>160</v>
          </cell>
          <cell r="CU670">
            <v>10.8048780487805</v>
          </cell>
          <cell r="CV670">
            <v>0</v>
          </cell>
          <cell r="CW670">
            <v>0</v>
          </cell>
          <cell r="CX670">
            <v>142.5</v>
          </cell>
          <cell r="CY670">
            <v>123</v>
          </cell>
          <cell r="CZ670">
            <v>8.3333333333333304</v>
          </cell>
          <cell r="DA670">
            <v>0</v>
          </cell>
          <cell r="DB670">
            <v>0</v>
          </cell>
          <cell r="DC670">
            <v>96.5</v>
          </cell>
          <cell r="DD670">
            <v>89</v>
          </cell>
          <cell r="DE670">
            <v>1.9183673469387754</v>
          </cell>
          <cell r="DF670">
            <v>0</v>
          </cell>
          <cell r="DG670">
            <v>0</v>
          </cell>
          <cell r="DH670">
            <v>67.5</v>
          </cell>
          <cell r="DI670">
            <v>88</v>
          </cell>
          <cell r="DJ670">
            <v>7.875</v>
          </cell>
          <cell r="DK670">
            <v>0</v>
          </cell>
          <cell r="DL670">
            <v>0</v>
          </cell>
          <cell r="DM670">
            <v>60.833333333333336</v>
          </cell>
          <cell r="DN670">
            <v>71</v>
          </cell>
          <cell r="DO670">
            <v>9.6666666666666661</v>
          </cell>
          <cell r="DP670">
            <v>0</v>
          </cell>
          <cell r="DR670">
            <v>65</v>
          </cell>
          <cell r="DS670">
            <v>65</v>
          </cell>
          <cell r="DT670">
            <v>8.6666666666666661</v>
          </cell>
          <cell r="DU670">
            <v>0</v>
          </cell>
          <cell r="DV670">
            <v>0</v>
          </cell>
          <cell r="DW670">
            <v>59</v>
          </cell>
          <cell r="DX670">
            <v>59</v>
          </cell>
          <cell r="DY670">
            <v>7.666666666666667</v>
          </cell>
          <cell r="DZ670">
            <v>0</v>
          </cell>
          <cell r="EA670">
            <v>0</v>
          </cell>
          <cell r="EB670">
            <v>53</v>
          </cell>
          <cell r="EC670">
            <v>53</v>
          </cell>
          <cell r="ED670">
            <v>6.666666666666667</v>
          </cell>
          <cell r="EE670">
            <v>0</v>
          </cell>
          <cell r="EF670">
            <v>0</v>
          </cell>
          <cell r="EG670">
            <v>47</v>
          </cell>
          <cell r="EH670">
            <v>47</v>
          </cell>
          <cell r="EI670">
            <v>5.666666666666667</v>
          </cell>
          <cell r="EJ670">
            <v>0</v>
          </cell>
          <cell r="EK670">
            <v>0</v>
          </cell>
          <cell r="EL670">
            <v>41</v>
          </cell>
          <cell r="EM670">
            <v>41</v>
          </cell>
          <cell r="EN670">
            <v>4.666666666666667</v>
          </cell>
          <cell r="EO670">
            <v>0</v>
          </cell>
          <cell r="EP670">
            <v>36</v>
          </cell>
          <cell r="EQ670">
            <v>71</v>
          </cell>
          <cell r="ER670">
            <v>71</v>
          </cell>
          <cell r="ES670">
            <v>9.6666666666666661</v>
          </cell>
          <cell r="ET670">
            <v>0</v>
          </cell>
          <cell r="EU670">
            <v>0</v>
          </cell>
          <cell r="EV670">
            <v>65</v>
          </cell>
          <cell r="EW670">
            <v>65</v>
          </cell>
          <cell r="EX670">
            <v>8.6666666666666661</v>
          </cell>
          <cell r="EY670">
            <v>0</v>
          </cell>
          <cell r="EZ670">
            <v>0</v>
          </cell>
          <cell r="FA670">
            <v>59</v>
          </cell>
          <cell r="FB670">
            <v>59</v>
          </cell>
          <cell r="FC670">
            <v>7.666666666666667</v>
          </cell>
          <cell r="FD670">
            <v>0</v>
          </cell>
          <cell r="FE670">
            <v>0</v>
          </cell>
          <cell r="FF670">
            <v>53</v>
          </cell>
          <cell r="FG670">
            <v>53</v>
          </cell>
          <cell r="FH670">
            <v>6.666666666666667</v>
          </cell>
          <cell r="FI670">
            <v>0</v>
          </cell>
          <cell r="FJ670">
            <v>0</v>
          </cell>
          <cell r="FK670">
            <v>47</v>
          </cell>
          <cell r="FL670">
            <v>47</v>
          </cell>
          <cell r="FM670">
            <v>5.666666666666667</v>
          </cell>
          <cell r="FN670">
            <v>0</v>
          </cell>
          <cell r="FO670">
            <v>0</v>
          </cell>
          <cell r="FP670">
            <v>41</v>
          </cell>
          <cell r="FQ670">
            <v>41</v>
          </cell>
          <cell r="FR670">
            <v>4.666666666666667</v>
          </cell>
          <cell r="FS670">
            <v>0</v>
          </cell>
          <cell r="FT670">
            <v>13</v>
          </cell>
          <cell r="FU670">
            <v>2.1333333333333333</v>
          </cell>
          <cell r="FW670" t="str">
            <v>SOBRESTOCK</v>
          </cell>
          <cell r="FX670" t="str">
            <v>NUEVO</v>
          </cell>
          <cell r="FY670" t="str">
            <v>Si</v>
          </cell>
        </row>
        <row r="671">
          <cell r="E671">
            <v>15235</v>
          </cell>
          <cell r="Y671">
            <v>78119</v>
          </cell>
        </row>
        <row r="672">
          <cell r="FE672">
            <v>5267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9"/>
  <sheetViews>
    <sheetView tabSelected="1" workbookViewId="0">
      <selection activeCell="B11" sqref="B11"/>
    </sheetView>
  </sheetViews>
  <sheetFormatPr baseColWidth="10" defaultRowHeight="13.8" x14ac:dyDescent="0.3"/>
  <cols>
    <col min="1" max="1" width="11.19921875" style="9"/>
    <col min="2" max="2" width="50.09765625" style="9" customWidth="1"/>
    <col min="3" max="3" width="11.296875" style="9" bestFit="1" customWidth="1"/>
    <col min="4" max="4" width="13.8984375" style="9" bestFit="1" customWidth="1"/>
    <col min="5" max="5" width="11.296875" style="9" bestFit="1" customWidth="1"/>
    <col min="6" max="6" width="11.19921875" style="9" hidden="1" customWidth="1"/>
    <col min="7" max="7" width="65.5" style="9" hidden="1" customWidth="1"/>
    <col min="8" max="9" width="11.296875" style="9" hidden="1" customWidth="1"/>
    <col min="10" max="16384" width="11.19921875" style="9"/>
  </cols>
  <sheetData>
    <row r="1" spans="1:10" s="16" customFormat="1" x14ac:dyDescent="0.3">
      <c r="A1" s="11" t="s">
        <v>1</v>
      </c>
      <c r="B1" s="11" t="s">
        <v>0</v>
      </c>
      <c r="C1" s="11" t="s">
        <v>914</v>
      </c>
      <c r="D1" s="15" t="s">
        <v>1151</v>
      </c>
      <c r="E1" s="11" t="s">
        <v>1148</v>
      </c>
      <c r="F1" s="11" t="s">
        <v>1047</v>
      </c>
      <c r="G1" s="11" t="s">
        <v>1149</v>
      </c>
      <c r="H1" s="11" t="s">
        <v>1152</v>
      </c>
      <c r="I1" s="11"/>
      <c r="J1" s="11" t="s">
        <v>1193</v>
      </c>
    </row>
    <row r="2" spans="1:10" x14ac:dyDescent="0.3">
      <c r="A2" s="10" t="s">
        <v>3</v>
      </c>
      <c r="B2" s="10" t="s">
        <v>2</v>
      </c>
      <c r="C2" s="17">
        <f>IFERROR(VLOOKUP(A2,[1]REPUESTOS!$A:$D,4,FALSE),"")</f>
        <v>72630</v>
      </c>
      <c r="D2" s="18">
        <f>IFERROR(VLOOKUP(A2,[2]REPUESTOS!$A:$R,18,FALSE),C2)</f>
        <v>73832.717708942146</v>
      </c>
      <c r="E2" s="19">
        <f>IFERROR((D2-C2)/C2,0)</f>
        <v>1.655951685174371E-2</v>
      </c>
      <c r="F2" s="10" t="str">
        <f>VLOOKUP(A2,[3]data!$W:$Z,4,FALSE)</f>
        <v>Si</v>
      </c>
      <c r="G2" s="10" t="str">
        <f>MID(B2,15,100)</f>
        <v>Shampoo ev14 (22 kg)</v>
      </c>
      <c r="H2" s="19">
        <f>IFERROR(VLOOKUP(A2,[2]REPUESTOS!$A:$S,19,FALSE),"SIN ANÁLISIS")</f>
        <v>0</v>
      </c>
      <c r="I2" s="19">
        <f>IFERROR(H2-E2,0)</f>
        <v>-1.655951685174371E-2</v>
      </c>
      <c r="J2" s="10" t="str">
        <f>VLOOKUP(A2,[4]REPUESTOS!$B:$FY,180,FALSE)</f>
        <v>Si</v>
      </c>
    </row>
    <row r="3" spans="1:10" x14ac:dyDescent="0.3">
      <c r="A3" s="10" t="s">
        <v>5</v>
      </c>
      <c r="B3" s="10" t="s">
        <v>4</v>
      </c>
      <c r="C3" s="17">
        <f>IFERROR(VLOOKUP(A3,[1]REPUESTOS!$A:$D,4,FALSE),"")</f>
        <v>31785</v>
      </c>
      <c r="D3" s="18">
        <f>IFERROR(VLOOKUP(A3,[2]REPUESTOS!$A:$R,18,FALSE),C3)</f>
        <v>32311.344243132669</v>
      </c>
      <c r="E3" s="19">
        <f t="shared" ref="E3:E69" si="0">IFERROR((D3-C3)/C3,0)</f>
        <v>1.6559516851743571E-2</v>
      </c>
      <c r="F3" s="10" t="str">
        <f>VLOOKUP(A3,[3]data!$W:$Z,4,FALSE)</f>
        <v>Si</v>
      </c>
      <c r="G3" s="10" t="str">
        <f t="shared" ref="G3:G69" si="1">MID(B3,15,100)</f>
        <v>Abrillantador de gomas</v>
      </c>
      <c r="H3" s="19">
        <f>IFERROR(VLOOKUP(A3,[2]REPUESTOS!$A:$S,19,FALSE),"SIN ANÁLISIS")</f>
        <v>0</v>
      </c>
      <c r="I3" s="19">
        <f t="shared" ref="I3:I69" si="2">IFERROR(H3-E3,0)</f>
        <v>-1.6559516851743571E-2</v>
      </c>
      <c r="J3" s="10" t="str">
        <f>VLOOKUP(A3,[4]REPUESTOS!$B:$FY,180,FALSE)</f>
        <v>Si</v>
      </c>
    </row>
    <row r="4" spans="1:10" x14ac:dyDescent="0.3">
      <c r="A4" s="10" t="s">
        <v>7</v>
      </c>
      <c r="B4" s="10" t="s">
        <v>6</v>
      </c>
      <c r="C4" s="17">
        <f>IFERROR(VLOOKUP(A4,[1]REPUESTOS!$A:$D,4,FALSE),"")</f>
        <v>121413</v>
      </c>
      <c r="D4" s="18">
        <f>IFERROR(VLOOKUP(A4,[2]REPUESTOS!$A:$R,18,FALSE),C4)</f>
        <v>123423.54061952075</v>
      </c>
      <c r="E4" s="19">
        <f t="shared" si="0"/>
        <v>1.6559516851743609E-2</v>
      </c>
      <c r="F4" s="10" t="str">
        <f>VLOOKUP(A4,[3]data!$W:$Z,4,FALSE)</f>
        <v>Si</v>
      </c>
      <c r="G4" s="10" t="str">
        <f t="shared" si="1"/>
        <v>Rollo de 500 paños politex (5kg)</v>
      </c>
      <c r="H4" s="19">
        <f>IFERROR(VLOOKUP(A4,[2]REPUESTOS!$A:$S,19,FALSE),"SIN ANÁLISIS")</f>
        <v>0</v>
      </c>
      <c r="I4" s="19">
        <f t="shared" si="2"/>
        <v>-1.6559516851743609E-2</v>
      </c>
      <c r="J4" s="10" t="str">
        <f>VLOOKUP(A4,[4]REPUESTOS!$B:$FY,180,FALSE)</f>
        <v>Si</v>
      </c>
    </row>
    <row r="5" spans="1:10" x14ac:dyDescent="0.3">
      <c r="A5" s="10" t="s">
        <v>9</v>
      </c>
      <c r="B5" s="10" t="s">
        <v>8</v>
      </c>
      <c r="C5" s="17">
        <f>IFERROR(VLOOKUP(A5,[1]REPUESTOS!$A:$D,4,FALSE),"")</f>
        <v>92850</v>
      </c>
      <c r="D5" s="18">
        <f>IFERROR(VLOOKUP(A5,[2]REPUESTOS!$A:$R,18,FALSE),C5)</f>
        <v>94387.551139684394</v>
      </c>
      <c r="E5" s="19">
        <f t="shared" si="0"/>
        <v>1.6559516851743609E-2</v>
      </c>
      <c r="F5" s="10" t="str">
        <f>VLOOKUP(A5,[3]data!$W:$Z,4,FALSE)</f>
        <v>Si</v>
      </c>
      <c r="G5" s="10" t="str">
        <f t="shared" si="1"/>
        <v>Lavallantas r7 (22KG)</v>
      </c>
      <c r="H5" s="19">
        <f>IFERROR(VLOOKUP(A5,[2]REPUESTOS!$A:$S,19,FALSE),"SIN ANÁLISIS")</f>
        <v>0</v>
      </c>
      <c r="I5" s="19">
        <f t="shared" si="2"/>
        <v>-1.6559516851743609E-2</v>
      </c>
      <c r="J5" s="10" t="str">
        <f>VLOOKUP(A5,[4]REPUESTOS!$B:$FY,180,FALSE)</f>
        <v>No</v>
      </c>
    </row>
    <row r="6" spans="1:10" x14ac:dyDescent="0.3">
      <c r="A6" s="10" t="s">
        <v>11</v>
      </c>
      <c r="B6" s="10" t="s">
        <v>10</v>
      </c>
      <c r="C6" s="17">
        <f>IFERROR(VLOOKUP(A6,[1]REPUESTOS!$A:$D,4,FALSE),"")</f>
        <v>80630</v>
      </c>
      <c r="D6" s="18">
        <f>IFERROR(VLOOKUP(A6,[2]REPUESTOS!$A:$R,18,FALSE),C6)</f>
        <v>81965.193843756089</v>
      </c>
      <c r="E6" s="19">
        <f t="shared" si="0"/>
        <v>1.6559516851743637E-2</v>
      </c>
      <c r="F6" s="10" t="str">
        <f>VLOOKUP(A6,[3]data!$W:$Z,4,FALSE)</f>
        <v>Si</v>
      </c>
      <c r="G6" s="10" t="str">
        <f t="shared" si="1"/>
        <v>Espuma activa super ev17 (22KG)</v>
      </c>
      <c r="H6" s="19">
        <f>IFERROR(VLOOKUP(A6,[2]REPUESTOS!$A:$S,19,FALSE),"SIN ANÁLISIS")</f>
        <v>0</v>
      </c>
      <c r="I6" s="19">
        <f t="shared" si="2"/>
        <v>-1.6559516851743637E-2</v>
      </c>
      <c r="J6" s="10" t="str">
        <f>VLOOKUP(A6,[4]REPUESTOS!$B:$FY,180,FALSE)</f>
        <v>Si</v>
      </c>
    </row>
    <row r="7" spans="1:10" x14ac:dyDescent="0.3">
      <c r="A7" s="10" t="s">
        <v>13</v>
      </c>
      <c r="B7" s="10" t="s">
        <v>12</v>
      </c>
      <c r="C7" s="17">
        <f>IFERROR(VLOOKUP(A7,[1]REPUESTOS!$A:$D,4,FALSE),"")</f>
        <v>76139</v>
      </c>
      <c r="D7" s="18">
        <f>IFERROR(VLOOKUP(A7,[2]REPUESTOS!$A:$R,18,FALSE),C7)</f>
        <v>76139</v>
      </c>
      <c r="E7" s="19">
        <f t="shared" si="0"/>
        <v>0</v>
      </c>
      <c r="F7" s="10" t="str">
        <f>VLOOKUP(A7,[3]data!$W:$Z,4,FALSE)</f>
        <v>Si</v>
      </c>
      <c r="G7" s="10" t="str">
        <f t="shared" si="1"/>
        <v>Cera E48 (20lt) mix</v>
      </c>
      <c r="H7" s="19" t="str">
        <f>IFERROR(VLOOKUP(A7,[2]REPUESTOS!$A:$S,19,FALSE),"SIN ANÁLISIS")</f>
        <v>SIN ANÁLISIS</v>
      </c>
      <c r="I7" s="19">
        <f t="shared" si="2"/>
        <v>0</v>
      </c>
      <c r="J7" s="10" t="str">
        <f>VLOOKUP(A7,[4]REPUESTOS!$B:$FY,180,FALSE)</f>
        <v>No</v>
      </c>
    </row>
    <row r="8" spans="1:10" x14ac:dyDescent="0.3">
      <c r="A8" s="10" t="s">
        <v>15</v>
      </c>
      <c r="B8" s="10" t="s">
        <v>14</v>
      </c>
      <c r="C8" s="17">
        <f>IFERROR(VLOOKUP(A8,[1]REPUESTOS!$A:$D,4,FALSE),"")</f>
        <v>22879</v>
      </c>
      <c r="D8" s="18">
        <f>IFERROR(VLOOKUP(A8,[2]REPUESTOS!$A:$R,18,FALSE),C8)</f>
        <v>22879.078325848619</v>
      </c>
      <c r="E8" s="19">
        <f t="shared" si="0"/>
        <v>3.4234821722535051E-6</v>
      </c>
      <c r="F8" s="10" t="str">
        <f>VLOOKUP(A8,[3]data!$W:$Z,4,FALSE)</f>
        <v>Si</v>
      </c>
      <c r="G8" s="10" t="str">
        <f t="shared" si="1"/>
        <v xml:space="preserve"> ( Shampoo tapiz) textil cleaner I1-5</v>
      </c>
      <c r="H8" s="19">
        <f>IFERROR(VLOOKUP(A8,[2]REPUESTOS!$A:$S,19,FALSE),"SIN ANÁLISIS")</f>
        <v>0</v>
      </c>
      <c r="I8" s="19">
        <f t="shared" si="2"/>
        <v>-3.4234821722535051E-6</v>
      </c>
      <c r="J8" s="10" t="str">
        <f>VLOOKUP(A8,[4]REPUESTOS!$B:$FY,180,FALSE)</f>
        <v>Si</v>
      </c>
    </row>
    <row r="9" spans="1:10" x14ac:dyDescent="0.3">
      <c r="A9" s="10" t="s">
        <v>17</v>
      </c>
      <c r="B9" s="10" t="s">
        <v>16</v>
      </c>
      <c r="C9" s="17">
        <f>IFERROR(VLOOKUP(A9,[1]REPUESTOS!$A:$D,4,FALSE),"")</f>
        <v>27541</v>
      </c>
      <c r="D9" s="18">
        <f>IFERROR(VLOOKUP(A9,[2]REPUESTOS!$A:$R,18,FALSE),C9)</f>
        <v>27541.105934034676</v>
      </c>
      <c r="E9" s="19">
        <f t="shared" si="0"/>
        <v>3.8464120647930599E-6</v>
      </c>
      <c r="F9" s="10" t="str">
        <f>VLOOKUP(A9,[3]data!$W:$Z,4,FALSE)</f>
        <v>Si</v>
      </c>
      <c r="G9" s="10" t="str">
        <f t="shared" si="1"/>
        <v xml:space="preserve"> ( Renovador de tableros) cockpit cleaner c4-5</v>
      </c>
      <c r="H9" s="19">
        <f>IFERROR(VLOOKUP(A9,[2]REPUESTOS!$A:$S,19,FALSE),"SIN ANÁLISIS")</f>
        <v>0</v>
      </c>
      <c r="I9" s="19">
        <f t="shared" si="2"/>
        <v>-3.8464120647930599E-6</v>
      </c>
      <c r="J9" s="10" t="str">
        <f>VLOOKUP(A9,[4]REPUESTOS!$B:$FY,180,FALSE)</f>
        <v>Si</v>
      </c>
    </row>
    <row r="10" spans="1:10" x14ac:dyDescent="0.3">
      <c r="A10" s="10" t="s">
        <v>19</v>
      </c>
      <c r="B10" s="10" t="s">
        <v>18</v>
      </c>
      <c r="C10" s="17">
        <f>IFERROR(VLOOKUP(A10,[1]REPUESTOS!$A:$D,4,FALSE),"")</f>
        <v>20000</v>
      </c>
      <c r="D10" s="18">
        <f>IFERROR(VLOOKUP(A10,[2]REPUESTOS!$A:$R,18,FALSE),C10)</f>
        <v>20331.190337034874</v>
      </c>
      <c r="E10" s="19">
        <f t="shared" si="0"/>
        <v>1.6559516851743682E-2</v>
      </c>
      <c r="F10" s="10" t="str">
        <f>VLOOKUP(A10,[3]data!$W:$Z,4,FALSE)</f>
        <v>Si</v>
      </c>
      <c r="G10" s="10" t="str">
        <f t="shared" si="1"/>
        <v>Renovador de tableros alt.</v>
      </c>
      <c r="H10" s="19">
        <f>IFERROR(VLOOKUP(A10,[2]REPUESTOS!$A:$S,19,FALSE),"SIN ANÁLISIS")</f>
        <v>0</v>
      </c>
      <c r="I10" s="19">
        <f t="shared" si="2"/>
        <v>-1.6559516851743682E-2</v>
      </c>
      <c r="J10" s="10" t="str">
        <f>VLOOKUP(A10,[4]REPUESTOS!$B:$FY,180,FALSE)</f>
        <v>No</v>
      </c>
    </row>
    <row r="11" spans="1:10" x14ac:dyDescent="0.3">
      <c r="A11" s="10" t="s">
        <v>21</v>
      </c>
      <c r="B11" s="10" t="s">
        <v>20</v>
      </c>
      <c r="C11" s="17">
        <f>IFERROR(VLOOKUP(A11,[1]REPUESTOS!$A:$D,4,FALSE),"")</f>
        <v>18001</v>
      </c>
      <c r="D11" s="18">
        <f>IFERROR(VLOOKUP(A11,[2]REPUESTOS!$A:$R,18,FALSE),C11)</f>
        <v>18299.087862848239</v>
      </c>
      <c r="E11" s="19">
        <f t="shared" si="0"/>
        <v>1.6559516851743721E-2</v>
      </c>
      <c r="F11" s="10" t="str">
        <f>VLOOKUP(A11,[3]data!$W:$Z,4,FALSE)</f>
        <v>Si</v>
      </c>
      <c r="G11" s="10" t="str">
        <f t="shared" si="1"/>
        <v>Perfume citrico alt.</v>
      </c>
      <c r="H11" s="19">
        <f>IFERROR(VLOOKUP(A11,[2]REPUESTOS!$A:$S,19,FALSE),"SIN ANÁLISIS")</f>
        <v>0</v>
      </c>
      <c r="I11" s="19">
        <f t="shared" si="2"/>
        <v>-1.6559516851743721E-2</v>
      </c>
      <c r="J11" s="10" t="str">
        <f>VLOOKUP(A11,[4]REPUESTOS!$B:$FY,180,FALSE)</f>
        <v>Si</v>
      </c>
    </row>
    <row r="12" spans="1:10" x14ac:dyDescent="0.3">
      <c r="A12" s="10" t="s">
        <v>23</v>
      </c>
      <c r="B12" s="10" t="s">
        <v>22</v>
      </c>
      <c r="C12" s="17">
        <f>IFERROR(VLOOKUP(A12,[1]REPUESTOS!$A:$D,4,FALSE),"")</f>
        <v>15000</v>
      </c>
      <c r="D12" s="18">
        <f>IFERROR(VLOOKUP(A12,[2]REPUESTOS!$A:$R,18,FALSE),C12)</f>
        <v>15000</v>
      </c>
      <c r="E12" s="19">
        <f t="shared" si="0"/>
        <v>0</v>
      </c>
      <c r="F12" s="10" t="str">
        <f>VLOOKUP(A12,[3]data!$W:$Z,4,FALSE)</f>
        <v>Si</v>
      </c>
      <c r="G12" s="10" t="str">
        <f t="shared" si="1"/>
        <v>Lavatapiz A.</v>
      </c>
      <c r="H12" s="19" t="str">
        <f>IFERROR(VLOOKUP(A12,[2]REPUESTOS!$A:$S,19,FALSE),"SIN ANÁLISIS")</f>
        <v>SIN ANÁLISIS</v>
      </c>
      <c r="I12" s="19">
        <f t="shared" si="2"/>
        <v>0</v>
      </c>
      <c r="J12" s="10" t="str">
        <f>VLOOKUP(A12,[4]REPUESTOS!$B:$FY,180,FALSE)</f>
        <v>No</v>
      </c>
    </row>
    <row r="13" spans="1:10" x14ac:dyDescent="0.3">
      <c r="A13" s="10" t="s">
        <v>25</v>
      </c>
      <c r="B13" s="10" t="s">
        <v>24</v>
      </c>
      <c r="C13" s="17">
        <f>IFERROR(VLOOKUP(A13,[1]REPUESTOS!$A:$D,4,FALSE),"")</f>
        <v>50838</v>
      </c>
      <c r="D13" s="18">
        <f>IFERROR(VLOOKUP(A13,[2]REPUESTOS!$A:$R,18,FALSE),C13)</f>
        <v>50838.141437755701</v>
      </c>
      <c r="E13" s="19">
        <f t="shared" si="0"/>
        <v>2.7821266710175525E-6</v>
      </c>
      <c r="F13" s="10" t="str">
        <f>VLOOKUP(A13,[3]data!$W:$Z,4,FALSE)</f>
        <v>Si</v>
      </c>
      <c r="G13" s="10" t="str">
        <f t="shared" si="1"/>
        <v>R8 Lavallantas  5 litros</v>
      </c>
      <c r="H13" s="19">
        <f>IFERROR(VLOOKUP(A13,[2]REPUESTOS!$A:$S,19,FALSE),"SIN ANÁLISIS")</f>
        <v>0</v>
      </c>
      <c r="I13" s="19">
        <f t="shared" si="2"/>
        <v>-2.7821266710175525E-6</v>
      </c>
      <c r="J13" s="10" t="str">
        <f>VLOOKUP(A13,[4]REPUESTOS!$B:$FY,180,FALSE)</f>
        <v>Si</v>
      </c>
    </row>
    <row r="14" spans="1:10" x14ac:dyDescent="0.3">
      <c r="A14" s="10" t="s">
        <v>27</v>
      </c>
      <c r="B14" s="10" t="s">
        <v>26</v>
      </c>
      <c r="C14" s="17">
        <f>IFERROR(VLOOKUP(A14,[1]REPUESTOS!$A:$D,4,FALSE),"")</f>
        <v>135719</v>
      </c>
      <c r="D14" s="18">
        <f>IFERROR(VLOOKUP(A14,[2]REPUESTOS!$A:$R,18,FALSE),C14)</f>
        <v>135719</v>
      </c>
      <c r="E14" s="19">
        <f t="shared" si="0"/>
        <v>0</v>
      </c>
      <c r="F14" s="10" t="str">
        <f>VLOOKUP(A14,[3]data!$W:$Z,4,FALSE)</f>
        <v>Si</v>
      </c>
      <c r="G14" s="10" t="str">
        <f t="shared" si="1"/>
        <v>X5 Process traffic hp 25 litros</v>
      </c>
      <c r="H14" s="19" t="str">
        <f>IFERROR(VLOOKUP(A14,[2]REPUESTOS!$A:$S,19,FALSE),"SIN ANÁLISIS")</f>
        <v>SIN ANÁLISIS</v>
      </c>
      <c r="I14" s="19">
        <f t="shared" si="2"/>
        <v>0</v>
      </c>
      <c r="J14" s="10" t="str">
        <f>VLOOKUP(A14,[4]REPUESTOS!$B:$FY,180,FALSE)</f>
        <v>Si</v>
      </c>
    </row>
    <row r="15" spans="1:10" x14ac:dyDescent="0.3">
      <c r="A15" s="10" t="s">
        <v>29</v>
      </c>
      <c r="B15" s="10" t="s">
        <v>28</v>
      </c>
      <c r="C15" s="17">
        <f>IFERROR(VLOOKUP(A15,[1]REPUESTOS!$A:$D,4,FALSE),"")</f>
        <v>216464</v>
      </c>
      <c r="D15" s="18">
        <f>IFERROR(VLOOKUP(A15,[2]REPUESTOS!$A:$R,18,FALSE),C15)</f>
        <v>216464</v>
      </c>
      <c r="E15" s="19">
        <f t="shared" si="0"/>
        <v>0</v>
      </c>
      <c r="F15" s="10" t="str">
        <f>VLOOKUP(A15,[3]data!$W:$Z,4,FALSE)</f>
        <v>Si</v>
      </c>
      <c r="G15" s="10" t="str">
        <f t="shared" si="1"/>
        <v>X8 Process pre wash 25 litros</v>
      </c>
      <c r="H15" s="19" t="str">
        <f>IFERROR(VLOOKUP(A15,[2]REPUESTOS!$A:$S,19,FALSE),"SIN ANÁLISIS")</f>
        <v>SIN ANÁLISIS</v>
      </c>
      <c r="I15" s="19">
        <f t="shared" si="2"/>
        <v>0</v>
      </c>
      <c r="J15" s="10" t="str">
        <f>VLOOKUP(A15,[4]REPUESTOS!$B:$FY,180,FALSE)</f>
        <v>Si</v>
      </c>
    </row>
    <row r="16" spans="1:10" x14ac:dyDescent="0.3">
      <c r="A16" s="10" t="s">
        <v>31</v>
      </c>
      <c r="B16" s="10" t="s">
        <v>30</v>
      </c>
      <c r="C16" s="17">
        <f>IFERROR(VLOOKUP(A16,[1]REPUESTOS!$A:$D,4,FALSE),"")</f>
        <v>355131</v>
      </c>
      <c r="D16" s="18">
        <f>IFERROR(VLOOKUP(A16,[2]REPUESTOS!$A:$R,18,FALSE),C16)</f>
        <v>355131</v>
      </c>
      <c r="E16" s="19">
        <f t="shared" si="0"/>
        <v>0</v>
      </c>
      <c r="F16" s="10" t="str">
        <f>VLOOKUP(A16,[3]data!$W:$Z,4,FALSE)</f>
        <v>Si</v>
      </c>
      <c r="G16" s="10" t="str">
        <f t="shared" si="1"/>
        <v>X46 Coatinium 25 litros</v>
      </c>
      <c r="H16" s="19" t="str">
        <f>IFERROR(VLOOKUP(A16,[2]REPUESTOS!$A:$S,19,FALSE),"SIN ANÁLISIS")</f>
        <v>SIN ANÁLISIS</v>
      </c>
      <c r="I16" s="19">
        <f t="shared" si="2"/>
        <v>0</v>
      </c>
      <c r="J16" s="10" t="str">
        <f>VLOOKUP(A16,[4]REPUESTOS!$B:$FY,180,FALSE)</f>
        <v>Si</v>
      </c>
    </row>
    <row r="17" spans="1:10" x14ac:dyDescent="0.3">
      <c r="A17" s="10" t="s">
        <v>33</v>
      </c>
      <c r="B17" s="10" t="s">
        <v>32</v>
      </c>
      <c r="C17" s="17">
        <f>IFERROR(VLOOKUP(A17,[1]REPUESTOS!$A:$D,4,FALSE),"")</f>
        <v>101215</v>
      </c>
      <c r="D17" s="18">
        <f>IFERROR(VLOOKUP(A17,[2]REPUESTOS!$A:$R,18,FALSE),C17)</f>
        <v>101214.76485486071</v>
      </c>
      <c r="E17" s="19">
        <f t="shared" si="0"/>
        <v>-2.3232242186402273E-6</v>
      </c>
      <c r="F17" s="10" t="str">
        <f>VLOOKUP(A17,[3]data!$W:$Z,4,FALSE)</f>
        <v>Si</v>
      </c>
      <c r="G17" s="10" t="str">
        <f t="shared" si="1"/>
        <v>Ev11-25 brillant wax</v>
      </c>
      <c r="H17" s="19">
        <f>IFERROR(VLOOKUP(A17,[2]REPUESTOS!$A:$S,19,FALSE),"SIN ANÁLISIS")</f>
        <v>0</v>
      </c>
      <c r="I17" s="19">
        <f t="shared" si="2"/>
        <v>2.3232242186402273E-6</v>
      </c>
      <c r="J17" s="10" t="str">
        <f>VLOOKUP(A17,[4]REPUESTOS!$B:$FY,180,FALSE)</f>
        <v>Si</v>
      </c>
    </row>
    <row r="18" spans="1:10" x14ac:dyDescent="0.3">
      <c r="A18" s="10" t="s">
        <v>1198</v>
      </c>
      <c r="B18" s="10" t="s">
        <v>1199</v>
      </c>
      <c r="C18" s="17">
        <f>IFERROR(VLOOKUP(A18,[1]REPUESTOS!$A:$D,4,FALSE),"")</f>
        <v>99000</v>
      </c>
      <c r="D18" s="18">
        <f>IFERROR(VLOOKUP(A18,[2]REPUESTOS!$A:$R,18,FALSE),C18)</f>
        <v>99000</v>
      </c>
      <c r="E18" s="19">
        <f t="shared" ref="E18:E21" si="3">IFERROR((D18-C18)/C18,0)</f>
        <v>0</v>
      </c>
      <c r="F18" s="10" t="e">
        <f>VLOOKUP(A18,[3]data!$W:$Z,4,FALSE)</f>
        <v>#N/A</v>
      </c>
      <c r="G18" s="10" t="str">
        <f t="shared" ref="G18:G21" si="4">MID(B18,15,100)</f>
        <v>Espuma EV32 bidón 25 litros</v>
      </c>
      <c r="H18" s="19" t="str">
        <f>IFERROR(VLOOKUP(A18,[2]REPUESTOS!$A:$S,19,FALSE),"SIN ANÁLISIS")</f>
        <v>SIN ANÁLISIS</v>
      </c>
      <c r="I18" s="19">
        <f t="shared" ref="I18:I21" si="5">IFERROR(H18-E18,0)</f>
        <v>0</v>
      </c>
      <c r="J18" s="10" t="str">
        <f>VLOOKUP(A18,[4]REPUESTOS!$B:$FY,180,FALSE)</f>
        <v>Si</v>
      </c>
    </row>
    <row r="19" spans="1:10" x14ac:dyDescent="0.3">
      <c r="A19" s="10" t="s">
        <v>1200</v>
      </c>
      <c r="B19" s="10" t="s">
        <v>1201</v>
      </c>
      <c r="C19" s="17">
        <f>IFERROR(VLOOKUP(A19,[1]REPUESTOS!$A:$D,4,FALSE),"")</f>
        <v>90613</v>
      </c>
      <c r="D19" s="18">
        <f>IFERROR(VLOOKUP(A19,[2]REPUESTOS!$A:$R,18,FALSE),C19)</f>
        <v>90613</v>
      </c>
      <c r="E19" s="19">
        <f t="shared" si="3"/>
        <v>0</v>
      </c>
      <c r="F19" s="10" t="e">
        <f>VLOOKUP(A19,[3]data!$W:$Z,4,FALSE)</f>
        <v>#N/A</v>
      </c>
      <c r="G19" s="10" t="str">
        <f t="shared" si="4"/>
        <v>Shampoo ev14 (27 kg)</v>
      </c>
      <c r="H19" s="19" t="str">
        <f>IFERROR(VLOOKUP(A19,[2]REPUESTOS!$A:$S,19,FALSE),"SIN ANÁLISIS")</f>
        <v>SIN ANÁLISIS</v>
      </c>
      <c r="I19" s="19">
        <f t="shared" si="5"/>
        <v>0</v>
      </c>
      <c r="J19" s="10" t="str">
        <f>VLOOKUP(A19,[4]REPUESTOS!$B:$FY,180,FALSE)</f>
        <v>Si</v>
      </c>
    </row>
    <row r="20" spans="1:10" x14ac:dyDescent="0.3">
      <c r="A20" s="10" t="s">
        <v>1202</v>
      </c>
      <c r="B20" s="10" t="s">
        <v>1203</v>
      </c>
      <c r="C20" s="17">
        <f>IFERROR(VLOOKUP(A20,[1]REPUESTOS!$A:$D,4,FALSE),"")</f>
        <v>115839</v>
      </c>
      <c r="D20" s="18">
        <f>IFERROR(VLOOKUP(A20,[2]REPUESTOS!$A:$R,18,FALSE),C20)</f>
        <v>115839</v>
      </c>
      <c r="E20" s="19">
        <f t="shared" si="3"/>
        <v>0</v>
      </c>
      <c r="F20" s="10" t="e">
        <f>VLOOKUP(A20,[3]data!$W:$Z,4,FALSE)</f>
        <v>#N/A</v>
      </c>
      <c r="G20" s="10" t="str">
        <f t="shared" si="4"/>
        <v>Lavallantas r7 (27 KG)</v>
      </c>
      <c r="H20" s="19" t="str">
        <f>IFERROR(VLOOKUP(A20,[2]REPUESTOS!$A:$S,19,FALSE),"SIN ANÁLISIS")</f>
        <v>SIN ANÁLISIS</v>
      </c>
      <c r="I20" s="19">
        <f t="shared" si="5"/>
        <v>0</v>
      </c>
      <c r="J20" s="10" t="str">
        <f>VLOOKUP(A20,[4]REPUESTOS!$B:$FY,180,FALSE)</f>
        <v>Si</v>
      </c>
    </row>
    <row r="21" spans="1:10" x14ac:dyDescent="0.3">
      <c r="A21" s="10" t="s">
        <v>35</v>
      </c>
      <c r="B21" s="10" t="s">
        <v>34</v>
      </c>
      <c r="C21" s="17">
        <f>IFERROR(VLOOKUP(A21,[1]REPUESTOS!$A:$D,4,FALSE),"")</f>
        <v>141259</v>
      </c>
      <c r="D21" s="18">
        <f>IFERROR(VLOOKUP(A21,[2]REPUESTOS!$A:$R,18,FALSE),C21)</f>
        <v>132330.70806556128</v>
      </c>
      <c r="E21" s="19">
        <f t="shared" si="3"/>
        <v>-6.3205119209669605E-2</v>
      </c>
      <c r="F21" s="10" t="str">
        <f>VLOOKUP(A21,[3]data!$W:$Z,4,FALSE)</f>
        <v>Si</v>
      </c>
      <c r="G21" s="10" t="str">
        <f t="shared" si="4"/>
        <v>Lanza con pistola perdente larga</v>
      </c>
      <c r="H21" s="19">
        <f>IFERROR(VLOOKUP(A21,[2]REPUESTOS!$A:$S,19,FALSE),"SIN ANÁLISIS")</f>
        <v>-6.3205901828932765E-2</v>
      </c>
      <c r="I21" s="19">
        <f t="shared" si="5"/>
        <v>-7.8261926315936758E-7</v>
      </c>
      <c r="J21" s="10" t="str">
        <f>VLOOKUP(A21,[4]REPUESTOS!$B:$FY,180,FALSE)</f>
        <v>Si</v>
      </c>
    </row>
    <row r="22" spans="1:10" x14ac:dyDescent="0.3">
      <c r="A22" s="10" t="s">
        <v>37</v>
      </c>
      <c r="B22" s="10" t="s">
        <v>36</v>
      </c>
      <c r="C22" s="17">
        <f>IFERROR(VLOOKUP(A22,[1]REPUESTOS!$A:$D,4,FALSE),"")</f>
        <v>76275</v>
      </c>
      <c r="D22" s="18">
        <f>IFERROR(VLOOKUP(A22,[2]REPUESTOS!$A:$R,18,FALSE),C22)</f>
        <v>71454.225936232979</v>
      </c>
      <c r="E22" s="19">
        <f t="shared" si="0"/>
        <v>-6.3202544264398836E-2</v>
      </c>
      <c r="F22" s="10" t="str">
        <f>VLOOKUP(A22,[3]data!$W:$Z,4,FALSE)</f>
        <v>Si</v>
      </c>
      <c r="G22" s="10" t="str">
        <f t="shared" si="1"/>
        <v>Manguera 4,0 mts color azul</v>
      </c>
      <c r="H22" s="19">
        <f>IFERROR(VLOOKUP(A22,[2]REPUESTOS!$A:$S,19,FALSE),"SIN ANÁLISIS")</f>
        <v>-6.3205901828932792E-2</v>
      </c>
      <c r="I22" s="19">
        <f t="shared" si="2"/>
        <v>-3.3575645339567473E-6</v>
      </c>
      <c r="J22" s="10" t="str">
        <f>VLOOKUP(A22,[4]REPUESTOS!$B:$FY,180,FALSE)</f>
        <v>Si</v>
      </c>
    </row>
    <row r="23" spans="1:10" x14ac:dyDescent="0.3">
      <c r="A23" s="10" t="s">
        <v>39</v>
      </c>
      <c r="B23" s="10" t="s">
        <v>38</v>
      </c>
      <c r="C23" s="17">
        <f>IFERROR(VLOOKUP(A23,[1]REPUESTOS!$A:$D,4,FALSE),"")</f>
        <v>70630</v>
      </c>
      <c r="D23" s="18">
        <f>IFERROR(VLOOKUP(A23,[2]REPUESTOS!$A:$R,18,FALSE),C23)</f>
        <v>66165.851340905094</v>
      </c>
      <c r="E23" s="19">
        <f t="shared" si="0"/>
        <v>-6.320470988382991E-2</v>
      </c>
      <c r="F23" s="10" t="str">
        <f>VLOOKUP(A23,[3]data!$W:$Z,4,FALSE)</f>
        <v>Si</v>
      </c>
      <c r="G23" s="10" t="str">
        <f t="shared" si="1"/>
        <v>Manguera 3,5 mts color azul</v>
      </c>
      <c r="H23" s="19">
        <f>IFERROR(VLOOKUP(A23,[2]REPUESTOS!$A:$S,19,FALSE),"SIN ANÁLISIS")</f>
        <v>-6.3205901828932667E-2</v>
      </c>
      <c r="I23" s="19">
        <f t="shared" si="2"/>
        <v>-1.1919451027575523E-6</v>
      </c>
      <c r="J23" s="10" t="str">
        <f>VLOOKUP(A23,[4]REPUESTOS!$B:$FY,180,FALSE)</f>
        <v>Si</v>
      </c>
    </row>
    <row r="24" spans="1:10" x14ac:dyDescent="0.3">
      <c r="A24" s="10" t="s">
        <v>41</v>
      </c>
      <c r="B24" s="10" t="s">
        <v>40</v>
      </c>
      <c r="C24" s="17">
        <f>IFERROR(VLOOKUP(A24,[1]REPUESTOS!$A:$D,4,FALSE),"")</f>
        <v>81933</v>
      </c>
      <c r="D24" s="18">
        <f>IFERROR(VLOOKUP(A24,[2]REPUESTOS!$A:$R,18,FALSE),C24)</f>
        <v>76754.535926547484</v>
      </c>
      <c r="E24" s="19">
        <f t="shared" si="0"/>
        <v>-6.3203642896665774E-2</v>
      </c>
      <c r="F24" s="10" t="str">
        <f>VLOOKUP(A24,[3]data!$W:$Z,4,FALSE)</f>
        <v>Si</v>
      </c>
      <c r="G24" s="10" t="str">
        <f t="shared" si="1"/>
        <v>Manguera 4,7 mts color azul</v>
      </c>
      <c r="H24" s="19">
        <f>IFERROR(VLOOKUP(A24,[2]REPUESTOS!$A:$S,19,FALSE),"SIN ANÁLISIS")</f>
        <v>-6.3205901828932806E-2</v>
      </c>
      <c r="I24" s="19">
        <f t="shared" si="2"/>
        <v>-2.258932267032443E-6</v>
      </c>
      <c r="J24" s="10" t="str">
        <f>VLOOKUP(A24,[4]REPUESTOS!$B:$FY,180,FALSE)</f>
        <v>Si</v>
      </c>
    </row>
    <row r="25" spans="1:10" x14ac:dyDescent="0.3">
      <c r="A25" s="10" t="s">
        <v>43</v>
      </c>
      <c r="B25" s="10" t="s">
        <v>42</v>
      </c>
      <c r="C25" s="17">
        <f>IFERROR(VLOOKUP(A25,[1]REPUESTOS!$A:$D,4,FALSE),"")</f>
        <v>10496</v>
      </c>
      <c r="D25" s="18">
        <f>IFERROR(VLOOKUP(A25,[2]REPUESTOS!$A:$R,18,FALSE),C25)</f>
        <v>9832.7762364889022</v>
      </c>
      <c r="E25" s="19">
        <f t="shared" si="0"/>
        <v>-6.3188239663785992E-2</v>
      </c>
      <c r="F25" s="10" t="str">
        <f>VLOOKUP(A25,[3]data!$W:$Z,4,FALSE)</f>
        <v>Si</v>
      </c>
      <c r="G25" s="10" t="str">
        <f t="shared" si="1"/>
        <v>Niple recto bronce con PVC</v>
      </c>
      <c r="H25" s="19">
        <f>IFERROR(VLOOKUP(A25,[2]REPUESTOS!$A:$S,19,FALSE),"SIN ANÁLISIS")</f>
        <v>-6.3205901828932681E-2</v>
      </c>
      <c r="I25" s="19">
        <f t="shared" si="2"/>
        <v>-1.7662165146689612E-5</v>
      </c>
      <c r="J25" s="10" t="str">
        <f>VLOOKUP(A25,[4]REPUESTOS!$B:$FY,180,FALSE)</f>
        <v>Si</v>
      </c>
    </row>
    <row r="26" spans="1:10" x14ac:dyDescent="0.3">
      <c r="A26" s="10" t="s">
        <v>45</v>
      </c>
      <c r="B26" s="10" t="s">
        <v>44</v>
      </c>
      <c r="C26" s="17">
        <f>IFERROR(VLOOKUP(A26,[1]REPUESTOS!$A:$D,4,FALSE),"")</f>
        <v>9265</v>
      </c>
      <c r="D26" s="18">
        <f>IFERROR(VLOOKUP(A26,[2]REPUESTOS!$A:$R,18,FALSE),C26)</f>
        <v>8679.0213877809183</v>
      </c>
      <c r="E26" s="19">
        <f t="shared" si="0"/>
        <v>-6.3246477303732507E-2</v>
      </c>
      <c r="F26" s="10" t="str">
        <f>VLOOKUP(A26,[3]data!$W:$Z,4,FALSE)</f>
        <v>Si</v>
      </c>
      <c r="G26" s="10" t="str">
        <f t="shared" si="1"/>
        <v>Tee he 1/4 salida Cat</v>
      </c>
      <c r="H26" s="19">
        <f>IFERROR(VLOOKUP(A26,[2]REPUESTOS!$A:$S,19,FALSE),"SIN ANÁLISIS")</f>
        <v>-6.3205901828932695E-2</v>
      </c>
      <c r="I26" s="19">
        <f t="shared" si="2"/>
        <v>4.0575474799811606E-5</v>
      </c>
      <c r="J26" s="10" t="str">
        <f>VLOOKUP(A26,[4]REPUESTOS!$B:$FY,180,FALSE)</f>
        <v>Si</v>
      </c>
    </row>
    <row r="27" spans="1:10" x14ac:dyDescent="0.3">
      <c r="A27" s="10" t="s">
        <v>47</v>
      </c>
      <c r="B27" s="10" t="s">
        <v>46</v>
      </c>
      <c r="C27" s="17">
        <f>IFERROR(VLOOKUP(A27,[1]REPUESTOS!$A:$D,4,FALSE),"")</f>
        <v>15368</v>
      </c>
      <c r="D27" s="18">
        <f>IFERROR(VLOOKUP(A27,[2]REPUESTOS!$A:$R,18,FALSE),C27)</f>
        <v>14397.070202627641</v>
      </c>
      <c r="E27" s="19">
        <f t="shared" si="0"/>
        <v>-6.3178669792579301E-2</v>
      </c>
      <c r="F27" s="10" t="str">
        <f>VLOOKUP(A27,[3]data!$W:$Z,4,FALSE)</f>
        <v>Si</v>
      </c>
      <c r="G27" s="10" t="str">
        <f t="shared" si="1"/>
        <v>Codo PVC bronce 1/2</v>
      </c>
      <c r="H27" s="19">
        <f>IFERROR(VLOOKUP(A27,[2]REPUESTOS!$A:$S,19,FALSE),"SIN ANÁLISIS")</f>
        <v>-6.3205901828932695E-2</v>
      </c>
      <c r="I27" s="19">
        <f t="shared" si="2"/>
        <v>-2.7232036353394551E-5</v>
      </c>
      <c r="J27" s="10" t="str">
        <f>VLOOKUP(A27,[4]REPUESTOS!$B:$FY,180,FALSE)</f>
        <v>Si</v>
      </c>
    </row>
    <row r="28" spans="1:10" x14ac:dyDescent="0.3">
      <c r="A28" s="10" t="s">
        <v>49</v>
      </c>
      <c r="B28" s="10" t="s">
        <v>48</v>
      </c>
      <c r="C28" s="17">
        <f>IFERROR(VLOOKUP(A28,[1]REPUESTOS!$A:$D,4,FALSE),"")</f>
        <v>9167</v>
      </c>
      <c r="D28" s="18">
        <f>IFERROR(VLOOKUP(A28,[2]REPUESTOS!$A:$R,18,FALSE),C28)</f>
        <v>8587.5166928833878</v>
      </c>
      <c r="E28" s="19">
        <f t="shared" si="0"/>
        <v>-6.3214062083191039E-2</v>
      </c>
      <c r="F28" s="10" t="str">
        <f>VLOOKUP(A28,[3]data!$W:$Z,4,FALSE)</f>
        <v>Si</v>
      </c>
      <c r="G28" s="10" t="str">
        <f t="shared" si="1"/>
        <v>Tubo PVC diam 15 accoron</v>
      </c>
      <c r="H28" s="19">
        <f>IFERROR(VLOOKUP(A28,[2]REPUESTOS!$A:$S,19,FALSE),"SIN ANÁLISIS")</f>
        <v>-6.3205901828932778E-2</v>
      </c>
      <c r="I28" s="19">
        <f t="shared" si="2"/>
        <v>8.160254258260391E-6</v>
      </c>
      <c r="J28" s="10" t="str">
        <f>VLOOKUP(A28,[4]REPUESTOS!$B:$FY,180,FALSE)</f>
        <v>Si</v>
      </c>
    </row>
    <row r="29" spans="1:10" x14ac:dyDescent="0.3">
      <c r="A29" s="10" t="s">
        <v>51</v>
      </c>
      <c r="B29" s="10" t="s">
        <v>50</v>
      </c>
      <c r="C29" s="17">
        <f>IFERROR(VLOOKUP(A29,[1]REPUESTOS!$A:$D,4,FALSE),"")</f>
        <v>23140</v>
      </c>
      <c r="D29" s="18">
        <f>IFERROR(VLOOKUP(A29,[2]REPUESTOS!$A:$R,18,FALSE),C29)</f>
        <v>21677.661144474572</v>
      </c>
      <c r="E29" s="19">
        <f t="shared" si="0"/>
        <v>-6.319528329841953E-2</v>
      </c>
      <c r="F29" s="10" t="str">
        <f>VLOOKUP(A29,[3]data!$W:$Z,4,FALSE)</f>
        <v>Si</v>
      </c>
      <c r="G29" s="10" t="str">
        <f t="shared" si="1"/>
        <v>Lanza 1200mm por cepillo</v>
      </c>
      <c r="H29" s="19">
        <f>IFERROR(VLOOKUP(A29,[2]REPUESTOS!$A:$S,19,FALSE),"SIN ANÁLISIS")</f>
        <v>-6.3205901828932681E-2</v>
      </c>
      <c r="I29" s="19">
        <f t="shared" si="2"/>
        <v>-1.0618530513151203E-5</v>
      </c>
      <c r="J29" s="10" t="str">
        <f>VLOOKUP(A29,[4]REPUESTOS!$B:$FY,180,FALSE)</f>
        <v>Si</v>
      </c>
    </row>
    <row r="30" spans="1:10" x14ac:dyDescent="0.3">
      <c r="A30" s="10" t="s">
        <v>53</v>
      </c>
      <c r="B30" s="10" t="s">
        <v>52</v>
      </c>
      <c r="C30" s="17">
        <f>IFERROR(VLOOKUP(A30,[1]REPUESTOS!$A:$D,4,FALSE),"")</f>
        <v>328428</v>
      </c>
      <c r="D30" s="18">
        <f>IFERROR(VLOOKUP(A30,[2]REPUESTOS!$A:$R,18,FALSE),C30)</f>
        <v>307669.61734921043</v>
      </c>
      <c r="E30" s="19">
        <f t="shared" si="0"/>
        <v>-6.3205276805843508E-2</v>
      </c>
      <c r="F30" s="10" t="str">
        <f>VLOOKUP(A30,[3]data!$W:$Z,4,FALSE)</f>
        <v>Si</v>
      </c>
      <c r="G30" s="10" t="str">
        <f t="shared" si="1"/>
        <v>Bomba de osmosis</v>
      </c>
      <c r="H30" s="19">
        <f>IFERROR(VLOOKUP(A30,[2]REPUESTOS!$A:$S,19,FALSE),"SIN ANÁLISIS")</f>
        <v>-6.3205901828932765E-2</v>
      </c>
      <c r="I30" s="19">
        <f t="shared" si="2"/>
        <v>-6.2502308925682648E-7</v>
      </c>
      <c r="J30" s="10" t="str">
        <f>VLOOKUP(A30,[4]REPUESTOS!$B:$FY,180,FALSE)</f>
        <v>Si</v>
      </c>
    </row>
    <row r="31" spans="1:10" x14ac:dyDescent="0.3">
      <c r="A31" s="10" t="s">
        <v>55</v>
      </c>
      <c r="B31" s="10" t="s">
        <v>54</v>
      </c>
      <c r="C31" s="17">
        <f>IFERROR(VLOOKUP(A31,[1]REPUESTOS!$A:$D,4,FALSE),"")</f>
        <v>1156</v>
      </c>
      <c r="D31" s="18">
        <f>IFERROR(VLOOKUP(A31,[2]REPUESTOS!$A:$R,18,FALSE),C31)</f>
        <v>1083.137095037064</v>
      </c>
      <c r="E31" s="19">
        <f t="shared" si="0"/>
        <v>-6.3030194604615911E-2</v>
      </c>
      <c r="F31" s="10" t="str">
        <f>VLOOKUP(A31,[3]data!$W:$Z,4,FALSE)</f>
        <v>Si</v>
      </c>
      <c r="G31" s="10" t="str">
        <f t="shared" si="1"/>
        <v>Golilla 1/2</v>
      </c>
      <c r="H31" s="19">
        <f>IFERROR(VLOOKUP(A31,[2]REPUESTOS!$A:$S,19,FALSE),"SIN ANÁLISIS")</f>
        <v>-6.3205901828932765E-2</v>
      </c>
      <c r="I31" s="19">
        <f t="shared" si="2"/>
        <v>-1.7570722431685393E-4</v>
      </c>
      <c r="J31" s="10" t="str">
        <f>VLOOKUP(A31,[4]REPUESTOS!$B:$FY,180,FALSE)</f>
        <v>Si</v>
      </c>
    </row>
    <row r="32" spans="1:10" x14ac:dyDescent="0.3">
      <c r="A32" s="10" t="s">
        <v>57</v>
      </c>
      <c r="B32" s="10" t="s">
        <v>56</v>
      </c>
      <c r="C32" s="17">
        <f>IFERROR(VLOOKUP(A32,[1]REPUESTOS!$A:$D,4,FALSE),"")</f>
        <v>59327</v>
      </c>
      <c r="D32" s="18">
        <f>IFERROR(VLOOKUP(A32,[2]REPUESTOS!$A:$R,18,FALSE),C32)</f>
        <v>55577.166755262675</v>
      </c>
      <c r="E32" s="19">
        <f t="shared" si="0"/>
        <v>-6.3206183436501515E-2</v>
      </c>
      <c r="F32" s="10" t="str">
        <f>VLOOKUP(A32,[3]data!$W:$Z,4,FALSE)</f>
        <v>Si</v>
      </c>
      <c r="G32" s="10" t="str">
        <f t="shared" si="1"/>
        <v>Junta bomba de osmosis</v>
      </c>
      <c r="H32" s="19">
        <f>IFERROR(VLOOKUP(A32,[2]REPUESTOS!$A:$S,19,FALSE),"SIN ANÁLISIS")</f>
        <v>-6.3205901828932751E-2</v>
      </c>
      <c r="I32" s="19">
        <f t="shared" si="2"/>
        <v>2.8160756876394188E-7</v>
      </c>
      <c r="J32" s="10" t="str">
        <f>VLOOKUP(A32,[4]REPUESTOS!$B:$FY,180,FALSE)</f>
        <v>Si</v>
      </c>
    </row>
    <row r="33" spans="1:10" x14ac:dyDescent="0.3">
      <c r="A33" s="10" t="s">
        <v>59</v>
      </c>
      <c r="B33" s="10" t="s">
        <v>58</v>
      </c>
      <c r="C33" s="17">
        <f>IFERROR(VLOOKUP(A33,[1]REPUESTOS!$A:$D,4,FALSE),"")</f>
        <v>1572</v>
      </c>
      <c r="D33" s="18">
        <f>IFERROR(VLOOKUP(A33,[2]REPUESTOS!$A:$R,18,FALSE),C33)</f>
        <v>1548.1109975508841</v>
      </c>
      <c r="E33" s="19">
        <f t="shared" si="0"/>
        <v>-1.5196566443457939E-2</v>
      </c>
      <c r="F33" s="10" t="str">
        <f>VLOOKUP(A33,[3]data!$W:$Z,4,FALSE)</f>
        <v>Si</v>
      </c>
      <c r="G33" s="10" t="str">
        <f t="shared" si="1"/>
        <v>Manguera blanda aspirado shampoo mt RILSAN</v>
      </c>
      <c r="H33" s="19">
        <f>IFERROR(VLOOKUP(A33,[2]REPUESTOS!$A:$S,19,FALSE),"SIN ANÁLISIS")</f>
        <v>-1.5106888361045073E-2</v>
      </c>
      <c r="I33" s="19">
        <f t="shared" si="2"/>
        <v>8.9678082412865748E-5</v>
      </c>
      <c r="J33" s="10" t="str">
        <f>VLOOKUP(A33,[4]REPUESTOS!$B:$FY,180,FALSE)</f>
        <v>Si</v>
      </c>
    </row>
    <row r="34" spans="1:10" x14ac:dyDescent="0.3">
      <c r="A34" s="10" t="s">
        <v>61</v>
      </c>
      <c r="B34" s="10" t="s">
        <v>60</v>
      </c>
      <c r="C34" s="17">
        <f>IFERROR(VLOOKUP(A34,[1]REPUESTOS!$A:$D,4,FALSE),"")</f>
        <v>1308</v>
      </c>
      <c r="D34" s="18">
        <f>IFERROR(VLOOKUP(A34,[2]REPUESTOS!$A:$R,18,FALSE),C34)</f>
        <v>1225.3672186277895</v>
      </c>
      <c r="E34" s="19">
        <f t="shared" si="0"/>
        <v>-6.3174909305971333E-2</v>
      </c>
      <c r="F34" s="10" t="str">
        <f>VLOOKUP(A34,[3]data!$W:$Z,4,FALSE)</f>
        <v>Si</v>
      </c>
      <c r="G34" s="10" t="str">
        <f t="shared" si="1"/>
        <v>Golilla 3/8</v>
      </c>
      <c r="H34" s="19">
        <f>IFERROR(VLOOKUP(A34,[2]REPUESTOS!$A:$S,19,FALSE),"SIN ANÁLISIS")</f>
        <v>-6.3205901828932765E-2</v>
      </c>
      <c r="I34" s="19">
        <f t="shared" si="2"/>
        <v>-3.0992522961431623E-5</v>
      </c>
      <c r="J34" s="10" t="str">
        <f>VLOOKUP(A34,[4]REPUESTOS!$B:$FY,180,FALSE)</f>
        <v>Si</v>
      </c>
    </row>
    <row r="35" spans="1:10" x14ac:dyDescent="0.3">
      <c r="A35" s="10" t="s">
        <v>63</v>
      </c>
      <c r="B35" s="10" t="s">
        <v>62</v>
      </c>
      <c r="C35" s="17">
        <f>IFERROR(VLOOKUP(A35,[1]REPUESTOS!$A:$D,4,FALSE),"")</f>
        <v>1029069</v>
      </c>
      <c r="D35" s="18">
        <f>IFERROR(VLOOKUP(A35,[2]REPUESTOS!$A:$R,18,FALSE),C35)</f>
        <v>964025.83153544902</v>
      </c>
      <c r="E35" s="19">
        <f t="shared" si="0"/>
        <v>-6.3205837960866554E-2</v>
      </c>
      <c r="F35" s="10" t="str">
        <f>VLOOKUP(A35,[3]data!$W:$Z,4,FALSE)</f>
        <v>Si</v>
      </c>
      <c r="G35" s="10" t="str">
        <f t="shared" si="1"/>
        <v>Bomba 3CP 1140 CAT</v>
      </c>
      <c r="H35" s="19">
        <f>IFERROR(VLOOKUP(A35,[2]REPUESTOS!$A:$S,19,FALSE),"SIN ANÁLISIS")</f>
        <v>-6.3205901828932792E-2</v>
      </c>
      <c r="I35" s="19">
        <f t="shared" si="2"/>
        <v>-6.3868066238481624E-8</v>
      </c>
      <c r="J35" s="10" t="str">
        <f>VLOOKUP(A35,[4]REPUESTOS!$B:$FY,180,FALSE)</f>
        <v>Si</v>
      </c>
    </row>
    <row r="36" spans="1:10" x14ac:dyDescent="0.3">
      <c r="A36" s="10" t="s">
        <v>65</v>
      </c>
      <c r="B36" s="10" t="s">
        <v>64</v>
      </c>
      <c r="C36" s="17">
        <f>IFERROR(VLOOKUP(A36,[1]REPUESTOS!$A:$D,4,FALSE),"")</f>
        <v>226734</v>
      </c>
      <c r="D36" s="18">
        <f>IFERROR(VLOOKUP(A36,[2]REPUESTOS!$A:$R,18,FALSE),C36)</f>
        <v>212403.28379839312</v>
      </c>
      <c r="E36" s="19">
        <f t="shared" si="0"/>
        <v>-6.3204972353537073E-2</v>
      </c>
      <c r="F36" s="10" t="str">
        <f>VLOOKUP(A36,[3]data!$W:$Z,4,FALSE)</f>
        <v>Si</v>
      </c>
      <c r="G36" s="10" t="str">
        <f t="shared" si="1"/>
        <v>EV Burkert 287 1/2</v>
      </c>
      <c r="H36" s="19">
        <f>IFERROR(VLOOKUP(A36,[2]REPUESTOS!$A:$S,19,FALSE),"SIN ANÁLISIS")</f>
        <v>-6.3205901828932751E-2</v>
      </c>
      <c r="I36" s="19">
        <f t="shared" si="2"/>
        <v>-9.2947539567789228E-7</v>
      </c>
      <c r="J36" s="10" t="str">
        <f>VLOOKUP(A36,[4]REPUESTOS!$B:$FY,180,FALSE)</f>
        <v>Si</v>
      </c>
    </row>
    <row r="37" spans="1:10" x14ac:dyDescent="0.3">
      <c r="A37" s="10" t="s">
        <v>67</v>
      </c>
      <c r="B37" s="10" t="s">
        <v>66</v>
      </c>
      <c r="C37" s="17">
        <f>IFERROR(VLOOKUP(A37,[1]REPUESTOS!$A:$D,4,FALSE),"")</f>
        <v>83742</v>
      </c>
      <c r="D37" s="18">
        <f>IFERROR(VLOOKUP(A37,[2]REPUESTOS!$A:$R,18,FALSE),C37)</f>
        <v>78449.362014649567</v>
      </c>
      <c r="E37" s="19">
        <f t="shared" si="0"/>
        <v>-6.3201714615729654E-2</v>
      </c>
      <c r="F37" s="10" t="str">
        <f>VLOOKUP(A37,[3]data!$W:$Z,4,FALSE)</f>
        <v>Si</v>
      </c>
      <c r="G37" s="10" t="str">
        <f t="shared" si="1"/>
        <v>Inyector Burket</v>
      </c>
      <c r="H37" s="19">
        <f>IFERROR(VLOOKUP(A37,[2]REPUESTOS!$A:$S,19,FALSE),"SIN ANÁLISIS")</f>
        <v>-6.3205901828932806E-2</v>
      </c>
      <c r="I37" s="19">
        <f t="shared" si="2"/>
        <v>-4.1872132031522957E-6</v>
      </c>
      <c r="J37" s="10" t="str">
        <f>VLOOKUP(A37,[4]REPUESTOS!$B:$FY,180,FALSE)</f>
        <v>Si</v>
      </c>
    </row>
    <row r="38" spans="1:10" x14ac:dyDescent="0.3">
      <c r="A38" s="10" t="s">
        <v>69</v>
      </c>
      <c r="B38" s="10" t="s">
        <v>68</v>
      </c>
      <c r="C38" s="17">
        <f>IFERROR(VLOOKUP(A38,[1]REPUESTOS!$A:$D,4,FALSE),"")</f>
        <v>323131</v>
      </c>
      <c r="D38" s="18">
        <f>IFERROR(VLOOKUP(A38,[2]REPUESTOS!$A:$R,18,FALSE),C38)</f>
        <v>302707.47688351723</v>
      </c>
      <c r="E38" s="19">
        <f t="shared" si="0"/>
        <v>-6.3205087461378734E-2</v>
      </c>
      <c r="F38" s="10" t="str">
        <f>VLOOKUP(A38,[3]data!$W:$Z,4,FALSE)</f>
        <v>Si</v>
      </c>
      <c r="G38" s="10" t="str">
        <f t="shared" si="1"/>
        <v>Bomba dosificadora de shampoo</v>
      </c>
      <c r="H38" s="19">
        <f>IFERROR(VLOOKUP(A38,[2]REPUESTOS!$A:$S,19,FALSE),"SIN ANÁLISIS")</f>
        <v>-6.3205901828932751E-2</v>
      </c>
      <c r="I38" s="19">
        <f t="shared" si="2"/>
        <v>-8.1436755401675942E-7</v>
      </c>
      <c r="J38" s="10" t="str">
        <f>VLOOKUP(A38,[4]REPUESTOS!$B:$FY,180,FALSE)</f>
        <v>Si</v>
      </c>
    </row>
    <row r="39" spans="1:10" x14ac:dyDescent="0.3">
      <c r="A39" s="10" t="s">
        <v>71</v>
      </c>
      <c r="B39" s="10" t="s">
        <v>70</v>
      </c>
      <c r="C39" s="17">
        <f>IFERROR(VLOOKUP(A39,[1]REPUESTOS!$A:$D,4,FALSE),"")</f>
        <v>323131</v>
      </c>
      <c r="D39" s="18">
        <f>IFERROR(VLOOKUP(A39,[2]REPUESTOS!$A:$R,18,FALSE),C39)</f>
        <v>302707.47688351723</v>
      </c>
      <c r="E39" s="19">
        <f t="shared" si="0"/>
        <v>-6.3205087461378734E-2</v>
      </c>
      <c r="F39" s="10" t="str">
        <f>VLOOKUP(A39,[3]data!$W:$Z,4,FALSE)</f>
        <v>Si</v>
      </c>
      <c r="G39" s="10" t="str">
        <f t="shared" si="1"/>
        <v>Bomba dosificadora de  cera</v>
      </c>
      <c r="H39" s="19">
        <f>IFERROR(VLOOKUP(A39,[2]REPUESTOS!$A:$S,19,FALSE),"SIN ANÁLISIS")</f>
        <v>-6.3205901828932751E-2</v>
      </c>
      <c r="I39" s="19">
        <f t="shared" si="2"/>
        <v>-8.1436755401675942E-7</v>
      </c>
      <c r="J39" s="10" t="str">
        <f>VLOOKUP(A39,[4]REPUESTOS!$B:$FY,180,FALSE)</f>
        <v>Si</v>
      </c>
    </row>
    <row r="40" spans="1:10" x14ac:dyDescent="0.3">
      <c r="A40" s="10" t="s">
        <v>73</v>
      </c>
      <c r="B40" s="10" t="s">
        <v>72</v>
      </c>
      <c r="C40" s="17">
        <f>IFERROR(VLOOKUP(A40,[1]REPUESTOS!$A:$D,4,FALSE),"")</f>
        <v>16426</v>
      </c>
      <c r="D40" s="18">
        <f>IFERROR(VLOOKUP(A40,[2]REPUESTOS!$A:$R,18,FALSE),C40)</f>
        <v>15387.707986518288</v>
      </c>
      <c r="E40" s="19">
        <f t="shared" si="0"/>
        <v>-6.3210277211841734E-2</v>
      </c>
      <c r="F40" s="10" t="str">
        <f>VLOOKUP(A40,[3]data!$W:$Z,4,FALSE)</f>
        <v>Si</v>
      </c>
      <c r="G40" s="10" t="str">
        <f t="shared" si="1"/>
        <v>Tuerca inox para cubre fichero</v>
      </c>
      <c r="H40" s="19">
        <f>IFERROR(VLOOKUP(A40,[2]REPUESTOS!$A:$S,19,FALSE),"SIN ANÁLISIS")</f>
        <v>-6.3205901828932792E-2</v>
      </c>
      <c r="I40" s="19">
        <f t="shared" si="2"/>
        <v>4.3753829089415719E-6</v>
      </c>
      <c r="J40" s="10" t="str">
        <f>VLOOKUP(A40,[4]REPUESTOS!$B:$FY,180,FALSE)</f>
        <v>Si</v>
      </c>
    </row>
    <row r="41" spans="1:10" x14ac:dyDescent="0.3">
      <c r="A41" s="10" t="s">
        <v>75</v>
      </c>
      <c r="B41" s="10" t="s">
        <v>74</v>
      </c>
      <c r="C41" s="17">
        <f>IFERROR(VLOOKUP(A41,[1]REPUESTOS!$A:$D,4,FALSE),"")</f>
        <v>164</v>
      </c>
      <c r="D41" s="18">
        <f>IFERROR(VLOOKUP(A41,[2]REPUESTOS!$A:$R,18,FALSE),C41)</f>
        <v>153.17090232847369</v>
      </c>
      <c r="E41" s="19">
        <f t="shared" si="0"/>
        <v>-6.6031083362965315E-2</v>
      </c>
      <c r="F41" s="10" t="str">
        <f>VLOOKUP(A41,[3]data!$W:$Z,4,FALSE)</f>
        <v>Si</v>
      </c>
      <c r="G41" s="10" t="str">
        <f t="shared" si="1"/>
        <v>Tornillo cubrefichero</v>
      </c>
      <c r="H41" s="19">
        <f>IFERROR(VLOOKUP(A41,[2]REPUESTOS!$A:$S,19,FALSE),"SIN ANÁLISIS")</f>
        <v>-6.3205901828932765E-2</v>
      </c>
      <c r="I41" s="19">
        <f t="shared" si="2"/>
        <v>2.8251815340325503E-3</v>
      </c>
      <c r="J41" s="10" t="str">
        <f>VLOOKUP(A41,[4]REPUESTOS!$B:$FY,180,FALSE)</f>
        <v>Si</v>
      </c>
    </row>
    <row r="42" spans="1:10" x14ac:dyDescent="0.3">
      <c r="A42" s="10" t="s">
        <v>77</v>
      </c>
      <c r="B42" s="10" t="s">
        <v>76</v>
      </c>
      <c r="C42" s="17">
        <f>IFERROR(VLOOKUP(A42,[1]REPUESTOS!$A:$D,4,FALSE),"")</f>
        <v>6104</v>
      </c>
      <c r="D42" s="18">
        <f>IFERROR(VLOOKUP(A42,[2]REPUESTOS!$A:$R,18,FALSE),C42)</f>
        <v>5718.048814846723</v>
      </c>
      <c r="E42" s="19">
        <f t="shared" si="0"/>
        <v>-6.3229224304272122E-2</v>
      </c>
      <c r="F42" s="10" t="str">
        <f>VLOOKUP(A42,[3]data!$W:$Z,4,FALSE)</f>
        <v>Si</v>
      </c>
      <c r="G42" s="10" t="str">
        <f t="shared" si="1"/>
        <v>Niple recto 1/2 HEX20</v>
      </c>
      <c r="H42" s="19">
        <f>IFERROR(VLOOKUP(A42,[2]REPUESTOS!$A:$S,19,FALSE),"SIN ANÁLISIS")</f>
        <v>-6.3205901828932681E-2</v>
      </c>
      <c r="I42" s="19">
        <f t="shared" si="2"/>
        <v>2.3322475339440651E-5</v>
      </c>
      <c r="J42" s="10" t="str">
        <f>VLOOKUP(A42,[4]REPUESTOS!$B:$FY,180,FALSE)</f>
        <v>Si</v>
      </c>
    </row>
    <row r="43" spans="1:10" x14ac:dyDescent="0.3">
      <c r="A43" s="10" t="s">
        <v>79</v>
      </c>
      <c r="B43" s="10" t="s">
        <v>78</v>
      </c>
      <c r="C43" s="17">
        <f>IFERROR(VLOOKUP(A43,[1]REPUESTOS!$A:$D,4,FALSE),"")</f>
        <v>13505</v>
      </c>
      <c r="D43" s="18">
        <f>IFERROR(VLOOKUP(A43,[2]REPUESTOS!$A:$R,18,FALSE),C43)</f>
        <v>12651.518685832372</v>
      </c>
      <c r="E43" s="19">
        <f t="shared" si="0"/>
        <v>-6.3197431630331563E-2</v>
      </c>
      <c r="F43" s="10" t="str">
        <f>VLOOKUP(A43,[3]data!$W:$Z,4,FALSE)</f>
        <v>Si</v>
      </c>
      <c r="G43" s="10" t="str">
        <f t="shared" si="1"/>
        <v>Unión americana 90° 1/2</v>
      </c>
      <c r="H43" s="19">
        <f>IFERROR(VLOOKUP(A43,[2]REPUESTOS!$A:$S,19,FALSE),"SIN ANÁLISIS")</f>
        <v>-6.3205901828932695E-2</v>
      </c>
      <c r="I43" s="19">
        <f t="shared" si="2"/>
        <v>-8.4701986011320729E-6</v>
      </c>
      <c r="J43" s="10" t="str">
        <f>VLOOKUP(A43,[4]REPUESTOS!$B:$FY,180,FALSE)</f>
        <v>Si</v>
      </c>
    </row>
    <row r="44" spans="1:10" x14ac:dyDescent="0.3">
      <c r="A44" s="10" t="s">
        <v>81</v>
      </c>
      <c r="B44" s="10" t="s">
        <v>80</v>
      </c>
      <c r="C44" s="17">
        <f>IFERROR(VLOOKUP(A44,[1]REPUESTOS!$A:$D,4,FALSE),"")</f>
        <v>331088</v>
      </c>
      <c r="D44" s="18">
        <f>IFERROR(VLOOKUP(A44,[2]REPUESTOS!$A:$R,18,FALSE),C44)</f>
        <v>310161.13105267036</v>
      </c>
      <c r="E44" s="19">
        <f t="shared" si="0"/>
        <v>-6.3206364916063518E-2</v>
      </c>
      <c r="F44" s="10" t="str">
        <f>VLOOKUP(A44,[3]data!$W:$Z,4,FALSE)</f>
        <v>Si</v>
      </c>
      <c r="G44" s="10" t="str">
        <f t="shared" si="1"/>
        <v>Display de 3 cifras</v>
      </c>
      <c r="H44" s="19">
        <f>IFERROR(VLOOKUP(A44,[2]REPUESTOS!$A:$S,19,FALSE),"SIN ANÁLISIS")</f>
        <v>-6.3205901828932709E-2</v>
      </c>
      <c r="I44" s="19">
        <f t="shared" si="2"/>
        <v>4.6308713080867037E-7</v>
      </c>
      <c r="J44" s="10" t="str">
        <f>VLOOKUP(A44,[4]REPUESTOS!$B:$FY,180,FALSE)</f>
        <v>Si</v>
      </c>
    </row>
    <row r="45" spans="1:10" x14ac:dyDescent="0.3">
      <c r="A45" s="10" t="s">
        <v>83</v>
      </c>
      <c r="B45" s="10" t="s">
        <v>82</v>
      </c>
      <c r="C45" s="17">
        <f>IFERROR(VLOOKUP(A45,[1]REPUESTOS!$A:$D,4,FALSE),"")</f>
        <v>138839</v>
      </c>
      <c r="D45" s="18">
        <f>IFERROR(VLOOKUP(A45,[2]REPUESTOS!$A:$R,18,FALSE),C45)</f>
        <v>130063.97763434965</v>
      </c>
      <c r="E45" s="19">
        <f t="shared" si="0"/>
        <v>-6.3202863501252177E-2</v>
      </c>
      <c r="F45" s="10" t="str">
        <f>VLOOKUP(A45,[3]data!$W:$Z,4,FALSE)</f>
        <v>Si</v>
      </c>
      <c r="G45" s="10" t="str">
        <f t="shared" si="1"/>
        <v>Lanza alta presión</v>
      </c>
      <c r="H45" s="19">
        <f>IFERROR(VLOOKUP(A45,[2]REPUESTOS!$A:$S,19,FALSE),"SIN ANÁLISIS")</f>
        <v>-6.3205901828932737E-2</v>
      </c>
      <c r="I45" s="19">
        <f t="shared" si="2"/>
        <v>-3.0383276805601156E-6</v>
      </c>
      <c r="J45" s="10" t="str">
        <f>VLOOKUP(A45,[4]REPUESTOS!$B:$FY,180,FALSE)</f>
        <v>Si</v>
      </c>
    </row>
    <row r="46" spans="1:10" x14ac:dyDescent="0.3">
      <c r="A46" s="10" t="s">
        <v>85</v>
      </c>
      <c r="B46" s="10" t="s">
        <v>84</v>
      </c>
      <c r="C46" s="17">
        <f>IFERROR(VLOOKUP(A46,[1]REPUESTOS!$A:$D,4,FALSE),"")</f>
        <v>11554</v>
      </c>
      <c r="D46" s="18">
        <f>IFERROR(VLOOKUP(A46,[2]REPUESTOS!$A:$R,18,FALSE),C46)</f>
        <v>10823.41402037955</v>
      </c>
      <c r="E46" s="19">
        <f t="shared" si="0"/>
        <v>-6.3232298738138265E-2</v>
      </c>
      <c r="F46" s="10" t="str">
        <f>VLOOKUP(A46,[3]data!$W:$Z,4,FALSE)</f>
        <v>Si</v>
      </c>
      <c r="G46" s="10" t="str">
        <f t="shared" si="1"/>
        <v>Tee inox 1/2 HEHEHI central</v>
      </c>
      <c r="H46" s="19">
        <f>IFERROR(VLOOKUP(A46,[2]REPUESTOS!$A:$S,19,FALSE),"SIN ANÁLISIS")</f>
        <v>-6.3205901828932667E-2</v>
      </c>
      <c r="I46" s="19">
        <f t="shared" si="2"/>
        <v>2.6396909205597674E-5</v>
      </c>
      <c r="J46" s="10" t="str">
        <f>VLOOKUP(A46,[4]REPUESTOS!$B:$FY,180,FALSE)</f>
        <v>Si</v>
      </c>
    </row>
    <row r="47" spans="1:10" x14ac:dyDescent="0.3">
      <c r="A47" s="10" t="s">
        <v>87</v>
      </c>
      <c r="B47" s="10" t="s">
        <v>86</v>
      </c>
      <c r="C47" s="17">
        <f>IFERROR(VLOOKUP(A47,[1]REPUESTOS!$A:$D,4,FALSE),"")</f>
        <v>24480</v>
      </c>
      <c r="D47" s="18">
        <f>IFERROR(VLOOKUP(A47,[2]REPUESTOS!$A:$R,18,FALSE),C47)</f>
        <v>22932.866850568949</v>
      </c>
      <c r="E47" s="19">
        <f t="shared" si="0"/>
        <v>-6.3199883555189976E-2</v>
      </c>
      <c r="F47" s="10" t="str">
        <f>VLOOKUP(A47,[3]data!$W:$Z,4,FALSE)</f>
        <v>Si</v>
      </c>
      <c r="G47" s="10" t="str">
        <f t="shared" si="1"/>
        <v>Portafichero</v>
      </c>
      <c r="H47" s="19">
        <f>IFERROR(VLOOKUP(A47,[2]REPUESTOS!$A:$S,19,FALSE),"SIN ANÁLISIS")</f>
        <v>-6.3205901828932723E-2</v>
      </c>
      <c r="I47" s="19">
        <f t="shared" si="2"/>
        <v>-6.0182737427472155E-6</v>
      </c>
      <c r="J47" s="10" t="str">
        <f>VLOOKUP(A47,[4]REPUESTOS!$B:$FY,180,FALSE)</f>
        <v>Si</v>
      </c>
    </row>
    <row r="48" spans="1:10" x14ac:dyDescent="0.3">
      <c r="A48" s="10" t="s">
        <v>89</v>
      </c>
      <c r="B48" s="10" t="s">
        <v>88</v>
      </c>
      <c r="C48" s="17">
        <f>IFERROR(VLOOKUP(A48,[1]REPUESTOS!$A:$D,4,FALSE),"")</f>
        <v>1177163</v>
      </c>
      <c r="D48" s="18">
        <f>IFERROR(VLOOKUP(A48,[2]REPUESTOS!$A:$R,18,FALSE),C48)</f>
        <v>1102758.8843950906</v>
      </c>
      <c r="E48" s="19">
        <f t="shared" si="0"/>
        <v>-6.3206298197368907E-2</v>
      </c>
      <c r="F48" s="10" t="str">
        <f>VLOOKUP(A48,[3]data!$W:$Z,4,FALSE)</f>
        <v>Si</v>
      </c>
      <c r="G48" s="10" t="str">
        <f t="shared" si="1"/>
        <v>Extension EM 223</v>
      </c>
      <c r="H48" s="19">
        <f>IFERROR(VLOOKUP(A48,[2]REPUESTOS!$A:$S,19,FALSE),"SIN ANÁLISIS")</f>
        <v>-6.3205901828932709E-2</v>
      </c>
      <c r="I48" s="19">
        <f t="shared" si="2"/>
        <v>3.9636843619794693E-7</v>
      </c>
      <c r="J48" s="10" t="str">
        <f>VLOOKUP(A48,[4]REPUESTOS!$B:$FY,180,FALSE)</f>
        <v>Si</v>
      </c>
    </row>
    <row r="49" spans="1:10" x14ac:dyDescent="0.3">
      <c r="A49" s="10" t="s">
        <v>91</v>
      </c>
      <c r="B49" s="10" t="s">
        <v>90</v>
      </c>
      <c r="C49" s="17">
        <f>IFERROR(VLOOKUP(A49,[1]REPUESTOS!$A:$D,4,FALSE),"")</f>
        <v>3531488</v>
      </c>
      <c r="D49" s="18">
        <f>IFERROR(VLOOKUP(A49,[2]REPUESTOS!$A:$R,18,FALSE),C49)</f>
        <v>3308276.6531852721</v>
      </c>
      <c r="E49" s="19">
        <f t="shared" si="0"/>
        <v>-6.3206032928535466E-2</v>
      </c>
      <c r="F49" s="10" t="str">
        <f>VLOOKUP(A49,[3]data!$W:$Z,4,FALSE)</f>
        <v>Si</v>
      </c>
      <c r="G49" s="10" t="str">
        <f t="shared" si="1"/>
        <v>PLC simatic S7-200</v>
      </c>
      <c r="H49" s="19">
        <f>IFERROR(VLOOKUP(A49,[2]REPUESTOS!$A:$S,19,FALSE),"SIN ANÁLISIS")</f>
        <v>-6.3205901828932709E-2</v>
      </c>
      <c r="I49" s="19">
        <f t="shared" si="2"/>
        <v>1.3109960275703436E-7</v>
      </c>
      <c r="J49" s="10" t="str">
        <f>VLOOKUP(A49,[4]REPUESTOS!$B:$FY,180,FALSE)</f>
        <v>Si</v>
      </c>
    </row>
    <row r="50" spans="1:10" x14ac:dyDescent="0.3">
      <c r="A50" s="10" t="s">
        <v>93</v>
      </c>
      <c r="B50" s="10" t="s">
        <v>92</v>
      </c>
      <c r="C50" s="17">
        <f>IFERROR(VLOOKUP(A50,[1]REPUESTOS!$A:$D,4,FALSE),"")</f>
        <v>12208</v>
      </c>
      <c r="D50" s="18">
        <f>IFERROR(VLOOKUP(A50,[2]REPUESTOS!$A:$R,18,FALSE),C50)</f>
        <v>13024.598155301192</v>
      </c>
      <c r="E50" s="19">
        <f t="shared" si="0"/>
        <v>6.6890412459140861E-2</v>
      </c>
      <c r="F50" s="10" t="str">
        <f>VLOOKUP(A50,[3]data!$W:$Z,4,FALSE)</f>
        <v>Si</v>
      </c>
      <c r="G50" s="10" t="str">
        <f t="shared" si="1"/>
        <v>Codo 90° 1/2 HEX20</v>
      </c>
      <c r="H50" s="19">
        <f>IFERROR(VLOOKUP(A50,[2]REPUESTOS!$A:$S,19,FALSE),"SIN ANÁLISIS")</f>
        <v>6.691697448048059E-2</v>
      </c>
      <c r="I50" s="19">
        <f t="shared" si="2"/>
        <v>2.6562021339729402E-5</v>
      </c>
      <c r="J50" s="10" t="str">
        <f>VLOOKUP(A50,[4]REPUESTOS!$B:$FY,180,FALSE)</f>
        <v>Si</v>
      </c>
    </row>
    <row r="51" spans="1:10" x14ac:dyDescent="0.3">
      <c r="A51" s="10" t="s">
        <v>95</v>
      </c>
      <c r="B51" s="10" t="s">
        <v>94</v>
      </c>
      <c r="C51" s="17">
        <f>IFERROR(VLOOKUP(A51,[1]REPUESTOS!$A:$D,4,FALSE),"")</f>
        <v>1455663</v>
      </c>
      <c r="D51" s="18">
        <f>IFERROR(VLOOKUP(A51,[2]REPUESTOS!$A:$R,18,FALSE),C51)</f>
        <v>1363656.6726404279</v>
      </c>
      <c r="E51" s="19">
        <f t="shared" si="0"/>
        <v>-6.3205788262511345E-2</v>
      </c>
      <c r="F51" s="10" t="str">
        <f>VLOOKUP(A51,[3]data!$W:$Z,4,FALSE)</f>
        <v>Si</v>
      </c>
      <c r="G51" s="10" t="str">
        <f t="shared" si="1"/>
        <v>Motor cat trifásico doble bobinado</v>
      </c>
      <c r="H51" s="19">
        <f>IFERROR(VLOOKUP(A51,[2]REPUESTOS!$A:$S,19,FALSE),"SIN ANÁLISIS")</f>
        <v>-6.3205901828932751E-2</v>
      </c>
      <c r="I51" s="19">
        <f t="shared" si="2"/>
        <v>-1.1356642140580853E-7</v>
      </c>
      <c r="J51" s="10" t="str">
        <f>VLOOKUP(A51,[4]REPUESTOS!$B:$FY,180,FALSE)</f>
        <v>Si</v>
      </c>
    </row>
    <row r="52" spans="1:10" x14ac:dyDescent="0.3">
      <c r="A52" s="10" t="s">
        <v>97</v>
      </c>
      <c r="B52" s="10" t="s">
        <v>96</v>
      </c>
      <c r="C52" s="17">
        <f>IFERROR(VLOOKUP(A52,[1]REPUESTOS!$A:$D,4,FALSE),"")</f>
        <v>59153</v>
      </c>
      <c r="D52" s="18">
        <f>IFERROR(VLOOKUP(A52,[2]REPUESTOS!$A:$R,18,FALSE),C52)</f>
        <v>55414.049690445347</v>
      </c>
      <c r="E52" s="19">
        <f t="shared" si="0"/>
        <v>-6.3208126545646934E-2</v>
      </c>
      <c r="F52" s="10" t="str">
        <f>VLOOKUP(A52,[3]data!$W:$Z,4,FALSE)</f>
        <v>Si</v>
      </c>
      <c r="G52" s="10" t="str">
        <f t="shared" si="1"/>
        <v>Válvula Robex 1/2 entrada mself</v>
      </c>
      <c r="H52" s="19">
        <f>IFERROR(VLOOKUP(A52,[2]REPUESTOS!$A:$S,19,FALSE),"SIN ANÁLISIS")</f>
        <v>-6.3205901828932709E-2</v>
      </c>
      <c r="I52" s="19">
        <f t="shared" si="2"/>
        <v>2.2247167142247504E-6</v>
      </c>
      <c r="J52" s="10" t="str">
        <f>VLOOKUP(A52,[4]REPUESTOS!$B:$FY,180,FALSE)</f>
        <v>Si</v>
      </c>
    </row>
    <row r="53" spans="1:10" x14ac:dyDescent="0.3">
      <c r="A53" s="10" t="s">
        <v>99</v>
      </c>
      <c r="B53" s="10" t="s">
        <v>98</v>
      </c>
      <c r="C53" s="17">
        <f>IFERROR(VLOOKUP(A53,[1]REPUESTOS!$A:$D,4,FALSE),"")</f>
        <v>19772</v>
      </c>
      <c r="D53" s="18">
        <f>IFERROR(VLOOKUP(A53,[2]REPUESTOS!$A:$R,18,FALSE),C53)</f>
        <v>18522.73840300757</v>
      </c>
      <c r="E53" s="19">
        <f t="shared" si="0"/>
        <v>-6.318337027070757E-2</v>
      </c>
      <c r="F53" s="10" t="str">
        <f>VLOOKUP(A53,[3]data!$W:$Z,4,FALSE)</f>
        <v>Si</v>
      </c>
      <c r="G53" s="10" t="str">
        <f t="shared" si="1"/>
        <v>Inyector 1/4\ espuma cepillo</v>
      </c>
      <c r="H53" s="19">
        <f>IFERROR(VLOOKUP(A53,[2]REPUESTOS!$A:$S,19,FALSE),"SIN ANÁLISIS")</f>
        <v>-6.3205901828932667E-2</v>
      </c>
      <c r="I53" s="19">
        <f t="shared" si="2"/>
        <v>-2.2531558225097337E-5</v>
      </c>
      <c r="J53" s="10" t="str">
        <f>VLOOKUP(A53,[4]REPUESTOS!$B:$FY,180,FALSE)</f>
        <v>Si</v>
      </c>
    </row>
    <row r="54" spans="1:10" x14ac:dyDescent="0.3">
      <c r="A54" s="10" t="s">
        <v>101</v>
      </c>
      <c r="B54" s="10" t="s">
        <v>100</v>
      </c>
      <c r="C54" s="17">
        <f>IFERROR(VLOOKUP(A54,[1]REPUESTOS!$A:$D,4,FALSE),"")</f>
        <v>7739</v>
      </c>
      <c r="D54" s="18">
        <f>IFERROR(VLOOKUP(A54,[2]REPUESTOS!$A:$R,18,FALSE),C54)</f>
        <v>7249.7578381314588</v>
      </c>
      <c r="E54" s="19">
        <f t="shared" si="0"/>
        <v>-6.3217749304631241E-2</v>
      </c>
      <c r="F54" s="10" t="str">
        <f>VLOOKUP(A54,[3]data!$W:$Z,4,FALSE)</f>
        <v>Si</v>
      </c>
      <c r="G54" s="10" t="str">
        <f t="shared" si="1"/>
        <v>Tee 1/4'' 6 mm inoxidable</v>
      </c>
      <c r="H54" s="19">
        <f>IFERROR(VLOOKUP(A54,[2]REPUESTOS!$A:$S,19,FALSE),"SIN ANÁLISIS")</f>
        <v>-6.3205901828932737E-2</v>
      </c>
      <c r="I54" s="19">
        <f t="shared" si="2"/>
        <v>1.1847475698503751E-5</v>
      </c>
      <c r="J54" s="10" t="str">
        <f>VLOOKUP(A54,[4]REPUESTOS!$B:$FY,180,FALSE)</f>
        <v>Si</v>
      </c>
    </row>
    <row r="55" spans="1:10" x14ac:dyDescent="0.3">
      <c r="A55" s="10" t="s">
        <v>103</v>
      </c>
      <c r="B55" s="10" t="s">
        <v>102</v>
      </c>
      <c r="C55" s="17">
        <f>IFERROR(VLOOKUP(A55,[1]REPUESTOS!$A:$D,4,FALSE),"")</f>
        <v>41156</v>
      </c>
      <c r="D55" s="18">
        <f>IFERROR(VLOOKUP(A55,[2]REPUESTOS!$A:$R,18,FALSE),C55)</f>
        <v>38554.309655575489</v>
      </c>
      <c r="E55" s="19">
        <f t="shared" si="0"/>
        <v>-6.3215335417059745E-2</v>
      </c>
      <c r="F55" s="10" t="str">
        <f>VLOOKUP(A55,[3]data!$W:$Z,4,FALSE)</f>
        <v>Si</v>
      </c>
      <c r="G55" s="10" t="str">
        <f t="shared" si="1"/>
        <v>Membrana electroválvula Burkert</v>
      </c>
      <c r="H55" s="19">
        <f>IFERROR(VLOOKUP(A55,[2]REPUESTOS!$A:$S,19,FALSE),"SIN ANÁLISIS")</f>
        <v>-6.3205901828932778E-2</v>
      </c>
      <c r="I55" s="19">
        <f t="shared" si="2"/>
        <v>9.4335881269669297E-6</v>
      </c>
      <c r="J55" s="10" t="str">
        <f>VLOOKUP(A55,[4]REPUESTOS!$B:$FY,180,FALSE)</f>
        <v>Si</v>
      </c>
    </row>
    <row r="56" spans="1:10" x14ac:dyDescent="0.3">
      <c r="A56" s="10" t="s">
        <v>105</v>
      </c>
      <c r="B56" s="10" t="s">
        <v>104</v>
      </c>
      <c r="C56" s="17">
        <f>IFERROR(VLOOKUP(A56,[1]REPUESTOS!$A:$D,4,FALSE),"")</f>
        <v>87056</v>
      </c>
      <c r="D56" s="18">
        <f>IFERROR(VLOOKUP(A56,[2]REPUESTOS!$A:$R,18,FALSE),C56)</f>
        <v>81553.559327423383</v>
      </c>
      <c r="E56" s="19">
        <f t="shared" si="0"/>
        <v>-6.3205760344796649E-2</v>
      </c>
      <c r="F56" s="10" t="str">
        <f>VLOOKUP(A56,[3]data!$W:$Z,4,FALSE)</f>
        <v>Si</v>
      </c>
      <c r="G56" s="10" t="str">
        <f t="shared" si="1"/>
        <v>Junta giratoria centro MTM 1/4</v>
      </c>
      <c r="H56" s="19">
        <f>IFERROR(VLOOKUP(A56,[2]REPUESTOS!$A:$S,19,FALSE),"SIN ANÁLISIS")</f>
        <v>-6.3205901828932681E-2</v>
      </c>
      <c r="I56" s="19">
        <f t="shared" si="2"/>
        <v>-1.4148413603198851E-7</v>
      </c>
      <c r="J56" s="10" t="str">
        <f>VLOOKUP(A56,[4]REPUESTOS!$B:$FY,180,FALSE)</f>
        <v>Si</v>
      </c>
    </row>
    <row r="57" spans="1:10" x14ac:dyDescent="0.3">
      <c r="A57" s="10" t="s">
        <v>107</v>
      </c>
      <c r="B57" s="10" t="s">
        <v>106</v>
      </c>
      <c r="C57" s="17">
        <f>IFERROR(VLOOKUP(A57,[1]REPUESTOS!$A:$D,4,FALSE),"")</f>
        <v>97602</v>
      </c>
      <c r="D57" s="18">
        <f>IFERROR(VLOOKUP(A57,[2]REPUESTOS!$A:$R,18,FALSE),C57)</f>
        <v>91433.08252760992</v>
      </c>
      <c r="E57" s="19">
        <f t="shared" si="0"/>
        <v>-6.3204826462470845E-2</v>
      </c>
      <c r="F57" s="10" t="str">
        <f>VLOOKUP(A57,[3]data!$W:$Z,4,FALSE)</f>
        <v>Si</v>
      </c>
      <c r="G57" s="10" t="str">
        <f t="shared" si="1"/>
        <v>Junta giratoria extremo MTM 1/4</v>
      </c>
      <c r="H57" s="19">
        <f>IFERROR(VLOOKUP(A57,[2]REPUESTOS!$A:$S,19,FALSE),"SIN ANÁLISIS")</f>
        <v>-6.3205901828932792E-2</v>
      </c>
      <c r="I57" s="19">
        <f t="shared" si="2"/>
        <v>-1.0753664619472802E-6</v>
      </c>
      <c r="J57" s="10" t="str">
        <f>VLOOKUP(A57,[4]REPUESTOS!$B:$FY,180,FALSE)</f>
        <v>Si</v>
      </c>
    </row>
    <row r="58" spans="1:10" x14ac:dyDescent="0.3">
      <c r="A58" s="10" t="s">
        <v>109</v>
      </c>
      <c r="B58" s="10" t="s">
        <v>108</v>
      </c>
      <c r="C58" s="17">
        <f>IFERROR(VLOOKUP(A58,[1]REPUESTOS!$A:$D,4,FALSE),"")</f>
        <v>8785</v>
      </c>
      <c r="D58" s="18">
        <f>IFERROR(VLOOKUP(A58,[2]REPUESTOS!$A:$R,18,FALSE),C58)</f>
        <v>8229.4548432843603</v>
      </c>
      <c r="E58" s="19">
        <f t="shared" si="0"/>
        <v>-6.3237923359776863E-2</v>
      </c>
      <c r="F58" s="10" t="str">
        <f>VLOOKUP(A58,[3]data!$W:$Z,4,FALSE)</f>
        <v>Si</v>
      </c>
      <c r="G58" s="10" t="str">
        <f t="shared" si="1"/>
        <v>soporte superior fichero G20</v>
      </c>
      <c r="H58" s="19">
        <f>IFERROR(VLOOKUP(A58,[2]REPUESTOS!$A:$S,19,FALSE),"SIN ANÁLISIS")</f>
        <v>-6.3205901828932654E-2</v>
      </c>
      <c r="I58" s="19">
        <f t="shared" si="2"/>
        <v>3.2021530844209001E-5</v>
      </c>
      <c r="J58" s="10" t="str">
        <f>VLOOKUP(A58,[4]REPUESTOS!$B:$FY,180,FALSE)</f>
        <v>Si</v>
      </c>
    </row>
    <row r="59" spans="1:10" x14ac:dyDescent="0.3">
      <c r="A59" s="10" t="s">
        <v>111</v>
      </c>
      <c r="B59" s="10" t="s">
        <v>110</v>
      </c>
      <c r="C59" s="17">
        <f>IFERROR(VLOOKUP(A59,[1]REPUESTOS!$A:$D,4,FALSE),"")</f>
        <v>4502</v>
      </c>
      <c r="D59" s="18">
        <f>IFERROR(VLOOKUP(A59,[2]REPUESTOS!$A:$R,18,FALSE),C59)</f>
        <v>4217.1728952774574</v>
      </c>
      <c r="E59" s="19">
        <f t="shared" si="0"/>
        <v>-6.3266793585638068E-2</v>
      </c>
      <c r="F59" s="10" t="str">
        <f>VLOOKUP(A59,[3]data!$W:$Z,4,FALSE)</f>
        <v>Si</v>
      </c>
      <c r="G59" s="10" t="str">
        <f t="shared" si="1"/>
        <v>Niple mango cepillo 3/8" he * 1/4" hi bronce</v>
      </c>
      <c r="H59" s="19">
        <f>IFERROR(VLOOKUP(A59,[2]REPUESTOS!$A:$S,19,FALSE),"SIN ANÁLISIS")</f>
        <v>-6.320590182893282E-2</v>
      </c>
      <c r="I59" s="19">
        <f t="shared" si="2"/>
        <v>6.0891756705247491E-5</v>
      </c>
      <c r="J59" s="10" t="str">
        <f>VLOOKUP(A59,[4]REPUESTOS!$B:$FY,180,FALSE)</f>
        <v>Si</v>
      </c>
    </row>
    <row r="60" spans="1:10" x14ac:dyDescent="0.3">
      <c r="A60" s="10" t="s">
        <v>113</v>
      </c>
      <c r="B60" s="10" t="s">
        <v>112</v>
      </c>
      <c r="C60" s="17">
        <f>IFERROR(VLOOKUP(A60,[1]REPUESTOS!$A:$D,4,FALSE),"")</f>
        <v>28928</v>
      </c>
      <c r="D60" s="18">
        <f>IFERROR(VLOOKUP(A60,[2]REPUESTOS!$A:$R,18,FALSE),C60)</f>
        <v>27099.314317153207</v>
      </c>
      <c r="E60" s="19">
        <f t="shared" si="0"/>
        <v>-6.3215074766551207E-2</v>
      </c>
      <c r="F60" s="10" t="str">
        <f>VLOOKUP(A60,[3]data!$W:$Z,4,FALSE)</f>
        <v>Si</v>
      </c>
      <c r="G60" s="10" t="str">
        <f t="shared" si="1"/>
        <v>Pistón (Kit  reparación EV Burket 1/4\)</v>
      </c>
      <c r="H60" s="19">
        <f>IFERROR(VLOOKUP(A60,[2]REPUESTOS!$A:$S,19,FALSE),"SIN ANÁLISIS")</f>
        <v>-6.3205901828932778E-2</v>
      </c>
      <c r="I60" s="19">
        <f t="shared" si="2"/>
        <v>9.1729376184290778E-6</v>
      </c>
      <c r="J60" s="10" t="str">
        <f>VLOOKUP(A60,[4]REPUESTOS!$B:$FY,180,FALSE)</f>
        <v>Si</v>
      </c>
    </row>
    <row r="61" spans="1:10" x14ac:dyDescent="0.3">
      <c r="A61" s="10" t="s">
        <v>115</v>
      </c>
      <c r="B61" s="10" t="s">
        <v>114</v>
      </c>
      <c r="C61" s="17">
        <f>IFERROR(VLOOKUP(A61,[1]REPUESTOS!$A:$D,4,FALSE),"")</f>
        <v>50586</v>
      </c>
      <c r="D61" s="18">
        <f>IFERROR(VLOOKUP(A61,[2]REPUESTOS!$A:$R,18,FALSE),C61)</f>
        <v>47388.491178182652</v>
      </c>
      <c r="E61" s="19">
        <f t="shared" si="0"/>
        <v>-6.3209362705439212E-2</v>
      </c>
      <c r="F61" s="10" t="str">
        <f>VLOOKUP(A61,[3]data!$W:$Z,4,FALSE)</f>
        <v>Si</v>
      </c>
      <c r="G61" s="10" t="str">
        <f t="shared" si="1"/>
        <v>Kit válvulas esf aspir/entrega</v>
      </c>
      <c r="H61" s="19">
        <f>IFERROR(VLOOKUP(A61,[2]REPUESTOS!$A:$S,19,FALSE),"SIN ANÁLISIS")</f>
        <v>-6.3205901828932765E-2</v>
      </c>
      <c r="I61" s="19">
        <f t="shared" si="2"/>
        <v>3.4608765064475522E-6</v>
      </c>
      <c r="J61" s="10" t="str">
        <f>VLOOKUP(A61,[4]REPUESTOS!$B:$FY,180,FALSE)</f>
        <v>Si</v>
      </c>
    </row>
    <row r="62" spans="1:10" x14ac:dyDescent="0.3">
      <c r="A62" s="10" t="s">
        <v>117</v>
      </c>
      <c r="B62" s="10" t="s">
        <v>116</v>
      </c>
      <c r="C62" s="17">
        <f>IFERROR(VLOOKUP(A62,[1]REPUESTOS!$A:$D,4,FALSE),"")</f>
        <v>13253</v>
      </c>
      <c r="D62" s="18">
        <f>IFERROR(VLOOKUP(A62,[2]REPUESTOS!$A:$R,18,FALSE),C62)</f>
        <v>12415.794634846345</v>
      </c>
      <c r="E62" s="19">
        <f t="shared" si="0"/>
        <v>-6.3171007707964633E-2</v>
      </c>
      <c r="F62" s="10" t="str">
        <f>VLOOKUP(A62,[3]data!$W:$Z,4,FALSE)</f>
        <v>Si</v>
      </c>
      <c r="G62" s="10" t="str">
        <f t="shared" si="1"/>
        <v>Cable fichero 1,50 cm</v>
      </c>
      <c r="H62" s="19">
        <f>IFERROR(VLOOKUP(A62,[2]REPUESTOS!$A:$S,19,FALSE),"SIN ANÁLISIS")</f>
        <v>-6.3205901828932709E-2</v>
      </c>
      <c r="I62" s="19">
        <f t="shared" si="2"/>
        <v>-3.4894120968076425E-5</v>
      </c>
      <c r="J62" s="10" t="str">
        <f>VLOOKUP(A62,[4]REPUESTOS!$B:$FY,180,FALSE)</f>
        <v>Si</v>
      </c>
    </row>
    <row r="63" spans="1:10" x14ac:dyDescent="0.3">
      <c r="A63" s="10" t="s">
        <v>119</v>
      </c>
      <c r="B63" s="10" t="s">
        <v>118</v>
      </c>
      <c r="C63" s="17">
        <f>IFERROR(VLOOKUP(A63,[1]REPUESTOS!$A:$D,4,FALSE),"")</f>
        <v>77388</v>
      </c>
      <c r="D63" s="18">
        <f>IFERROR(VLOOKUP(A63,[2]REPUESTOS!$A:$R,18,FALSE),C63)</f>
        <v>72496.583765065705</v>
      </c>
      <c r="E63" s="19">
        <f t="shared" si="0"/>
        <v>-6.3206391623175359E-2</v>
      </c>
      <c r="F63" s="10" t="str">
        <f>VLOOKUP(A63,[3]data!$W:$Z,4,FALSE)</f>
        <v>Si</v>
      </c>
      <c r="G63" s="10" t="str">
        <f t="shared" si="1"/>
        <v>Cerradura nueva Mself</v>
      </c>
      <c r="H63" s="19">
        <f>IFERROR(VLOOKUP(A63,[2]REPUESTOS!$A:$S,19,FALSE),"SIN ANÁLISIS")</f>
        <v>-6.3205901828932723E-2</v>
      </c>
      <c r="I63" s="19">
        <f t="shared" si="2"/>
        <v>4.8979424263628779E-7</v>
      </c>
      <c r="J63" s="10" t="str">
        <f>VLOOKUP(A63,[4]REPUESTOS!$B:$FY,180,FALSE)</f>
        <v>Si</v>
      </c>
    </row>
    <row r="64" spans="1:10" x14ac:dyDescent="0.3">
      <c r="A64" s="10" t="s">
        <v>121</v>
      </c>
      <c r="B64" s="10" t="s">
        <v>120</v>
      </c>
      <c r="C64" s="17">
        <f>IFERROR(VLOOKUP(A64,[1]REPUESTOS!$A:$D,4,FALSE),"")</f>
        <v>3717</v>
      </c>
      <c r="D64" s="18">
        <f>IFERROR(VLOOKUP(A64,[2]REPUESTOS!$A:$R,18,FALSE),C64)</f>
        <v>3482.1514873505612</v>
      </c>
      <c r="E64" s="19">
        <f t="shared" si="0"/>
        <v>-6.3182274051503576E-2</v>
      </c>
      <c r="F64" s="10" t="str">
        <f>VLOOKUP(A64,[3]data!$W:$Z,4,FALSE)</f>
        <v>Si</v>
      </c>
      <c r="G64" s="10" t="str">
        <f t="shared" si="1"/>
        <v>Niple pvc conexión rápida 8 mm terminal polip.  1/4x8 mm</v>
      </c>
      <c r="H64" s="19">
        <f>IFERROR(VLOOKUP(A64,[2]REPUESTOS!$A:$S,19,FALSE),"SIN ANÁLISIS")</f>
        <v>-6.3205901828932709E-2</v>
      </c>
      <c r="I64" s="19">
        <f t="shared" si="2"/>
        <v>-2.3627777429133245E-5</v>
      </c>
      <c r="J64" s="10" t="str">
        <f>VLOOKUP(A64,[4]REPUESTOS!$B:$FY,180,FALSE)</f>
        <v>Si</v>
      </c>
    </row>
    <row r="65" spans="1:10" x14ac:dyDescent="0.3">
      <c r="A65" s="10" t="s">
        <v>123</v>
      </c>
      <c r="B65" s="10" t="s">
        <v>122</v>
      </c>
      <c r="C65" s="17">
        <f>IFERROR(VLOOKUP(A65,[1]REPUESTOS!$A:$D,4,FALSE),"")</f>
        <v>5025</v>
      </c>
      <c r="D65" s="18">
        <f>IFERROR(VLOOKUP(A65,[2]REPUESTOS!$A:$R,18,FALSE),C65)</f>
        <v>4707.5187059783502</v>
      </c>
      <c r="E65" s="19">
        <f t="shared" si="0"/>
        <v>-6.3180357019233788E-2</v>
      </c>
      <c r="F65" s="10" t="str">
        <f>VLOOKUP(A65,[3]data!$W:$Z,4,FALSE)</f>
        <v>Si</v>
      </c>
      <c r="G65" s="10" t="str">
        <f t="shared" si="1"/>
        <v>Tee 1/4x6mm PVC</v>
      </c>
      <c r="H65" s="19">
        <f>IFERROR(VLOOKUP(A65,[2]REPUESTOS!$A:$S,19,FALSE),"SIN ANÁLISIS")</f>
        <v>-6.3205901828932765E-2</v>
      </c>
      <c r="I65" s="19">
        <f t="shared" si="2"/>
        <v>-2.5544809698976878E-5</v>
      </c>
      <c r="J65" s="10" t="str">
        <f>VLOOKUP(A65,[4]REPUESTOS!$B:$FY,180,FALSE)</f>
        <v>Si</v>
      </c>
    </row>
    <row r="66" spans="1:10" x14ac:dyDescent="0.3">
      <c r="A66" s="10" t="s">
        <v>125</v>
      </c>
      <c r="B66" s="10" t="s">
        <v>124</v>
      </c>
      <c r="C66" s="17">
        <f>IFERROR(VLOOKUP(A66,[1]REPUESTOS!$A:$D,4,FALSE),"")</f>
        <v>40678</v>
      </c>
      <c r="D66" s="18">
        <f>IFERROR(VLOOKUP(A66,[2]REPUESTOS!$A:$R,18,FALSE),C66)</f>
        <v>38106.732343576703</v>
      </c>
      <c r="E66" s="19">
        <f t="shared" si="0"/>
        <v>-6.3210277211841706E-2</v>
      </c>
      <c r="F66" s="10" t="str">
        <f>VLOOKUP(A66,[3]data!$W:$Z,4,FALSE)</f>
        <v>Si</v>
      </c>
      <c r="G66" s="10" t="str">
        <f t="shared" si="1"/>
        <v>Vaso portafiltro Mself</v>
      </c>
      <c r="H66" s="19">
        <f>IFERROR(VLOOKUP(A66,[2]REPUESTOS!$A:$S,19,FALSE),"SIN ANÁLISIS")</f>
        <v>-6.3205901828932654E-2</v>
      </c>
      <c r="I66" s="19">
        <f t="shared" si="2"/>
        <v>4.3753829090525942E-6</v>
      </c>
      <c r="J66" s="10" t="str">
        <f>VLOOKUP(A66,[4]REPUESTOS!$B:$FY,180,FALSE)</f>
        <v>Si</v>
      </c>
    </row>
    <row r="67" spans="1:10" x14ac:dyDescent="0.3">
      <c r="A67" s="10" t="s">
        <v>127</v>
      </c>
      <c r="B67" s="10" t="s">
        <v>126</v>
      </c>
      <c r="C67" s="17">
        <f>IFERROR(VLOOKUP(A67,[1]REPUESTOS!$A:$D,4,FALSE),"")</f>
        <v>26486</v>
      </c>
      <c r="D67" s="18">
        <f>IFERROR(VLOOKUP(A67,[2]REPUESTOS!$A:$R,18,FALSE),C67)</f>
        <v>24811.696944714968</v>
      </c>
      <c r="E67" s="19">
        <f t="shared" si="0"/>
        <v>-6.3214643784830937E-2</v>
      </c>
      <c r="F67" s="10" t="str">
        <f>VLOOKUP(A67,[3]data!$W:$Z,4,FALSE)</f>
        <v>Si</v>
      </c>
      <c r="G67" s="10" t="str">
        <f t="shared" si="1"/>
        <v>Bisagras centro puerta Mself</v>
      </c>
      <c r="H67" s="19">
        <f>IFERROR(VLOOKUP(A67,[2]REPUESTOS!$A:$S,19,FALSE),"SIN ANÁLISIS")</f>
        <v>-6.3205901828932681E-2</v>
      </c>
      <c r="I67" s="19">
        <f t="shared" si="2"/>
        <v>8.7419558982559931E-6</v>
      </c>
      <c r="J67" s="10" t="str">
        <f>VLOOKUP(A67,[4]REPUESTOS!$B:$FY,180,FALSE)</f>
        <v>Si</v>
      </c>
    </row>
    <row r="68" spans="1:10" x14ac:dyDescent="0.3">
      <c r="A68" s="10" t="s">
        <v>129</v>
      </c>
      <c r="B68" s="10" t="s">
        <v>128</v>
      </c>
      <c r="C68" s="17">
        <f>IFERROR(VLOOKUP(A68,[1]REPUESTOS!$A:$D,4,FALSE),"")</f>
        <v>72385</v>
      </c>
      <c r="D68" s="18">
        <f>IFERROR(VLOOKUP(A68,[2]REPUESTOS!$A:$R,18,FALSE),C68)</f>
        <v>41758.265955435512</v>
      </c>
      <c r="E68" s="19">
        <f t="shared" si="0"/>
        <v>-0.4231088491339986</v>
      </c>
      <c r="F68" s="10" t="str">
        <f>VLOOKUP(A68,[3]data!$W:$Z,4,FALSE)</f>
        <v>Si</v>
      </c>
      <c r="G68" s="10" t="str">
        <f t="shared" si="1"/>
        <v>Boquilla manguera soplado Twister&amp;Dry</v>
      </c>
      <c r="H68" s="19">
        <f>IFERROR(VLOOKUP(A68,[2]REPUESTOS!$A:$S,19,FALSE),"SIN ANÁLISIS")</f>
        <v>-0.42310979520043512</v>
      </c>
      <c r="I68" s="19">
        <f t="shared" si="2"/>
        <v>-9.4606643652461742E-7</v>
      </c>
      <c r="J68" s="10" t="str">
        <f>VLOOKUP(A68,[4]REPUESTOS!$B:$FY,180,FALSE)</f>
        <v>Si</v>
      </c>
    </row>
    <row r="69" spans="1:10" x14ac:dyDescent="0.3">
      <c r="A69" s="10" t="s">
        <v>131</v>
      </c>
      <c r="B69" s="10" t="s">
        <v>130</v>
      </c>
      <c r="C69" s="17">
        <f>IFERROR(VLOOKUP(A69,[1]REPUESTOS!$A:$D,4,FALSE),"")</f>
        <v>116649</v>
      </c>
      <c r="D69" s="18">
        <f>IFERROR(VLOOKUP(A69,[2]REPUESTOS!$A:$R,18,FALSE),C69)</f>
        <v>98234.135339047833</v>
      </c>
      <c r="E69" s="19">
        <f t="shared" si="0"/>
        <v>-0.15786560245653342</v>
      </c>
      <c r="F69" s="10" t="str">
        <f>VLOOKUP(A69,[3]data!$W:$Z,4,FALSE)</f>
        <v>Si</v>
      </c>
      <c r="G69" s="10" t="str">
        <f t="shared" si="1"/>
        <v>Manguera soplado Twister&amp;Dry</v>
      </c>
      <c r="H69" s="19">
        <f>IFERROR(VLOOKUP(A69,[2]REPUESTOS!$A:$S,19,FALSE),"SIN ANÁLISIS")</f>
        <v>-0.15786871027766064</v>
      </c>
      <c r="I69" s="19">
        <f t="shared" si="2"/>
        <v>-3.1078211272239642E-6</v>
      </c>
      <c r="J69" s="10" t="str">
        <f>VLOOKUP(A69,[4]REPUESTOS!$B:$FY,180,FALSE)</f>
        <v>Si</v>
      </c>
    </row>
    <row r="70" spans="1:10" x14ac:dyDescent="0.3">
      <c r="A70" s="10" t="s">
        <v>133</v>
      </c>
      <c r="B70" s="10" t="s">
        <v>132</v>
      </c>
      <c r="C70" s="17">
        <f>IFERROR(VLOOKUP(A70,[1]REPUESTOS!$A:$D,4,FALSE),"")</f>
        <v>238702</v>
      </c>
      <c r="D70" s="18">
        <f>IFERROR(VLOOKUP(A70,[2]REPUESTOS!$A:$R,18,FALSE),C70)</f>
        <v>223614.59815583829</v>
      </c>
      <c r="E70" s="19">
        <f t="shared" ref="E70:E133" si="6">IFERROR((D70-C70)/C70,0)</f>
        <v>-6.3206013540572384E-2</v>
      </c>
      <c r="F70" s="10" t="str">
        <f>VLOOKUP(A70,[3]data!$W:$Z,4,FALSE)</f>
        <v>Si</v>
      </c>
      <c r="G70" s="10" t="str">
        <f t="shared" ref="G70:G133" si="7">MID(B70,15,100)</f>
        <v>Filtro aspiradora tambor metálico</v>
      </c>
      <c r="H70" s="19">
        <f>IFERROR(VLOOKUP(A70,[2]REPUESTOS!$A:$S,19,FALSE),"SIN ANÁLISIS")</f>
        <v>-6.3205901828932751E-2</v>
      </c>
      <c r="I70" s="19">
        <f t="shared" ref="I70:I133" si="8">IFERROR(H70-E70,0)</f>
        <v>1.1171163963319408E-7</v>
      </c>
      <c r="J70" s="10" t="str">
        <f>VLOOKUP(A70,[4]REPUESTOS!$B:$FY,180,FALSE)</f>
        <v>Si</v>
      </c>
    </row>
    <row r="71" spans="1:10" x14ac:dyDescent="0.3">
      <c r="A71" s="10" t="s">
        <v>135</v>
      </c>
      <c r="B71" s="10" t="s">
        <v>134</v>
      </c>
      <c r="C71" s="17">
        <f>IFERROR(VLOOKUP(A71,[1]REPUESTOS!$A:$D,4,FALSE),"")</f>
        <v>73170</v>
      </c>
      <c r="D71" s="18">
        <f>IFERROR(VLOOKUP(A71,[2]REPUESTOS!$A:$R,18,FALSE),C71)</f>
        <v>68544.973408240869</v>
      </c>
      <c r="E71" s="19">
        <f t="shared" si="6"/>
        <v>-6.3209328847329938E-2</v>
      </c>
      <c r="F71" s="10" t="str">
        <f>VLOOKUP(A71,[3]data!$W:$Z,4,FALSE)</f>
        <v>Si</v>
      </c>
      <c r="G71" s="10" t="str">
        <f t="shared" si="7"/>
        <v>Cerradura aspiradora Twister &amp; Dry</v>
      </c>
      <c r="H71" s="19">
        <f>IFERROR(VLOOKUP(A71,[2]REPUESTOS!$A:$S,19,FALSE),"SIN ANÁLISIS")</f>
        <v>-6.3205901828932667E-2</v>
      </c>
      <c r="I71" s="19">
        <f t="shared" si="8"/>
        <v>3.4270183972701096E-6</v>
      </c>
      <c r="J71" s="10" t="str">
        <f>VLOOKUP(A71,[4]REPUESTOS!$B:$FY,180,FALSE)</f>
        <v>Si</v>
      </c>
    </row>
    <row r="72" spans="1:10" x14ac:dyDescent="0.3">
      <c r="A72" s="10" t="s">
        <v>137</v>
      </c>
      <c r="B72" s="10" t="s">
        <v>136</v>
      </c>
      <c r="C72" s="17">
        <f>IFERROR(VLOOKUP(A72,[1]REPUESTOS!$A:$D,4,FALSE),"")</f>
        <v>26486</v>
      </c>
      <c r="D72" s="18">
        <f>IFERROR(VLOOKUP(A72,[2]REPUESTOS!$A:$R,18,FALSE),C72)</f>
        <v>24811.696944714968</v>
      </c>
      <c r="E72" s="19">
        <f t="shared" si="6"/>
        <v>-6.3214643784830937E-2</v>
      </c>
      <c r="F72" s="10" t="str">
        <f>VLOOKUP(A72,[3]data!$W:$Z,4,FALSE)</f>
        <v>Si</v>
      </c>
      <c r="G72" s="10" t="str">
        <f t="shared" si="7"/>
        <v>Bisagras extremos puerta Mself</v>
      </c>
      <c r="H72" s="19">
        <f>IFERROR(VLOOKUP(A72,[2]REPUESTOS!$A:$S,19,FALSE),"SIN ANÁLISIS")</f>
        <v>-6.3205901828932681E-2</v>
      </c>
      <c r="I72" s="19">
        <f t="shared" si="8"/>
        <v>8.7419558982559931E-6</v>
      </c>
      <c r="J72" s="10" t="str">
        <f>VLOOKUP(A72,[4]REPUESTOS!$B:$FY,180,FALSE)</f>
        <v>Si</v>
      </c>
    </row>
    <row r="73" spans="1:10" x14ac:dyDescent="0.3">
      <c r="A73" s="10" t="s">
        <v>139</v>
      </c>
      <c r="B73" s="10" t="s">
        <v>138</v>
      </c>
      <c r="C73" s="17">
        <f>IFERROR(VLOOKUP(A73,[1]REPUESTOS!$A:$D,4,FALSE),"")</f>
        <v>3183</v>
      </c>
      <c r="D73" s="18">
        <f>IFERROR(VLOOKUP(A73,[2]REPUESTOS!$A:$R,18,FALSE),C73)</f>
        <v>2981.8595141608062</v>
      </c>
      <c r="E73" s="19">
        <f t="shared" si="6"/>
        <v>-6.3192109908637717E-2</v>
      </c>
      <c r="F73" s="10" t="str">
        <f>VLOOKUP(A73,[3]data!$W:$Z,4,FALSE)</f>
        <v>Si</v>
      </c>
      <c r="G73" s="10" t="str">
        <f t="shared" si="7"/>
        <v>Adaptador parada de emergencia 09.01.915</v>
      </c>
      <c r="H73" s="19">
        <f>IFERROR(VLOOKUP(A73,[2]REPUESTOS!$A:$S,19,FALSE),"SIN ANÁLISIS")</f>
        <v>-6.3205901828932681E-2</v>
      </c>
      <c r="I73" s="19">
        <f t="shared" si="8"/>
        <v>-1.3791920294964344E-5</v>
      </c>
      <c r="J73" s="10" t="str">
        <f>VLOOKUP(A73,[4]REPUESTOS!$B:$FY,180,FALSE)</f>
        <v>Si</v>
      </c>
    </row>
    <row r="74" spans="1:10" x14ac:dyDescent="0.3">
      <c r="A74" s="10" t="s">
        <v>141</v>
      </c>
      <c r="B74" s="10" t="s">
        <v>140</v>
      </c>
      <c r="C74" s="17">
        <f>IFERROR(VLOOKUP(A74,[1]REPUESTOS!$A:$D,4,FALSE),"")</f>
        <v>6507</v>
      </c>
      <c r="D74" s="18">
        <f>IFERROR(VLOOKUP(A74,[2]REPUESTOS!$A:$R,18,FALSE),C74)</f>
        <v>6096.0029894234758</v>
      </c>
      <c r="E74" s="19">
        <f t="shared" si="6"/>
        <v>-6.3162288393503033E-2</v>
      </c>
      <c r="F74" s="10" t="str">
        <f>VLOOKUP(A74,[3]data!$W:$Z,4,FALSE)</f>
        <v>Si</v>
      </c>
      <c r="G74" s="10" t="str">
        <f t="shared" si="7"/>
        <v>Contacto auxiliar NC para parada de emergencia</v>
      </c>
      <c r="H74" s="19">
        <f>IFERROR(VLOOKUP(A74,[2]REPUESTOS!$A:$S,19,FALSE),"SIN ANÁLISIS")</f>
        <v>-6.3205901828932778E-2</v>
      </c>
      <c r="I74" s="19">
        <f t="shared" si="8"/>
        <v>-4.3613435429745717E-5</v>
      </c>
      <c r="J74" s="10" t="str">
        <f>VLOOKUP(A74,[4]REPUESTOS!$B:$FY,180,FALSE)</f>
        <v>Si</v>
      </c>
    </row>
    <row r="75" spans="1:10" x14ac:dyDescent="0.3">
      <c r="A75" s="10" t="s">
        <v>143</v>
      </c>
      <c r="B75" s="10" t="s">
        <v>142</v>
      </c>
      <c r="C75" s="17">
        <f>IFERROR(VLOOKUP(A75,[1]REPUESTOS!$A:$D,4,FALSE),"")</f>
        <v>9962</v>
      </c>
      <c r="D75" s="18">
        <f>IFERROR(VLOOKUP(A75,[2]REPUESTOS!$A:$R,18,FALSE),C75)</f>
        <v>9332.4842632991458</v>
      </c>
      <c r="E75" s="19">
        <f t="shared" si="6"/>
        <v>-6.3191702138210612E-2</v>
      </c>
      <c r="F75" s="10" t="str">
        <f>VLOOKUP(A75,[3]data!$W:$Z,4,FALSE)</f>
        <v>Si</v>
      </c>
      <c r="G75" s="10" t="str">
        <f t="shared" si="7"/>
        <v>Parada de emergencia rasante</v>
      </c>
      <c r="H75" s="19">
        <f>IFERROR(VLOOKUP(A75,[2]REPUESTOS!$A:$S,19,FALSE),"SIN ANÁLISIS")</f>
        <v>-6.3205901828932765E-2</v>
      </c>
      <c r="I75" s="19">
        <f t="shared" si="8"/>
        <v>-1.4199690722152547E-5</v>
      </c>
      <c r="J75" s="10" t="str">
        <f>VLOOKUP(A75,[4]REPUESTOS!$B:$FY,180,FALSE)</f>
        <v>Si</v>
      </c>
    </row>
    <row r="76" spans="1:10" x14ac:dyDescent="0.3">
      <c r="A76" s="10" t="s">
        <v>145</v>
      </c>
      <c r="B76" s="10" t="s">
        <v>144</v>
      </c>
      <c r="C76" s="17">
        <f>IFERROR(VLOOKUP(A76,[1]REPUESTOS!$A:$D,4,FALSE),"")</f>
        <v>19609</v>
      </c>
      <c r="D76" s="18">
        <f>IFERROR(VLOOKUP(A76,[2]REPUESTOS!$A:$R,18,FALSE),C76)</f>
        <v>18369.567500679095</v>
      </c>
      <c r="E76" s="19">
        <f t="shared" si="6"/>
        <v>-6.320732823300039E-2</v>
      </c>
      <c r="F76" s="10" t="str">
        <f>VLOOKUP(A76,[3]data!$W:$Z,4,FALSE)</f>
        <v>Si</v>
      </c>
      <c r="G76" s="10" t="str">
        <f t="shared" si="7"/>
        <v>Indicador luminoso BLU tabla 21- pos 9</v>
      </c>
      <c r="H76" s="19">
        <f>IFERROR(VLOOKUP(A76,[2]REPUESTOS!$A:$S,19,FALSE),"SIN ANÁLISIS")</f>
        <v>-6.3205901828932778E-2</v>
      </c>
      <c r="I76" s="19">
        <f t="shared" si="8"/>
        <v>1.4264040676115197E-6</v>
      </c>
      <c r="J76" s="10" t="str">
        <f>VLOOKUP(A76,[4]REPUESTOS!$B:$FY,180,FALSE)</f>
        <v>Si</v>
      </c>
    </row>
    <row r="77" spans="1:10" x14ac:dyDescent="0.3">
      <c r="A77" s="10" t="s">
        <v>147</v>
      </c>
      <c r="B77" s="10" t="s">
        <v>146</v>
      </c>
      <c r="C77" s="17">
        <f>IFERROR(VLOOKUP(A77,[1]REPUESTOS!$A:$D,4,FALSE),"")</f>
        <v>280754</v>
      </c>
      <c r="D77" s="18">
        <f>IFERROR(VLOOKUP(A77,[2]REPUESTOS!$A:$R,18,FALSE),C77)</f>
        <v>263008.36392547371</v>
      </c>
      <c r="E77" s="19">
        <f t="shared" si="6"/>
        <v>-6.3207064100694182E-2</v>
      </c>
      <c r="F77" s="10" t="str">
        <f>VLOOKUP(A77,[3]data!$W:$Z,4,FALSE)</f>
        <v>Si</v>
      </c>
      <c r="G77" s="10" t="str">
        <f t="shared" si="7"/>
        <v>Sensor de nivel de 2 contactos</v>
      </c>
      <c r="H77" s="19">
        <f>IFERROR(VLOOKUP(A77,[2]REPUESTOS!$A:$S,19,FALSE),"SIN ANÁLISIS")</f>
        <v>-6.3205901828932681E-2</v>
      </c>
      <c r="I77" s="19">
        <f t="shared" si="8"/>
        <v>1.1622717615011879E-6</v>
      </c>
      <c r="J77" s="10" t="str">
        <f>VLOOKUP(A77,[4]REPUESTOS!$B:$FY,180,FALSE)</f>
        <v>Si</v>
      </c>
    </row>
    <row r="78" spans="1:10" x14ac:dyDescent="0.3">
      <c r="A78" s="10" t="s">
        <v>149</v>
      </c>
      <c r="B78" s="10" t="s">
        <v>148</v>
      </c>
      <c r="C78" s="17">
        <f>IFERROR(VLOOKUP(A78,[1]REPUESTOS!$A:$D,4,FALSE),"")</f>
        <v>303000</v>
      </c>
      <c r="D78" s="18">
        <f>IFERROR(VLOOKUP(A78,[2]REPUESTOS!$A:$R,18,FALSE),C78)</f>
        <v>283848.55818838615</v>
      </c>
      <c r="E78" s="19">
        <f t="shared" si="6"/>
        <v>-6.3206078586184336E-2</v>
      </c>
      <c r="F78" s="10" t="str">
        <f>VLOOKUP(A78,[3]data!$W:$Z,4,FALSE)</f>
        <v>Si</v>
      </c>
      <c r="G78" s="10" t="str">
        <f t="shared" si="7"/>
        <v>Placa electróncia  twister reforzada  (tambor metálico 2010-11-12-14)</v>
      </c>
      <c r="H78" s="19">
        <f>IFERROR(VLOOKUP(A78,[2]REPUESTOS!$A:$S,19,FALSE),"SIN ANÁLISIS")</f>
        <v>-6.3205901828932667E-2</v>
      </c>
      <c r="I78" s="19">
        <f t="shared" si="8"/>
        <v>1.7675725166865774E-7</v>
      </c>
      <c r="J78" s="10" t="str">
        <f>VLOOKUP(A78,[4]REPUESTOS!$B:$FY,180,FALSE)</f>
        <v>Si</v>
      </c>
    </row>
    <row r="79" spans="1:10" x14ac:dyDescent="0.3">
      <c r="A79" s="10" t="s">
        <v>151</v>
      </c>
      <c r="B79" s="10" t="s">
        <v>150</v>
      </c>
      <c r="C79" s="17">
        <f>IFERROR(VLOOKUP(A79,[1]REPUESTOS!$A:$D,4,FALSE),"")</f>
        <v>73104</v>
      </c>
      <c r="D79" s="18">
        <f>IFERROR(VLOOKUP(A79,[2]REPUESTOS!$A:$R,18,FALSE),C79)</f>
        <v>68483.307200809912</v>
      </c>
      <c r="E79" s="19">
        <f t="shared" si="6"/>
        <v>-6.3207113142784099E-2</v>
      </c>
      <c r="F79" s="10" t="str">
        <f>VLOOKUP(A79,[3]data!$W:$Z,4,FALSE)</f>
        <v>Si</v>
      </c>
      <c r="G79" s="10" t="str">
        <f t="shared" si="7"/>
        <v>Cepillo completo italiano</v>
      </c>
      <c r="H79" s="19">
        <f>IFERROR(VLOOKUP(A79,[2]REPUESTOS!$A:$S,19,FALSE),"SIN ANÁLISIS")</f>
        <v>-6.3205901828932778E-2</v>
      </c>
      <c r="I79" s="19">
        <f t="shared" si="8"/>
        <v>1.2113138513208943E-6</v>
      </c>
      <c r="J79" s="10" t="str">
        <f>VLOOKUP(A79,[4]REPUESTOS!$B:$FY,180,FALSE)</f>
        <v>Si</v>
      </c>
    </row>
    <row r="80" spans="1:10" x14ac:dyDescent="0.3">
      <c r="A80" s="10" t="s">
        <v>153</v>
      </c>
      <c r="B80" s="10" t="s">
        <v>152</v>
      </c>
      <c r="C80" s="17">
        <f>IFERROR(VLOOKUP(A80,[1]REPUESTOS!$A:$D,4,FALSE),"")</f>
        <v>312536</v>
      </c>
      <c r="D80" s="18">
        <f>IFERROR(VLOOKUP(A80,[2]REPUESTOS!$A:$R,18,FALSE),C80)</f>
        <v>292782.20133588195</v>
      </c>
      <c r="E80" s="19">
        <f t="shared" si="6"/>
        <v>-6.3204874523632631E-2</v>
      </c>
      <c r="F80" s="10" t="str">
        <f>VLOOKUP(A80,[3]data!$W:$Z,4,FALSE)</f>
        <v>Si</v>
      </c>
      <c r="G80" s="10" t="str">
        <f t="shared" si="7"/>
        <v>Placa de aspirado Twister&amp;Dry M2 (tambor plástico-2013)</v>
      </c>
      <c r="H80" s="19">
        <f>IFERROR(VLOOKUP(A80,[2]REPUESTOS!$A:$S,19,FALSE),"SIN ANÁLISIS")</f>
        <v>-6.3205901828932654E-2</v>
      </c>
      <c r="I80" s="19">
        <f t="shared" si="8"/>
        <v>-1.0273053000220411E-6</v>
      </c>
      <c r="J80" s="10" t="str">
        <f>VLOOKUP(A80,[4]REPUESTOS!$B:$FY,180,FALSE)</f>
        <v>Si</v>
      </c>
    </row>
    <row r="81" spans="1:10" x14ac:dyDescent="0.3">
      <c r="A81" s="10" t="s">
        <v>155</v>
      </c>
      <c r="B81" s="10" t="s">
        <v>154</v>
      </c>
      <c r="C81" s="17">
        <f>IFERROR(VLOOKUP(A81,[1]REPUESTOS!$A:$D,4,FALSE),"")</f>
        <v>1228958</v>
      </c>
      <c r="D81" s="18">
        <f>IFERROR(VLOOKUP(A81,[2]REPUESTOS!$A:$R,18,FALSE),C81)</f>
        <v>1151280.2434807548</v>
      </c>
      <c r="E81" s="19">
        <f t="shared" si="6"/>
        <v>-6.3206192985639231E-2</v>
      </c>
      <c r="F81" s="10" t="str">
        <f>VLOOKUP(A81,[3]data!$W:$Z,4,FALSE)</f>
        <v>Si</v>
      </c>
      <c r="G81" s="10" t="str">
        <f t="shared" si="7"/>
        <v>Plc S7-1200 cpu 1214C</v>
      </c>
      <c r="H81" s="19">
        <f>IFERROR(VLOOKUP(A81,[2]REPUESTOS!$A:$S,19,FALSE),"SIN ANÁLISIS")</f>
        <v>-6.320590182893282E-2</v>
      </c>
      <c r="I81" s="19">
        <f t="shared" si="8"/>
        <v>2.9115670641122193E-7</v>
      </c>
      <c r="J81" s="10" t="str">
        <f>VLOOKUP(A81,[4]REPUESTOS!$B:$FY,180,FALSE)</f>
        <v>Si</v>
      </c>
    </row>
    <row r="82" spans="1:10" x14ac:dyDescent="0.3">
      <c r="A82" s="10" t="s">
        <v>157</v>
      </c>
      <c r="B82" s="10" t="s">
        <v>156</v>
      </c>
      <c r="C82" s="17">
        <f>IFERROR(VLOOKUP(A82,[1]REPUESTOS!$A:$D,4,FALSE),"")</f>
        <v>103830</v>
      </c>
      <c r="D82" s="18">
        <f>IFERROR(VLOOKUP(A82,[2]REPUESTOS!$A:$R,18,FALSE),C82)</f>
        <v>97267.50144357633</v>
      </c>
      <c r="E82" s="19">
        <f t="shared" si="6"/>
        <v>-6.3204262317477319E-2</v>
      </c>
      <c r="F82" s="10" t="str">
        <f>VLOOKUP(A82,[3]data!$W:$Z,4,FALSE)</f>
        <v>Si</v>
      </c>
      <c r="G82" s="10" t="str">
        <f t="shared" si="7"/>
        <v>Transformador Twister M2</v>
      </c>
      <c r="H82" s="19">
        <f>IFERROR(VLOOKUP(A82,[2]REPUESTOS!$A:$S,19,FALSE),"SIN ANÁLISIS")</f>
        <v>-6.3205901828932709E-2</v>
      </c>
      <c r="I82" s="19">
        <f t="shared" si="8"/>
        <v>-1.6395114553896528E-6</v>
      </c>
      <c r="J82" s="10" t="str">
        <f>VLOOKUP(A82,[4]REPUESTOS!$B:$FY,180,FALSE)</f>
        <v>Si</v>
      </c>
    </row>
    <row r="83" spans="1:10" x14ac:dyDescent="0.3">
      <c r="A83" s="10" t="s">
        <v>159</v>
      </c>
      <c r="B83" s="10" t="s">
        <v>158</v>
      </c>
      <c r="C83" s="17">
        <f>IFERROR(VLOOKUP(A83,[1]REPUESTOS!$A:$D,4,FALSE),"")</f>
        <v>40711</v>
      </c>
      <c r="D83" s="18">
        <f>IFERROR(VLOOKUP(A83,[2]REPUESTOS!$A:$R,18,FALSE),C83)</f>
        <v>38137.565447292174</v>
      </c>
      <c r="E83" s="19">
        <f t="shared" si="6"/>
        <v>-6.3212265793221145E-2</v>
      </c>
      <c r="F83" s="10" t="str">
        <f>VLOOKUP(A83,[3]data!$W:$Z,4,FALSE)</f>
        <v>Si</v>
      </c>
      <c r="G83" s="10" t="str">
        <f t="shared" si="7"/>
        <v>Codo 45° para manguera de cepillo</v>
      </c>
      <c r="H83" s="19">
        <f>IFERROR(VLOOKUP(A83,[2]REPUESTOS!$A:$S,19,FALSE),"SIN ANÁLISIS")</f>
        <v>-6.3205901828932751E-2</v>
      </c>
      <c r="I83" s="19">
        <f t="shared" si="8"/>
        <v>6.3639642883944747E-6</v>
      </c>
      <c r="J83" s="10" t="str">
        <f>VLOOKUP(A83,[4]REPUESTOS!$B:$FY,180,FALSE)</f>
        <v>Si</v>
      </c>
    </row>
    <row r="84" spans="1:10" x14ac:dyDescent="0.3">
      <c r="A84" s="10" t="s">
        <v>161</v>
      </c>
      <c r="B84" s="10" t="s">
        <v>160</v>
      </c>
      <c r="C84" s="17">
        <f>IFERROR(VLOOKUP(A84,[1]REPUESTOS!$A:$D,4,FALSE),"")</f>
        <v>33113</v>
      </c>
      <c r="D84" s="18">
        <f>IFERROR(VLOOKUP(A84,[2]REPUESTOS!$A:$R,18,FALSE),C84)</f>
        <v>31020.091570262579</v>
      </c>
      <c r="E84" s="19">
        <f t="shared" si="6"/>
        <v>-6.3205038194588864E-2</v>
      </c>
      <c r="F84" s="10" t="str">
        <f>VLOOKUP(A84,[3]data!$W:$Z,4,FALSE)</f>
        <v>Si</v>
      </c>
      <c r="G84" s="10" t="str">
        <f t="shared" si="7"/>
        <v>Codo cepillo 90° inoxidable</v>
      </c>
      <c r="H84" s="19">
        <f>IFERROR(VLOOKUP(A84,[2]REPUESTOS!$A:$S,19,FALSE),"SIN ANÁLISIS")</f>
        <v>-6.3205901828932765E-2</v>
      </c>
      <c r="I84" s="19">
        <f t="shared" si="8"/>
        <v>-8.636343439005767E-7</v>
      </c>
      <c r="J84" s="10" t="str">
        <f>VLOOKUP(A84,[4]REPUESTOS!$B:$FY,180,FALSE)</f>
        <v>Si</v>
      </c>
    </row>
    <row r="85" spans="1:10" x14ac:dyDescent="0.3">
      <c r="A85" s="10" t="s">
        <v>163</v>
      </c>
      <c r="B85" s="10" t="s">
        <v>162</v>
      </c>
      <c r="C85" s="17">
        <f>IFERROR(VLOOKUP(A85,[1]REPUESTOS!$A:$D,4,FALSE),"")</f>
        <v>249744</v>
      </c>
      <c r="D85" s="18">
        <f>IFERROR(VLOOKUP(A85,[2]REPUESTOS!$A:$R,18,FALSE),C85)</f>
        <v>233958.6071442547</v>
      </c>
      <c r="E85" s="19">
        <f t="shared" si="6"/>
        <v>-6.3206294668721991E-2</v>
      </c>
      <c r="F85" s="10" t="str">
        <f>VLOOKUP(A85,[3]data!$W:$Z,4,FALSE)</f>
        <v>Si</v>
      </c>
      <c r="G85" s="10" t="str">
        <f t="shared" si="7"/>
        <v>Motor soplado twister tambor metálico</v>
      </c>
      <c r="H85" s="19">
        <f>IFERROR(VLOOKUP(A85,[2]REPUESTOS!$A:$S,19,FALSE),"SIN ANÁLISIS")</f>
        <v>-6.3205901828932751E-2</v>
      </c>
      <c r="I85" s="19">
        <f t="shared" si="8"/>
        <v>3.9283978923998486E-7</v>
      </c>
      <c r="J85" s="10" t="str">
        <f>VLOOKUP(A85,[4]REPUESTOS!$B:$FY,180,FALSE)</f>
        <v>Si</v>
      </c>
    </row>
    <row r="86" spans="1:10" x14ac:dyDescent="0.3">
      <c r="A86" s="10" t="s">
        <v>165</v>
      </c>
      <c r="B86" s="10" t="s">
        <v>164</v>
      </c>
      <c r="C86" s="17">
        <f>IFERROR(VLOOKUP(A86,[1]REPUESTOS!$A:$D,4,FALSE),"")</f>
        <v>28841</v>
      </c>
      <c r="D86" s="18">
        <f>IFERROR(VLOOKUP(A86,[2]REPUESTOS!$A:$R,18,FALSE),C86)</f>
        <v>27017.755784744539</v>
      </c>
      <c r="E86" s="19">
        <f t="shared" si="6"/>
        <v>-6.3217094249695266E-2</v>
      </c>
      <c r="F86" s="10" t="str">
        <f>VLOOKUP(A86,[3]data!$W:$Z,4,FALSE)</f>
        <v>Si</v>
      </c>
      <c r="G86" s="10" t="str">
        <f t="shared" si="7"/>
        <v>Mango goma asp S2 diam 38/60</v>
      </c>
      <c r="H86" s="19">
        <f>IFERROR(VLOOKUP(A86,[2]REPUESTOS!$A:$S,19,FALSE),"SIN ANÁLISIS")</f>
        <v>-6.3205901828932751E-2</v>
      </c>
      <c r="I86" s="19">
        <f t="shared" si="8"/>
        <v>1.1192420762515254E-5</v>
      </c>
      <c r="J86" s="10" t="str">
        <f>VLOOKUP(A86,[4]REPUESTOS!$B:$FY,180,FALSE)</f>
        <v>Si</v>
      </c>
    </row>
    <row r="87" spans="1:10" x14ac:dyDescent="0.3">
      <c r="A87" s="10" t="s">
        <v>167</v>
      </c>
      <c r="B87" s="10" t="s">
        <v>166</v>
      </c>
      <c r="C87" s="17">
        <f>IFERROR(VLOOKUP(A87,[1]REPUESTOS!$A:$D,4,FALSE),"")</f>
        <v>12088</v>
      </c>
      <c r="D87" s="18">
        <f>IFERROR(VLOOKUP(A87,[2]REPUESTOS!$A:$R,18,FALSE),C87)</f>
        <v>11323.705993569303</v>
      </c>
      <c r="E87" s="19">
        <f t="shared" si="6"/>
        <v>-6.3227498877456711E-2</v>
      </c>
      <c r="F87" s="10" t="str">
        <f>VLOOKUP(A87,[3]data!$W:$Z,4,FALSE)</f>
        <v>Si</v>
      </c>
      <c r="G87" s="10" t="str">
        <f t="shared" si="7"/>
        <v>Guarnición tubo aspirado y soplado TW S2</v>
      </c>
      <c r="H87" s="19">
        <f>IFERROR(VLOOKUP(A87,[2]REPUESTOS!$A:$S,19,FALSE),"SIN ANÁLISIS")</f>
        <v>-6.3205901828932765E-2</v>
      </c>
      <c r="I87" s="19">
        <f t="shared" si="8"/>
        <v>2.1597048523946949E-5</v>
      </c>
      <c r="J87" s="10" t="str">
        <f>VLOOKUP(A87,[4]REPUESTOS!$B:$FY,180,FALSE)</f>
        <v>Si</v>
      </c>
    </row>
    <row r="88" spans="1:10" x14ac:dyDescent="0.3">
      <c r="A88" s="10" t="s">
        <v>169</v>
      </c>
      <c r="B88" s="10" t="s">
        <v>168</v>
      </c>
      <c r="C88" s="17">
        <f>IFERROR(VLOOKUP(A88,[1]REPUESTOS!$A:$D,4,FALSE),"")</f>
        <v>108059</v>
      </c>
      <c r="D88" s="18">
        <f>IFERROR(VLOOKUP(A88,[2]REPUESTOS!$A:$R,18,FALSE),C88)</f>
        <v>101229.05796289005</v>
      </c>
      <c r="E88" s="19">
        <f t="shared" si="6"/>
        <v>-6.3205675021145435E-2</v>
      </c>
      <c r="F88" s="10" t="str">
        <f>VLOOKUP(A88,[3]data!$W:$Z,4,FALSE)</f>
        <v>Si</v>
      </c>
      <c r="G88" s="10" t="str">
        <f t="shared" si="7"/>
        <v>Manguera negra 9m 1/4</v>
      </c>
      <c r="H88" s="19">
        <f>IFERROR(VLOOKUP(A88,[2]REPUESTOS!$A:$S,19,FALSE),"SIN ANÁLISIS")</f>
        <v>-6.3205901828932737E-2</v>
      </c>
      <c r="I88" s="19">
        <f t="shared" si="8"/>
        <v>-2.2680778730133078E-7</v>
      </c>
      <c r="J88" s="10" t="str">
        <f>VLOOKUP(A88,[4]REPUESTOS!$B:$FY,180,FALSE)</f>
        <v>Si</v>
      </c>
    </row>
    <row r="89" spans="1:10" x14ac:dyDescent="0.3">
      <c r="A89" s="10" t="s">
        <v>171</v>
      </c>
      <c r="B89" s="10" t="s">
        <v>170</v>
      </c>
      <c r="C89" s="17">
        <f>IFERROR(VLOOKUP(A89,[1]REPUESTOS!$A:$D,4,FALSE),"")</f>
        <v>381</v>
      </c>
      <c r="D89" s="18">
        <f>IFERROR(VLOOKUP(A89,[2]REPUESTOS!$A:$R,18,FALSE),C89)</f>
        <v>357.06723335014323</v>
      </c>
      <c r="E89" s="19">
        <f t="shared" si="6"/>
        <v>-6.2815660498311748E-2</v>
      </c>
      <c r="F89" s="10" t="str">
        <f>VLOOKUP(A89,[3]data!$W:$Z,4,FALSE)</f>
        <v>Si</v>
      </c>
      <c r="G89" s="10" t="str">
        <f t="shared" si="7"/>
        <v>Fusible rápido 5x20 2A</v>
      </c>
      <c r="H89" s="19">
        <f>IFERROR(VLOOKUP(A89,[2]REPUESTOS!$A:$S,19,FALSE),"SIN ANÁLISIS")</f>
        <v>-6.3205901828932806E-2</v>
      </c>
      <c r="I89" s="19">
        <f t="shared" si="8"/>
        <v>-3.9024133062105781E-4</v>
      </c>
      <c r="J89" s="10" t="str">
        <f>VLOOKUP(A89,[4]REPUESTOS!$B:$FY,180,FALSE)</f>
        <v>Si</v>
      </c>
    </row>
    <row r="90" spans="1:10" x14ac:dyDescent="0.3">
      <c r="A90" s="10" t="s">
        <v>173</v>
      </c>
      <c r="B90" s="10" t="s">
        <v>172</v>
      </c>
      <c r="C90" s="17">
        <f>IFERROR(VLOOKUP(A90,[1]REPUESTOS!$A:$D,4,FALSE),"")</f>
        <v>42443</v>
      </c>
      <c r="D90" s="18">
        <f>IFERROR(VLOOKUP(A90,[2]REPUESTOS!$A:$R,18,FALSE),C90)</f>
        <v>39760.779165474443</v>
      </c>
      <c r="E90" s="19">
        <f t="shared" si="6"/>
        <v>-6.319583522667005E-2</v>
      </c>
      <c r="F90" s="10" t="str">
        <f>VLOOKUP(A90,[3]data!$W:$Z,4,FALSE)</f>
        <v>Si</v>
      </c>
      <c r="G90" s="10" t="str">
        <f t="shared" si="7"/>
        <v>Contador 24V 55x55mm (horometro)</v>
      </c>
      <c r="H90" s="19">
        <f>IFERROR(VLOOKUP(A90,[2]REPUESTOS!$A:$S,19,FALSE),"SIN ANÁLISIS")</f>
        <v>-6.3205901828932751E-2</v>
      </c>
      <c r="I90" s="19">
        <f t="shared" si="8"/>
        <v>-1.0066602262701063E-5</v>
      </c>
      <c r="J90" s="10" t="str">
        <f>VLOOKUP(A90,[4]REPUESTOS!$B:$FY,180,FALSE)</f>
        <v>Si</v>
      </c>
    </row>
    <row r="91" spans="1:10" x14ac:dyDescent="0.3">
      <c r="A91" s="10" t="s">
        <v>175</v>
      </c>
      <c r="B91" s="10" t="s">
        <v>174</v>
      </c>
      <c r="C91" s="17">
        <f>IFERROR(VLOOKUP(A91,[1]REPUESTOS!$A:$D,4,FALSE),"")</f>
        <v>161304</v>
      </c>
      <c r="D91" s="18">
        <f>IFERROR(VLOOKUP(A91,[2]REPUESTOS!$A:$R,18,FALSE),C91)</f>
        <v>151109.0628445326</v>
      </c>
      <c r="E91" s="19">
        <f t="shared" si="6"/>
        <v>-6.3203250728236127E-2</v>
      </c>
      <c r="F91" s="10" t="str">
        <f>VLOOKUP(A91,[3]data!$W:$Z,4,FALSE)</f>
        <v>Si</v>
      </c>
      <c r="G91" s="10" t="str">
        <f t="shared" si="7"/>
        <v>Presóstato osmosis KP1</v>
      </c>
      <c r="H91" s="19">
        <f>IFERROR(VLOOKUP(A91,[2]REPUESTOS!$A:$S,19,FALSE),"SIN ANÁLISIS")</f>
        <v>-6.3205901828932778E-2</v>
      </c>
      <c r="I91" s="19">
        <f t="shared" si="8"/>
        <v>-2.6511006966517536E-6</v>
      </c>
      <c r="J91" s="10" t="str">
        <f>VLOOKUP(A91,[4]REPUESTOS!$B:$FY,180,FALSE)</f>
        <v>Si</v>
      </c>
    </row>
    <row r="92" spans="1:10" x14ac:dyDescent="0.3">
      <c r="A92" s="10" t="s">
        <v>177</v>
      </c>
      <c r="B92" s="10" t="s">
        <v>176</v>
      </c>
      <c r="C92" s="17">
        <f>IFERROR(VLOOKUP(A92,[1]REPUESTOS!$A:$D,4,FALSE),"")</f>
        <v>120507</v>
      </c>
      <c r="D92" s="18">
        <f>IFERROR(VLOOKUP(A92,[2]REPUESTOS!$A:$R,18,FALSE),C92)</f>
        <v>112889.93886483177</v>
      </c>
      <c r="E92" s="19">
        <f t="shared" si="6"/>
        <v>-6.3208453742672463E-2</v>
      </c>
      <c r="F92" s="10" t="str">
        <f>VLOOKUP(A92,[3]data!$W:$Z,4,FALSE)</f>
        <v>Si</v>
      </c>
      <c r="G92" s="10" t="str">
        <f t="shared" si="7"/>
        <v>Válvula pulsar</v>
      </c>
      <c r="H92" s="19">
        <f>IFERROR(VLOOKUP(A92,[2]REPUESTOS!$A:$S,19,FALSE),"SIN ANÁLISIS")</f>
        <v>-6.3205901828932778E-2</v>
      </c>
      <c r="I92" s="19">
        <f t="shared" si="8"/>
        <v>2.5519137396845526E-6</v>
      </c>
      <c r="J92" s="10" t="str">
        <f>VLOOKUP(A92,[4]REPUESTOS!$B:$FY,180,FALSE)</f>
        <v>Si</v>
      </c>
    </row>
    <row r="93" spans="1:10" x14ac:dyDescent="0.3">
      <c r="A93" s="10" t="s">
        <v>179</v>
      </c>
      <c r="B93" s="10" t="s">
        <v>178</v>
      </c>
      <c r="C93" s="17">
        <f>IFERROR(VLOOKUP(A93,[1]REPUESTOS!$A:$D,4,FALSE),"")</f>
        <v>34083</v>
      </c>
      <c r="D93" s="18">
        <f>IFERROR(VLOOKUP(A93,[2]REPUESTOS!$A:$R,18,FALSE),C93)</f>
        <v>31929.170821744556</v>
      </c>
      <c r="E93" s="19">
        <f t="shared" si="6"/>
        <v>-6.3193650155662473E-2</v>
      </c>
      <c r="F93" s="10" t="str">
        <f>VLOOKUP(A93,[3]data!$W:$Z,4,FALSE)</f>
        <v>Si</v>
      </c>
      <c r="G93" s="10" t="str">
        <f t="shared" si="7"/>
        <v>Manguera conexión CAT</v>
      </c>
      <c r="H93" s="19">
        <f>IFERROR(VLOOKUP(A93,[2]REPUESTOS!$A:$S,19,FALSE),"SIN ANÁLISIS")</f>
        <v>-6.3205901828932792E-2</v>
      </c>
      <c r="I93" s="19">
        <f t="shared" si="8"/>
        <v>-1.2251673270319285E-5</v>
      </c>
      <c r="J93" s="10" t="str">
        <f>VLOOKUP(A93,[4]REPUESTOS!$B:$FY,180,FALSE)</f>
        <v>Si</v>
      </c>
    </row>
    <row r="94" spans="1:10" x14ac:dyDescent="0.3">
      <c r="A94" s="10" t="s">
        <v>181</v>
      </c>
      <c r="B94" s="10" t="s">
        <v>180</v>
      </c>
      <c r="C94" s="17">
        <f>IFERROR(VLOOKUP(A94,[1]REPUESTOS!$A:$D,4,FALSE),"")</f>
        <v>4502</v>
      </c>
      <c r="D94" s="18">
        <f>IFERROR(VLOOKUP(A94,[2]REPUESTOS!$A:$R,18,FALSE),C94)</f>
        <v>4217.1728952774574</v>
      </c>
      <c r="E94" s="19">
        <f t="shared" si="6"/>
        <v>-6.3266793585638068E-2</v>
      </c>
      <c r="F94" s="10" t="str">
        <f>VLOOKUP(A94,[3]data!$W:$Z,4,FALSE)</f>
        <v>Si</v>
      </c>
      <c r="G94" s="10" t="str">
        <f t="shared" si="7"/>
        <v>Perno distribución racco 1/2</v>
      </c>
      <c r="H94" s="19">
        <f>IFERROR(VLOOKUP(A94,[2]REPUESTOS!$A:$S,19,FALSE),"SIN ANÁLISIS")</f>
        <v>-6.320590182893282E-2</v>
      </c>
      <c r="I94" s="19">
        <f t="shared" si="8"/>
        <v>6.0891756705247491E-5</v>
      </c>
      <c r="J94" s="10" t="str">
        <f>VLOOKUP(A94,[4]REPUESTOS!$B:$FY,180,FALSE)</f>
        <v>Si</v>
      </c>
    </row>
    <row r="95" spans="1:10" x14ac:dyDescent="0.3">
      <c r="A95" s="10" t="s">
        <v>183</v>
      </c>
      <c r="B95" s="10" t="s">
        <v>182</v>
      </c>
      <c r="C95" s="17">
        <f>IFERROR(VLOOKUP(A95,[1]REPUESTOS!$A:$D,4,FALSE),"")</f>
        <v>154470</v>
      </c>
      <c r="D95" s="18">
        <f>IFERROR(VLOOKUP(A95,[2]REPUESTOS!$A:$R,18,FALSE),C95)</f>
        <v>144706.71805045218</v>
      </c>
      <c r="E95" s="19">
        <f t="shared" si="6"/>
        <v>-6.3205036250066793E-2</v>
      </c>
      <c r="F95" s="10" t="str">
        <f>VLOOKUP(A95,[3]data!$W:$Z,4,FALSE)</f>
        <v>Si</v>
      </c>
      <c r="G95" s="10" t="str">
        <f t="shared" si="7"/>
        <v>Junta giratoria centro 3/8</v>
      </c>
      <c r="H95" s="19">
        <f>IFERROR(VLOOKUP(A95,[2]REPUESTOS!$A:$S,19,FALSE),"SIN ANÁLISIS")</f>
        <v>-6.3205901828932709E-2</v>
      </c>
      <c r="I95" s="19">
        <f t="shared" si="8"/>
        <v>-8.6557886591620559E-7</v>
      </c>
      <c r="J95" s="10" t="str">
        <f>VLOOKUP(A95,[4]REPUESTOS!$B:$FY,180,FALSE)</f>
        <v>Si</v>
      </c>
    </row>
    <row r="96" spans="1:10" x14ac:dyDescent="0.3">
      <c r="A96" s="10" t="s">
        <v>185</v>
      </c>
      <c r="B96" s="10" t="s">
        <v>184</v>
      </c>
      <c r="C96" s="17">
        <f>IFERROR(VLOOKUP(A96,[1]REPUESTOS!$A:$D,4,FALSE),"")</f>
        <v>164422</v>
      </c>
      <c r="D96" s="18">
        <f>IFERROR(VLOOKUP(A96,[2]REPUESTOS!$A:$R,18,FALSE),C96)</f>
        <v>154029.25615126247</v>
      </c>
      <c r="E96" s="19">
        <f t="shared" si="6"/>
        <v>-6.3207745002113666E-2</v>
      </c>
      <c r="F96" s="10" t="str">
        <f>VLOOKUP(A96,[3]data!$W:$Z,4,FALSE)</f>
        <v>Si</v>
      </c>
      <c r="G96" s="10" t="str">
        <f t="shared" si="7"/>
        <v>Junta giratoria extremo 3/8</v>
      </c>
      <c r="H96" s="19">
        <f>IFERROR(VLOOKUP(A96,[2]REPUESTOS!$A:$S,19,FALSE),"SIN ANÁLISIS")</f>
        <v>-6.3205901828932681E-2</v>
      </c>
      <c r="I96" s="19">
        <f t="shared" si="8"/>
        <v>1.843173180984814E-6</v>
      </c>
      <c r="J96" s="10" t="str">
        <f>VLOOKUP(A96,[4]REPUESTOS!$B:$FY,180,FALSE)</f>
        <v>Si</v>
      </c>
    </row>
    <row r="97" spans="1:10" x14ac:dyDescent="0.3">
      <c r="A97" s="10" t="s">
        <v>187</v>
      </c>
      <c r="B97" s="10" t="s">
        <v>186</v>
      </c>
      <c r="C97" s="17">
        <f>IFERROR(VLOOKUP(A97,[1]REPUESTOS!$A:$D,4,FALSE),"")</f>
        <v>3183</v>
      </c>
      <c r="D97" s="18">
        <f>IFERROR(VLOOKUP(A97,[2]REPUESTOS!$A:$R,18,FALSE),C97)</f>
        <v>4123</v>
      </c>
      <c r="E97" s="19">
        <f t="shared" si="6"/>
        <v>0.29531888155827835</v>
      </c>
      <c r="F97" s="10" t="str">
        <f>VLOOKUP(A97,[3]data!$W:$Z,4,FALSE)</f>
        <v>Si</v>
      </c>
      <c r="G97" s="10" t="str">
        <f t="shared" si="7"/>
        <v>Boquilla plana aspiradora</v>
      </c>
      <c r="H97" s="19">
        <f>IFERROR(VLOOKUP(A97,[2]REPUESTOS!$A:$S,19,FALSE),"SIN ANÁLISIS")</f>
        <v>0.29529981154941104</v>
      </c>
      <c r="I97" s="19">
        <f t="shared" si="8"/>
        <v>-1.9070008867305699E-5</v>
      </c>
      <c r="J97" s="10" t="str">
        <f>VLOOKUP(A97,[4]REPUESTOS!$B:$FY,180,FALSE)</f>
        <v>Si</v>
      </c>
    </row>
    <row r="98" spans="1:10" x14ac:dyDescent="0.3">
      <c r="A98" s="10" t="s">
        <v>189</v>
      </c>
      <c r="B98" s="10" t="s">
        <v>188</v>
      </c>
      <c r="C98" s="17">
        <f>IFERROR(VLOOKUP(A98,[1]REPUESTOS!$A:$D,4,FALSE),"")</f>
        <v>44307</v>
      </c>
      <c r="D98" s="18">
        <f>IFERROR(VLOOKUP(A98,[2]REPUESTOS!$A:$R,18,FALSE),C98)</f>
        <v>41506.330682269712</v>
      </c>
      <c r="E98" s="19">
        <f t="shared" si="6"/>
        <v>-6.3210538238433825E-2</v>
      </c>
      <c r="F98" s="10" t="str">
        <f>VLOOKUP(A98,[3]data!$W:$Z,4,FALSE)</f>
        <v>Si</v>
      </c>
      <c r="G98" s="10" t="str">
        <f t="shared" si="7"/>
        <v>Válv retencion 1/4 inoxidable conexión viton</v>
      </c>
      <c r="H98" s="19">
        <f>IFERROR(VLOOKUP(A98,[2]REPUESTOS!$A:$S,19,FALSE),"SIN ANÁLISIS")</f>
        <v>-6.3205901828932709E-2</v>
      </c>
      <c r="I98" s="19">
        <f t="shared" si="8"/>
        <v>4.636409501115879E-6</v>
      </c>
      <c r="J98" s="10" t="str">
        <f>VLOOKUP(A98,[4]REPUESTOS!$B:$FY,180,FALSE)</f>
        <v>Si</v>
      </c>
    </row>
    <row r="99" spans="1:10" x14ac:dyDescent="0.3">
      <c r="A99" s="10" t="s">
        <v>191</v>
      </c>
      <c r="B99" s="10" t="s">
        <v>190</v>
      </c>
      <c r="C99" s="17">
        <f>IFERROR(VLOOKUP(A99,[1]REPUESTOS!$A:$D,4,FALSE),"")</f>
        <v>18802</v>
      </c>
      <c r="D99" s="18">
        <f>IFERROR(VLOOKUP(A99,[2]REPUESTOS!$A:$R,18,FALSE),C99)</f>
        <v>17613.659151525586</v>
      </c>
      <c r="E99" s="19">
        <f t="shared" si="6"/>
        <v>-6.3202895887374433E-2</v>
      </c>
      <c r="F99" s="10" t="str">
        <f>VLOOKUP(A99,[3]data!$W:$Z,4,FALSE)</f>
        <v>Si</v>
      </c>
      <c r="G99" s="10" t="str">
        <f t="shared" si="7"/>
        <v>Válvula europa bronce 1/2</v>
      </c>
      <c r="H99" s="19">
        <f>IFERROR(VLOOKUP(A99,[2]REPUESTOS!$A:$S,19,FALSE),"SIN ANÁLISIS")</f>
        <v>-6.3205901828932806E-2</v>
      </c>
      <c r="I99" s="19">
        <f t="shared" si="8"/>
        <v>-3.005941558373304E-6</v>
      </c>
      <c r="J99" s="10" t="str">
        <f>VLOOKUP(A99,[4]REPUESTOS!$B:$FY,180,FALSE)</f>
        <v>Si</v>
      </c>
    </row>
    <row r="100" spans="1:10" x14ac:dyDescent="0.3">
      <c r="A100" s="10" t="s">
        <v>193</v>
      </c>
      <c r="B100" s="10" t="s">
        <v>192</v>
      </c>
      <c r="C100" s="17">
        <f>IFERROR(VLOOKUP(A100,[1]REPUESTOS!$A:$D,4,FALSE),"")</f>
        <v>3335</v>
      </c>
      <c r="D100" s="18">
        <f>IFERROR(VLOOKUP(A100,[2]REPUESTOS!$A:$R,18,FALSE),C100)</f>
        <v>3124.0896377515319</v>
      </c>
      <c r="E100" s="19">
        <f t="shared" si="6"/>
        <v>-6.3241487930575144E-2</v>
      </c>
      <c r="F100" s="10" t="str">
        <f>VLOOKUP(A100,[3]data!$W:$Z,4,FALSE)</f>
        <v>Si</v>
      </c>
      <c r="G100" s="10" t="str">
        <f t="shared" si="7"/>
        <v>reducción 1/2\-1/4\, inox uso cepillo USA</v>
      </c>
      <c r="H100" s="19">
        <f>IFERROR(VLOOKUP(A100,[2]REPUESTOS!$A:$S,19,FALSE),"SIN ANÁLISIS")</f>
        <v>-6.3205901828932681E-2</v>
      </c>
      <c r="I100" s="19">
        <f t="shared" si="8"/>
        <v>3.5586101642462453E-5</v>
      </c>
      <c r="J100" s="10" t="str">
        <f>VLOOKUP(A100,[4]REPUESTOS!$B:$FY,180,FALSE)</f>
        <v>Si</v>
      </c>
    </row>
    <row r="101" spans="1:10" x14ac:dyDescent="0.3">
      <c r="A101" s="10" t="s">
        <v>195</v>
      </c>
      <c r="B101" s="10" t="s">
        <v>194</v>
      </c>
      <c r="C101" s="17">
        <f>IFERROR(VLOOKUP(A101,[1]REPUESTOS!$A:$D,4,FALSE),"")</f>
        <v>9145</v>
      </c>
      <c r="D101" s="18">
        <f>IFERROR(VLOOKUP(A101,[2]REPUESTOS!$A:$R,18,FALSE),C101)</f>
        <v>8566.6297516567774</v>
      </c>
      <c r="E101" s="19">
        <f t="shared" si="6"/>
        <v>-6.3244423000899136E-2</v>
      </c>
      <c r="F101" s="10" t="str">
        <f>VLOOKUP(A101,[3]data!$W:$Z,4,FALSE)</f>
        <v>Si</v>
      </c>
      <c r="G101" s="10" t="str">
        <f t="shared" si="7"/>
        <v>Perno distribución racco 3/8</v>
      </c>
      <c r="H101" s="19">
        <f>IFERROR(VLOOKUP(A101,[2]REPUESTOS!$A:$S,19,FALSE),"SIN ANÁLISIS")</f>
        <v>-6.3205901828932792E-2</v>
      </c>
      <c r="I101" s="19">
        <f t="shared" si="8"/>
        <v>3.8521171966343637E-5</v>
      </c>
      <c r="J101" s="10" t="str">
        <f>VLOOKUP(A101,[4]REPUESTOS!$B:$FY,180,FALSE)</f>
        <v>Si</v>
      </c>
    </row>
    <row r="102" spans="1:10" x14ac:dyDescent="0.3">
      <c r="A102" s="10" t="s">
        <v>197</v>
      </c>
      <c r="B102" s="10" t="s">
        <v>196</v>
      </c>
      <c r="C102" s="17">
        <f>IFERROR(VLOOKUP(A102,[1]REPUESTOS!$A:$D,4,FALSE),"")</f>
        <v>4806</v>
      </c>
      <c r="D102" s="18">
        <f>IFERROR(VLOOKUP(A102,[2]REPUESTOS!$A:$R,18,FALSE),C102)</f>
        <v>4502.6277587077948</v>
      </c>
      <c r="E102" s="19">
        <f t="shared" si="6"/>
        <v>-6.312364571206934E-2</v>
      </c>
      <c r="F102" s="10" t="str">
        <f>VLOOKUP(A102,[3]data!$W:$Z,4,FALSE)</f>
        <v>Si</v>
      </c>
      <c r="G102" s="10" t="str">
        <f t="shared" si="7"/>
        <v>Perno conector 3/8 CAT</v>
      </c>
      <c r="H102" s="19">
        <f>IFERROR(VLOOKUP(A102,[2]REPUESTOS!$A:$S,19,FALSE),"SIN ANÁLISIS")</f>
        <v>-6.3205901828932848E-2</v>
      </c>
      <c r="I102" s="19">
        <f t="shared" si="8"/>
        <v>-8.2256116863507756E-5</v>
      </c>
      <c r="J102" s="10" t="str">
        <f>VLOOKUP(A102,[4]REPUESTOS!$B:$FY,180,FALSE)</f>
        <v>Si</v>
      </c>
    </row>
    <row r="103" spans="1:10" x14ac:dyDescent="0.3">
      <c r="A103" s="10" t="s">
        <v>199</v>
      </c>
      <c r="B103" s="10" t="s">
        <v>198</v>
      </c>
      <c r="C103" s="17">
        <f>IFERROR(VLOOKUP(A103,[1]REPUESTOS!$A:$D,4,FALSE),"")</f>
        <v>7886</v>
      </c>
      <c r="D103" s="18">
        <f>IFERROR(VLOOKUP(A103,[2]REPUESTOS!$A:$R,18,FALSE),C103)</f>
        <v>7388.0094967266396</v>
      </c>
      <c r="E103" s="19">
        <f t="shared" si="6"/>
        <v>-6.314868162228765E-2</v>
      </c>
      <c r="F103" s="10" t="str">
        <f>VLOOKUP(A103,[3]data!$W:$Z,4,FALSE)</f>
        <v>Si</v>
      </c>
      <c r="G103" s="10" t="str">
        <f t="shared" si="7"/>
        <v>Manguito giratorio FL 38M Asp</v>
      </c>
      <c r="H103" s="19">
        <f>IFERROR(VLOOKUP(A103,[2]REPUESTOS!$A:$S,19,FALSE),"SIN ANÁLISIS")</f>
        <v>-6.3205901828932751E-2</v>
      </c>
      <c r="I103" s="19">
        <f t="shared" si="8"/>
        <v>-5.7220206645100524E-5</v>
      </c>
      <c r="J103" s="10" t="str">
        <f>VLOOKUP(A103,[4]REPUESTOS!$B:$FY,180,FALSE)</f>
        <v>Si</v>
      </c>
    </row>
    <row r="104" spans="1:10" x14ac:dyDescent="0.3">
      <c r="A104" s="10" t="s">
        <v>201</v>
      </c>
      <c r="B104" s="10" t="s">
        <v>200</v>
      </c>
      <c r="C104" s="17">
        <f>IFERROR(VLOOKUP(A104,[1]REPUESTOS!$A:$D,4,FALSE),"")</f>
        <v>6050</v>
      </c>
      <c r="D104" s="18">
        <f>IFERROR(VLOOKUP(A104,[2]REPUESTOS!$A:$R,18,FALSE),C104)</f>
        <v>5667.3233861535264</v>
      </c>
      <c r="E104" s="19">
        <f t="shared" si="6"/>
        <v>-6.325233286718572E-2</v>
      </c>
      <c r="F104" s="10" t="str">
        <f>VLOOKUP(A104,[3]data!$W:$Z,4,FALSE)</f>
        <v>Si</v>
      </c>
      <c r="G104" s="10" t="str">
        <f t="shared" si="7"/>
        <v>Niple inox HEHE 1/2</v>
      </c>
      <c r="H104" s="19">
        <f>IFERROR(VLOOKUP(A104,[2]REPUESTOS!$A:$S,19,FALSE),"SIN ANÁLISIS")</f>
        <v>-6.3205901828932723E-2</v>
      </c>
      <c r="I104" s="19">
        <f t="shared" si="8"/>
        <v>4.6431038252997547E-5</v>
      </c>
      <c r="J104" s="10" t="str">
        <f>VLOOKUP(A104,[4]REPUESTOS!$B:$FY,180,FALSE)</f>
        <v>Si</v>
      </c>
    </row>
    <row r="105" spans="1:10" x14ac:dyDescent="0.3">
      <c r="A105" s="10" t="s">
        <v>203</v>
      </c>
      <c r="B105" s="10" t="s">
        <v>202</v>
      </c>
      <c r="C105" s="17">
        <f>IFERROR(VLOOKUP(A105,[1]REPUESTOS!$A:$D,4,FALSE),"")</f>
        <v>11597</v>
      </c>
      <c r="D105" s="18">
        <f>IFERROR(VLOOKUP(A105,[2]REPUESTOS!$A:$R,18,FALSE),C105)</f>
        <v>10864.193286583884</v>
      </c>
      <c r="E105" s="19">
        <f t="shared" si="6"/>
        <v>-6.3189334605166472E-2</v>
      </c>
      <c r="F105" s="10" t="str">
        <f>VLOOKUP(A105,[3]data!$W:$Z,4,FALSE)</f>
        <v>Si</v>
      </c>
      <c r="G105" s="10" t="str">
        <f t="shared" si="7"/>
        <v>Tee inox 1/2 HIHEHI central</v>
      </c>
      <c r="H105" s="19">
        <f>IFERROR(VLOOKUP(A105,[2]REPUESTOS!$A:$S,19,FALSE),"SIN ANÁLISIS")</f>
        <v>-6.3205901828932709E-2</v>
      </c>
      <c r="I105" s="19">
        <f t="shared" si="8"/>
        <v>-1.6567223766236761E-5</v>
      </c>
      <c r="J105" s="10" t="str">
        <f>VLOOKUP(A105,[4]REPUESTOS!$B:$FY,180,FALSE)</f>
        <v>Si</v>
      </c>
    </row>
    <row r="106" spans="1:10" x14ac:dyDescent="0.3">
      <c r="A106" s="10" t="s">
        <v>205</v>
      </c>
      <c r="B106" s="10" t="s">
        <v>204</v>
      </c>
      <c r="C106" s="17">
        <f>IFERROR(VLOOKUP(A106,[1]REPUESTOS!$A:$D,4,FALSE),"")</f>
        <v>4142</v>
      </c>
      <c r="D106" s="18">
        <f>IFERROR(VLOOKUP(A106,[2]REPUESTOS!$A:$R,18,FALSE),C106)</f>
        <v>3879.9979869050376</v>
      </c>
      <c r="E106" s="19">
        <f t="shared" si="6"/>
        <v>-6.3254952461362243E-2</v>
      </c>
      <c r="F106" s="10" t="str">
        <f>VLOOKUP(A106,[3]data!$W:$Z,4,FALSE)</f>
        <v>Si</v>
      </c>
      <c r="G106" s="10" t="str">
        <f t="shared" si="7"/>
        <v>Codo 1/4 * 6mm  inoxidable</v>
      </c>
      <c r="H106" s="19">
        <f>IFERROR(VLOOKUP(A106,[2]REPUESTOS!$A:$S,19,FALSE),"SIN ANÁLISIS")</f>
        <v>-6.3205901828932778E-2</v>
      </c>
      <c r="I106" s="19">
        <f t="shared" si="8"/>
        <v>4.9050632429464835E-5</v>
      </c>
      <c r="J106" s="10" t="str">
        <f>VLOOKUP(A106,[4]REPUESTOS!$B:$FY,180,FALSE)</f>
        <v>Si</v>
      </c>
    </row>
    <row r="107" spans="1:10" x14ac:dyDescent="0.3">
      <c r="A107" s="10" t="s">
        <v>207</v>
      </c>
      <c r="B107" s="10" t="s">
        <v>206</v>
      </c>
      <c r="C107" s="17">
        <f>IFERROR(VLOOKUP(A107,[1]REPUESTOS!$A:$D,4,FALSE),"")</f>
        <v>17281</v>
      </c>
      <c r="D107" s="18">
        <f>IFERROR(VLOOKUP(A107,[2]REPUESTOS!$A:$R,18,FALSE),C107)</f>
        <v>16188.374066871675</v>
      </c>
      <c r="E107" s="19">
        <f t="shared" si="6"/>
        <v>-6.3227008456010966E-2</v>
      </c>
      <c r="F107" s="10" t="str">
        <f>VLOOKUP(A107,[3]data!$W:$Z,4,FALSE)</f>
        <v>Si</v>
      </c>
      <c r="G107" s="10" t="str">
        <f t="shared" si="7"/>
        <v>Protector boquilla lanza</v>
      </c>
      <c r="H107" s="19">
        <f>IFERROR(VLOOKUP(A107,[2]REPUESTOS!$A:$S,19,FALSE),"SIN ANÁLISIS")</f>
        <v>-6.3205901828932723E-2</v>
      </c>
      <c r="I107" s="19">
        <f t="shared" si="8"/>
        <v>2.1106627078243401E-5</v>
      </c>
      <c r="J107" s="10" t="str">
        <f>VLOOKUP(A107,[4]REPUESTOS!$B:$FY,180,FALSE)</f>
        <v>Si</v>
      </c>
    </row>
    <row r="108" spans="1:10" x14ac:dyDescent="0.3">
      <c r="A108" s="10" t="s">
        <v>209</v>
      </c>
      <c r="B108" s="10" t="s">
        <v>208</v>
      </c>
      <c r="C108" s="17">
        <f>IFERROR(VLOOKUP(A108,[1]REPUESTOS!$A:$D,4,FALSE),"")</f>
        <v>8207</v>
      </c>
      <c r="D108" s="18">
        <f>IFERROR(VLOOKUP(A108,[2]REPUESTOS!$A:$R,18,FALSE),C108)</f>
        <v>7688.3836038902718</v>
      </c>
      <c r="E108" s="19">
        <f t="shared" si="6"/>
        <v>-6.319195761054322E-2</v>
      </c>
      <c r="F108" s="10" t="str">
        <f>VLOOKUP(A108,[3]data!$W:$Z,4,FALSE)</f>
        <v>Si</v>
      </c>
      <c r="G108" s="10" t="str">
        <f t="shared" si="7"/>
        <v>Boquilla lanza 1/8</v>
      </c>
      <c r="H108" s="19">
        <f>IFERROR(VLOOKUP(A108,[2]REPUESTOS!$A:$S,19,FALSE),"SIN ANÁLISIS")</f>
        <v>-6.3205901828932695E-2</v>
      </c>
      <c r="I108" s="19">
        <f t="shared" si="8"/>
        <v>-1.3944218389475016E-5</v>
      </c>
      <c r="J108" s="10" t="str">
        <f>VLOOKUP(A108,[4]REPUESTOS!$B:$FY,180,FALSE)</f>
        <v>Si</v>
      </c>
    </row>
    <row r="109" spans="1:10" x14ac:dyDescent="0.3">
      <c r="A109" s="10" t="s">
        <v>211</v>
      </c>
      <c r="B109" s="10" t="s">
        <v>210</v>
      </c>
      <c r="C109" s="17">
        <f>IFERROR(VLOOKUP(A109,[1]REPUESTOS!$A:$D,4,FALSE),"")</f>
        <v>24313</v>
      </c>
      <c r="D109" s="18">
        <f>IFERROR(VLOOKUP(A109,[2]REPUESTOS!$A:$R,18,FALSE),C109)</f>
        <v>22776.712099493812</v>
      </c>
      <c r="E109" s="19">
        <f t="shared" si="6"/>
        <v>-6.3187920063595096E-2</v>
      </c>
      <c r="F109" s="10" t="str">
        <f>VLOOKUP(A109,[3]data!$W:$Z,4,FALSE)</f>
        <v>Si</v>
      </c>
      <c r="G109" s="10" t="str">
        <f t="shared" si="7"/>
        <v>Manómetro glic. 0-12 bar</v>
      </c>
      <c r="H109" s="19">
        <f>IFERROR(VLOOKUP(A109,[2]REPUESTOS!$A:$S,19,FALSE),"SIN ANÁLISIS")</f>
        <v>-6.3205901828932751E-2</v>
      </c>
      <c r="I109" s="19">
        <f t="shared" si="8"/>
        <v>-1.7981765337654609E-5</v>
      </c>
      <c r="J109" s="10" t="str">
        <f>VLOOKUP(A109,[4]REPUESTOS!$B:$FY,180,FALSE)</f>
        <v>Si</v>
      </c>
    </row>
    <row r="110" spans="1:10" x14ac:dyDescent="0.3">
      <c r="A110" s="10" t="s">
        <v>213</v>
      </c>
      <c r="B110" s="10" t="s">
        <v>212</v>
      </c>
      <c r="C110" s="17">
        <f>IFERROR(VLOOKUP(A110,[1]REPUESTOS!$A:$D,4,FALSE),"")</f>
        <v>51948</v>
      </c>
      <c r="D110" s="18">
        <f>IFERROR(VLOOKUP(A110,[2]REPUESTOS!$A:$R,18,FALSE),C110)</f>
        <v>48664.583825503636</v>
      </c>
      <c r="E110" s="19">
        <f t="shared" si="6"/>
        <v>-6.3205824564879567E-2</v>
      </c>
      <c r="F110" s="10" t="str">
        <f>VLOOKUP(A110,[3]data!$W:$Z,4,FALSE)</f>
        <v>Si</v>
      </c>
      <c r="G110" s="10" t="str">
        <f t="shared" si="7"/>
        <v>Caja electrica aspirado Twister&amp;Dry</v>
      </c>
      <c r="H110" s="19">
        <f>IFERROR(VLOOKUP(A110,[2]REPUESTOS!$A:$S,19,FALSE),"SIN ANÁLISIS")</f>
        <v>-6.3205901828932778E-2</v>
      </c>
      <c r="I110" s="19">
        <f t="shared" si="8"/>
        <v>-7.7264053210956973E-8</v>
      </c>
      <c r="J110" s="10" t="str">
        <f>VLOOKUP(A110,[4]REPUESTOS!$B:$FY,180,FALSE)</f>
        <v>Si</v>
      </c>
    </row>
    <row r="111" spans="1:10" x14ac:dyDescent="0.3">
      <c r="A111" s="10" t="s">
        <v>215</v>
      </c>
      <c r="B111" s="10" t="s">
        <v>214</v>
      </c>
      <c r="C111" s="17">
        <f>IFERROR(VLOOKUP(A111,[1]REPUESTOS!$A:$D,4,FALSE),"")</f>
        <v>455387</v>
      </c>
      <c r="D111" s="18">
        <f>IFERROR(VLOOKUP(A111,[2]REPUESTOS!$A:$R,18,FALSE),C111)</f>
        <v>426603.83915852365</v>
      </c>
      <c r="E111" s="19">
        <f t="shared" si="6"/>
        <v>-6.320593438432881E-2</v>
      </c>
      <c r="F111" s="10" t="str">
        <f>VLOOKUP(A111,[3]data!$W:$Z,4,FALSE)</f>
        <v>Si</v>
      </c>
      <c r="G111" s="10" t="str">
        <f t="shared" si="7"/>
        <v>Lanza mousse ST-75</v>
      </c>
      <c r="H111" s="19">
        <f>IFERROR(VLOOKUP(A111,[2]REPUESTOS!$A:$S,19,FALSE),"SIN ANÁLISIS")</f>
        <v>-6.3205901828932737E-2</v>
      </c>
      <c r="I111" s="19">
        <f t="shared" si="8"/>
        <v>3.2555396073385978E-8</v>
      </c>
      <c r="J111" s="10" t="str">
        <f>VLOOKUP(A111,[4]REPUESTOS!$B:$FY,180,FALSE)</f>
        <v>Si</v>
      </c>
    </row>
    <row r="112" spans="1:10" x14ac:dyDescent="0.3">
      <c r="A112" s="10" t="s">
        <v>217</v>
      </c>
      <c r="B112" s="10" t="s">
        <v>216</v>
      </c>
      <c r="C112" s="17">
        <f>IFERROR(VLOOKUP(A112,[1]REPUESTOS!$A:$D,4,FALSE),"")</f>
        <v>12469</v>
      </c>
      <c r="D112" s="18">
        <f>IFERROR(VLOOKUP(A112,[2]REPUESTOS!$A:$R,18,FALSE),C112)</f>
        <v>11680.773226919449</v>
      </c>
      <c r="E112" s="19">
        <f t="shared" si="6"/>
        <v>-6.3214914835235433E-2</v>
      </c>
      <c r="F112" s="10" t="str">
        <f>VLOOKUP(A112,[3]data!$W:$Z,4,FALSE)</f>
        <v>Si</v>
      </c>
      <c r="G112" s="10" t="str">
        <f t="shared" si="7"/>
        <v>Manómetro seco 0-6 bar</v>
      </c>
      <c r="H112" s="19">
        <f>IFERROR(VLOOKUP(A112,[2]REPUESTOS!$A:$S,19,FALSE),"SIN ANÁLISIS")</f>
        <v>-6.3205901828932737E-2</v>
      </c>
      <c r="I112" s="19">
        <f t="shared" si="8"/>
        <v>9.0130063026966356E-6</v>
      </c>
      <c r="J112" s="10" t="str">
        <f>VLOOKUP(A112,[4]REPUESTOS!$B:$FY,180,FALSE)</f>
        <v>Si</v>
      </c>
    </row>
    <row r="113" spans="1:10" x14ac:dyDescent="0.3">
      <c r="A113" s="10" t="s">
        <v>219</v>
      </c>
      <c r="B113" s="10" t="s">
        <v>218</v>
      </c>
      <c r="C113" s="17">
        <f>IFERROR(VLOOKUP(A113,[1]REPUESTOS!$A:$D,4,FALSE),"")</f>
        <v>402590</v>
      </c>
      <c r="D113" s="18">
        <f>IFERROR(VLOOKUP(A113,[2]REPUESTOS!$A:$R,18,FALSE),C113)</f>
        <v>377143.56233391102</v>
      </c>
      <c r="E113" s="19">
        <f t="shared" si="6"/>
        <v>-6.3206829941352197E-2</v>
      </c>
      <c r="F113" s="10" t="str">
        <f>VLOOKUP(A113,[3]data!$W:$Z,4,FALSE)</f>
        <v>Si</v>
      </c>
      <c r="G113" s="10" t="str">
        <f t="shared" si="7"/>
        <v>Display 4 cifras</v>
      </c>
      <c r="H113" s="19">
        <f>IFERROR(VLOOKUP(A113,[2]REPUESTOS!$A:$S,19,FALSE),"SIN ANÁLISIS")</f>
        <v>-6.3205901828932695E-2</v>
      </c>
      <c r="I113" s="19">
        <f t="shared" si="8"/>
        <v>9.2811241950152557E-7</v>
      </c>
      <c r="J113" s="10" t="str">
        <f>VLOOKUP(A113,[4]REPUESTOS!$B:$FY,180,FALSE)</f>
        <v>Si</v>
      </c>
    </row>
    <row r="114" spans="1:10" x14ac:dyDescent="0.3">
      <c r="A114" s="10" t="s">
        <v>221</v>
      </c>
      <c r="B114" s="10" t="s">
        <v>220</v>
      </c>
      <c r="C114" s="17">
        <f>IFERROR(VLOOKUP(A114,[1]REPUESTOS!$A:$D,4,FALSE),"")</f>
        <v>105618</v>
      </c>
      <c r="D114" s="18">
        <f>IFERROR(VLOOKUP(A114,[2]REPUESTOS!$A:$R,18,FALSE),C114)</f>
        <v>98942.435206700684</v>
      </c>
      <c r="E114" s="19">
        <f t="shared" si="6"/>
        <v>-6.3204802148301584E-2</v>
      </c>
      <c r="F114" s="10" t="str">
        <f>VLOOKUP(A114,[3]data!$W:$Z,4,FALSE)</f>
        <v>Si</v>
      </c>
      <c r="G114" s="10" t="str">
        <f t="shared" si="7"/>
        <v>Cable interfaz serial 9/25 para programación ficheros</v>
      </c>
      <c r="H114" s="19">
        <f>IFERROR(VLOOKUP(A114,[2]REPUESTOS!$A:$S,19,FALSE),"SIN ANÁLISIS")</f>
        <v>-6.3205901828932723E-2</v>
      </c>
      <c r="I114" s="19">
        <f t="shared" si="8"/>
        <v>-1.0996806311391882E-6</v>
      </c>
      <c r="J114" s="10" t="str">
        <f>VLOOKUP(A114,[4]REPUESTOS!$B:$FY,180,FALSE)</f>
        <v>Si</v>
      </c>
    </row>
    <row r="115" spans="1:10" x14ac:dyDescent="0.3">
      <c r="A115" s="10" t="s">
        <v>223</v>
      </c>
      <c r="B115" s="10" t="s">
        <v>222</v>
      </c>
      <c r="C115" s="17">
        <f>IFERROR(VLOOKUP(A115,[1]REPUESTOS!$A:$D,4,FALSE),"")</f>
        <v>11771</v>
      </c>
      <c r="D115" s="18">
        <f>IFERROR(VLOOKUP(A115,[2]REPUESTOS!$A:$R,18,FALSE),C115)</f>
        <v>11027.31035140122</v>
      </c>
      <c r="E115" s="19">
        <f t="shared" si="6"/>
        <v>-6.3179818927769943E-2</v>
      </c>
      <c r="F115" s="10" t="str">
        <f>VLOOKUP(A115,[3]data!$W:$Z,4,FALSE)</f>
        <v>Si</v>
      </c>
      <c r="G115" s="10" t="str">
        <f t="shared" si="7"/>
        <v>Lexan para cubrefichero</v>
      </c>
      <c r="H115" s="19">
        <f>IFERROR(VLOOKUP(A115,[2]REPUESTOS!$A:$S,19,FALSE),"SIN ANÁLISIS")</f>
        <v>-6.3205901828932695E-2</v>
      </c>
      <c r="I115" s="19">
        <f t="shared" si="8"/>
        <v>-2.6082901162752248E-5</v>
      </c>
      <c r="J115" s="10" t="str">
        <f>VLOOKUP(A115,[4]REPUESTOS!$B:$FY,180,FALSE)</f>
        <v>Si</v>
      </c>
    </row>
    <row r="116" spans="1:10" x14ac:dyDescent="0.3">
      <c r="A116" s="10" t="s">
        <v>225</v>
      </c>
      <c r="B116" s="10" t="s">
        <v>224</v>
      </c>
      <c r="C116" s="17">
        <f>IFERROR(VLOOKUP(A116,[1]REPUESTOS!$A:$D,4,FALSE),"")</f>
        <v>116539</v>
      </c>
      <c r="D116" s="18">
        <f>IFERROR(VLOOKUP(A116,[2]REPUESTOS!$A:$R,18,FALSE),C116)</f>
        <v>109173.05794274405</v>
      </c>
      <c r="E116" s="19">
        <f t="shared" si="6"/>
        <v>-6.3205811421549407E-2</v>
      </c>
      <c r="F116" s="10" t="str">
        <f>VLOOKUP(A116,[3]data!$W:$Z,4,FALSE)</f>
        <v>Si</v>
      </c>
      <c r="G116" s="10" t="str">
        <f t="shared" si="7"/>
        <v>Grifos Osmosis 1/2 AP</v>
      </c>
      <c r="H116" s="19">
        <f>IFERROR(VLOOKUP(A116,[2]REPUESTOS!$A:$S,19,FALSE),"SIN ANÁLISIS")</f>
        <v>-6.3205901828932723E-2</v>
      </c>
      <c r="I116" s="19">
        <f t="shared" si="8"/>
        <v>-9.0407383315782575E-8</v>
      </c>
      <c r="J116" s="10" t="str">
        <f>VLOOKUP(A116,[4]REPUESTOS!$B:$FY,180,FALSE)</f>
        <v>Si</v>
      </c>
    </row>
    <row r="117" spans="1:10" x14ac:dyDescent="0.3">
      <c r="A117" s="10" t="s">
        <v>227</v>
      </c>
      <c r="B117" s="10" t="s">
        <v>226</v>
      </c>
      <c r="C117" s="17">
        <f>IFERROR(VLOOKUP(A117,[1]REPUESTOS!$A:$D,4,FALSE),"")</f>
        <v>7248</v>
      </c>
      <c r="D117" s="18">
        <f>IFERROR(VLOOKUP(A117,[2]REPUESTOS!$A:$R,18,FALSE),C117)</f>
        <v>6790.2451311460372</v>
      </c>
      <c r="E117" s="19">
        <f t="shared" si="6"/>
        <v>-6.3156024952257556E-2</v>
      </c>
      <c r="F117" s="10" t="str">
        <f>VLOOKUP(A117,[3]data!$W:$Z,4,FALSE)</f>
        <v>Si</v>
      </c>
      <c r="G117" s="10" t="str">
        <f t="shared" si="7"/>
        <v>Niples girantes 1/2\F-1/2\M</v>
      </c>
      <c r="H117" s="19">
        <f>IFERROR(VLOOKUP(A117,[2]REPUESTOS!$A:$S,19,FALSE),"SIN ANÁLISIS")</f>
        <v>-6.3205901828932792E-2</v>
      </c>
      <c r="I117" s="19">
        <f t="shared" si="8"/>
        <v>-4.9876876675236659E-5</v>
      </c>
      <c r="J117" s="10" t="str">
        <f>VLOOKUP(A117,[4]REPUESTOS!$B:$FY,180,FALSE)</f>
        <v>Si</v>
      </c>
    </row>
    <row r="118" spans="1:10" x14ac:dyDescent="0.3">
      <c r="A118" s="10" t="s">
        <v>229</v>
      </c>
      <c r="B118" s="10" t="s">
        <v>228</v>
      </c>
      <c r="C118" s="17">
        <f>IFERROR(VLOOKUP(A118,[1]REPUESTOS!$A:$D,4,FALSE),"")</f>
        <v>2485</v>
      </c>
      <c r="D118" s="18">
        <f>IFERROR(VLOOKUP(A118,[2]REPUESTOS!$A:$R,18,FALSE),C118)</f>
        <v>2328.3966386425773</v>
      </c>
      <c r="E118" s="19">
        <f t="shared" si="6"/>
        <v>-6.3019461310834093E-2</v>
      </c>
      <c r="F118" s="10" t="str">
        <f>VLOOKUP(A118,[3]data!$W:$Z,4,FALSE)</f>
        <v>Si</v>
      </c>
      <c r="G118" s="10" t="str">
        <f t="shared" si="7"/>
        <v>Manguera rilsan 6x4 dura</v>
      </c>
      <c r="H118" s="19">
        <f>IFERROR(VLOOKUP(A118,[2]REPUESTOS!$A:$S,19,FALSE),"SIN ANÁLISIS")</f>
        <v>-6.3205901828932806E-2</v>
      </c>
      <c r="I118" s="19">
        <f t="shared" si="8"/>
        <v>-1.8644051809871276E-4</v>
      </c>
      <c r="J118" s="10" t="str">
        <f>VLOOKUP(A118,[4]REPUESTOS!$B:$FY,180,FALSE)</f>
        <v>Si</v>
      </c>
    </row>
    <row r="119" spans="1:10" x14ac:dyDescent="0.3">
      <c r="A119" s="10" t="s">
        <v>231</v>
      </c>
      <c r="B119" s="10" t="s">
        <v>230</v>
      </c>
      <c r="C119" s="17">
        <f>IFERROR(VLOOKUP(A119,[1]REPUESTOS!$A:$D,4,FALSE),"")</f>
        <v>60929</v>
      </c>
      <c r="D119" s="18">
        <f>IFERROR(VLOOKUP(A119,[2]REPUESTOS!$A:$R,18,FALSE),C119)</f>
        <v>57078.042674831944</v>
      </c>
      <c r="E119" s="19">
        <f t="shared" si="6"/>
        <v>-6.3204013280507731E-2</v>
      </c>
      <c r="F119" s="10" t="str">
        <f>VLOOKUP(A119,[3]data!$W:$Z,4,FALSE)</f>
        <v>Si</v>
      </c>
      <c r="G119" s="10" t="str">
        <f t="shared" si="7"/>
        <v>Pulsador de tacto programas</v>
      </c>
      <c r="H119" s="19">
        <f>IFERROR(VLOOKUP(A119,[2]REPUESTOS!$A:$S,19,FALSE),"SIN ANÁLISIS")</f>
        <v>-6.3205901828932792E-2</v>
      </c>
      <c r="I119" s="19">
        <f t="shared" si="8"/>
        <v>-1.8885484250608098E-6</v>
      </c>
      <c r="J119" s="10" t="str">
        <f>VLOOKUP(A119,[4]REPUESTOS!$B:$FY,180,FALSE)</f>
        <v>Si</v>
      </c>
    </row>
    <row r="120" spans="1:10" x14ac:dyDescent="0.3">
      <c r="A120" s="10" t="s">
        <v>233</v>
      </c>
      <c r="B120" s="10" t="s">
        <v>232</v>
      </c>
      <c r="C120" s="17">
        <f>IFERROR(VLOOKUP(A120,[1]REPUESTOS!$A:$D,4,FALSE),"")</f>
        <v>17658</v>
      </c>
      <c r="D120" s="18">
        <f>IFERROR(VLOOKUP(A120,[2]REPUESTOS!$A:$R,18,FALSE),C120)</f>
        <v>16541.462835226273</v>
      </c>
      <c r="E120" s="19">
        <f t="shared" si="6"/>
        <v>-6.323123597087589E-2</v>
      </c>
      <c r="F120" s="10" t="str">
        <f>VLOOKUP(A120,[3]data!$W:$Z,4,FALSE)</f>
        <v>Si</v>
      </c>
      <c r="G120" s="10" t="str">
        <f t="shared" si="7"/>
        <v>Guarnizione filtro tabla 23 - pos.1 (sello poliuretano)</v>
      </c>
      <c r="H120" s="19">
        <f>IFERROR(VLOOKUP(A120,[2]REPUESTOS!$A:$S,19,FALSE),"SIN ANÁLISIS")</f>
        <v>-6.3205901828932667E-2</v>
      </c>
      <c r="I120" s="19">
        <f t="shared" si="8"/>
        <v>2.5334141943222921E-5</v>
      </c>
      <c r="J120" s="10" t="str">
        <f>VLOOKUP(A120,[4]REPUESTOS!$B:$FY,180,FALSE)</f>
        <v>Si</v>
      </c>
    </row>
    <row r="121" spans="1:10" x14ac:dyDescent="0.3">
      <c r="A121" s="10" t="s">
        <v>235</v>
      </c>
      <c r="B121" s="10" t="s">
        <v>234</v>
      </c>
      <c r="C121" s="17">
        <f>IFERROR(VLOOKUP(A121,[1]REPUESTOS!$A:$D,4,FALSE),"")</f>
        <v>13723</v>
      </c>
      <c r="D121" s="18">
        <f>IFERROR(VLOOKUP(A121,[2]REPUESTOS!$A:$R,18,FALSE),C121)</f>
        <v>12855.415016854042</v>
      </c>
      <c r="E121" s="19">
        <f t="shared" si="6"/>
        <v>-6.3221233195799614E-2</v>
      </c>
      <c r="F121" s="10" t="str">
        <f>VLOOKUP(A121,[3]data!$W:$Z,4,FALSE)</f>
        <v>Si</v>
      </c>
      <c r="G121" s="10" t="str">
        <f t="shared" si="7"/>
        <v>Cable fichero (40 cm)</v>
      </c>
      <c r="H121" s="19">
        <f>IFERROR(VLOOKUP(A121,[2]REPUESTOS!$A:$S,19,FALSE),"SIN ANÁLISIS")</f>
        <v>-6.3205901828932709E-2</v>
      </c>
      <c r="I121" s="19">
        <f t="shared" si="8"/>
        <v>1.5331366866905283E-5</v>
      </c>
      <c r="J121" s="10" t="str">
        <f>VLOOKUP(A121,[4]REPUESTOS!$B:$FY,180,FALSE)</f>
        <v>Si</v>
      </c>
    </row>
    <row r="122" spans="1:10" x14ac:dyDescent="0.3">
      <c r="A122" s="10" t="s">
        <v>237</v>
      </c>
      <c r="B122" s="10" t="s">
        <v>236</v>
      </c>
      <c r="C122" s="17">
        <f>IFERROR(VLOOKUP(A122,[1]REPUESTOS!$A:$D,4,FALSE),"")</f>
        <v>100266</v>
      </c>
      <c r="D122" s="18">
        <f>IFERROR(VLOOKUP(A122,[2]REPUESTOS!$A:$R,18,FALSE),C122)</f>
        <v>93928.574696065392</v>
      </c>
      <c r="E122" s="19">
        <f t="shared" si="6"/>
        <v>-6.3206124747517675E-2</v>
      </c>
      <c r="F122" s="10" t="str">
        <f>VLOOKUP(A122,[3]data!$W:$Z,4,FALSE)</f>
        <v>Si</v>
      </c>
      <c r="G122" s="10" t="str">
        <f t="shared" si="7"/>
        <v>EV 1/2 salida filtros L180</v>
      </c>
      <c r="H122" s="19">
        <f>IFERROR(VLOOKUP(A122,[2]REPUESTOS!$A:$S,19,FALSE),"SIN ANÁLISIS")</f>
        <v>-6.3205901828932723E-2</v>
      </c>
      <c r="I122" s="19">
        <f t="shared" si="8"/>
        <v>2.2291858495226968E-7</v>
      </c>
      <c r="J122" s="10" t="str">
        <f>VLOOKUP(A122,[4]REPUESTOS!$B:$FY,180,FALSE)</f>
        <v>Si</v>
      </c>
    </row>
    <row r="123" spans="1:10" x14ac:dyDescent="0.3">
      <c r="A123" s="10" t="s">
        <v>239</v>
      </c>
      <c r="B123" s="10" t="s">
        <v>238</v>
      </c>
      <c r="C123" s="17">
        <f>IFERROR(VLOOKUP(A123,[1]REPUESTOS!$A:$D,4,FALSE),"")</f>
        <v>105945</v>
      </c>
      <c r="D123" s="18">
        <f>IFERROR(VLOOKUP(A123,[2]REPUESTOS!$A:$R,18,FALSE),C123)</f>
        <v>99248.777011357626</v>
      </c>
      <c r="E123" s="19">
        <f t="shared" si="6"/>
        <v>-6.3204709883830049E-2</v>
      </c>
      <c r="F123" s="10" t="str">
        <f>VLOOKUP(A123,[3]data!$W:$Z,4,FALSE)</f>
        <v>Si</v>
      </c>
      <c r="G123" s="10" t="str">
        <f t="shared" si="7"/>
        <v>Numeral de aspirado tabla 21- pos.3</v>
      </c>
      <c r="H123" s="19">
        <f>IFERROR(VLOOKUP(A123,[2]REPUESTOS!$A:$S,19,FALSE),"SIN ANÁLISIS")</f>
        <v>-6.3205901828932751E-2</v>
      </c>
      <c r="I123" s="19">
        <f t="shared" si="8"/>
        <v>-1.1919451027020411E-6</v>
      </c>
      <c r="J123" s="10" t="str">
        <f>VLOOKUP(A123,[4]REPUESTOS!$B:$FY,180,FALSE)</f>
        <v>Si</v>
      </c>
    </row>
    <row r="124" spans="1:10" x14ac:dyDescent="0.3">
      <c r="A124" s="10" t="s">
        <v>241</v>
      </c>
      <c r="B124" s="10" t="s">
        <v>240</v>
      </c>
      <c r="C124" s="17">
        <f>IFERROR(VLOOKUP(A124,[1]REPUESTOS!$A:$D,4,FALSE),"")</f>
        <v>18856</v>
      </c>
      <c r="D124" s="18">
        <f>IFERROR(VLOOKUP(A124,[2]REPUESTOS!$A:$R,18,FALSE),C124)</f>
        <v>17664.384580218786</v>
      </c>
      <c r="E124" s="19">
        <f t="shared" si="6"/>
        <v>-6.3195556840327419E-2</v>
      </c>
      <c r="F124" s="10" t="str">
        <f>VLOOKUP(A124,[3]data!$W:$Z,4,FALSE)</f>
        <v>Si</v>
      </c>
      <c r="G124" s="10" t="str">
        <f t="shared" si="7"/>
        <v>Manómetro ABS 0-250 bar</v>
      </c>
      <c r="H124" s="19">
        <f>IFERROR(VLOOKUP(A124,[2]REPUESTOS!$A:$S,19,FALSE),"SIN ANÁLISIS")</f>
        <v>-6.3205901828932654E-2</v>
      </c>
      <c r="I124" s="19">
        <f t="shared" si="8"/>
        <v>-1.0344988605234806E-5</v>
      </c>
      <c r="J124" s="10" t="str">
        <f>VLOOKUP(A124,[4]REPUESTOS!$B:$FY,180,FALSE)</f>
        <v>Si</v>
      </c>
    </row>
    <row r="125" spans="1:10" x14ac:dyDescent="0.3">
      <c r="A125" s="10" t="s">
        <v>243</v>
      </c>
      <c r="B125" s="10" t="s">
        <v>242</v>
      </c>
      <c r="C125" s="17">
        <f>IFERROR(VLOOKUP(A125,[1]REPUESTOS!$A:$D,4,FALSE),"")</f>
        <v>171571</v>
      </c>
      <c r="D125" s="18">
        <f>IFERROR(VLOOKUP(A125,[2]REPUESTOS!$A:$R,18,FALSE),C125)</f>
        <v>160727.0019712621</v>
      </c>
      <c r="E125" s="19">
        <f t="shared" si="6"/>
        <v>-6.3204143058779749E-2</v>
      </c>
      <c r="F125" s="10" t="str">
        <f>VLOOKUP(A125,[3]data!$W:$Z,4,FALSE)</f>
        <v>Si</v>
      </c>
      <c r="G125" s="10" t="str">
        <f t="shared" si="7"/>
        <v>Junta (bomba 3cp) CAT</v>
      </c>
      <c r="H125" s="19">
        <f>IFERROR(VLOOKUP(A125,[2]REPUESTOS!$A:$S,19,FALSE),"SIN ANÁLISIS")</f>
        <v>-6.320590182893282E-2</v>
      </c>
      <c r="I125" s="19">
        <f t="shared" si="8"/>
        <v>-1.7587701530707989E-6</v>
      </c>
      <c r="J125" s="10" t="str">
        <f>VLOOKUP(A125,[4]REPUESTOS!$B:$FY,180,FALSE)</f>
        <v>Si</v>
      </c>
    </row>
    <row r="126" spans="1:10" x14ac:dyDescent="0.3">
      <c r="A126" s="10" t="s">
        <v>245</v>
      </c>
      <c r="B126" s="10" t="s">
        <v>244</v>
      </c>
      <c r="C126" s="17">
        <f>IFERROR(VLOOKUP(A126,[1]REPUESTOS!$A:$D,4,FALSE),"")</f>
        <v>15892</v>
      </c>
      <c r="D126" s="18">
        <f>IFERROR(VLOOKUP(A126,[2]REPUESTOS!$A:$R,18,FALSE),C126)</f>
        <v>14887.416013328533</v>
      </c>
      <c r="E126" s="19">
        <f t="shared" si="6"/>
        <v>-6.3213188187230485E-2</v>
      </c>
      <c r="F126" s="10" t="str">
        <f>VLOOKUP(A126,[3]data!$W:$Z,4,FALSE)</f>
        <v>Si</v>
      </c>
      <c r="G126" s="10" t="str">
        <f t="shared" si="7"/>
        <v>Schedino RM 927 (placa fichero pequeña)</v>
      </c>
      <c r="H126" s="19">
        <f>IFERROR(VLOOKUP(A126,[2]REPUESTOS!$A:$S,19,FALSE),"SIN ANÁLISIS")</f>
        <v>-6.3205901828932737E-2</v>
      </c>
      <c r="I126" s="19">
        <f t="shared" si="8"/>
        <v>7.2863582977478192E-6</v>
      </c>
      <c r="J126" s="10" t="str">
        <f>VLOOKUP(A126,[4]REPUESTOS!$B:$FY,180,FALSE)</f>
        <v>Si</v>
      </c>
    </row>
    <row r="127" spans="1:10" x14ac:dyDescent="0.3">
      <c r="A127" s="10" t="s">
        <v>247</v>
      </c>
      <c r="B127" s="10" t="s">
        <v>246</v>
      </c>
      <c r="C127" s="17">
        <f>IFERROR(VLOOKUP(A127,[1]REPUESTOS!$A:$D,4,FALSE),"")</f>
        <v>34116</v>
      </c>
      <c r="D127" s="18">
        <f>IFERROR(VLOOKUP(A127,[2]REPUESTOS!$A:$R,18,FALSE),C127)</f>
        <v>31960.003925460031</v>
      </c>
      <c r="E127" s="19">
        <f t="shared" si="6"/>
        <v>-6.319603923496217E-2</v>
      </c>
      <c r="F127" s="10" t="str">
        <f>VLOOKUP(A127,[3]data!$W:$Z,4,FALSE)</f>
        <v>Si</v>
      </c>
      <c r="G127" s="10" t="str">
        <f t="shared" si="7"/>
        <v>Presóstato G1/4</v>
      </c>
      <c r="H127" s="19">
        <f>IFERROR(VLOOKUP(A127,[2]REPUESTOS!$A:$S,19,FALSE),"SIN ANÁLISIS")</f>
        <v>-6.3205901828932792E-2</v>
      </c>
      <c r="I127" s="19">
        <f t="shared" si="8"/>
        <v>-9.8625939706220578E-6</v>
      </c>
      <c r="J127" s="10" t="str">
        <f>VLOOKUP(A127,[4]REPUESTOS!$B:$FY,180,FALSE)</f>
        <v>Si</v>
      </c>
    </row>
    <row r="128" spans="1:10" x14ac:dyDescent="0.3">
      <c r="A128" s="10" t="s">
        <v>249</v>
      </c>
      <c r="B128" s="10" t="s">
        <v>248</v>
      </c>
      <c r="C128" s="17">
        <f>IFERROR(VLOOKUP(A128,[1]REPUESTOS!$A:$D,4,FALSE),"")</f>
        <v>8828</v>
      </c>
      <c r="D128" s="18">
        <f>IFERROR(VLOOKUP(A128,[2]REPUESTOS!$A:$R,18,FALSE),C128)</f>
        <v>8270.2341094886924</v>
      </c>
      <c r="E128" s="19">
        <f t="shared" si="6"/>
        <v>-6.3181455653750287E-2</v>
      </c>
      <c r="F128" s="10" t="str">
        <f>VLOOKUP(A128,[3]data!$W:$Z,4,FALSE)</f>
        <v>Si</v>
      </c>
      <c r="G128" s="10" t="str">
        <f t="shared" si="7"/>
        <v>Tee inox 1/4\x6mm</v>
      </c>
      <c r="H128" s="19">
        <f>IFERROR(VLOOKUP(A128,[2]REPUESTOS!$A:$S,19,FALSE),"SIN ANÁLISIS")</f>
        <v>-6.3205901828932723E-2</v>
      </c>
      <c r="I128" s="19">
        <f t="shared" si="8"/>
        <v>-2.4446175182435415E-5</v>
      </c>
      <c r="J128" s="10" t="str">
        <f>VLOOKUP(A128,[4]REPUESTOS!$B:$FY,180,FALSE)</f>
        <v>Si</v>
      </c>
    </row>
    <row r="129" spans="1:10" x14ac:dyDescent="0.3">
      <c r="A129" s="10" t="s">
        <v>251</v>
      </c>
      <c r="B129" s="10" t="s">
        <v>250</v>
      </c>
      <c r="C129" s="17">
        <f>IFERROR(VLOOKUP(A129,[1]REPUESTOS!$A:$D,4,FALSE),"")</f>
        <v>4665</v>
      </c>
      <c r="D129" s="18">
        <f>IFERROR(VLOOKUP(A129,[2]REPUESTOS!$A:$R,18,FALSE),C129)</f>
        <v>4370.3437976059304</v>
      </c>
      <c r="E129" s="19">
        <f t="shared" si="6"/>
        <v>-6.3163173074827356E-2</v>
      </c>
      <c r="F129" s="10" t="str">
        <f>VLOOKUP(A129,[3]data!$W:$Z,4,FALSE)</f>
        <v>Si</v>
      </c>
      <c r="G129" s="10" t="str">
        <f t="shared" si="7"/>
        <v>Manguera shampoo Rilsan 6x4 (lavallantas)</v>
      </c>
      <c r="H129" s="19">
        <f>IFERROR(VLOOKUP(A129,[2]REPUESTOS!$A:$S,19,FALSE),"SIN ANÁLISIS")</f>
        <v>-6.3205901828932737E-2</v>
      </c>
      <c r="I129" s="19">
        <f t="shared" si="8"/>
        <v>-4.2728754105381128E-5</v>
      </c>
      <c r="J129" s="10" t="str">
        <f>VLOOKUP(A129,[4]REPUESTOS!$B:$FY,180,FALSE)</f>
        <v>Si</v>
      </c>
    </row>
    <row r="130" spans="1:10" x14ac:dyDescent="0.3">
      <c r="A130" s="10" t="s">
        <v>253</v>
      </c>
      <c r="B130" s="10" t="s">
        <v>252</v>
      </c>
      <c r="C130" s="17">
        <f>IFERROR(VLOOKUP(A130,[1]REPUESTOS!$A:$D,4,FALSE),"")</f>
        <v>99318</v>
      </c>
      <c r="D130" s="18">
        <f>IFERROR(VLOOKUP(A130,[2]REPUESTOS!$A:$R,18,FALSE),C130)</f>
        <v>93040.382385810022</v>
      </c>
      <c r="E130" s="19">
        <f t="shared" si="6"/>
        <v>-6.3207249584063083E-2</v>
      </c>
      <c r="F130" s="10" t="str">
        <f>VLOOKUP(A130,[3]data!$W:$Z,4,FALSE)</f>
        <v>Si</v>
      </c>
      <c r="G130" s="10" t="str">
        <f t="shared" si="7"/>
        <v>Campana (bomba 3p) CAT</v>
      </c>
      <c r="H130" s="19">
        <f>IFERROR(VLOOKUP(A130,[2]REPUESTOS!$A:$S,19,FALSE),"SIN ANÁLISIS")</f>
        <v>-6.3205901828932681E-2</v>
      </c>
      <c r="I130" s="19">
        <f t="shared" si="8"/>
        <v>1.3477551304014179E-6</v>
      </c>
      <c r="J130" s="10" t="str">
        <f>VLOOKUP(A130,[4]REPUESTOS!$B:$FY,180,FALSE)</f>
        <v>Si</v>
      </c>
    </row>
    <row r="131" spans="1:10" x14ac:dyDescent="0.3">
      <c r="A131" s="10" t="s">
        <v>255</v>
      </c>
      <c r="B131" s="10" t="s">
        <v>254</v>
      </c>
      <c r="C131" s="17">
        <f>IFERROR(VLOOKUP(A131,[1]REPUESTOS!$A:$D,4,FALSE),"")</f>
        <v>42291</v>
      </c>
      <c r="D131" s="18">
        <f>IFERROR(VLOOKUP(A131,[2]REPUESTOS!$A:$R,18,FALSE),C131)</f>
        <v>39617.554425634829</v>
      </c>
      <c r="E131" s="19">
        <f t="shared" si="6"/>
        <v>-6.3215473135304692E-2</v>
      </c>
      <c r="F131" s="10" t="str">
        <f>VLOOKUP(A131,[3]data!$W:$Z,4,FALSE)</f>
        <v>Si</v>
      </c>
      <c r="G131" s="10" t="str">
        <f t="shared" si="7"/>
        <v>Válvula no retorno Inoxidable 1/4''</v>
      </c>
      <c r="H131" s="19">
        <f>IFERROR(VLOOKUP(A131,[2]REPUESTOS!$A:$S,19,FALSE),"SIN ANÁLISIS")</f>
        <v>-6.3205901828932737E-2</v>
      </c>
      <c r="I131" s="19">
        <f t="shared" si="8"/>
        <v>9.5713063719554681E-6</v>
      </c>
      <c r="J131" s="10" t="str">
        <f>VLOOKUP(A131,[4]REPUESTOS!$B:$FY,180,FALSE)</f>
        <v>Si</v>
      </c>
    </row>
    <row r="132" spans="1:10" x14ac:dyDescent="0.3">
      <c r="A132" s="10" t="s">
        <v>257</v>
      </c>
      <c r="B132" s="10" t="s">
        <v>256</v>
      </c>
      <c r="C132" s="17">
        <f>IFERROR(VLOOKUP(A132,[1]REPUESTOS!$A:$D,4,FALSE),"")</f>
        <v>46618</v>
      </c>
      <c r="D132" s="18">
        <f>IFERROR(VLOOKUP(A132,[2]REPUESTOS!$A:$R,18,FALSE),C132)</f>
        <v>43671.610256094951</v>
      </c>
      <c r="E132" s="19">
        <f t="shared" si="6"/>
        <v>-6.3202834611202727E-2</v>
      </c>
      <c r="F132" s="10" t="str">
        <f>VLOOKUP(A132,[3]data!$W:$Z,4,FALSE)</f>
        <v>Si</v>
      </c>
      <c r="G132" s="10" t="str">
        <f t="shared" si="7"/>
        <v>Válvula de fondo para bidón shampoo</v>
      </c>
      <c r="H132" s="19">
        <f>IFERROR(VLOOKUP(A132,[2]REPUESTOS!$A:$S,19,FALSE),"SIN ANÁLISIS")</f>
        <v>-6.3205901828932737E-2</v>
      </c>
      <c r="I132" s="19">
        <f t="shared" si="8"/>
        <v>-3.0672177300100634E-6</v>
      </c>
      <c r="J132" s="10" t="str">
        <f>VLOOKUP(A132,[4]REPUESTOS!$B:$FY,180,FALSE)</f>
        <v>Si</v>
      </c>
    </row>
    <row r="133" spans="1:10" x14ac:dyDescent="0.3">
      <c r="A133" s="10" t="s">
        <v>259</v>
      </c>
      <c r="B133" s="10" t="s">
        <v>258</v>
      </c>
      <c r="C133" s="17">
        <f>IFERROR(VLOOKUP(A133,[1]REPUESTOS!$A:$D,4,FALSE),"")</f>
        <v>9537</v>
      </c>
      <c r="D133" s="18">
        <f>IFERROR(VLOOKUP(A133,[2]REPUESTOS!$A:$R,18,FALSE),C133)</f>
        <v>8934.6377637446694</v>
      </c>
      <c r="E133" s="19">
        <f t="shared" si="6"/>
        <v>-6.3160557434762565E-2</v>
      </c>
      <c r="F133" s="10" t="str">
        <f>VLOOKUP(A133,[3]data!$W:$Z,4,FALSE)</f>
        <v>Si</v>
      </c>
      <c r="G133" s="10" t="str">
        <f t="shared" si="7"/>
        <v>Golillas aislantes pulsadores</v>
      </c>
      <c r="H133" s="19">
        <f>IFERROR(VLOOKUP(A133,[2]REPUESTOS!$A:$S,19,FALSE),"SIN ANÁLISIS")</f>
        <v>-6.3205901828932737E-2</v>
      </c>
      <c r="I133" s="19">
        <f t="shared" si="8"/>
        <v>-4.5344394170171443E-5</v>
      </c>
      <c r="J133" s="10" t="str">
        <f>VLOOKUP(A133,[4]REPUESTOS!$B:$FY,180,FALSE)</f>
        <v>Si</v>
      </c>
    </row>
    <row r="134" spans="1:10" x14ac:dyDescent="0.3">
      <c r="A134" s="10" t="s">
        <v>261</v>
      </c>
      <c r="B134" s="10" t="s">
        <v>260</v>
      </c>
      <c r="C134" s="17">
        <f>IFERROR(VLOOKUP(A134,[1]REPUESTOS!$A:$D,4,FALSE),"")</f>
        <v>50988</v>
      </c>
      <c r="D134" s="18">
        <f>IFERROR(VLOOKUP(A134,[2]REPUESTOS!$A:$R,18,FALSE),C134)</f>
        <v>47765.450736510516</v>
      </c>
      <c r="E134" s="19">
        <f t="shared" ref="E134:E197" si="9">IFERROR((D134-C134)/C134,0)</f>
        <v>-6.3202111545647671E-2</v>
      </c>
      <c r="F134" s="10" t="str">
        <f>VLOOKUP(A134,[3]data!$W:$Z,4,FALSE)</f>
        <v>Si</v>
      </c>
      <c r="G134" s="10" t="str">
        <f t="shared" ref="G134:G197" si="10">MID(B134,15,100)</f>
        <v>Kit EV sirai 3/4\ L131 (membrana electroválvula verde)</v>
      </c>
      <c r="H134" s="19">
        <f>IFERROR(VLOOKUP(A134,[2]REPUESTOS!$A:$S,19,FALSE),"SIN ANÁLISIS")</f>
        <v>-6.3205901828932778E-2</v>
      </c>
      <c r="I134" s="19">
        <f t="shared" ref="I134:I197" si="11">IFERROR(H134-E134,0)</f>
        <v>-3.790283285107221E-6</v>
      </c>
      <c r="J134" s="10" t="str">
        <f>VLOOKUP(A134,[4]REPUESTOS!$B:$FY,180,FALSE)</f>
        <v>Si</v>
      </c>
    </row>
    <row r="135" spans="1:10" x14ac:dyDescent="0.3">
      <c r="A135" s="10" t="s">
        <v>263</v>
      </c>
      <c r="B135" s="10" t="s">
        <v>262</v>
      </c>
      <c r="C135" s="17">
        <f>IFERROR(VLOOKUP(A135,[1]REPUESTOS!$A:$D,4,FALSE),"")</f>
        <v>299304</v>
      </c>
      <c r="D135" s="18">
        <f>IFERROR(VLOOKUP(A135,[2]REPUESTOS!$A:$R,18,FALSE),C135)</f>
        <v>280386.29902601329</v>
      </c>
      <c r="E135" s="19">
        <f t="shared" si="9"/>
        <v>-6.3205640332193044E-2</v>
      </c>
      <c r="F135" s="10" t="str">
        <f>VLOOKUP(A135,[3]data!$W:$Z,4,FALSE)</f>
        <v>Si</v>
      </c>
      <c r="G135" s="10" t="str">
        <f t="shared" si="10"/>
        <v>Kit filtro twister M2 (tambor plástico 2013)</v>
      </c>
      <c r="H135" s="19">
        <f>IFERROR(VLOOKUP(A135,[2]REPUESTOS!$A:$S,19,FALSE),"SIN ANÁLISIS")</f>
        <v>-6.3205901828932681E-2</v>
      </c>
      <c r="I135" s="19">
        <f t="shared" si="11"/>
        <v>-2.6149673963693498E-7</v>
      </c>
      <c r="J135" s="10" t="str">
        <f>VLOOKUP(A135,[4]REPUESTOS!$B:$FY,180,FALSE)</f>
        <v>Si</v>
      </c>
    </row>
    <row r="136" spans="1:10" x14ac:dyDescent="0.3">
      <c r="A136" s="10" t="s">
        <v>265</v>
      </c>
      <c r="B136" s="10" t="s">
        <v>264</v>
      </c>
      <c r="C136" s="17">
        <f>IFERROR(VLOOKUP(A136,[1]REPUESTOS!$A:$D,4,FALSE),"")</f>
        <v>105422</v>
      </c>
      <c r="D136" s="18">
        <f>IFERROR(VLOOKUP(A136,[2]REPUESTOS!$A:$R,18,FALSE),C136)</f>
        <v>98758.431200656734</v>
      </c>
      <c r="E136" s="19">
        <f t="shared" si="9"/>
        <v>-6.3208521934162376E-2</v>
      </c>
      <c r="F136" s="10" t="str">
        <f>VLOOKUP(A136,[3]data!$W:$Z,4,FALSE)</f>
        <v>Si</v>
      </c>
      <c r="G136" s="10" t="str">
        <f t="shared" si="10"/>
        <v>Pistola renovador de neumático punta inoxidable</v>
      </c>
      <c r="H136" s="19">
        <f>IFERROR(VLOOKUP(A136,[2]REPUESTOS!$A:$S,19,FALSE),"SIN ANÁLISIS")</f>
        <v>-6.3205901828932806E-2</v>
      </c>
      <c r="I136" s="19">
        <f t="shared" si="11"/>
        <v>2.6201052295699023E-6</v>
      </c>
      <c r="J136" s="10" t="str">
        <f>VLOOKUP(A136,[4]REPUESTOS!$B:$FY,180,FALSE)</f>
        <v>Si</v>
      </c>
    </row>
    <row r="137" spans="1:10" x14ac:dyDescent="0.3">
      <c r="A137" s="10" t="s">
        <v>267</v>
      </c>
      <c r="B137" s="10" t="s">
        <v>266</v>
      </c>
      <c r="C137" s="17">
        <f>IFERROR(VLOOKUP(A137,[1]REPUESTOS!$A:$D,4,FALSE),"")</f>
        <v>20665</v>
      </c>
      <c r="D137" s="18">
        <f>IFERROR(VLOOKUP(A137,[2]REPUESTOS!$A:$R,18,FALSE),C137)</f>
        <v>19359.210668320859</v>
      </c>
      <c r="E137" s="19">
        <f t="shared" si="9"/>
        <v>-6.3188450601458571E-2</v>
      </c>
      <c r="F137" s="10" t="str">
        <f>VLOOKUP(A137,[3]data!$W:$Z,4,FALSE)</f>
        <v>Si</v>
      </c>
      <c r="G137" s="10" t="str">
        <f t="shared" si="10"/>
        <v>Válvula retención europa 3/4</v>
      </c>
      <c r="H137" s="19">
        <f>IFERROR(VLOOKUP(A137,[2]REPUESTOS!$A:$S,19,FALSE),"SIN ANÁLISIS")</f>
        <v>-6.3205901828932709E-2</v>
      </c>
      <c r="I137" s="19">
        <f t="shared" si="11"/>
        <v>-1.7451227474138409E-5</v>
      </c>
      <c r="J137" s="10" t="str">
        <f>VLOOKUP(A137,[4]REPUESTOS!$B:$FY,180,FALSE)</f>
        <v>Si</v>
      </c>
    </row>
    <row r="138" spans="1:10" x14ac:dyDescent="0.3">
      <c r="A138" s="10" t="s">
        <v>269</v>
      </c>
      <c r="B138" s="10" t="s">
        <v>268</v>
      </c>
      <c r="C138" s="17">
        <f>IFERROR(VLOOKUP(A138,[1]REPUESTOS!$A:$D,4,FALSE),"")</f>
        <v>11337</v>
      </c>
      <c r="D138" s="18">
        <f>IFERROR(VLOOKUP(A138,[2]REPUESTOS!$A:$R,18,FALSE),C138)</f>
        <v>11336.671731930644</v>
      </c>
      <c r="E138" s="19">
        <f t="shared" si="9"/>
        <v>-2.8955461705525699E-5</v>
      </c>
      <c r="F138" s="10" t="str">
        <f>VLOOKUP(A138,[3]data!$W:$Z,4,FALSE)</f>
        <v>Si</v>
      </c>
      <c r="G138" s="10" t="str">
        <f t="shared" si="10"/>
        <v>Resorte de sistema vibración (conico)</v>
      </c>
      <c r="H138" s="19">
        <f>IFERROR(VLOOKUP(A138,[2]REPUESTOS!$A:$S,19,FALSE),"SIN ANÁLISIS")</f>
        <v>0</v>
      </c>
      <c r="I138" s="19">
        <f t="shared" si="11"/>
        <v>2.8955461705525699E-5</v>
      </c>
      <c r="J138" s="10" t="str">
        <f>VLOOKUP(A138,[4]REPUESTOS!$B:$FY,180,FALSE)</f>
        <v>Si</v>
      </c>
    </row>
    <row r="139" spans="1:10" x14ac:dyDescent="0.3">
      <c r="A139" s="10" t="s">
        <v>271</v>
      </c>
      <c r="B139" s="10" t="s">
        <v>270</v>
      </c>
      <c r="C139" s="17">
        <f>IFERROR(VLOOKUP(A139,[1]REPUESTOS!$A:$D,4,FALSE),"")</f>
        <v>23297</v>
      </c>
      <c r="D139" s="18">
        <f>IFERROR(VLOOKUP(A139,[2]REPUESTOS!$A:$R,18,FALSE),C139)</f>
        <v>23297</v>
      </c>
      <c r="E139" s="19">
        <f t="shared" si="9"/>
        <v>0</v>
      </c>
      <c r="F139" s="10" t="str">
        <f>VLOOKUP(A139,[3]data!$W:$Z,4,FALSE)</f>
        <v>Si</v>
      </c>
      <c r="G139" s="10" t="str">
        <f t="shared" si="10"/>
        <v>Manómetro glic. 25 bar</v>
      </c>
      <c r="H139" s="19">
        <f>IFERROR(VLOOKUP(A139,[2]REPUESTOS!$A:$S,19,FALSE),"SIN ANÁLISIS")</f>
        <v>0</v>
      </c>
      <c r="I139" s="19">
        <f t="shared" si="11"/>
        <v>0</v>
      </c>
      <c r="J139" s="10" t="str">
        <f>VLOOKUP(A139,[4]REPUESTOS!$B:$FY,180,FALSE)</f>
        <v>Si</v>
      </c>
    </row>
    <row r="140" spans="1:10" x14ac:dyDescent="0.3">
      <c r="A140" s="10" t="s">
        <v>273</v>
      </c>
      <c r="B140" s="10" t="s">
        <v>272</v>
      </c>
      <c r="C140" s="17">
        <f>IFERROR(VLOOKUP(A140,[1]REPUESTOS!$A:$D,4,FALSE),"")</f>
        <v>589608</v>
      </c>
      <c r="D140" s="18">
        <f>IFERROR(VLOOKUP(A140,[2]REPUESTOS!$A:$R,18,FALSE),C140)</f>
        <v>589608</v>
      </c>
      <c r="E140" s="19">
        <f t="shared" si="9"/>
        <v>0</v>
      </c>
      <c r="F140" s="10" t="str">
        <f>VLOOKUP(A140,[3]data!$W:$Z,4,FALSE)</f>
        <v>Si</v>
      </c>
      <c r="G140" s="10" t="str">
        <f t="shared" si="10"/>
        <v>Kit bidone Twister M2 (tambor aspiradora Plástico)</v>
      </c>
      <c r="H140" s="19" t="str">
        <f>IFERROR(VLOOKUP(A140,[2]REPUESTOS!$A:$S,19,FALSE),"SIN ANÁLISIS")</f>
        <v>SIN ANÁLISIS</v>
      </c>
      <c r="I140" s="19">
        <f t="shared" si="11"/>
        <v>0</v>
      </c>
      <c r="J140" s="10" t="str">
        <f>VLOOKUP(A140,[4]REPUESTOS!$B:$FY,180,FALSE)</f>
        <v>Si</v>
      </c>
    </row>
    <row r="141" spans="1:10" x14ac:dyDescent="0.3">
      <c r="A141" s="10" t="s">
        <v>275</v>
      </c>
      <c r="B141" s="10" t="s">
        <v>274</v>
      </c>
      <c r="C141" s="17">
        <f>IFERROR(VLOOKUP(A141,[1]REPUESTOS!$A:$D,4,FALSE),"")</f>
        <v>54084</v>
      </c>
      <c r="D141" s="18">
        <f>IFERROR(VLOOKUP(A141,[2]REPUESTOS!$A:$R,18,FALSE),C141)</f>
        <v>50665.751718262669</v>
      </c>
      <c r="E141" s="19">
        <f t="shared" si="9"/>
        <v>-6.3202578983383828E-2</v>
      </c>
      <c r="F141" s="10" t="str">
        <f>VLOOKUP(A141,[3]data!$W:$Z,4,FALSE)</f>
        <v>Si</v>
      </c>
      <c r="G141" s="10" t="str">
        <f t="shared" si="10"/>
        <v>Contactor 24V</v>
      </c>
      <c r="H141" s="19">
        <f>IFERROR(VLOOKUP(A141,[2]REPUESTOS!$A:$S,19,FALSE),"SIN ANÁLISIS")</f>
        <v>-6.3205901828932709E-2</v>
      </c>
      <c r="I141" s="19">
        <f t="shared" si="11"/>
        <v>-3.3228455488809594E-6</v>
      </c>
      <c r="J141" s="10" t="str">
        <f>VLOOKUP(A141,[4]REPUESTOS!$B:$FY,180,FALSE)</f>
        <v>Si</v>
      </c>
    </row>
    <row r="142" spans="1:10" x14ac:dyDescent="0.3">
      <c r="A142" s="10" t="s">
        <v>277</v>
      </c>
      <c r="B142" s="10" t="s">
        <v>276</v>
      </c>
      <c r="C142" s="17">
        <f>IFERROR(VLOOKUP(A142,[1]REPUESTOS!$A:$D,4,FALSE),"")</f>
        <v>113978</v>
      </c>
      <c r="D142" s="18">
        <f>IFERROR(VLOOKUP(A142,[2]REPUESTOS!$A:$R,18,FALSE),C142)</f>
        <v>106774.04355043056</v>
      </c>
      <c r="E142" s="19">
        <f t="shared" si="9"/>
        <v>-6.3204797851948935E-2</v>
      </c>
      <c r="F142" s="10" t="str">
        <f>VLOOKUP(A142,[3]data!$W:$Z,4,FALSE)</f>
        <v>Si</v>
      </c>
      <c r="G142" s="10" t="str">
        <f t="shared" si="10"/>
        <v>EV 1/4\ burket cod 125302w</v>
      </c>
      <c r="H142" s="19">
        <f>IFERROR(VLOOKUP(A142,[2]REPUESTOS!$A:$S,19,FALSE),"SIN ANÁLISIS")</f>
        <v>-6.3205901828932709E-2</v>
      </c>
      <c r="I142" s="19">
        <f t="shared" si="11"/>
        <v>-1.1039769837739577E-6</v>
      </c>
      <c r="J142" s="10" t="str">
        <f>VLOOKUP(A142,[4]REPUESTOS!$B:$FY,180,FALSE)</f>
        <v>Si</v>
      </c>
    </row>
    <row r="143" spans="1:10" x14ac:dyDescent="0.3">
      <c r="A143" s="10" t="s">
        <v>279</v>
      </c>
      <c r="B143" s="10" t="s">
        <v>278</v>
      </c>
      <c r="C143" s="17">
        <f>IFERROR(VLOOKUP(A143,[1]REPUESTOS!$A:$D,4,FALSE),"")</f>
        <v>3484</v>
      </c>
      <c r="D143" s="18">
        <f>IFERROR(VLOOKUP(A143,[2]REPUESTOS!$A:$R,18,FALSE),C143)</f>
        <v>3484</v>
      </c>
      <c r="E143" s="19">
        <f t="shared" si="9"/>
        <v>0</v>
      </c>
      <c r="F143" s="10" t="str">
        <f>VLOOKUP(A143,[3]data!$W:$Z,4,FALSE)</f>
        <v>Si</v>
      </c>
      <c r="G143" s="10" t="str">
        <f t="shared" si="10"/>
        <v>Manguera lavallantas 8mm</v>
      </c>
      <c r="H143" s="19" t="str">
        <f>IFERROR(VLOOKUP(A143,[2]REPUESTOS!$A:$S,19,FALSE),"SIN ANÁLISIS")</f>
        <v>SIN ANÁLISIS</v>
      </c>
      <c r="I143" s="19">
        <f t="shared" si="11"/>
        <v>0</v>
      </c>
      <c r="J143" s="10" t="str">
        <f>VLOOKUP(A143,[4]REPUESTOS!$B:$FY,180,FALSE)</f>
        <v>Si</v>
      </c>
    </row>
    <row r="144" spans="1:10" x14ac:dyDescent="0.3">
      <c r="A144" s="10" t="s">
        <v>281</v>
      </c>
      <c r="B144" s="10" t="s">
        <v>280</v>
      </c>
      <c r="C144" s="17">
        <f>IFERROR(VLOOKUP(A144,[1]REPUESTOS!$A:$D,4,FALSE),"")</f>
        <v>37796</v>
      </c>
      <c r="D144" s="18">
        <f>IFERROR(VLOOKUP(A144,[2]REPUESTOS!$A:$R,18,FALSE),C144)</f>
        <v>37796</v>
      </c>
      <c r="E144" s="19">
        <f t="shared" si="9"/>
        <v>0</v>
      </c>
      <c r="F144" s="10" t="str">
        <f>VLOOKUP(A144,[3]data!$W:$Z,4,FALSE)</f>
        <v>Si</v>
      </c>
      <c r="G144" s="10" t="str">
        <f t="shared" si="10"/>
        <v>Pistón cerámico Interpump</v>
      </c>
      <c r="H144" s="19" t="str">
        <f>IFERROR(VLOOKUP(A144,[2]REPUESTOS!$A:$S,19,FALSE),"SIN ANÁLISIS")</f>
        <v>SIN ANÁLISIS</v>
      </c>
      <c r="I144" s="19">
        <f t="shared" si="11"/>
        <v>0</v>
      </c>
      <c r="J144" s="10" t="str">
        <f>VLOOKUP(A144,[4]REPUESTOS!$B:$FY,180,FALSE)</f>
        <v>Si</v>
      </c>
    </row>
    <row r="145" spans="1:10" x14ac:dyDescent="0.3">
      <c r="A145" s="10" t="s">
        <v>283</v>
      </c>
      <c r="B145" s="10" t="s">
        <v>282</v>
      </c>
      <c r="C145" s="17">
        <f>IFERROR(VLOOKUP(A145,[1]REPUESTOS!$A:$D,4,FALSE),"")</f>
        <v>132932</v>
      </c>
      <c r="D145" s="18">
        <f>IFERROR(VLOOKUP(A145,[2]REPUESTOS!$A:$R,18,FALSE),C145)</f>
        <v>124529.93282554687</v>
      </c>
      <c r="E145" s="19">
        <f t="shared" si="9"/>
        <v>-6.320575312530563E-2</v>
      </c>
      <c r="F145" s="10" t="str">
        <f>VLOOKUP(A145,[3]data!$W:$Z,4,FALSE)</f>
        <v>Si</v>
      </c>
      <c r="G145" s="10" t="str">
        <f t="shared" si="10"/>
        <v>Kit de sellos de agua interpump</v>
      </c>
      <c r="H145" s="19">
        <f>IFERROR(VLOOKUP(A145,[2]REPUESTOS!$A:$S,19,FALSE),"SIN ANÁLISIS")</f>
        <v>-6.3205901828932792E-2</v>
      </c>
      <c r="I145" s="19">
        <f t="shared" si="11"/>
        <v>-1.4870362716190577E-7</v>
      </c>
      <c r="J145" s="10" t="str">
        <f>VLOOKUP(A145,[4]REPUESTOS!$B:$FY,180,FALSE)</f>
        <v>Si</v>
      </c>
    </row>
    <row r="146" spans="1:10" x14ac:dyDescent="0.3">
      <c r="A146" s="10" t="s">
        <v>285</v>
      </c>
      <c r="B146" s="10" t="s">
        <v>284</v>
      </c>
      <c r="C146" s="17">
        <f>IFERROR(VLOOKUP(A146,[1]REPUESTOS!$A:$D,4,FALSE),"")</f>
        <v>340080</v>
      </c>
      <c r="D146" s="18">
        <f>IFERROR(VLOOKUP(A146,[2]REPUESTOS!$A:$R,18,FALSE),C146)</f>
        <v>318584.53606448753</v>
      </c>
      <c r="E146" s="19">
        <f t="shared" si="9"/>
        <v>-6.3207080497272611E-2</v>
      </c>
      <c r="F146" s="10" t="str">
        <f>VLOOKUP(A146,[3]data!$W:$Z,4,FALSE)</f>
        <v>Si</v>
      </c>
      <c r="G146" s="10" t="str">
        <f t="shared" si="10"/>
        <v>Motor trifásico de osmosis</v>
      </c>
      <c r="H146" s="19">
        <f>IFERROR(VLOOKUP(A146,[2]REPUESTOS!$A:$S,19,FALSE),"SIN ANÁLISIS")</f>
        <v>-6.3205901828932681E-2</v>
      </c>
      <c r="I146" s="19">
        <f t="shared" si="11"/>
        <v>1.1786683399295228E-6</v>
      </c>
      <c r="J146" s="10" t="str">
        <f>VLOOKUP(A146,[4]REPUESTOS!$B:$FY,180,FALSE)</f>
        <v>Si</v>
      </c>
    </row>
    <row r="147" spans="1:10" x14ac:dyDescent="0.3">
      <c r="A147" s="10" t="s">
        <v>287</v>
      </c>
      <c r="B147" s="10" t="s">
        <v>286</v>
      </c>
      <c r="C147" s="17">
        <f>IFERROR(VLOOKUP(A147,[1]REPUESTOS!$A:$D,4,FALSE),"")</f>
        <v>195093</v>
      </c>
      <c r="D147" s="18">
        <f>IFERROR(VLOOKUP(A147,[2]REPUESTOS!$A:$R,18,FALSE),C147)</f>
        <v>182761.73034908681</v>
      </c>
      <c r="E147" s="19">
        <f t="shared" si="9"/>
        <v>-6.3207135319633165E-2</v>
      </c>
      <c r="F147" s="10" t="str">
        <f>VLOOKUP(A147,[3]data!$W:$Z,4,FALSE)</f>
        <v>Si</v>
      </c>
      <c r="G147" s="10" t="str">
        <f t="shared" si="10"/>
        <v>EV sirai 3/4 bajada osmosis</v>
      </c>
      <c r="H147" s="19">
        <f>IFERROR(VLOOKUP(A147,[2]REPUESTOS!$A:$S,19,FALSE),"SIN ANÁLISIS")</f>
        <v>-6.3205901828932765E-2</v>
      </c>
      <c r="I147" s="19">
        <f t="shared" si="11"/>
        <v>1.2334907004002416E-6</v>
      </c>
      <c r="J147" s="10" t="str">
        <f>VLOOKUP(A147,[4]REPUESTOS!$B:$FY,180,FALSE)</f>
        <v>Si</v>
      </c>
    </row>
    <row r="148" spans="1:10" x14ac:dyDescent="0.3">
      <c r="A148" s="10" t="s">
        <v>289</v>
      </c>
      <c r="B148" s="10" t="s">
        <v>288</v>
      </c>
      <c r="C148" s="17">
        <f>IFERROR(VLOOKUP(A148,[1]REPUESTOS!$A:$D,4,FALSE),"")</f>
        <v>561753</v>
      </c>
      <c r="D148" s="18">
        <f>IFERROR(VLOOKUP(A148,[2]REPUESTOS!$A:$R,18,FALSE),C148)</f>
        <v>526246.48420444014</v>
      </c>
      <c r="E148" s="19">
        <f t="shared" si="9"/>
        <v>-6.3206633156493788E-2</v>
      </c>
      <c r="F148" s="10" t="str">
        <f>VLOOKUP(A148,[3]data!$W:$Z,4,FALSE)</f>
        <v>Si</v>
      </c>
      <c r="G148" s="10" t="str">
        <f t="shared" si="10"/>
        <v>Motor cat trifásico inverter</v>
      </c>
      <c r="H148" s="19">
        <f>IFERROR(VLOOKUP(A148,[2]REPUESTOS!$A:$S,19,FALSE),"SIN ANÁLISIS")</f>
        <v>-6.3205901828932723E-2</v>
      </c>
      <c r="I148" s="19">
        <f t="shared" si="11"/>
        <v>7.3132756106542018E-7</v>
      </c>
      <c r="J148" s="10" t="str">
        <f>VLOOKUP(A148,[4]REPUESTOS!$B:$FY,180,FALSE)</f>
        <v>Si</v>
      </c>
    </row>
    <row r="149" spans="1:10" x14ac:dyDescent="0.3">
      <c r="A149" s="10" t="s">
        <v>291</v>
      </c>
      <c r="B149" s="10" t="s">
        <v>290</v>
      </c>
      <c r="C149" s="17">
        <f>IFERROR(VLOOKUP(A149,[1]REPUESTOS!$A:$D,4,FALSE),"")</f>
        <v>524426</v>
      </c>
      <c r="D149" s="18">
        <f>IFERROR(VLOOKUP(A149,[2]REPUESTOS!$A:$R,18,FALSE),C149)</f>
        <v>491278.76074234833</v>
      </c>
      <c r="E149" s="19">
        <f t="shared" si="9"/>
        <v>-6.3206704583013945E-2</v>
      </c>
      <c r="F149" s="10" t="str">
        <f>VLOOKUP(A149,[3]data!$W:$Z,4,FALSE)</f>
        <v>Si</v>
      </c>
      <c r="G149" s="10" t="str">
        <f t="shared" si="10"/>
        <v>Conductivímetro c901</v>
      </c>
      <c r="H149" s="19">
        <f>IFERROR(VLOOKUP(A149,[2]REPUESTOS!$A:$S,19,FALSE),"SIN ANÁLISIS")</f>
        <v>-6.3205901828932709E-2</v>
      </c>
      <c r="I149" s="19">
        <f t="shared" si="11"/>
        <v>8.0275408123609004E-7</v>
      </c>
      <c r="J149" s="10" t="str">
        <f>VLOOKUP(A149,[4]REPUESTOS!$B:$FY,180,FALSE)</f>
        <v>Si</v>
      </c>
    </row>
    <row r="150" spans="1:10" x14ac:dyDescent="0.3">
      <c r="A150" s="10" t="s">
        <v>293</v>
      </c>
      <c r="B150" s="10" t="s">
        <v>292</v>
      </c>
      <c r="C150" s="17">
        <f>IFERROR(VLOOKUP(A150,[1]REPUESTOS!$A:$D,4,FALSE),"")</f>
        <v>20284</v>
      </c>
      <c r="D150" s="18">
        <f>IFERROR(VLOOKUP(A150,[2]REPUESTOS!$A:$R,18,FALSE),C150)</f>
        <v>19002.143434970712</v>
      </c>
      <c r="E150" s="19">
        <f t="shared" si="9"/>
        <v>-6.3195452821400488E-2</v>
      </c>
      <c r="F150" s="10" t="str">
        <f>VLOOKUP(A150,[3]data!$W:$Z,4,FALSE)</f>
        <v>Si</v>
      </c>
      <c r="G150" s="10" t="str">
        <f t="shared" si="10"/>
        <v>Campana lateral (bomba 3cp) CAT</v>
      </c>
      <c r="H150" s="19">
        <f>IFERROR(VLOOKUP(A150,[2]REPUESTOS!$A:$S,19,FALSE),"SIN ANÁLISIS")</f>
        <v>-6.3205901828932723E-2</v>
      </c>
      <c r="I150" s="19">
        <f t="shared" si="11"/>
        <v>-1.0449007532234433E-5</v>
      </c>
      <c r="J150" s="10" t="str">
        <f>VLOOKUP(A150,[4]REPUESTOS!$B:$FY,180,FALSE)</f>
        <v>Si</v>
      </c>
    </row>
    <row r="151" spans="1:10" x14ac:dyDescent="0.3">
      <c r="A151" s="10" t="s">
        <v>295</v>
      </c>
      <c r="B151" s="10" t="s">
        <v>294</v>
      </c>
      <c r="C151" s="17">
        <f>IFERROR(VLOOKUP(A151,[1]REPUESTOS!$A:$D,4,FALSE),"")</f>
        <v>63359</v>
      </c>
      <c r="D151" s="18">
        <f>IFERROR(VLOOKUP(A151,[2]REPUESTOS!$A:$R,18,FALSE),C151)</f>
        <v>59354.719268532441</v>
      </c>
      <c r="E151" s="19">
        <f t="shared" si="9"/>
        <v>-6.3199872653728104E-2</v>
      </c>
      <c r="F151" s="10" t="str">
        <f>VLOOKUP(A151,[3]data!$W:$Z,4,FALSE)</f>
        <v>Si</v>
      </c>
      <c r="G151" s="10" t="str">
        <f t="shared" si="10"/>
        <v>Inyector colector pvc (blanco o negro)</v>
      </c>
      <c r="H151" s="19">
        <f>IFERROR(VLOOKUP(A151,[2]REPUESTOS!$A:$S,19,FALSE),"SIN ANÁLISIS")</f>
        <v>-6.3205901828932723E-2</v>
      </c>
      <c r="I151" s="19">
        <f t="shared" si="11"/>
        <v>-6.0291752046193192E-6</v>
      </c>
      <c r="J151" s="10" t="str">
        <f>VLOOKUP(A151,[4]REPUESTOS!$B:$FY,180,FALSE)</f>
        <v>Si</v>
      </c>
    </row>
    <row r="152" spans="1:10" x14ac:dyDescent="0.3">
      <c r="A152" s="10" t="s">
        <v>297</v>
      </c>
      <c r="B152" s="10" t="s">
        <v>296</v>
      </c>
      <c r="C152" s="17">
        <f>IFERROR(VLOOKUP(A152,[1]REPUESTOS!$A:$D,4,FALSE),"")</f>
        <v>5243</v>
      </c>
      <c r="D152" s="18">
        <f>IFERROR(VLOOKUP(A152,[2]REPUESTOS!$A:$R,18,FALSE),C152)</f>
        <v>4911.4150370000198</v>
      </c>
      <c r="E152" s="19">
        <f t="shared" si="9"/>
        <v>-6.3243365058169035E-2</v>
      </c>
      <c r="F152" s="10" t="str">
        <f>VLOOKUP(A152,[3]data!$W:$Z,4,FALSE)</f>
        <v>Si</v>
      </c>
      <c r="G152" s="10" t="str">
        <f t="shared" si="10"/>
        <v>O-ring separacion E/V</v>
      </c>
      <c r="H152" s="19">
        <f>IFERROR(VLOOKUP(A152,[2]REPUESTOS!$A:$S,19,FALSE),"SIN ANÁLISIS")</f>
        <v>-6.320590182893282E-2</v>
      </c>
      <c r="I152" s="19">
        <f t="shared" si="11"/>
        <v>3.7463229236214812E-5</v>
      </c>
      <c r="J152" s="10" t="str">
        <f>VLOOKUP(A152,[4]REPUESTOS!$B:$FY,180,FALSE)</f>
        <v>Si</v>
      </c>
    </row>
    <row r="153" spans="1:10" x14ac:dyDescent="0.3">
      <c r="A153" s="10" t="s">
        <v>299</v>
      </c>
      <c r="B153" s="10" t="s">
        <v>298</v>
      </c>
      <c r="C153" s="17">
        <f>IFERROR(VLOOKUP(A153,[1]REPUESTOS!$A:$D,4,FALSE),"")</f>
        <v>2813</v>
      </c>
      <c r="D153" s="18">
        <f>IFERROR(VLOOKUP(A153,[2]REPUESTOS!$A:$R,18,FALSE),C153)</f>
        <v>2634.7384432995241</v>
      </c>
      <c r="E153" s="19">
        <f t="shared" si="9"/>
        <v>-6.3370620938669006E-2</v>
      </c>
      <c r="F153" s="10" t="str">
        <f>VLOOKUP(A153,[3]data!$W:$Z,4,FALSE)</f>
        <v>Si</v>
      </c>
      <c r="G153" s="10" t="str">
        <f t="shared" si="10"/>
        <v>Conector recto 1/4 HI X 6mm</v>
      </c>
      <c r="H153" s="19">
        <f>IFERROR(VLOOKUP(A153,[2]REPUESTOS!$A:$S,19,FALSE),"SIN ANÁLISIS")</f>
        <v>-6.3205901828932834E-2</v>
      </c>
      <c r="I153" s="19">
        <f t="shared" si="11"/>
        <v>1.6471910973617221E-4</v>
      </c>
      <c r="J153" s="10" t="str">
        <f>VLOOKUP(A153,[4]REPUESTOS!$B:$FY,180,FALSE)</f>
        <v>Si</v>
      </c>
    </row>
    <row r="154" spans="1:10" x14ac:dyDescent="0.3">
      <c r="A154" s="10" t="s">
        <v>301</v>
      </c>
      <c r="B154" s="10" t="s">
        <v>300</v>
      </c>
      <c r="C154" s="17">
        <f>IFERROR(VLOOKUP(A154,[1]REPUESTOS!$A:$D,4,FALSE),"")</f>
        <v>301386</v>
      </c>
      <c r="D154" s="18">
        <f>IFERROR(VLOOKUP(A154,[2]REPUESTOS!$A:$R,18,FALSE),C154)</f>
        <v>282336.74149007909</v>
      </c>
      <c r="E154" s="19">
        <f t="shared" si="9"/>
        <v>-6.3205518869227206E-2</v>
      </c>
      <c r="F154" s="10" t="str">
        <f>VLOOKUP(A154,[3]data!$W:$Z,4,FALSE)</f>
        <v>Si</v>
      </c>
      <c r="G154" s="10" t="str">
        <f t="shared" si="10"/>
        <v>Flujometro 250 lt</v>
      </c>
      <c r="H154" s="19">
        <f>IFERROR(VLOOKUP(A154,[2]REPUESTOS!$A:$S,19,FALSE),"SIN ANÁLISIS")</f>
        <v>-6.3205901828932723E-2</v>
      </c>
      <c r="I154" s="19">
        <f t="shared" si="11"/>
        <v>-3.8295970551660563E-7</v>
      </c>
      <c r="J154" s="10" t="str">
        <f>VLOOKUP(A154,[4]REPUESTOS!$B:$FY,180,FALSE)</f>
        <v>Si</v>
      </c>
    </row>
    <row r="155" spans="1:10" x14ac:dyDescent="0.3">
      <c r="A155" s="10" t="s">
        <v>303</v>
      </c>
      <c r="B155" s="10" t="s">
        <v>302</v>
      </c>
      <c r="C155" s="17">
        <f>IFERROR(VLOOKUP(A155,[1]REPUESTOS!$A:$D,4,FALSE),"")</f>
        <v>60602</v>
      </c>
      <c r="D155" s="18">
        <f>IFERROR(VLOOKUP(A155,[2]REPUESTOS!$A:$R,18,FALSE),C155)</f>
        <v>56771.700870175002</v>
      </c>
      <c r="E155" s="19">
        <f t="shared" si="9"/>
        <v>-6.3204170321524006E-2</v>
      </c>
      <c r="F155" s="10" t="str">
        <f>VLOOKUP(A155,[3]data!$W:$Z,4,FALSE)</f>
        <v>Si</v>
      </c>
      <c r="G155" s="10" t="str">
        <f t="shared" si="10"/>
        <v>Kit EV Burkert</v>
      </c>
      <c r="H155" s="19">
        <f>IFERROR(VLOOKUP(A155,[2]REPUESTOS!$A:$S,19,FALSE),"SIN ANÁLISIS")</f>
        <v>-6.3205901828932737E-2</v>
      </c>
      <c r="I155" s="19">
        <f t="shared" si="11"/>
        <v>-1.731507408730959E-6</v>
      </c>
      <c r="J155" s="10" t="str">
        <f>VLOOKUP(A155,[4]REPUESTOS!$B:$FY,180,FALSE)</f>
        <v>Si</v>
      </c>
    </row>
    <row r="156" spans="1:10" x14ac:dyDescent="0.3">
      <c r="A156" s="10" t="s">
        <v>305</v>
      </c>
      <c r="B156" s="10" t="s">
        <v>304</v>
      </c>
      <c r="C156" s="17">
        <f>IFERROR(VLOOKUP(A156,[1]REPUESTOS!$A:$D,4,FALSE),"")</f>
        <v>35129</v>
      </c>
      <c r="D156" s="18">
        <f>IFERROR(VLOOKUP(A156,[2]REPUESTOS!$A:$R,18,FALSE),C156)</f>
        <v>32908.867826897462</v>
      </c>
      <c r="E156" s="19">
        <f t="shared" si="9"/>
        <v>-6.3199412824234621E-2</v>
      </c>
      <c r="F156" s="10" t="str">
        <f>VLOOKUP(A156,[3]data!$W:$Z,4,FALSE)</f>
        <v>Si</v>
      </c>
      <c r="G156" s="10" t="str">
        <f t="shared" si="10"/>
        <v>Relé mini 24VCC finder</v>
      </c>
      <c r="H156" s="19">
        <f>IFERROR(VLOOKUP(A156,[2]REPUESTOS!$A:$S,19,FALSE),"SIN ANÁLISIS")</f>
        <v>-6.3205901828932737E-2</v>
      </c>
      <c r="I156" s="19">
        <f t="shared" si="11"/>
        <v>-6.4890046981153082E-6</v>
      </c>
      <c r="J156" s="10" t="str">
        <f>VLOOKUP(A156,[4]REPUESTOS!$B:$FY,180,FALSE)</f>
        <v>Si</v>
      </c>
    </row>
    <row r="157" spans="1:10" x14ac:dyDescent="0.3">
      <c r="A157" s="10" t="s">
        <v>307</v>
      </c>
      <c r="B157" s="10" t="s">
        <v>306</v>
      </c>
      <c r="C157" s="17">
        <f>IFERROR(VLOOKUP(A157,[1]REPUESTOS!$A:$D,4,FALSE),"")</f>
        <v>37669</v>
      </c>
      <c r="D157" s="18">
        <f>IFERROR(VLOOKUP(A157,[2]REPUESTOS!$A:$R,18,FALSE),C157)</f>
        <v>35287.989894233229</v>
      </c>
      <c r="E157" s="19">
        <f t="shared" si="9"/>
        <v>-6.320874208943085E-2</v>
      </c>
      <c r="F157" s="10" t="str">
        <f>VLOOKUP(A157,[3]data!$W:$Z,4,FALSE)</f>
        <v>Si</v>
      </c>
      <c r="G157" s="10" t="str">
        <f t="shared" si="10"/>
        <v>Contaimpulsos (numeral Mself)</v>
      </c>
      <c r="H157" s="19">
        <f>IFERROR(VLOOKUP(A157,[2]REPUESTOS!$A:$S,19,FALSE),"SIN ANÁLISIS")</f>
        <v>-6.3205901828932751E-2</v>
      </c>
      <c r="I157" s="19">
        <f t="shared" si="11"/>
        <v>2.8402604980992674E-6</v>
      </c>
      <c r="J157" s="10" t="str">
        <f>VLOOKUP(A157,[4]REPUESTOS!$B:$FY,180,FALSE)</f>
        <v>Si</v>
      </c>
    </row>
    <row r="158" spans="1:10" x14ac:dyDescent="0.3">
      <c r="A158" s="10" t="s">
        <v>309</v>
      </c>
      <c r="B158" s="10" t="s">
        <v>308</v>
      </c>
      <c r="C158" s="17">
        <f>IFERROR(VLOOKUP(A158,[1]REPUESTOS!$A:$D,4,FALSE),"")</f>
        <v>112354</v>
      </c>
      <c r="D158" s="18">
        <f>IFERROR(VLOOKUP(A158,[2]REPUESTOS!$A:$R,18,FALSE),C158)</f>
        <v>105252.2806896347</v>
      </c>
      <c r="E158" s="19">
        <f t="shared" si="9"/>
        <v>-6.320842435841445E-2</v>
      </c>
      <c r="F158" s="10" t="str">
        <f>VLOOKUP(A158,[3]data!$W:$Z,4,FALSE)</f>
        <v>Si</v>
      </c>
      <c r="G158" s="10" t="str">
        <f t="shared" si="10"/>
        <v>Electroválvula L 180 Burket 3/4´´</v>
      </c>
      <c r="H158" s="19">
        <f>IFERROR(VLOOKUP(A158,[2]REPUESTOS!$A:$S,19,FALSE),"SIN ANÁLISIS")</f>
        <v>-6.3205901828932709E-2</v>
      </c>
      <c r="I158" s="19">
        <f t="shared" si="11"/>
        <v>2.5225294817410315E-6</v>
      </c>
      <c r="J158" s="10" t="str">
        <f>VLOOKUP(A158,[4]REPUESTOS!$B:$FY,180,FALSE)</f>
        <v>Si</v>
      </c>
    </row>
    <row r="159" spans="1:10" x14ac:dyDescent="0.3">
      <c r="A159" s="10" t="s">
        <v>311</v>
      </c>
      <c r="B159" s="10" t="s">
        <v>310</v>
      </c>
      <c r="C159" s="17">
        <f>IFERROR(VLOOKUP(A159,[1]REPUESTOS!$A:$D,4,FALSE),"")</f>
        <v>57845</v>
      </c>
      <c r="D159" s="18">
        <f>IFERROR(VLOOKUP(A159,[2]REPUESTOS!$A:$R,18,FALSE),C159)</f>
        <v>54188.682471817556</v>
      </c>
      <c r="E159" s="19">
        <f t="shared" si="9"/>
        <v>-6.3208877658958329E-2</v>
      </c>
      <c r="F159" s="10" t="str">
        <f>VLOOKUP(A159,[3]data!$W:$Z,4,FALSE)</f>
        <v>Si</v>
      </c>
      <c r="G159" s="10" t="str">
        <f t="shared" si="10"/>
        <v>Ingreso lateral Burket</v>
      </c>
      <c r="H159" s="19">
        <f>IFERROR(VLOOKUP(A159,[2]REPUESTOS!$A:$S,19,FALSE),"SIN ANÁLISIS")</f>
        <v>-6.3205901828932765E-2</v>
      </c>
      <c r="I159" s="19">
        <f t="shared" si="11"/>
        <v>2.9758300255644521E-6</v>
      </c>
      <c r="J159" s="10" t="str">
        <f>VLOOKUP(A159,[4]REPUESTOS!$B:$FY,180,FALSE)</f>
        <v>Si</v>
      </c>
    </row>
    <row r="160" spans="1:10" x14ac:dyDescent="0.3">
      <c r="A160" s="10" t="s">
        <v>313</v>
      </c>
      <c r="B160" s="10" t="s">
        <v>312</v>
      </c>
      <c r="C160" s="17">
        <f>IFERROR(VLOOKUP(A160,[1]REPUESTOS!$A:$D,4,FALSE),"")</f>
        <v>3837</v>
      </c>
      <c r="D160" s="18">
        <f>IFERROR(VLOOKUP(A160,[2]REPUESTOS!$A:$R,18,FALSE),C160)</f>
        <v>3594.5431234747007</v>
      </c>
      <c r="E160" s="19">
        <f t="shared" si="9"/>
        <v>-6.3189178140552332E-2</v>
      </c>
      <c r="F160" s="10" t="str">
        <f>VLOOKUP(A160,[3]data!$W:$Z,4,FALSE)</f>
        <v>Si</v>
      </c>
      <c r="G160" s="10" t="str">
        <f t="shared" si="10"/>
        <v>Conexión rápida 1/4\ niple</v>
      </c>
      <c r="H160" s="19">
        <f>IFERROR(VLOOKUP(A160,[2]REPUESTOS!$A:$S,19,FALSE),"SIN ANÁLISIS")</f>
        <v>-6.3205901828932723E-2</v>
      </c>
      <c r="I160" s="19">
        <f t="shared" si="11"/>
        <v>-1.6723688380390622E-5</v>
      </c>
      <c r="J160" s="10" t="str">
        <f>VLOOKUP(A160,[4]REPUESTOS!$B:$FY,180,FALSE)</f>
        <v>Si</v>
      </c>
    </row>
    <row r="161" spans="1:10" x14ac:dyDescent="0.3">
      <c r="A161" s="10" t="s">
        <v>315</v>
      </c>
      <c r="B161" s="10" t="s">
        <v>314</v>
      </c>
      <c r="C161" s="17">
        <f>IFERROR(VLOOKUP(A161,[1]REPUESTOS!$A:$D,4,FALSE),"")</f>
        <v>4982</v>
      </c>
      <c r="D161" s="18">
        <f>IFERROR(VLOOKUP(A161,[2]REPUESTOS!$A:$R,18,FALSE),C161)</f>
        <v>4666.7394397740163</v>
      </c>
      <c r="E161" s="19">
        <f t="shared" si="9"/>
        <v>-6.3279919756319483E-2</v>
      </c>
      <c r="F161" s="10" t="str">
        <f>VLOOKUP(A161,[3]data!$W:$Z,4,FALSE)</f>
        <v>Si</v>
      </c>
      <c r="G161" s="10" t="str">
        <f t="shared" si="10"/>
        <v>Niple galvanizado1/2”</v>
      </c>
      <c r="H161" s="19">
        <f>IFERROR(VLOOKUP(A161,[2]REPUESTOS!$A:$S,19,FALSE),"SIN ANÁLISIS")</f>
        <v>-6.3205901828932695E-2</v>
      </c>
      <c r="I161" s="19">
        <f t="shared" si="11"/>
        <v>7.4017927386788029E-5</v>
      </c>
      <c r="J161" s="10" t="str">
        <f>VLOOKUP(A161,[4]REPUESTOS!$B:$FY,180,FALSE)</f>
        <v>Si</v>
      </c>
    </row>
    <row r="162" spans="1:10" x14ac:dyDescent="0.3">
      <c r="A162" s="10" t="s">
        <v>317</v>
      </c>
      <c r="B162" s="10" t="s">
        <v>316</v>
      </c>
      <c r="C162" s="17">
        <f>IFERROR(VLOOKUP(A162,[1]REPUESTOS!$A:$D,4,FALSE),"")</f>
        <v>7313</v>
      </c>
      <c r="D162" s="18">
        <f>IFERROR(VLOOKUP(A162,[2]REPUESTOS!$A:$R,18,FALSE),C162)</f>
        <v>6850.9167223280956</v>
      </c>
      <c r="E162" s="19">
        <f t="shared" si="9"/>
        <v>-6.3186555130849781E-2</v>
      </c>
      <c r="F162" s="10" t="str">
        <f>VLOOKUP(A162,[3]data!$W:$Z,4,FALSE)</f>
        <v>Si</v>
      </c>
      <c r="G162" s="10" t="str">
        <f t="shared" si="10"/>
        <v>Conexión  rápida codo 1/4"</v>
      </c>
      <c r="H162" s="19">
        <f>IFERROR(VLOOKUP(A162,[2]REPUESTOS!$A:$S,19,FALSE),"SIN ANÁLISIS")</f>
        <v>-6.3205901828932792E-2</v>
      </c>
      <c r="I162" s="19">
        <f t="shared" si="11"/>
        <v>-1.9346698083011482E-5</v>
      </c>
      <c r="J162" s="10" t="str">
        <f>VLOOKUP(A162,[4]REPUESTOS!$B:$FY,180,FALSE)</f>
        <v>Si</v>
      </c>
    </row>
    <row r="163" spans="1:10" x14ac:dyDescent="0.3">
      <c r="A163" s="10" t="s">
        <v>319</v>
      </c>
      <c r="B163" s="10" t="s">
        <v>318</v>
      </c>
      <c r="C163" s="17">
        <f>IFERROR(VLOOKUP(A163,[1]REPUESTOS!$A:$D,4,FALSE),"")</f>
        <v>2101671</v>
      </c>
      <c r="D163" s="18">
        <f>IFERROR(VLOOKUP(A163,[2]REPUESTOS!$A:$R,18,FALSE),C163)</f>
        <v>1968832.9185077297</v>
      </c>
      <c r="E163" s="19">
        <f t="shared" si="9"/>
        <v>-6.3205935416280834E-2</v>
      </c>
      <c r="F163" s="10" t="str">
        <f>VLOOKUP(A163,[3]data!$W:$Z,4,FALSE)</f>
        <v>Si</v>
      </c>
      <c r="G163" s="10" t="str">
        <f t="shared" si="10"/>
        <v>kit turbina twister m2 (motor aspiradora t. plástico)</v>
      </c>
      <c r="H163" s="19">
        <f>IFERROR(VLOOKUP(A163,[2]REPUESTOS!$A:$S,19,FALSE),"SIN ANÁLISIS")</f>
        <v>-6.3205901828932751E-2</v>
      </c>
      <c r="I163" s="19">
        <f t="shared" si="11"/>
        <v>3.3587348083341517E-8</v>
      </c>
      <c r="J163" s="10" t="str">
        <f>VLOOKUP(A163,[4]REPUESTOS!$B:$FY,180,FALSE)</f>
        <v>Si</v>
      </c>
    </row>
    <row r="164" spans="1:10" x14ac:dyDescent="0.3">
      <c r="A164" s="10" t="s">
        <v>321</v>
      </c>
      <c r="B164" s="10" t="s">
        <v>320</v>
      </c>
      <c r="C164" s="17">
        <f>IFERROR(VLOOKUP(A164,[1]REPUESTOS!$A:$D,4,FALSE),"")</f>
        <v>14551</v>
      </c>
      <c r="D164" s="18">
        <f>IFERROR(VLOOKUP(A164,[2]REPUESTOS!$A:$R,18,FALSE),C164)</f>
        <v>13631.215690985273</v>
      </c>
      <c r="E164" s="19">
        <f t="shared" si="9"/>
        <v>-6.3211072023553513E-2</v>
      </c>
      <c r="F164" s="10" t="str">
        <f>VLOOKUP(A164,[3]data!$W:$Z,4,FALSE)</f>
        <v>Si</v>
      </c>
      <c r="G164" s="10" t="str">
        <f t="shared" si="10"/>
        <v>Rele mini 24V DC 8A 250V azul</v>
      </c>
      <c r="H164" s="19">
        <f>IFERROR(VLOOKUP(A164,[2]REPUESTOS!$A:$S,19,FALSE),"SIN ANÁLISIS")</f>
        <v>-6.3205901828932709E-2</v>
      </c>
      <c r="I164" s="19">
        <f t="shared" si="11"/>
        <v>5.1701946208043692E-6</v>
      </c>
      <c r="J164" s="10" t="str">
        <f>VLOOKUP(A164,[4]REPUESTOS!$B:$FY,180,FALSE)</f>
        <v>Si</v>
      </c>
    </row>
    <row r="165" spans="1:10" x14ac:dyDescent="0.3">
      <c r="A165" s="10" t="s">
        <v>323</v>
      </c>
      <c r="B165" s="10" t="s">
        <v>322</v>
      </c>
      <c r="C165" s="17">
        <f>IFERROR(VLOOKUP(A165,[1]REPUESTOS!$A:$D,4,FALSE),"")</f>
        <v>996021</v>
      </c>
      <c r="D165" s="18">
        <f>IFERROR(VLOOKUP(A165,[2]REPUESTOS!$A:$R,18,FALSE),C165)</f>
        <v>933066.41155636846</v>
      </c>
      <c r="E165" s="19">
        <f t="shared" si="9"/>
        <v>-6.3206085457667593E-2</v>
      </c>
      <c r="F165" s="10" t="str">
        <f>VLOOKUP(A165,[3]data!$W:$Z,4,FALSE)</f>
        <v>Si</v>
      </c>
      <c r="G165" s="10" t="str">
        <f t="shared" si="10"/>
        <v>Motor mix dry 220v 7A (motor secado)</v>
      </c>
      <c r="H165" s="19">
        <f>IFERROR(VLOOKUP(A165,[2]REPUESTOS!$A:$S,19,FALSE),"SIN ANÁLISIS")</f>
        <v>-6.3205901828932792E-2</v>
      </c>
      <c r="I165" s="19">
        <f t="shared" si="11"/>
        <v>1.836287348011556E-7</v>
      </c>
      <c r="J165" s="10" t="str">
        <f>VLOOKUP(A165,[4]REPUESTOS!$B:$FY,180,FALSE)</f>
        <v>Si</v>
      </c>
    </row>
    <row r="166" spans="1:10" x14ac:dyDescent="0.3">
      <c r="A166" s="10" t="s">
        <v>325</v>
      </c>
      <c r="B166" s="10" t="s">
        <v>324</v>
      </c>
      <c r="C166" s="17">
        <f>IFERROR(VLOOKUP(A166,[1]REPUESTOS!$A:$D,4,FALSE),"")</f>
        <v>20601</v>
      </c>
      <c r="D166" s="18">
        <f>IFERROR(VLOOKUP(A166,[2]REPUESTOS!$A:$R,18,FALSE),C166)</f>
        <v>19298.539077138797</v>
      </c>
      <c r="E166" s="19">
        <f t="shared" si="9"/>
        <v>-6.3223189304461067E-2</v>
      </c>
      <c r="F166" s="10" t="str">
        <f>VLOOKUP(A166,[3]data!$W:$Z,4,FALSE)</f>
        <v>Si</v>
      </c>
      <c r="G166" s="10" t="str">
        <f t="shared" si="10"/>
        <v>Pieza cierre lateral Burket</v>
      </c>
      <c r="H166" s="19">
        <f>IFERROR(VLOOKUP(A166,[2]REPUESTOS!$A:$S,19,FALSE),"SIN ANÁLISIS")</f>
        <v>-6.3205901828932681E-2</v>
      </c>
      <c r="I166" s="19">
        <f t="shared" si="11"/>
        <v>1.7287475528385277E-5</v>
      </c>
      <c r="J166" s="10" t="str">
        <f>VLOOKUP(A166,[4]REPUESTOS!$B:$FY,180,FALSE)</f>
        <v>Si</v>
      </c>
    </row>
    <row r="167" spans="1:10" x14ac:dyDescent="0.3">
      <c r="A167" s="10" t="s">
        <v>327</v>
      </c>
      <c r="B167" s="10" t="s">
        <v>326</v>
      </c>
      <c r="C167" s="17">
        <f>IFERROR(VLOOKUP(A167,[1]REPUESTOS!$A:$D,4,FALSE),"")</f>
        <v>77878</v>
      </c>
      <c r="D167" s="18">
        <f>IFERROR(VLOOKUP(A167,[2]REPUESTOS!$A:$R,18,FALSE),C167)</f>
        <v>72956.096472051111</v>
      </c>
      <c r="E167" s="19">
        <f t="shared" si="9"/>
        <v>-6.3200178843176372E-2</v>
      </c>
      <c r="F167" s="10" t="str">
        <f>VLOOKUP(A167,[3]data!$W:$Z,4,FALSE)</f>
        <v>Si</v>
      </c>
      <c r="G167" s="10" t="str">
        <f t="shared" si="10"/>
        <v>Transformador 400/220 twister</v>
      </c>
      <c r="H167" s="19">
        <f>IFERROR(VLOOKUP(A167,[2]REPUESTOS!$A:$S,19,FALSE),"SIN ANÁLISIS")</f>
        <v>-6.3205901828932792E-2</v>
      </c>
      <c r="I167" s="19">
        <f t="shared" si="11"/>
        <v>-5.7229857564206066E-6</v>
      </c>
      <c r="J167" s="10" t="str">
        <f>VLOOKUP(A167,[4]REPUESTOS!$B:$FY,180,FALSE)</f>
        <v>Si</v>
      </c>
    </row>
    <row r="168" spans="1:10" x14ac:dyDescent="0.3">
      <c r="A168" s="10" t="s">
        <v>329</v>
      </c>
      <c r="B168" s="10" t="s">
        <v>328</v>
      </c>
      <c r="C168" s="17">
        <f>IFERROR(VLOOKUP(A168,[1]REPUESTOS!$A:$D,4,FALSE),"")</f>
        <v>1087699</v>
      </c>
      <c r="D168" s="18">
        <f>IFERROR(VLOOKUP(A168,[2]REPUESTOS!$A:$R,18,FALSE),C168)</f>
        <v>1018949.5354151935</v>
      </c>
      <c r="E168" s="19">
        <f t="shared" si="9"/>
        <v>-6.3206332436461246E-2</v>
      </c>
      <c r="F168" s="10" t="str">
        <f>VLOOKUP(A168,[3]data!$W:$Z,4,FALSE)</f>
        <v>Si</v>
      </c>
      <c r="G168" s="10" t="str">
        <f t="shared" si="10"/>
        <v>Lanza para MIX dry completa</v>
      </c>
      <c r="H168" s="19">
        <f>IFERROR(VLOOKUP(A168,[2]REPUESTOS!$A:$S,19,FALSE),"SIN ANÁLISIS")</f>
        <v>-6.3205901828932778E-2</v>
      </c>
      <c r="I168" s="19">
        <f t="shared" si="11"/>
        <v>4.306075284676858E-7</v>
      </c>
      <c r="J168" s="10" t="str">
        <f>VLOOKUP(A168,[4]REPUESTOS!$B:$FY,180,FALSE)</f>
        <v>Si</v>
      </c>
    </row>
    <row r="169" spans="1:10" x14ac:dyDescent="0.3">
      <c r="A169" s="10" t="s">
        <v>331</v>
      </c>
      <c r="B169" s="10" t="s">
        <v>330</v>
      </c>
      <c r="C169" s="17">
        <f>IFERROR(VLOOKUP(A169,[1]REPUESTOS!$A:$D,4,FALSE),"")</f>
        <v>61169</v>
      </c>
      <c r="D169" s="18">
        <f>IFERROR(VLOOKUP(A169,[2]REPUESTOS!$A:$R,18,FALSE),C169)</f>
        <v>57302.82594708023</v>
      </c>
      <c r="E169" s="19">
        <f t="shared" si="9"/>
        <v>-6.320479414278099E-2</v>
      </c>
      <c r="F169" s="10" t="str">
        <f>VLOOKUP(A169,[3]data!$W:$Z,4,FALSE)</f>
        <v>Si</v>
      </c>
      <c r="G169" s="10" t="str">
        <f t="shared" si="10"/>
        <v>Contactor 10 24V</v>
      </c>
      <c r="H169" s="19">
        <f>IFERROR(VLOOKUP(A169,[2]REPUESTOS!$A:$S,19,FALSE),"SIN ANÁLISIS")</f>
        <v>-6.3205901828932695E-2</v>
      </c>
      <c r="I169" s="19">
        <f t="shared" si="11"/>
        <v>-1.1076861517050896E-6</v>
      </c>
      <c r="J169" s="10" t="str">
        <f>VLOOKUP(A169,[4]REPUESTOS!$B:$FY,180,FALSE)</f>
        <v>Si</v>
      </c>
    </row>
    <row r="170" spans="1:10" x14ac:dyDescent="0.3">
      <c r="A170" s="10" t="s">
        <v>333</v>
      </c>
      <c r="B170" s="10" t="s">
        <v>332</v>
      </c>
      <c r="C170" s="17">
        <f>IFERROR(VLOOKUP(A170,[1]REPUESTOS!$A:$D,4,FALSE),"")</f>
        <v>11074</v>
      </c>
      <c r="D170" s="18">
        <f>IFERROR(VLOOKUP(A170,[2]REPUESTOS!$A:$R,18,FALSE),C170)</f>
        <v>10373.847475882991</v>
      </c>
      <c r="E170" s="19">
        <f t="shared" si="9"/>
        <v>-6.3224898330956236E-2</v>
      </c>
      <c r="F170" s="10" t="str">
        <f>VLOOKUP(A170,[3]data!$W:$Z,4,FALSE)</f>
        <v>Si</v>
      </c>
      <c r="G170" s="10" t="str">
        <f t="shared" si="10"/>
        <v>Relé mini 24VCA finder</v>
      </c>
      <c r="H170" s="19">
        <f>IFERROR(VLOOKUP(A170,[2]REPUESTOS!$A:$S,19,FALSE),"SIN ANÁLISIS")</f>
        <v>-6.3205901828932806E-2</v>
      </c>
      <c r="I170" s="19">
        <f t="shared" si="11"/>
        <v>1.8996502023430062E-5</v>
      </c>
      <c r="J170" s="10" t="str">
        <f>VLOOKUP(A170,[4]REPUESTOS!$B:$FY,180,FALSE)</f>
        <v>Si</v>
      </c>
    </row>
    <row r="171" spans="1:10" x14ac:dyDescent="0.3">
      <c r="A171" s="10" t="s">
        <v>335</v>
      </c>
      <c r="B171" s="10" t="s">
        <v>334</v>
      </c>
      <c r="C171" s="17">
        <f>IFERROR(VLOOKUP(A171,[1]REPUESTOS!$A:$D,4,FALSE),"")</f>
        <v>145684</v>
      </c>
      <c r="D171" s="18">
        <f>IFERROR(VLOOKUP(A171,[2]REPUESTOS!$A:$R,18,FALSE),C171)</f>
        <v>136476.26859091895</v>
      </c>
      <c r="E171" s="19">
        <f t="shared" si="9"/>
        <v>-6.3203449995065039E-2</v>
      </c>
      <c r="F171" s="10" t="str">
        <f>VLOOKUP(A171,[3]data!$W:$Z,4,FALSE)</f>
        <v>Si</v>
      </c>
      <c r="G171" s="10" t="str">
        <f t="shared" si="10"/>
        <v>Ugello pos 23 - boquilla y pistola perfume</v>
      </c>
      <c r="H171" s="19">
        <f>IFERROR(VLOOKUP(A171,[2]REPUESTOS!$A:$S,19,FALSE),"SIN ANÁLISIS")</f>
        <v>-6.3205901828932709E-2</v>
      </c>
      <c r="I171" s="19">
        <f t="shared" si="11"/>
        <v>-2.4518338676698948E-6</v>
      </c>
      <c r="J171" s="10" t="str">
        <f>VLOOKUP(A171,[4]REPUESTOS!$B:$FY,180,FALSE)</f>
        <v>Si</v>
      </c>
    </row>
    <row r="172" spans="1:10" x14ac:dyDescent="0.3">
      <c r="A172" s="10" t="s">
        <v>337</v>
      </c>
      <c r="B172" s="10" t="s">
        <v>336</v>
      </c>
      <c r="C172" s="17">
        <f>IFERROR(VLOOKUP(A172,[1]REPUESTOS!$A:$D,4,FALSE),"")</f>
        <v>33996</v>
      </c>
      <c r="D172" s="18">
        <f>IFERROR(VLOOKUP(A172,[2]REPUESTOS!$A:$R,18,FALSE),C172)</f>
        <v>31847.612289335892</v>
      </c>
      <c r="E172" s="19">
        <f t="shared" si="9"/>
        <v>-6.3195308585248508E-2</v>
      </c>
      <c r="F172" s="10" t="str">
        <f>VLOOKUP(A172,[3]data!$W:$Z,4,FALSE)</f>
        <v>Si</v>
      </c>
      <c r="G172" s="10" t="str">
        <f t="shared" si="10"/>
        <v>Relé auxiliar 10A</v>
      </c>
      <c r="H172" s="19">
        <f>IFERROR(VLOOKUP(A172,[2]REPUESTOS!$A:$S,19,FALSE),"SIN ANÁLISIS")</f>
        <v>-6.3205901828932765E-2</v>
      </c>
      <c r="I172" s="19">
        <f t="shared" si="11"/>
        <v>-1.0593243684256515E-5</v>
      </c>
      <c r="J172" s="10" t="str">
        <f>VLOOKUP(A172,[4]REPUESTOS!$B:$FY,180,FALSE)</f>
        <v>Si</v>
      </c>
    </row>
    <row r="173" spans="1:10" x14ac:dyDescent="0.3">
      <c r="A173" s="10" t="s">
        <v>339</v>
      </c>
      <c r="B173" s="10" t="s">
        <v>338</v>
      </c>
      <c r="C173" s="17">
        <f>IFERROR(VLOOKUP(A173,[1]REPUESTOS!$A:$D,4,FALSE),"")</f>
        <v>447627</v>
      </c>
      <c r="D173" s="18">
        <f>IFERROR(VLOOKUP(A173,[2]REPUESTOS!$A:$R,18,FALSE),C173)</f>
        <v>419334.18899541441</v>
      </c>
      <c r="E173" s="19">
        <f t="shared" si="9"/>
        <v>-6.3206220814619282E-2</v>
      </c>
      <c r="F173" s="10" t="str">
        <f>VLOOKUP(A173,[3]data!$W:$Z,4,FALSE)</f>
        <v>Si</v>
      </c>
      <c r="G173" s="10" t="str">
        <f t="shared" si="10"/>
        <v>Rodillo lavatapete LTS400</v>
      </c>
      <c r="H173" s="19">
        <f>IFERROR(VLOOKUP(A173,[2]REPUESTOS!$A:$S,19,FALSE),"SIN ANÁLISIS")</f>
        <v>-6.3205901828932723E-2</v>
      </c>
      <c r="I173" s="19">
        <f t="shared" si="11"/>
        <v>3.1898568655930326E-7</v>
      </c>
      <c r="J173" s="10" t="str">
        <f>VLOOKUP(A173,[4]REPUESTOS!$B:$FY,180,FALSE)</f>
        <v>Si</v>
      </c>
    </row>
    <row r="174" spans="1:10" x14ac:dyDescent="0.3">
      <c r="A174" s="10" t="s">
        <v>341</v>
      </c>
      <c r="B174" s="10" t="s">
        <v>340</v>
      </c>
      <c r="C174" s="17">
        <f>IFERROR(VLOOKUP(A174,[1]REPUESTOS!$A:$D,4,FALSE),"")</f>
        <v>217186</v>
      </c>
      <c r="D174" s="18">
        <f>IFERROR(VLOOKUP(A174,[2]REPUESTOS!$A:$R,18,FALSE),C174)</f>
        <v>203458.6998721596</v>
      </c>
      <c r="E174" s="19">
        <f t="shared" si="9"/>
        <v>-6.3205271646608885E-2</v>
      </c>
      <c r="F174" s="10" t="str">
        <f>VLOOKUP(A174,[3]data!$W:$Z,4,FALSE)</f>
        <v>Si</v>
      </c>
      <c r="G174" s="10" t="str">
        <f t="shared" si="10"/>
        <v>Sensor conductivímetro</v>
      </c>
      <c r="H174" s="19">
        <f>IFERROR(VLOOKUP(A174,[2]REPUESTOS!$A:$S,19,FALSE),"SIN ANÁLISIS")</f>
        <v>-6.3205901828932695E-2</v>
      </c>
      <c r="I174" s="19">
        <f t="shared" si="11"/>
        <v>-6.3018232381029105E-7</v>
      </c>
      <c r="J174" s="10" t="str">
        <f>VLOOKUP(A174,[4]REPUESTOS!$B:$FY,180,FALSE)</f>
        <v>Si</v>
      </c>
    </row>
    <row r="175" spans="1:10" x14ac:dyDescent="0.3">
      <c r="A175" s="10" t="s">
        <v>343</v>
      </c>
      <c r="B175" s="10" t="s">
        <v>342</v>
      </c>
      <c r="C175" s="17">
        <f>IFERROR(VLOOKUP(A175,[1]REPUESTOS!$A:$D,4,FALSE),"")</f>
        <v>565038</v>
      </c>
      <c r="D175" s="18">
        <f>IFERROR(VLOOKUP(A175,[2]REPUESTOS!$A:$R,18,FALSE),C175)</f>
        <v>529323.82687849412</v>
      </c>
      <c r="E175" s="19">
        <f t="shared" si="9"/>
        <v>-6.3206674810377145E-2</v>
      </c>
      <c r="F175" s="10" t="str">
        <f>VLOOKUP(A175,[3]data!$W:$Z,4,FALSE)</f>
        <v>Si</v>
      </c>
      <c r="G175" s="10" t="str">
        <f t="shared" si="10"/>
        <v>Extensión 8+8 Siemens</v>
      </c>
      <c r="H175" s="19">
        <f>IFERROR(VLOOKUP(A175,[2]REPUESTOS!$A:$S,19,FALSE),"SIN ANÁLISIS")</f>
        <v>-6.3205901828932681E-2</v>
      </c>
      <c r="I175" s="19">
        <f t="shared" si="11"/>
        <v>7.7298144446347195E-7</v>
      </c>
      <c r="J175" s="10" t="str">
        <f>VLOOKUP(A175,[4]REPUESTOS!$B:$FY,180,FALSE)</f>
        <v>Si</v>
      </c>
    </row>
    <row r="176" spans="1:10" x14ac:dyDescent="0.3">
      <c r="A176" s="10" t="s">
        <v>345</v>
      </c>
      <c r="B176" s="10" t="s">
        <v>344</v>
      </c>
      <c r="C176" s="17">
        <f>IFERROR(VLOOKUP(A176,[1]REPUESTOS!$A:$D,4,FALSE),"")</f>
        <v>12131</v>
      </c>
      <c r="D176" s="18">
        <f>IFERROR(VLOOKUP(A176,[2]REPUESTOS!$A:$R,18,FALSE),C176)</f>
        <v>11364.485259773639</v>
      </c>
      <c r="E176" s="19">
        <f t="shared" si="9"/>
        <v>-6.3186443015939411E-2</v>
      </c>
      <c r="F176" s="10" t="str">
        <f>VLOOKUP(A176,[3]data!$W:$Z,4,FALSE)</f>
        <v>Si</v>
      </c>
      <c r="G176" s="10" t="str">
        <f t="shared" si="10"/>
        <v>Microinterruptor contactor motor trifásico</v>
      </c>
      <c r="H176" s="19">
        <f>IFERROR(VLOOKUP(A176,[2]REPUESTOS!$A:$S,19,FALSE),"SIN ANÁLISIS")</f>
        <v>-6.3205901828932778E-2</v>
      </c>
      <c r="I176" s="19">
        <f t="shared" si="11"/>
        <v>-1.9458812993367047E-5</v>
      </c>
      <c r="J176" s="10" t="str">
        <f>VLOOKUP(A176,[4]REPUESTOS!$B:$FY,180,FALSE)</f>
        <v>Si</v>
      </c>
    </row>
    <row r="177" spans="1:10" x14ac:dyDescent="0.3">
      <c r="A177" s="10" t="s">
        <v>347</v>
      </c>
      <c r="B177" s="10" t="s">
        <v>346</v>
      </c>
      <c r="C177" s="17">
        <f>IFERROR(VLOOKUP(A177,[1]REPUESTOS!$A:$D,4,FALSE),"")</f>
        <v>77496</v>
      </c>
      <c r="D177" s="18">
        <f>IFERROR(VLOOKUP(A177,[2]REPUESTOS!$A:$R,18,FALSE),C177)</f>
        <v>72598.034622452091</v>
      </c>
      <c r="E177" s="19">
        <f t="shared" si="9"/>
        <v>-6.3202815339474416E-2</v>
      </c>
      <c r="F177" s="10" t="str">
        <f>VLOOKUP(A177,[3]data!$W:$Z,4,FALSE)</f>
        <v>Si</v>
      </c>
      <c r="G177" s="10" t="str">
        <f t="shared" si="10"/>
        <v>Válvula robex con válvula retención 3/4\</v>
      </c>
      <c r="H177" s="19">
        <f>IFERROR(VLOOKUP(A177,[2]REPUESTOS!$A:$S,19,FALSE),"SIN ANÁLISIS")</f>
        <v>-6.3205901828932834E-2</v>
      </c>
      <c r="I177" s="19">
        <f t="shared" si="11"/>
        <v>-3.0864894584176072E-6</v>
      </c>
      <c r="J177" s="10" t="str">
        <f>VLOOKUP(A177,[4]REPUESTOS!$B:$FY,180,FALSE)</f>
        <v>Si</v>
      </c>
    </row>
    <row r="178" spans="1:10" x14ac:dyDescent="0.3">
      <c r="A178" s="10" t="s">
        <v>349</v>
      </c>
      <c r="B178" s="10" t="s">
        <v>348</v>
      </c>
      <c r="C178" s="17">
        <f>IFERROR(VLOOKUP(A178,[1]REPUESTOS!$A:$D,4,FALSE),"")</f>
        <v>82532</v>
      </c>
      <c r="D178" s="18">
        <f>IFERROR(VLOOKUP(A178,[2]REPUESTOS!$A:$R,18,FALSE),C178)</f>
        <v>77315.499490919305</v>
      </c>
      <c r="E178" s="19">
        <f t="shared" si="9"/>
        <v>-6.3205793014596709E-2</v>
      </c>
      <c r="F178" s="10" t="str">
        <f>VLOOKUP(A178,[3]data!$W:$Z,4,FALSE)</f>
        <v>Si</v>
      </c>
      <c r="G178" s="10" t="str">
        <f t="shared" si="10"/>
        <v>Transformador 380 / 18 - 24 V</v>
      </c>
      <c r="H178" s="19">
        <f>IFERROR(VLOOKUP(A178,[2]REPUESTOS!$A:$S,19,FALSE),"SIN ANÁLISIS")</f>
        <v>-6.3205901828932778E-2</v>
      </c>
      <c r="I178" s="19">
        <f t="shared" si="11"/>
        <v>-1.0881433606946267E-7</v>
      </c>
      <c r="J178" s="10" t="str">
        <f>VLOOKUP(A178,[4]REPUESTOS!$B:$FY,180,FALSE)</f>
        <v>Si</v>
      </c>
    </row>
    <row r="179" spans="1:10" x14ac:dyDescent="0.3">
      <c r="A179" s="10" t="s">
        <v>351</v>
      </c>
      <c r="B179" s="10" t="s">
        <v>350</v>
      </c>
      <c r="C179" s="17">
        <f>IFERROR(VLOOKUP(A179,[1]REPUESTOS!$A:$D,4,FALSE),"")</f>
        <v>19684</v>
      </c>
      <c r="D179" s="18">
        <f>IFERROR(VLOOKUP(A179,[2]REPUESTOS!$A:$R,18,FALSE),C179)</f>
        <v>18440.185254350014</v>
      </c>
      <c r="E179" s="19">
        <f t="shared" si="9"/>
        <v>-6.3189125464843857E-2</v>
      </c>
      <c r="F179" s="10" t="str">
        <f>VLOOKUP(A179,[3]data!$W:$Z,4,FALSE)</f>
        <v>Si</v>
      </c>
      <c r="G179" s="10" t="str">
        <f t="shared" si="10"/>
        <v>Recuadro Burket</v>
      </c>
      <c r="H179" s="19">
        <f>IFERROR(VLOOKUP(A179,[2]REPUESTOS!$A:$S,19,FALSE),"SIN ANÁLISIS")</f>
        <v>-6.3205901828932834E-2</v>
      </c>
      <c r="I179" s="19">
        <f t="shared" si="11"/>
        <v>-1.6776364088977314E-5</v>
      </c>
      <c r="J179" s="10" t="str">
        <f>VLOOKUP(A179,[4]REPUESTOS!$B:$FY,180,FALSE)</f>
        <v>Si</v>
      </c>
    </row>
    <row r="180" spans="1:10" x14ac:dyDescent="0.3">
      <c r="A180" s="10" t="s">
        <v>353</v>
      </c>
      <c r="B180" s="10" t="s">
        <v>352</v>
      </c>
      <c r="C180" s="17">
        <f>IFERROR(VLOOKUP(A180,[1]REPUESTOS!$A:$D,4,FALSE),"")</f>
        <v>1167963</v>
      </c>
      <c r="D180" s="18">
        <f>IFERROR(VLOOKUP(A180,[2]REPUESTOS!$A:$R,18,FALSE),C180)</f>
        <v>1094140.5345984921</v>
      </c>
      <c r="E180" s="19">
        <f t="shared" si="9"/>
        <v>-6.3206167833662466E-2</v>
      </c>
      <c r="F180" s="10" t="str">
        <f>VLOOKUP(A180,[3]data!$W:$Z,4,FALSE)</f>
        <v>Si</v>
      </c>
      <c r="G180" s="10" t="str">
        <f t="shared" si="10"/>
        <v>Bomba cat 5 cp</v>
      </c>
      <c r="H180" s="19">
        <f>IFERROR(VLOOKUP(A180,[2]REPUESTOS!$A:$S,19,FALSE),"SIN ANÁLISIS")</f>
        <v>-6.3205901828932667E-2</v>
      </c>
      <c r="I180" s="19">
        <f t="shared" si="11"/>
        <v>2.6600472979865231E-7</v>
      </c>
      <c r="J180" s="10" t="str">
        <f>VLOOKUP(A180,[4]REPUESTOS!$B:$FY,180,FALSE)</f>
        <v>Si</v>
      </c>
    </row>
    <row r="181" spans="1:10" x14ac:dyDescent="0.3">
      <c r="A181" s="10" t="s">
        <v>355</v>
      </c>
      <c r="B181" s="10" t="s">
        <v>354</v>
      </c>
      <c r="C181" s="17">
        <f>IFERROR(VLOOKUP(A181,[1]REPUESTOS!$A:$D,4,FALSE),"")</f>
        <v>109476</v>
      </c>
      <c r="D181" s="18">
        <f>IFERROR(VLOOKUP(A181,[2]REPUESTOS!$A:$R,18,FALSE),C181)</f>
        <v>102556.87065515312</v>
      </c>
      <c r="E181" s="19">
        <f t="shared" si="9"/>
        <v>-6.320224839094303E-2</v>
      </c>
      <c r="F181" s="10" t="str">
        <f>VLOOKUP(A181,[3]data!$W:$Z,4,FALSE)</f>
        <v>Si</v>
      </c>
      <c r="G181" s="10" t="str">
        <f t="shared" si="10"/>
        <v>Chapa aspirado tambor plástico (TW2013)</v>
      </c>
      <c r="H181" s="19">
        <f>IFERROR(VLOOKUP(A181,[2]REPUESTOS!$A:$S,19,FALSE),"SIN ANÁLISIS")</f>
        <v>-6.3205901828932681E-2</v>
      </c>
      <c r="I181" s="19">
        <f t="shared" si="11"/>
        <v>-3.6534379896507874E-6</v>
      </c>
      <c r="J181" s="10" t="str">
        <f>VLOOKUP(A181,[4]REPUESTOS!$B:$FY,180,FALSE)</f>
        <v>Si</v>
      </c>
    </row>
    <row r="182" spans="1:10" x14ac:dyDescent="0.3">
      <c r="A182" s="10" t="s">
        <v>357</v>
      </c>
      <c r="B182" s="10" t="s">
        <v>356</v>
      </c>
      <c r="C182" s="17">
        <f>IFERROR(VLOOKUP(A182,[1]REPUESTOS!$A:$D,4,FALSE),"")</f>
        <v>18525</v>
      </c>
      <c r="D182" s="18">
        <f>IFERROR(VLOOKUP(A182,[2]REPUESTOS!$A:$R,18,FALSE),C182)</f>
        <v>17354.064310566289</v>
      </c>
      <c r="E182" s="19">
        <f t="shared" si="9"/>
        <v>-6.3208404287919601E-2</v>
      </c>
      <c r="F182" s="10" t="str">
        <f>VLOOKUP(A182,[3]data!$W:$Z,4,FALSE)</f>
        <v>Si</v>
      </c>
      <c r="G182" s="10" t="str">
        <f t="shared" si="10"/>
        <v>Válvula fondo de bidones dispens de producto</v>
      </c>
      <c r="H182" s="19">
        <f>IFERROR(VLOOKUP(A182,[2]REPUESTOS!$A:$S,19,FALSE),"SIN ANÁLISIS")</f>
        <v>-6.3205901828932848E-2</v>
      </c>
      <c r="I182" s="19">
        <f t="shared" si="11"/>
        <v>2.5024589867528313E-6</v>
      </c>
      <c r="J182" s="10" t="str">
        <f>VLOOKUP(A182,[4]REPUESTOS!$B:$FY,180,FALSE)</f>
        <v>Si</v>
      </c>
    </row>
    <row r="183" spans="1:10" x14ac:dyDescent="0.3">
      <c r="A183" s="10" t="s">
        <v>359</v>
      </c>
      <c r="B183" s="10" t="s">
        <v>358</v>
      </c>
      <c r="C183" s="17">
        <f>IFERROR(VLOOKUP(A183,[1]REPUESTOS!$A:$D,4,FALSE),"")</f>
        <v>740468</v>
      </c>
      <c r="D183" s="18">
        <f>IFERROR(VLOOKUP(A183,[2]REPUESTOS!$A:$R,18,FALSE),C183)</f>
        <v>740468</v>
      </c>
      <c r="E183" s="19">
        <f t="shared" si="9"/>
        <v>0</v>
      </c>
      <c r="F183" s="10" t="str">
        <f>VLOOKUP(A183,[3]data!$W:$Z,4,FALSE)</f>
        <v>Si</v>
      </c>
      <c r="G183" s="10" t="str">
        <f t="shared" si="10"/>
        <v>Motor 4Kw/2,8 Kw (Camiones)</v>
      </c>
      <c r="H183" s="19" t="str">
        <f>IFERROR(VLOOKUP(A183,[2]REPUESTOS!$A:$S,19,FALSE),"SIN ANÁLISIS")</f>
        <v>SIN ANÁLISIS</v>
      </c>
      <c r="I183" s="19">
        <f t="shared" si="11"/>
        <v>0</v>
      </c>
      <c r="J183" s="10" t="str">
        <f>VLOOKUP(A183,[4]REPUESTOS!$B:$FY,180,FALSE)</f>
        <v>Si</v>
      </c>
    </row>
    <row r="184" spans="1:10" x14ac:dyDescent="0.3">
      <c r="A184" s="10" t="s">
        <v>361</v>
      </c>
      <c r="B184" s="10" t="s">
        <v>360</v>
      </c>
      <c r="C184" s="17">
        <f>IFERROR(VLOOKUP(A184,[1]REPUESTOS!$A:$D,4,FALSE),"")</f>
        <v>8828</v>
      </c>
      <c r="D184" s="18">
        <f>IFERROR(VLOOKUP(A184,[2]REPUESTOS!$A:$R,18,FALSE),C184)</f>
        <v>8270.2341094886924</v>
      </c>
      <c r="E184" s="19">
        <f t="shared" si="9"/>
        <v>-6.3181455653750287E-2</v>
      </c>
      <c r="F184" s="10" t="str">
        <f>VLOOKUP(A184,[3]data!$W:$Z,4,FALSE)</f>
        <v>Si</v>
      </c>
      <c r="G184" s="10" t="str">
        <f t="shared" si="10"/>
        <v>Zocalo finder 2S</v>
      </c>
      <c r="H184" s="19">
        <f>IFERROR(VLOOKUP(A184,[2]REPUESTOS!$A:$S,19,FALSE),"SIN ANÁLISIS")</f>
        <v>-6.3205901828932723E-2</v>
      </c>
      <c r="I184" s="19">
        <f t="shared" si="11"/>
        <v>-2.4446175182435415E-5</v>
      </c>
      <c r="J184" s="10" t="str">
        <f>VLOOKUP(A184,[4]REPUESTOS!$B:$FY,180,FALSE)</f>
        <v>Si</v>
      </c>
    </row>
    <row r="185" spans="1:10" x14ac:dyDescent="0.3">
      <c r="A185" s="10" t="s">
        <v>363</v>
      </c>
      <c r="B185" s="10" t="s">
        <v>362</v>
      </c>
      <c r="C185" s="17">
        <f>IFERROR(VLOOKUP(A185,[1]REPUESTOS!$A:$D,4,FALSE),"")</f>
        <v>18649</v>
      </c>
      <c r="D185" s="18">
        <f>IFERROR(VLOOKUP(A185,[2]REPUESTOS!$A:$R,18,FALSE),C185)</f>
        <v>17470.434411685979</v>
      </c>
      <c r="E185" s="19">
        <f t="shared" si="9"/>
        <v>-6.3197253917851928E-2</v>
      </c>
      <c r="F185" s="10" t="str">
        <f>VLOOKUP(A185,[3]data!$W:$Z,4,FALSE)</f>
        <v>Si</v>
      </c>
      <c r="G185" s="10" t="str">
        <f t="shared" si="10"/>
        <v>Tee de acople rapido x3 1/4</v>
      </c>
      <c r="H185" s="19">
        <f>IFERROR(VLOOKUP(A185,[2]REPUESTOS!$A:$S,19,FALSE),"SIN ANÁLISIS")</f>
        <v>-6.3205901828932737E-2</v>
      </c>
      <c r="I185" s="19">
        <f t="shared" si="11"/>
        <v>-8.6479110808085347E-6</v>
      </c>
      <c r="J185" s="10" t="str">
        <f>VLOOKUP(A185,[4]REPUESTOS!$B:$FY,180,FALSE)</f>
        <v>Si</v>
      </c>
    </row>
    <row r="186" spans="1:10" x14ac:dyDescent="0.3">
      <c r="A186" s="10" t="s">
        <v>365</v>
      </c>
      <c r="B186" s="10" t="s">
        <v>364</v>
      </c>
      <c r="C186" s="17">
        <f>IFERROR(VLOOKUP(A186,[1]REPUESTOS!$A:$D,4,FALSE),"")</f>
        <v>8229</v>
      </c>
      <c r="D186" s="18">
        <f>IFERROR(VLOOKUP(A186,[2]REPUESTOS!$A:$R,18,FALSE),C186)</f>
        <v>7709.2705451168804</v>
      </c>
      <c r="E186" s="19">
        <f t="shared" si="9"/>
        <v>-6.3158276204049055E-2</v>
      </c>
      <c r="F186" s="10" t="str">
        <f>VLOOKUP(A186,[3]data!$W:$Z,4,FALSE)</f>
        <v>Si</v>
      </c>
      <c r="G186" s="10" t="str">
        <f t="shared" si="10"/>
        <v>sujetador manguera aspiradora</v>
      </c>
      <c r="H186" s="19">
        <f>IFERROR(VLOOKUP(A186,[2]REPUESTOS!$A:$S,19,FALSE),"SIN ANÁLISIS")</f>
        <v>-6.3205901828932695E-2</v>
      </c>
      <c r="I186" s="19">
        <f t="shared" si="11"/>
        <v>-4.7625624883640416E-5</v>
      </c>
      <c r="J186" s="10" t="str">
        <f>VLOOKUP(A186,[4]REPUESTOS!$B:$FY,180,FALSE)</f>
        <v>Si</v>
      </c>
    </row>
    <row r="187" spans="1:10" x14ac:dyDescent="0.3">
      <c r="A187" s="10" t="s">
        <v>367</v>
      </c>
      <c r="B187" s="10" t="s">
        <v>366</v>
      </c>
      <c r="C187" s="17">
        <f>IFERROR(VLOOKUP(A187,[1]REPUESTOS!$A:$D,4,FALSE),"")</f>
        <v>33</v>
      </c>
      <c r="D187" s="18">
        <f>IFERROR(VLOOKUP(A187,[2]REPUESTOS!$A:$R,18,FALSE),C187)</f>
        <v>30.833103715471974</v>
      </c>
      <c r="E187" s="19">
        <f t="shared" si="9"/>
        <v>-6.5663523773576538E-2</v>
      </c>
      <c r="F187" s="10" t="str">
        <f>VLOOKUP(A187,[3]data!$W:$Z,4,FALSE)</f>
        <v>Si</v>
      </c>
      <c r="G187" s="10" t="str">
        <f t="shared" si="10"/>
        <v>Tuerca inoxidable protector fichero</v>
      </c>
      <c r="H187" s="19">
        <f>IFERROR(VLOOKUP(A187,[2]REPUESTOS!$A:$S,19,FALSE),"SIN ANÁLISIS")</f>
        <v>-6.3205901828932765E-2</v>
      </c>
      <c r="I187" s="19">
        <f t="shared" si="11"/>
        <v>2.457621944643773E-3</v>
      </c>
      <c r="J187" s="10" t="str">
        <f>VLOOKUP(A187,[4]REPUESTOS!$B:$FY,180,FALSE)</f>
        <v>Si</v>
      </c>
    </row>
    <row r="188" spans="1:10" x14ac:dyDescent="0.3">
      <c r="A188" s="10" t="s">
        <v>369</v>
      </c>
      <c r="B188" s="10" t="s">
        <v>368</v>
      </c>
      <c r="C188" s="17">
        <f>IFERROR(VLOOKUP(A188,[1]REPUESTOS!$A:$D,4,FALSE),"")</f>
        <v>4175</v>
      </c>
      <c r="D188" s="18">
        <f>IFERROR(VLOOKUP(A188,[2]REPUESTOS!$A:$R,18,FALSE),C188)</f>
        <v>4111.7977016213508</v>
      </c>
      <c r="E188" s="19">
        <f t="shared" si="9"/>
        <v>-1.5138275060754294E-2</v>
      </c>
      <c r="F188" s="10" t="str">
        <f>VLOOKUP(A188,[3]data!$W:$Z,4,FALSE)</f>
        <v>Si</v>
      </c>
      <c r="G188" s="10" t="str">
        <f t="shared" si="10"/>
        <v>Separador pvc (bomba 3cp) CAT</v>
      </c>
      <c r="H188" s="19">
        <f>IFERROR(VLOOKUP(A188,[2]REPUESTOS!$A:$S,19,FALSE),"SIN ANÁLISIS")</f>
        <v>-1.5106888361045061E-2</v>
      </c>
      <c r="I188" s="19">
        <f t="shared" si="11"/>
        <v>3.1386699709232829E-5</v>
      </c>
      <c r="J188" s="10" t="str">
        <f>VLOOKUP(A188,[4]REPUESTOS!$B:$FY,180,FALSE)</f>
        <v>Si</v>
      </c>
    </row>
    <row r="189" spans="1:10" x14ac:dyDescent="0.3">
      <c r="A189" s="10" t="s">
        <v>371</v>
      </c>
      <c r="B189" s="10" t="s">
        <v>370</v>
      </c>
      <c r="C189" s="17">
        <f>IFERROR(VLOOKUP(A189,[1]REPUESTOS!$A:$D,4,FALSE),"")</f>
        <v>13873</v>
      </c>
      <c r="D189" s="18">
        <f>IFERROR(VLOOKUP(A189,[2]REPUESTOS!$A:$R,18,FALSE),C189)</f>
        <v>13663.171098975865</v>
      </c>
      <c r="E189" s="19">
        <f t="shared" si="9"/>
        <v>-1.5124983855268155E-2</v>
      </c>
      <c r="F189" s="10" t="str">
        <f>VLOOKUP(A189,[3]data!$W:$Z,4,FALSE)</f>
        <v>Si</v>
      </c>
      <c r="G189" s="10" t="str">
        <f t="shared" si="10"/>
        <v>Sello de aceite (bomba 3cp) CAT</v>
      </c>
      <c r="H189" s="19">
        <f>IFERROR(VLOOKUP(A189,[2]REPUESTOS!$A:$S,19,FALSE),"SIN ANÁLISIS")</f>
        <v>-1.5106888361045139E-2</v>
      </c>
      <c r="I189" s="19">
        <f t="shared" si="11"/>
        <v>1.8095494223015901E-5</v>
      </c>
      <c r="J189" s="10" t="str">
        <f>VLOOKUP(A189,[4]REPUESTOS!$B:$FY,180,FALSE)</f>
        <v>Si</v>
      </c>
    </row>
    <row r="190" spans="1:10" x14ac:dyDescent="0.3">
      <c r="A190" s="10" t="s">
        <v>373</v>
      </c>
      <c r="B190" s="10" t="s">
        <v>372</v>
      </c>
      <c r="C190" s="17">
        <f>IFERROR(VLOOKUP(A190,[1]REPUESTOS!$A:$D,4,FALSE),"")</f>
        <v>83777</v>
      </c>
      <c r="D190" s="18">
        <f>IFERROR(VLOOKUP(A190,[2]REPUESTOS!$A:$R,18,FALSE),C190)</f>
        <v>82511.096475972197</v>
      </c>
      <c r="E190" s="19">
        <f t="shared" si="9"/>
        <v>-1.5110394547761349E-2</v>
      </c>
      <c r="F190" s="10" t="str">
        <f>VLOOKUP(A190,[3]data!$W:$Z,4,FALSE)</f>
        <v>Si</v>
      </c>
      <c r="G190" s="10" t="str">
        <f t="shared" si="10"/>
        <v>Pistón cerámicos (bomba 3cp) CAT</v>
      </c>
      <c r="H190" s="19">
        <f>IFERROR(VLOOKUP(A190,[2]REPUESTOS!$A:$S,19,FALSE),"SIN ANÁLISIS")</f>
        <v>-1.5106888361045123E-2</v>
      </c>
      <c r="I190" s="19">
        <f t="shared" si="11"/>
        <v>3.5061867162261562E-6</v>
      </c>
      <c r="J190" s="10" t="str">
        <f>VLOOKUP(A190,[4]REPUESTOS!$B:$FY,180,FALSE)</f>
        <v>Si</v>
      </c>
    </row>
    <row r="191" spans="1:10" x14ac:dyDescent="0.3">
      <c r="A191" s="10" t="s">
        <v>375</v>
      </c>
      <c r="B191" s="10" t="s">
        <v>374</v>
      </c>
      <c r="C191" s="17">
        <f>IFERROR(VLOOKUP(A191,[1]REPUESTOS!$A:$D,4,FALSE),"")</f>
        <v>4550</v>
      </c>
      <c r="D191" s="18">
        <f>IFERROR(VLOOKUP(A191,[2]REPUESTOS!$A:$R,18,FALSE),C191)</f>
        <v>4480.8912234502659</v>
      </c>
      <c r="E191" s="19">
        <f t="shared" si="9"/>
        <v>-1.518874209884266E-2</v>
      </c>
      <c r="F191" s="10" t="str">
        <f>VLOOKUP(A191,[3]data!$W:$Z,4,FALSE)</f>
        <v>Si</v>
      </c>
      <c r="G191" s="10" t="str">
        <f t="shared" si="10"/>
        <v>Perno culatín m8x65 (bomba 3cp) CAT</v>
      </c>
      <c r="H191" s="19">
        <f>IFERROR(VLOOKUP(A191,[2]REPUESTOS!$A:$S,19,FALSE),"SIN ANÁLISIS")</f>
        <v>-1.5106888361045132E-2</v>
      </c>
      <c r="I191" s="19">
        <f t="shared" si="11"/>
        <v>8.185373779752772E-5</v>
      </c>
      <c r="J191" s="10" t="str">
        <f>VLOOKUP(A191,[4]REPUESTOS!$B:$FY,180,FALSE)</f>
        <v>Si</v>
      </c>
    </row>
    <row r="192" spans="1:10" x14ac:dyDescent="0.3">
      <c r="A192" s="10" t="s">
        <v>377</v>
      </c>
      <c r="B192" s="10" t="s">
        <v>376</v>
      </c>
      <c r="C192" s="17">
        <f>IFERROR(VLOOKUP(A192,[1]REPUESTOS!$A:$D,4,FALSE),"")</f>
        <v>70463</v>
      </c>
      <c r="D192" s="18">
        <f>IFERROR(VLOOKUP(A192,[2]REPUESTOS!$A:$R,18,FALSE),C192)</f>
        <v>69398.210264086723</v>
      </c>
      <c r="E192" s="19">
        <f t="shared" si="9"/>
        <v>-1.5111331279015606E-2</v>
      </c>
      <c r="F192" s="10" t="str">
        <f>VLOOKUP(A192,[3]data!$W:$Z,4,FALSE)</f>
        <v>Si</v>
      </c>
      <c r="G192" s="10" t="str">
        <f t="shared" si="10"/>
        <v>Kit de válvulas 33062 (bomba 3cp) CAT</v>
      </c>
      <c r="H192" s="19">
        <f>IFERROR(VLOOKUP(A192,[2]REPUESTOS!$A:$S,19,FALSE),"SIN ANÁLISIS")</f>
        <v>-1.5106888361045085E-2</v>
      </c>
      <c r="I192" s="19">
        <f t="shared" si="11"/>
        <v>4.4429179705211125E-6</v>
      </c>
      <c r="J192" s="10" t="str">
        <f>VLOOKUP(A192,[4]REPUESTOS!$B:$FY,180,FALSE)</f>
        <v>Si</v>
      </c>
    </row>
    <row r="193" spans="1:10" x14ac:dyDescent="0.3">
      <c r="A193" s="10" t="s">
        <v>379</v>
      </c>
      <c r="B193" s="10" t="s">
        <v>378</v>
      </c>
      <c r="C193" s="17">
        <f>IFERROR(VLOOKUP(A193,[1]REPUESTOS!$A:$D,4,FALSE),"")</f>
        <v>92707</v>
      </c>
      <c r="D193" s="18">
        <f>IFERROR(VLOOKUP(A193,[2]REPUESTOS!$A:$R,18,FALSE),C193)</f>
        <v>91306.067824695507</v>
      </c>
      <c r="E193" s="19">
        <f t="shared" si="9"/>
        <v>-1.5111395852573088E-2</v>
      </c>
      <c r="F193" s="10" t="str">
        <f>VLOOKUP(A193,[3]data!$W:$Z,4,FALSE)</f>
        <v>Si</v>
      </c>
      <c r="G193" s="10" t="str">
        <f t="shared" si="10"/>
        <v>Kit sellos de agua 33983 (bomba 3cp) CAT</v>
      </c>
      <c r="H193" s="19">
        <f>IFERROR(VLOOKUP(A193,[2]REPUESTOS!$A:$S,19,FALSE),"SIN ANÁLISIS")</f>
        <v>-1.5106888361045134E-2</v>
      </c>
      <c r="I193" s="19">
        <f t="shared" si="11"/>
        <v>4.5074915279545713E-6</v>
      </c>
      <c r="J193" s="10" t="str">
        <f>VLOOKUP(A193,[4]REPUESTOS!$B:$FY,180,FALSE)</f>
        <v>Si</v>
      </c>
    </row>
    <row r="194" spans="1:10" x14ac:dyDescent="0.3">
      <c r="A194" s="10" t="s">
        <v>381</v>
      </c>
      <c r="B194" s="10" t="s">
        <v>380</v>
      </c>
      <c r="C194" s="17">
        <f>IFERROR(VLOOKUP(A194,[1]REPUESTOS!$A:$D,4,FALSE),"")</f>
        <v>4718</v>
      </c>
      <c r="D194" s="18">
        <f>IFERROR(VLOOKUP(A194,[2]REPUESTOS!$A:$R,18,FALSE),C194)</f>
        <v>4646.7436371552076</v>
      </c>
      <c r="E194" s="19">
        <f t="shared" si="9"/>
        <v>-1.5103086656378216E-2</v>
      </c>
      <c r="F194" s="10" t="str">
        <f>VLOOKUP(A194,[3]data!$W:$Z,4,FALSE)</f>
        <v>Si</v>
      </c>
      <c r="G194" s="10" t="str">
        <f t="shared" si="10"/>
        <v>Golilla cóncava pistón (bomba 3cp) CAT</v>
      </c>
      <c r="H194" s="19">
        <f>IFERROR(VLOOKUP(A194,[2]REPUESTOS!$A:$S,19,FALSE),"SIN ANÁLISIS")</f>
        <v>-1.510688836104505E-2</v>
      </c>
      <c r="I194" s="19">
        <f t="shared" si="11"/>
        <v>-3.8017046668347571E-6</v>
      </c>
      <c r="J194" s="10" t="str">
        <f>VLOOKUP(A194,[4]REPUESTOS!$B:$FY,180,FALSE)</f>
        <v>Si</v>
      </c>
    </row>
    <row r="195" spans="1:10" x14ac:dyDescent="0.3">
      <c r="A195" s="10" t="s">
        <v>383</v>
      </c>
      <c r="B195" s="10" t="s">
        <v>382</v>
      </c>
      <c r="C195" s="17">
        <f>IFERROR(VLOOKUP(A195,[1]REPUESTOS!$A:$D,4,FALSE),"")</f>
        <v>6383</v>
      </c>
      <c r="D195" s="18">
        <f>IFERROR(VLOOKUP(A195,[2]REPUESTOS!$A:$R,18,FALSE),C195)</f>
        <v>6287.0527692312471</v>
      </c>
      <c r="E195" s="19">
        <f t="shared" si="9"/>
        <v>-1.5031682714828904E-2</v>
      </c>
      <c r="F195" s="10" t="str">
        <f>VLOOKUP(A195,[3]data!$W:$Z,4,FALSE)</f>
        <v>Si</v>
      </c>
      <c r="G195" s="10" t="str">
        <f t="shared" si="10"/>
        <v>O-ring tapa (bomba 3cp) CAT</v>
      </c>
      <c r="H195" s="19">
        <f>IFERROR(VLOOKUP(A195,[2]REPUESTOS!$A:$S,19,FALSE),"SIN ANÁLISIS")</f>
        <v>-1.5106888361045059E-2</v>
      </c>
      <c r="I195" s="19">
        <f t="shared" si="11"/>
        <v>-7.5205646216155303E-5</v>
      </c>
      <c r="J195" s="10" t="str">
        <f>VLOOKUP(A195,[4]REPUESTOS!$B:$FY,180,FALSE)</f>
        <v>Si</v>
      </c>
    </row>
    <row r="196" spans="1:10" x14ac:dyDescent="0.3">
      <c r="A196" s="10" t="s">
        <v>385</v>
      </c>
      <c r="B196" s="10" t="s">
        <v>384</v>
      </c>
      <c r="C196" s="17">
        <f>IFERROR(VLOOKUP(A196,[1]REPUESTOS!$A:$D,4,FALSE),"")</f>
        <v>3932</v>
      </c>
      <c r="D196" s="18">
        <f>IFERROR(VLOOKUP(A196,[2]REPUESTOS!$A:$R,18,FALSE),C196)</f>
        <v>3872.126583550626</v>
      </c>
      <c r="E196" s="19">
        <f t="shared" si="9"/>
        <v>-1.5227216797907926E-2</v>
      </c>
      <c r="F196" s="10" t="str">
        <f>VLOOKUP(A196,[3]data!$W:$Z,4,FALSE)</f>
        <v>Si</v>
      </c>
      <c r="G196" s="10" t="str">
        <f t="shared" si="10"/>
        <v>Golilla pistón ranurada (bomba 3cp) CAT</v>
      </c>
      <c r="H196" s="19">
        <f>IFERROR(VLOOKUP(A196,[2]REPUESTOS!$A:$S,19,FALSE),"SIN ANÁLISIS")</f>
        <v>-1.5106888361045069E-2</v>
      </c>
      <c r="I196" s="19">
        <f t="shared" si="11"/>
        <v>1.2032843686285606E-4</v>
      </c>
      <c r="J196" s="10" t="str">
        <f>VLOOKUP(A196,[4]REPUESTOS!$B:$FY,180,FALSE)</f>
        <v>Si</v>
      </c>
    </row>
    <row r="197" spans="1:10" x14ac:dyDescent="0.3">
      <c r="A197" s="10" t="s">
        <v>387</v>
      </c>
      <c r="B197" s="10" t="s">
        <v>386</v>
      </c>
      <c r="C197" s="17">
        <f>IFERROR(VLOOKUP(A197,[1]REPUESTOS!$A:$D,4,FALSE),"")</f>
        <v>3193</v>
      </c>
      <c r="D197" s="18">
        <f>IFERROR(VLOOKUP(A197,[2]REPUESTOS!$A:$R,18,FALSE),C197)</f>
        <v>3193</v>
      </c>
      <c r="E197" s="19">
        <f t="shared" si="9"/>
        <v>0</v>
      </c>
      <c r="F197" s="10" t="str">
        <f>VLOOKUP(A197,[3]data!$W:$Z,4,FALSE)</f>
        <v>Si</v>
      </c>
      <c r="G197" s="10" t="str">
        <f t="shared" si="10"/>
        <v>O-ring tapa rodamiento (bomba 3cp) CAT</v>
      </c>
      <c r="H197" s="19" t="str">
        <f>IFERROR(VLOOKUP(A197,[2]REPUESTOS!$A:$S,19,FALSE),"SIN ANÁLISIS")</f>
        <v>SIN ANÁLISIS</v>
      </c>
      <c r="I197" s="19">
        <f t="shared" si="11"/>
        <v>0</v>
      </c>
      <c r="J197" s="10" t="str">
        <f>VLOOKUP(A197,[4]REPUESTOS!$B:$FY,180,FALSE)</f>
        <v>Si</v>
      </c>
    </row>
    <row r="198" spans="1:10" x14ac:dyDescent="0.3">
      <c r="A198" s="10" t="s">
        <v>389</v>
      </c>
      <c r="B198" s="10" t="s">
        <v>388</v>
      </c>
      <c r="C198" s="17">
        <f>IFERROR(VLOOKUP(A198,[1]REPUESTOS!$A:$D,4,FALSE),"")</f>
        <v>4915</v>
      </c>
      <c r="D198" s="18">
        <f>IFERROR(VLOOKUP(A198,[2]REPUESTOS!$A:$R,18,FALSE),C198)</f>
        <v>4840.3979005563533</v>
      </c>
      <c r="E198" s="19">
        <f t="shared" ref="E198:E261" si="12">IFERROR((D198-C198)/C198,0)</f>
        <v>-1.5178453599928117E-2</v>
      </c>
      <c r="F198" s="10" t="str">
        <f>VLOOKUP(A198,[3]data!$W:$Z,4,FALSE)</f>
        <v>Si</v>
      </c>
      <c r="G198" s="10" t="str">
        <f t="shared" ref="G198:G261" si="13">MID(B198,15,100)</f>
        <v>Retainer, plunger w/stud3/5cp</v>
      </c>
      <c r="H198" s="19">
        <f>IFERROR(VLOOKUP(A198,[2]REPUESTOS!$A:$S,19,FALSE),"SIN ANÁLISIS")</f>
        <v>-1.5106888361045068E-2</v>
      </c>
      <c r="I198" s="19">
        <f t="shared" ref="I198:I261" si="14">IFERROR(H198-E198,0)</f>
        <v>7.1565238883049623E-5</v>
      </c>
      <c r="J198" s="10" t="str">
        <f>VLOOKUP(A198,[4]REPUESTOS!$B:$FY,180,FALSE)</f>
        <v>Si</v>
      </c>
    </row>
    <row r="199" spans="1:10" x14ac:dyDescent="0.3">
      <c r="A199" s="10" t="s">
        <v>391</v>
      </c>
      <c r="B199" s="10" t="s">
        <v>390</v>
      </c>
      <c r="C199" s="17">
        <f>IFERROR(VLOOKUP(A199,[1]REPUESTOS!$A:$D,4,FALSE),"")</f>
        <v>1020</v>
      </c>
      <c r="D199" s="18">
        <f>IFERROR(VLOOKUP(A199,[2]REPUESTOS!$A:$R,18,FALSE),C199)</f>
        <v>1004.7013269524774</v>
      </c>
      <c r="E199" s="19">
        <f t="shared" si="12"/>
        <v>-1.4998699066198612E-2</v>
      </c>
      <c r="F199" s="10" t="str">
        <f>VLOOKUP(A199,[3]data!$W:$Z,4,FALSE)</f>
        <v>Si</v>
      </c>
      <c r="G199" s="10" t="str">
        <f t="shared" si="13"/>
        <v>O-ring tapón inferior aceite (bomba 3cp) CAT</v>
      </c>
      <c r="H199" s="19">
        <f>IFERROR(VLOOKUP(A199,[2]REPUESTOS!$A:$S,19,FALSE),"SIN ANÁLISIS")</f>
        <v>-1.5106888361045019E-2</v>
      </c>
      <c r="I199" s="19">
        <f t="shared" si="14"/>
        <v>-1.0818929484640756E-4</v>
      </c>
      <c r="J199" s="10" t="str">
        <f>VLOOKUP(A199,[4]REPUESTOS!$B:$FY,180,FALSE)</f>
        <v>Si</v>
      </c>
    </row>
    <row r="200" spans="1:10" x14ac:dyDescent="0.3">
      <c r="A200" s="10" t="s">
        <v>393</v>
      </c>
      <c r="B200" s="10" t="s">
        <v>392</v>
      </c>
      <c r="C200" s="17">
        <f>IFERROR(VLOOKUP(A200,[1]REPUESTOS!$A:$D,4,FALSE),"")</f>
        <v>31451</v>
      </c>
      <c r="D200" s="18">
        <f>IFERROR(VLOOKUP(A200,[2]REPUESTOS!$A:$R,18,FALSE),C200)</f>
        <v>30976.053983932725</v>
      </c>
      <c r="E200" s="19">
        <f t="shared" si="12"/>
        <v>-1.5101141969008147E-2</v>
      </c>
      <c r="F200" s="10" t="str">
        <f>VLOOKUP(A200,[3]data!$W:$Z,4,FALSE)</f>
        <v>Si</v>
      </c>
      <c r="G200" s="10" t="str">
        <f t="shared" si="13"/>
        <v>Portasello (bomba 3cp) CAT</v>
      </c>
      <c r="H200" s="19">
        <f>IFERROR(VLOOKUP(A200,[2]REPUESTOS!$A:$S,19,FALSE),"SIN ANÁLISIS")</f>
        <v>-1.5106888361045057E-2</v>
      </c>
      <c r="I200" s="19">
        <f t="shared" si="14"/>
        <v>-5.7463920369107968E-6</v>
      </c>
      <c r="J200" s="10" t="str">
        <f>VLOOKUP(A200,[4]REPUESTOS!$B:$FY,180,FALSE)</f>
        <v>Si</v>
      </c>
    </row>
    <row r="201" spans="1:10" x14ac:dyDescent="0.3">
      <c r="A201" s="10" t="s">
        <v>395</v>
      </c>
      <c r="B201" s="10" t="s">
        <v>394</v>
      </c>
      <c r="C201" s="17">
        <f>IFERROR(VLOOKUP(A201,[1]REPUESTOS!$A:$D,4,FALSE),"")</f>
        <v>33071</v>
      </c>
      <c r="D201" s="18">
        <f>IFERROR(VLOOKUP(A201,[2]REPUESTOS!$A:$R,18,FALSE),C201)</f>
        <v>32571.304945811466</v>
      </c>
      <c r="E201" s="19">
        <f t="shared" si="12"/>
        <v>-1.5109765479983503E-2</v>
      </c>
      <c r="F201" s="10" t="str">
        <f>VLOOKUP(A201,[3]data!$W:$Z,4,FALSE)</f>
        <v>Si</v>
      </c>
      <c r="G201" s="10" t="str">
        <f t="shared" si="13"/>
        <v>Rodamiento (bomba 3cp) CAT</v>
      </c>
      <c r="H201" s="19">
        <f>IFERROR(VLOOKUP(A201,[2]REPUESTOS!$A:$S,19,FALSE),"SIN ANÁLISIS")</f>
        <v>-1.5106888361045035E-2</v>
      </c>
      <c r="I201" s="19">
        <f t="shared" si="14"/>
        <v>2.8771189384685369E-6</v>
      </c>
      <c r="J201" s="10" t="str">
        <f>VLOOKUP(A201,[4]REPUESTOS!$B:$FY,180,FALSE)</f>
        <v>Si</v>
      </c>
    </row>
    <row r="202" spans="1:10" x14ac:dyDescent="0.3">
      <c r="A202" s="10" t="s">
        <v>397</v>
      </c>
      <c r="B202" s="10" t="s">
        <v>396</v>
      </c>
      <c r="C202" s="17">
        <f>IFERROR(VLOOKUP(A202,[1]REPUESTOS!$A:$D,4,FALSE),"")</f>
        <v>6823</v>
      </c>
      <c r="D202" s="18">
        <f>IFERROR(VLOOKUP(A202,[2]REPUESTOS!$A:$R,18,FALSE),C202)</f>
        <v>6720.3781507031163</v>
      </c>
      <c r="E202" s="19">
        <f t="shared" si="12"/>
        <v>-1.5040575889914075E-2</v>
      </c>
      <c r="F202" s="10" t="str">
        <f>VLOOKUP(A202,[3]data!$W:$Z,4,FALSE)</f>
        <v>Si</v>
      </c>
      <c r="G202" s="10" t="str">
        <f t="shared" si="13"/>
        <v>Tapón inferior aceite (bomba 3cp) CAT</v>
      </c>
      <c r="H202" s="19">
        <f>IFERROR(VLOOKUP(A202,[2]REPUESTOS!$A:$S,19,FALSE),"SIN ANÁLISIS")</f>
        <v>-1.5106888361045135E-2</v>
      </c>
      <c r="I202" s="19">
        <f t="shared" si="14"/>
        <v>-6.6312471131060174E-5</v>
      </c>
      <c r="J202" s="10" t="str">
        <f>VLOOKUP(A202,[4]REPUESTOS!$B:$FY,180,FALSE)</f>
        <v>Si</v>
      </c>
    </row>
    <row r="203" spans="1:10" x14ac:dyDescent="0.3">
      <c r="A203" s="10" t="s">
        <v>399</v>
      </c>
      <c r="B203" s="10" t="s">
        <v>398</v>
      </c>
      <c r="C203" s="17">
        <f>IFERROR(VLOOKUP(A203,[1]REPUESTOS!$A:$D,4,FALSE),"")</f>
        <v>29486</v>
      </c>
      <c r="D203" s="18">
        <f>IFERROR(VLOOKUP(A203,[2]REPUESTOS!$A:$R,18,FALSE),C203)</f>
        <v>29040.470034393555</v>
      </c>
      <c r="E203" s="19">
        <f t="shared" si="12"/>
        <v>-1.510988148973904E-2</v>
      </c>
      <c r="F203" s="10" t="str">
        <f>VLOOKUP(A203,[3]data!$W:$Z,4,FALSE)</f>
        <v>Si</v>
      </c>
      <c r="G203" s="10" t="str">
        <f t="shared" si="13"/>
        <v>Tapa válvula (bomba 3cp) CAT</v>
      </c>
      <c r="H203" s="19">
        <f>IFERROR(VLOOKUP(A203,[2]REPUESTOS!$A:$S,19,FALSE),"SIN ANÁLISIS")</f>
        <v>-1.510688836104504E-2</v>
      </c>
      <c r="I203" s="19">
        <f t="shared" si="14"/>
        <v>2.9931286939996471E-6</v>
      </c>
      <c r="J203" s="10" t="str">
        <f>VLOOKUP(A203,[4]REPUESTOS!$B:$FY,180,FALSE)</f>
        <v>Si</v>
      </c>
    </row>
    <row r="204" spans="1:10" x14ac:dyDescent="0.3">
      <c r="A204" s="10" t="s">
        <v>401</v>
      </c>
      <c r="B204" s="10" t="s">
        <v>400</v>
      </c>
      <c r="C204" s="17">
        <f>IFERROR(VLOOKUP(A204,[1]REPUESTOS!$A:$D,4,FALSE),"")</f>
        <v>11963</v>
      </c>
      <c r="D204" s="18">
        <f>IFERROR(VLOOKUP(A204,[2]REPUESTOS!$A:$R,18,FALSE),C204)</f>
        <v>11782.232164356821</v>
      </c>
      <c r="E204" s="19">
        <f t="shared" si="12"/>
        <v>-1.5110577250119439E-2</v>
      </c>
      <c r="F204" s="10" t="str">
        <f>VLOOKUP(A204,[3]data!$W:$Z,4,FALSE)</f>
        <v>Si</v>
      </c>
      <c r="G204" s="10" t="str">
        <f t="shared" si="13"/>
        <v>Visor nivel de aceite (bomba 3cp) CAT</v>
      </c>
      <c r="H204" s="19">
        <f>IFERROR(VLOOKUP(A204,[2]REPUESTOS!$A:$S,19,FALSE),"SIN ANÁLISIS")</f>
        <v>-1.5106888361045E-2</v>
      </c>
      <c r="I204" s="19">
        <f t="shared" si="14"/>
        <v>3.6888890744390251E-6</v>
      </c>
      <c r="J204" s="10" t="str">
        <f>VLOOKUP(A204,[4]REPUESTOS!$B:$FY,180,FALSE)</f>
        <v>Si</v>
      </c>
    </row>
    <row r="205" spans="1:10" x14ac:dyDescent="0.3">
      <c r="A205" s="10" t="s">
        <v>403</v>
      </c>
      <c r="B205" s="10" t="s">
        <v>402</v>
      </c>
      <c r="C205" s="17">
        <f>IFERROR(VLOOKUP(A205,[1]REPUESTOS!$A:$D,4,FALSE),"")</f>
        <v>0</v>
      </c>
      <c r="D205" s="18">
        <f>IFERROR(VLOOKUP(A205,[2]REPUESTOS!$A:$R,18,FALSE),C205)</f>
        <v>0</v>
      </c>
      <c r="E205" s="19">
        <f t="shared" si="12"/>
        <v>0</v>
      </c>
      <c r="F205" s="10" t="str">
        <f>VLOOKUP(A205,[3]data!$W:$Z,4,FALSE)</f>
        <v>Si</v>
      </c>
      <c r="G205" s="10" t="str">
        <f t="shared" si="13"/>
        <v>Ablandador en fibra, modelo HAF 1800 DA, operación automática.</v>
      </c>
      <c r="H205" s="19" t="str">
        <f>IFERROR(VLOOKUP(A205,[2]REPUESTOS!$A:$S,19,FALSE),"SIN ANÁLISIS")</f>
        <v>SIN ANÁLISIS</v>
      </c>
      <c r="I205" s="19">
        <f t="shared" si="14"/>
        <v>0</v>
      </c>
      <c r="J205" s="10" t="str">
        <f>VLOOKUP(A205,[4]REPUESTOS!$B:$FY,180,FALSE)</f>
        <v>Si</v>
      </c>
    </row>
    <row r="206" spans="1:10" x14ac:dyDescent="0.3">
      <c r="A206" s="10" t="s">
        <v>405</v>
      </c>
      <c r="B206" s="10" t="s">
        <v>404</v>
      </c>
      <c r="C206" s="17">
        <f>IFERROR(VLOOKUP(A206,[1]REPUESTOS!$A:$D,4,FALSE),"")</f>
        <v>285027</v>
      </c>
      <c r="D206" s="18">
        <f>IFERROR(VLOOKUP(A206,[2]REPUESTOS!$A:$R,18,FALSE),C206)</f>
        <v>280721.02848940599</v>
      </c>
      <c r="E206" s="19">
        <f t="shared" si="12"/>
        <v>-1.5107240754714509E-2</v>
      </c>
      <c r="F206" s="10" t="str">
        <f>VLOOKUP(A206,[3]data!$W:$Z,4,FALSE)</f>
        <v>Si</v>
      </c>
      <c r="G206" s="10" t="str">
        <f t="shared" si="13"/>
        <v>Membrana de osmosis para nueva Mself</v>
      </c>
      <c r="H206" s="19">
        <f>IFERROR(VLOOKUP(A206,[2]REPUESTOS!$A:$S,19,FALSE),"SIN ANÁLISIS")</f>
        <v>-1.5106888361045109E-2</v>
      </c>
      <c r="I206" s="19">
        <f t="shared" si="14"/>
        <v>3.5239366939950056E-7</v>
      </c>
      <c r="J206" s="10" t="str">
        <f>VLOOKUP(A206,[4]REPUESTOS!$B:$FY,180,FALSE)</f>
        <v>Si</v>
      </c>
    </row>
    <row r="207" spans="1:10" x14ac:dyDescent="0.3">
      <c r="A207" s="10" t="s">
        <v>407</v>
      </c>
      <c r="B207" s="10" t="s">
        <v>406</v>
      </c>
      <c r="C207" s="17">
        <f>IFERROR(VLOOKUP(A207,[1]REPUESTOS!$A:$D,4,FALSE),"")</f>
        <v>3102</v>
      </c>
      <c r="D207" s="18">
        <f>IFERROR(VLOOKUP(A207,[2]REPUESTOS!$A:$R,18,FALSE),C207)</f>
        <v>3102</v>
      </c>
      <c r="E207" s="19">
        <f t="shared" si="12"/>
        <v>0</v>
      </c>
      <c r="F207" s="10" t="str">
        <f>VLOOKUP(A207,[3]data!$W:$Z,4,FALSE)</f>
        <v>Si</v>
      </c>
      <c r="G207" s="10" t="str">
        <f t="shared" si="13"/>
        <v>Filtro sedimentos</v>
      </c>
      <c r="H207" s="19">
        <f>IFERROR(VLOOKUP(A207,[2]REPUESTOS!$A:$S,19,FALSE),"SIN ANÁLISIS")</f>
        <v>0</v>
      </c>
      <c r="I207" s="19">
        <f t="shared" si="14"/>
        <v>0</v>
      </c>
      <c r="J207" s="10" t="str">
        <f>VLOOKUP(A207,[4]REPUESTOS!$B:$FY,180,FALSE)</f>
        <v>Si</v>
      </c>
    </row>
    <row r="208" spans="1:10" x14ac:dyDescent="0.3">
      <c r="A208" s="10" t="s">
        <v>409</v>
      </c>
      <c r="B208" s="10" t="s">
        <v>408</v>
      </c>
      <c r="C208" s="17">
        <f>IFERROR(VLOOKUP(A208,[1]REPUESTOS!$A:$D,4,FALSE),"")</f>
        <v>9715</v>
      </c>
      <c r="D208" s="18">
        <f>IFERROR(VLOOKUP(A208,[2]REPUESTOS!$A:$R,18,FALSE),C208)</f>
        <v>9715.3991684767752</v>
      </c>
      <c r="E208" s="19">
        <f t="shared" si="12"/>
        <v>4.108785144366756E-5</v>
      </c>
      <c r="F208" s="10" t="str">
        <f>VLOOKUP(A208,[3]data!$W:$Z,4,FALSE)</f>
        <v>Si</v>
      </c>
      <c r="G208" s="10" t="str">
        <f t="shared" si="13"/>
        <v>Filtro carbón activo</v>
      </c>
      <c r="H208" s="19">
        <f>IFERROR(VLOOKUP(A208,[2]REPUESTOS!$A:$S,19,FALSE),"SIN ANÁLISIS")</f>
        <v>0</v>
      </c>
      <c r="I208" s="19">
        <f t="shared" si="14"/>
        <v>-4.108785144366756E-5</v>
      </c>
      <c r="J208" s="10" t="str">
        <f>VLOOKUP(A208,[4]REPUESTOS!$B:$FY,180,FALSE)</f>
        <v>Si</v>
      </c>
    </row>
    <row r="209" spans="1:10" x14ac:dyDescent="0.3">
      <c r="A209" s="10" t="s">
        <v>411</v>
      </c>
      <c r="B209" s="10" t="s">
        <v>410</v>
      </c>
      <c r="C209" s="17">
        <f>IFERROR(VLOOKUP(A209,[1]REPUESTOS!$A:$D,4,FALSE),"")</f>
        <v>12975</v>
      </c>
      <c r="D209" s="18">
        <f>IFERROR(VLOOKUP(A209,[2]REPUESTOS!$A:$R,18,FALSE),C209)</f>
        <v>12975</v>
      </c>
      <c r="E209" s="19">
        <f t="shared" si="12"/>
        <v>0</v>
      </c>
      <c r="F209" s="10" t="str">
        <f>VLOOKUP(A209,[3]data!$W:$Z,4,FALSE)</f>
        <v>Si</v>
      </c>
      <c r="G209" s="10" t="str">
        <f t="shared" si="13"/>
        <v>Limpiador spray acero inoxidable 3M</v>
      </c>
      <c r="H209" s="19">
        <f>IFERROR(VLOOKUP(A209,[2]REPUESTOS!$A:$S,19,FALSE),"SIN ANÁLISIS")</f>
        <v>0</v>
      </c>
      <c r="I209" s="19">
        <f t="shared" si="14"/>
        <v>0</v>
      </c>
      <c r="J209" s="10" t="str">
        <f>VLOOKUP(A209,[4]REPUESTOS!$B:$FY,180,FALSE)</f>
        <v>Si</v>
      </c>
    </row>
    <row r="210" spans="1:10" x14ac:dyDescent="0.3">
      <c r="A210" s="10" t="s">
        <v>413</v>
      </c>
      <c r="B210" s="10" t="s">
        <v>412</v>
      </c>
      <c r="C210" s="17">
        <f>IFERROR(VLOOKUP(A210,[1]REPUESTOS!$A:$D,4,FALSE),"")</f>
        <v>4310</v>
      </c>
      <c r="D210" s="18">
        <f>IFERROR(VLOOKUP(A210,[2]REPUESTOS!$A:$R,18,FALSE),C210)</f>
        <v>4245.3085492845212</v>
      </c>
      <c r="E210" s="19">
        <f t="shared" si="12"/>
        <v>-1.5009617335377918E-2</v>
      </c>
      <c r="F210" s="10" t="str">
        <f>VLOOKUP(A210,[3]data!$W:$Z,4,FALSE)</f>
        <v>Si</v>
      </c>
      <c r="G210" s="10" t="str">
        <f t="shared" si="13"/>
        <v>Paños pulidores extra finos (10 unidades)</v>
      </c>
      <c r="H210" s="19">
        <f>IFERROR(VLOOKUP(A210,[2]REPUESTOS!$A:$S,19,FALSE),"SIN ANÁLISIS")</f>
        <v>-1.5106888361045146E-2</v>
      </c>
      <c r="I210" s="19">
        <f t="shared" si="14"/>
        <v>-9.7271025667228228E-5</v>
      </c>
      <c r="J210" s="10" t="str">
        <f>VLOOKUP(A210,[4]REPUESTOS!$B:$FY,180,FALSE)</f>
        <v>Si</v>
      </c>
    </row>
    <row r="211" spans="1:10" x14ac:dyDescent="0.3">
      <c r="A211" s="10" t="s">
        <v>415</v>
      </c>
      <c r="B211" s="10" t="s">
        <v>414</v>
      </c>
      <c r="C211" s="17">
        <f>IFERROR(VLOOKUP(A211,[1]REPUESTOS!$A:$D,4,FALSE),"")</f>
        <v>5079</v>
      </c>
      <c r="D211" s="18">
        <f>IFERROR(VLOOKUP(A211,[2]REPUESTOS!$A:$R,18,FALSE),C211)</f>
        <v>5002.4956312064278</v>
      </c>
      <c r="E211" s="19">
        <f t="shared" si="12"/>
        <v>-1.5062880250752551E-2</v>
      </c>
      <c r="F211" s="10" t="str">
        <f>VLOOKUP(A211,[3]data!$W:$Z,4,FALSE)</f>
        <v>Si</v>
      </c>
      <c r="G211" s="10" t="str">
        <f t="shared" si="13"/>
        <v>Paños pulidores</v>
      </c>
      <c r="H211" s="19">
        <f>IFERROR(VLOOKUP(A211,[2]REPUESTOS!$A:$S,19,FALSE),"SIN ANÁLISIS")</f>
        <v>-1.5106888361045151E-2</v>
      </c>
      <c r="I211" s="19">
        <f t="shared" si="14"/>
        <v>-4.40081102925996E-5</v>
      </c>
      <c r="J211" s="10" t="str">
        <f>VLOOKUP(A211,[4]REPUESTOS!$B:$FY,180,FALSE)</f>
        <v>Si</v>
      </c>
    </row>
    <row r="212" spans="1:10" x14ac:dyDescent="0.3">
      <c r="A212" s="10" t="s">
        <v>417</v>
      </c>
      <c r="B212" s="10" t="s">
        <v>416</v>
      </c>
      <c r="C212" s="17">
        <f>IFERROR(VLOOKUP(A212,[1]REPUESTOS!$A:$D,4,FALSE),"")</f>
        <v>12741</v>
      </c>
      <c r="D212" s="18">
        <f>IFERROR(VLOOKUP(A212,[2]REPUESTOS!$A:$R,18,FALSE),C212)</f>
        <v>12548.088749639002</v>
      </c>
      <c r="E212" s="19">
        <f t="shared" si="12"/>
        <v>-1.5140981897888522E-2</v>
      </c>
      <c r="F212" s="10" t="str">
        <f>VLOOKUP(A212,[3]data!$W:$Z,4,FALSE)</f>
        <v>Si</v>
      </c>
      <c r="G212" s="10" t="str">
        <f t="shared" si="13"/>
        <v>Pulsador armado doble 1NA+1NC- LAY5- EL8325</v>
      </c>
      <c r="H212" s="19">
        <f>IFERROR(VLOOKUP(A212,[2]REPUESTOS!$A:$S,19,FALSE),"SIN ANÁLISIS")</f>
        <v>-1.510688836104512E-2</v>
      </c>
      <c r="I212" s="19">
        <f t="shared" si="14"/>
        <v>3.4093536843401995E-5</v>
      </c>
      <c r="J212" s="10" t="str">
        <f>VLOOKUP(A212,[4]REPUESTOS!$B:$FY,180,FALSE)</f>
        <v>Si</v>
      </c>
    </row>
    <row r="213" spans="1:10" x14ac:dyDescent="0.3">
      <c r="A213" s="10" t="s">
        <v>419</v>
      </c>
      <c r="B213" s="10" t="s">
        <v>418</v>
      </c>
      <c r="C213" s="17">
        <f>IFERROR(VLOOKUP(A213,[1]REPUESTOS!$A:$D,4,FALSE),"")</f>
        <v>10243</v>
      </c>
      <c r="D213" s="18">
        <f>IFERROR(VLOOKUP(A213,[2]REPUESTOS!$A:$R,18,FALSE),C213)</f>
        <v>10243</v>
      </c>
      <c r="E213" s="19">
        <f t="shared" si="12"/>
        <v>0</v>
      </c>
      <c r="F213" s="10" t="str">
        <f>VLOOKUP(A213,[3]data!$W:$Z,4,FALSE)</f>
        <v>Si</v>
      </c>
      <c r="G213" s="10" t="str">
        <f t="shared" si="13"/>
        <v>Pulsador armadoverde 1NA+1NC- LAY5- EA31</v>
      </c>
      <c r="H213" s="19">
        <f>IFERROR(VLOOKUP(A213,[2]REPUESTOS!$A:$S,19,FALSE),"SIN ANÁLISIS")</f>
        <v>0</v>
      </c>
      <c r="I213" s="19">
        <f t="shared" si="14"/>
        <v>0</v>
      </c>
      <c r="J213" s="10" t="str">
        <f>VLOOKUP(A213,[4]REPUESTOS!$B:$FY,180,FALSE)</f>
        <v>Si</v>
      </c>
    </row>
    <row r="214" spans="1:10" x14ac:dyDescent="0.3">
      <c r="A214" s="10" t="s">
        <v>421</v>
      </c>
      <c r="B214" s="10" t="s">
        <v>420</v>
      </c>
      <c r="C214" s="17">
        <f>IFERROR(VLOOKUP(A214,[1]REPUESTOS!$A:$D,4,FALSE),"")</f>
        <v>10242</v>
      </c>
      <c r="D214" s="18">
        <f>IFERROR(VLOOKUP(A214,[2]REPUESTOS!$A:$R,18,FALSE),C214)</f>
        <v>10242</v>
      </c>
      <c r="E214" s="19">
        <f t="shared" si="12"/>
        <v>0</v>
      </c>
      <c r="F214" s="10" t="str">
        <f>VLOOKUP(A214,[3]data!$W:$Z,4,FALSE)</f>
        <v>Si</v>
      </c>
      <c r="G214" s="10" t="str">
        <f t="shared" si="13"/>
        <v>Pulsador armado rojo 1NA+1NC - LAY5- EA42</v>
      </c>
      <c r="H214" s="19">
        <f>IFERROR(VLOOKUP(A214,[2]REPUESTOS!$A:$S,19,FALSE),"SIN ANÁLISIS")</f>
        <v>0</v>
      </c>
      <c r="I214" s="19">
        <f t="shared" si="14"/>
        <v>0</v>
      </c>
      <c r="J214" s="10" t="str">
        <f>VLOOKUP(A214,[4]REPUESTOS!$B:$FY,180,FALSE)</f>
        <v>Si</v>
      </c>
    </row>
    <row r="215" spans="1:10" x14ac:dyDescent="0.3">
      <c r="A215" s="10" t="s">
        <v>423</v>
      </c>
      <c r="B215" s="10" t="s">
        <v>422</v>
      </c>
      <c r="C215" s="17">
        <f>IFERROR(VLOOKUP(A215,[1]REPUESTOS!$A:$D,4,FALSE),"")</f>
        <v>89515</v>
      </c>
      <c r="D215" s="18">
        <f>IFERROR(VLOOKUP(A215,[2]REPUESTOS!$A:$R,18,FALSE),C215)</f>
        <v>89515</v>
      </c>
      <c r="E215" s="19">
        <f t="shared" si="12"/>
        <v>0</v>
      </c>
      <c r="F215" s="10" t="str">
        <f>VLOOKUP(A215,[3]data!$W:$Z,4,FALSE)</f>
        <v>Si</v>
      </c>
      <c r="G215" s="10" t="str">
        <f t="shared" si="13"/>
        <v>Cepillo largo (USA)</v>
      </c>
      <c r="H215" s="19" t="str">
        <f>IFERROR(VLOOKUP(A215,[2]REPUESTOS!$A:$S,19,FALSE),"SIN ANÁLISIS")</f>
        <v>SIN ANÁLISIS</v>
      </c>
      <c r="I215" s="19">
        <f t="shared" si="14"/>
        <v>0</v>
      </c>
      <c r="J215" s="10" t="str">
        <f>VLOOKUP(A215,[4]REPUESTOS!$B:$FY,180,FALSE)</f>
        <v>Si</v>
      </c>
    </row>
    <row r="216" spans="1:10" x14ac:dyDescent="0.3">
      <c r="A216" s="10" t="s">
        <v>425</v>
      </c>
      <c r="B216" s="10" t="s">
        <v>424</v>
      </c>
      <c r="C216" s="17">
        <f>IFERROR(VLOOKUP(A216,[1]REPUESTOS!$A:$D,4,FALSE),"")</f>
        <v>36750</v>
      </c>
      <c r="D216" s="18">
        <f>IFERROR(VLOOKUP(A216,[2]REPUESTOS!$A:$R,18,FALSE),C216)</f>
        <v>36750</v>
      </c>
      <c r="E216" s="19">
        <f t="shared" si="12"/>
        <v>0</v>
      </c>
      <c r="F216" s="10" t="str">
        <f>VLOOKUP(A216,[3]data!$W:$Z,4,FALSE)</f>
        <v>Si</v>
      </c>
      <c r="G216" s="10" t="str">
        <f t="shared" si="13"/>
        <v>Manguera brazo giratorio 1,55 mt</v>
      </c>
      <c r="H216" s="19">
        <f>IFERROR(VLOOKUP(A216,[2]REPUESTOS!$A:$S,19,FALSE),"SIN ANÁLISIS")</f>
        <v>0</v>
      </c>
      <c r="I216" s="19">
        <f t="shared" si="14"/>
        <v>0</v>
      </c>
      <c r="J216" s="10" t="str">
        <f>VLOOKUP(A216,[4]REPUESTOS!$B:$FY,180,FALSE)</f>
        <v>Si</v>
      </c>
    </row>
    <row r="217" spans="1:10" x14ac:dyDescent="0.3">
      <c r="A217" s="10" t="s">
        <v>427</v>
      </c>
      <c r="B217" s="10" t="s">
        <v>426</v>
      </c>
      <c r="C217" s="17">
        <f>IFERROR(VLOOKUP(A217,[1]REPUESTOS!$A:$D,4,FALSE),"")</f>
        <v>229000</v>
      </c>
      <c r="D217" s="18">
        <f>IFERROR(VLOOKUP(A217,[2]REPUESTOS!$A:$R,18,FALSE),C217)</f>
        <v>229000</v>
      </c>
      <c r="E217" s="19">
        <f t="shared" si="12"/>
        <v>0</v>
      </c>
      <c r="F217" s="10" t="str">
        <f>VLOOKUP(A217,[3]data!$W:$Z,4,FALSE)</f>
        <v>Si</v>
      </c>
      <c r="G217" s="10" t="str">
        <f t="shared" si="13"/>
        <v>Electrobomba Espa 15,5M</v>
      </c>
      <c r="H217" s="19">
        <f>IFERROR(VLOOKUP(A217,[2]REPUESTOS!$A:$S,19,FALSE),"SIN ANÁLISIS")</f>
        <v>0</v>
      </c>
      <c r="I217" s="19">
        <f t="shared" si="14"/>
        <v>0</v>
      </c>
      <c r="J217" s="10" t="str">
        <f>VLOOKUP(A217,[4]REPUESTOS!$B:$FY,180,FALSE)</f>
        <v>Si</v>
      </c>
    </row>
    <row r="218" spans="1:10" x14ac:dyDescent="0.3">
      <c r="A218" s="10" t="s">
        <v>429</v>
      </c>
      <c r="B218" s="10" t="s">
        <v>428</v>
      </c>
      <c r="C218" s="17">
        <f>IFERROR(VLOOKUP(A218,[1]REPUESTOS!$A:$D,4,FALSE),"")</f>
        <v>15636</v>
      </c>
      <c r="D218" s="18">
        <f>IFERROR(VLOOKUP(A218,[2]REPUESTOS!$A:$R,18,FALSE),C218)</f>
        <v>15636</v>
      </c>
      <c r="E218" s="19">
        <f t="shared" si="12"/>
        <v>0</v>
      </c>
      <c r="F218" s="10" t="str">
        <f>VLOOKUP(A218,[3]data!$W:$Z,4,FALSE)</f>
        <v>Si</v>
      </c>
      <c r="G218" s="10" t="str">
        <f t="shared" si="13"/>
        <v>Presóstato Italtécnica PM/5-1Bar</v>
      </c>
      <c r="H218" s="19">
        <f>IFERROR(VLOOKUP(A218,[2]REPUESTOS!$A:$S,19,FALSE),"SIN ANÁLISIS")</f>
        <v>0</v>
      </c>
      <c r="I218" s="19">
        <f t="shared" si="14"/>
        <v>0</v>
      </c>
      <c r="J218" s="10" t="str">
        <f>VLOOKUP(A218,[4]REPUESTOS!$B:$FY,180,FALSE)</f>
        <v>Si</v>
      </c>
    </row>
    <row r="219" spans="1:10" x14ac:dyDescent="0.3">
      <c r="A219" s="10" t="s">
        <v>431</v>
      </c>
      <c r="B219" s="10" t="s">
        <v>430</v>
      </c>
      <c r="C219" s="17">
        <f>IFERROR(VLOOKUP(A219,[1]REPUESTOS!$A:$D,4,FALSE),"")</f>
        <v>18900</v>
      </c>
      <c r="D219" s="18">
        <f>IFERROR(VLOOKUP(A219,[2]REPUESTOS!$A:$R,18,FALSE),C219)</f>
        <v>18900</v>
      </c>
      <c r="E219" s="19">
        <f t="shared" si="12"/>
        <v>0</v>
      </c>
      <c r="F219" s="10" t="str">
        <f>VLOOKUP(A219,[3]data!$W:$Z,4,FALSE)</f>
        <v>Si</v>
      </c>
      <c r="G219" s="10" t="str">
        <f t="shared" si="13"/>
        <v>Válvula de pié estanque</v>
      </c>
      <c r="H219" s="19">
        <f>IFERROR(VLOOKUP(A219,[2]REPUESTOS!$A:$S,19,FALSE),"SIN ANÁLISIS")</f>
        <v>0</v>
      </c>
      <c r="I219" s="19">
        <f t="shared" si="14"/>
        <v>0</v>
      </c>
      <c r="J219" s="10" t="str">
        <f>VLOOKUP(A219,[4]REPUESTOS!$B:$FY,180,FALSE)</f>
        <v>Si</v>
      </c>
    </row>
    <row r="220" spans="1:10" x14ac:dyDescent="0.3">
      <c r="A220" s="10" t="s">
        <v>433</v>
      </c>
      <c r="B220" s="10" t="s">
        <v>432</v>
      </c>
      <c r="C220" s="17">
        <f>IFERROR(VLOOKUP(A220,[1]REPUESTOS!$A:$D,4,FALSE),"")</f>
        <v>54084</v>
      </c>
      <c r="D220" s="18">
        <f>IFERROR(VLOOKUP(A220,[2]REPUESTOS!$A:$R,18,FALSE),C220)</f>
        <v>61583.333333333336</v>
      </c>
      <c r="E220" s="19">
        <f t="shared" si="12"/>
        <v>0.13866084855656638</v>
      </c>
      <c r="F220" s="10" t="str">
        <f>VLOOKUP(A220,[3]data!$W:$Z,4,FALSE)</f>
        <v>Si</v>
      </c>
      <c r="G220" s="10" t="str">
        <f t="shared" si="13"/>
        <v>Esfera kit hidropack</v>
      </c>
      <c r="H220" s="19">
        <f>IFERROR(VLOOKUP(A220,[2]REPUESTOS!$A:$S,19,FALSE),"SIN ANÁLISIS")</f>
        <v>0.13866084855656638</v>
      </c>
      <c r="I220" s="19">
        <f t="shared" si="14"/>
        <v>0</v>
      </c>
      <c r="J220" s="10" t="str">
        <f>VLOOKUP(A220,[4]REPUESTOS!$B:$FY,180,FALSE)</f>
        <v>Si</v>
      </c>
    </row>
    <row r="221" spans="1:10" x14ac:dyDescent="0.3">
      <c r="A221" s="10" t="s">
        <v>435</v>
      </c>
      <c r="B221" s="10" t="s">
        <v>434</v>
      </c>
      <c r="C221" s="17">
        <f>IFERROR(VLOOKUP(A221,[1]REPUESTOS!$A:$D,4,FALSE),"")</f>
        <v>1866</v>
      </c>
      <c r="D221" s="18">
        <f>IFERROR(VLOOKUP(A221,[2]REPUESTOS!$A:$R,18,FALSE),C221)</f>
        <v>1866</v>
      </c>
      <c r="E221" s="19">
        <f t="shared" si="12"/>
        <v>0</v>
      </c>
      <c r="F221" s="10" t="str">
        <f>VLOOKUP(A221,[3]data!$W:$Z,4,FALSE)</f>
        <v>Si</v>
      </c>
      <c r="G221" s="10" t="str">
        <f t="shared" si="13"/>
        <v>Filtro para válvula pie de estanque 1\</v>
      </c>
      <c r="H221" s="19">
        <f>IFERROR(VLOOKUP(A221,[2]REPUESTOS!$A:$S,19,FALSE),"SIN ANÁLISIS")</f>
        <v>0</v>
      </c>
      <c r="I221" s="19">
        <f t="shared" si="14"/>
        <v>0</v>
      </c>
      <c r="J221" s="10" t="str">
        <f>VLOOKUP(A221,[4]REPUESTOS!$B:$FY,180,FALSE)</f>
        <v>Si</v>
      </c>
    </row>
    <row r="222" spans="1:10" x14ac:dyDescent="0.3">
      <c r="A222" s="10" t="s">
        <v>437</v>
      </c>
      <c r="B222" s="10" t="s">
        <v>436</v>
      </c>
      <c r="C222" s="17">
        <f>IFERROR(VLOOKUP(A222,[1]REPUESTOS!$A:$D,4,FALSE),"")</f>
        <v>9274</v>
      </c>
      <c r="D222" s="18">
        <f>IFERROR(VLOOKUP(A222,[2]REPUESTOS!$A:$R,18,FALSE),C222)</f>
        <v>9274</v>
      </c>
      <c r="E222" s="19">
        <f t="shared" si="12"/>
        <v>0</v>
      </c>
      <c r="F222" s="10" t="str">
        <f>VLOOKUP(A222,[3]data!$W:$Z,4,FALSE)</f>
        <v>Si</v>
      </c>
      <c r="G222" s="10" t="str">
        <f t="shared" si="13"/>
        <v>Válvula 5 vías bronce</v>
      </c>
      <c r="H222" s="19">
        <f>IFERROR(VLOOKUP(A222,[2]REPUESTOS!$A:$S,19,FALSE),"SIN ANÁLISIS")</f>
        <v>0</v>
      </c>
      <c r="I222" s="19">
        <f t="shared" si="14"/>
        <v>0</v>
      </c>
      <c r="J222" s="10" t="str">
        <f>VLOOKUP(A222,[4]REPUESTOS!$B:$FY,180,FALSE)</f>
        <v>Si</v>
      </c>
    </row>
    <row r="223" spans="1:10" x14ac:dyDescent="0.3">
      <c r="A223" s="10" t="s">
        <v>439</v>
      </c>
      <c r="B223" s="10" t="s">
        <v>438</v>
      </c>
      <c r="C223" s="17">
        <f>IFERROR(VLOOKUP(A223,[1]REPUESTOS!$A:$D,4,FALSE),"")</f>
        <v>37787</v>
      </c>
      <c r="D223" s="18">
        <f>IFERROR(VLOOKUP(A223,[2]REPUESTOS!$A:$R,18,FALSE),C223)</f>
        <v>37787</v>
      </c>
      <c r="E223" s="19">
        <f t="shared" si="12"/>
        <v>0</v>
      </c>
      <c r="F223" s="10" t="str">
        <f>VLOOKUP(A223,[3]data!$W:$Z,4,FALSE)</f>
        <v>Si</v>
      </c>
      <c r="G223" s="10" t="str">
        <f t="shared" si="13"/>
        <v>Guardamotor electrobba</v>
      </c>
      <c r="H223" s="19">
        <f>IFERROR(VLOOKUP(A223,[2]REPUESTOS!$A:$S,19,FALSE),"SIN ANÁLISIS")</f>
        <v>0</v>
      </c>
      <c r="I223" s="19">
        <f t="shared" si="14"/>
        <v>0</v>
      </c>
      <c r="J223" s="10" t="str">
        <f>VLOOKUP(A223,[4]REPUESTOS!$B:$FY,180,FALSE)</f>
        <v>Si</v>
      </c>
    </row>
    <row r="224" spans="1:10" x14ac:dyDescent="0.3">
      <c r="A224" s="10" t="s">
        <v>441</v>
      </c>
      <c r="B224" s="10" t="s">
        <v>440</v>
      </c>
      <c r="C224" s="17">
        <f>IFERROR(VLOOKUP(A224,[1]REPUESTOS!$A:$D,4,FALSE),"")</f>
        <v>9688</v>
      </c>
      <c r="D224" s="18">
        <f>IFERROR(VLOOKUP(A224,[2]REPUESTOS!$A:$R,18,FALSE),C224)</f>
        <v>9687.5</v>
      </c>
      <c r="E224" s="19">
        <f t="shared" si="12"/>
        <v>-5.1610239471511145E-5</v>
      </c>
      <c r="F224" s="10" t="str">
        <f>VLOOKUP(A224,[3]data!$W:$Z,4,FALSE)</f>
        <v>Si</v>
      </c>
      <c r="G224" s="10" t="str">
        <f t="shared" si="13"/>
        <v>Gravilla Inquinat 25kg</v>
      </c>
      <c r="H224" s="19">
        <f>IFERROR(VLOOKUP(A224,[2]REPUESTOS!$A:$S,19,FALSE),"SIN ANÁLISIS")</f>
        <v>0</v>
      </c>
      <c r="I224" s="19">
        <f t="shared" si="14"/>
        <v>5.1610239471511145E-5</v>
      </c>
      <c r="J224" s="10" t="str">
        <f>VLOOKUP(A224,[4]REPUESTOS!$B:$FY,180,FALSE)</f>
        <v>Si</v>
      </c>
    </row>
    <row r="225" spans="1:10" x14ac:dyDescent="0.3">
      <c r="A225" s="10" t="s">
        <v>443</v>
      </c>
      <c r="B225" s="10" t="s">
        <v>442</v>
      </c>
      <c r="C225" s="17">
        <f>IFERROR(VLOOKUP(A225,[1]REPUESTOS!$A:$D,4,FALSE),"")</f>
        <v>6300</v>
      </c>
      <c r="D225" s="18">
        <f>IFERROR(VLOOKUP(A225,[2]REPUESTOS!$A:$R,18,FALSE),C225)</f>
        <v>6300</v>
      </c>
      <c r="E225" s="19">
        <f t="shared" si="12"/>
        <v>0</v>
      </c>
      <c r="F225" s="10" t="str">
        <f>VLOOKUP(A225,[3]data!$W:$Z,4,FALSE)</f>
        <v>Si</v>
      </c>
      <c r="G225" s="10" t="str">
        <f t="shared" si="13"/>
        <v>Resorte filtro de aspirado</v>
      </c>
      <c r="H225" s="19">
        <f>IFERROR(VLOOKUP(A225,[2]REPUESTOS!$A:$S,19,FALSE),"SIN ANÁLISIS")</f>
        <v>0</v>
      </c>
      <c r="I225" s="19">
        <f t="shared" si="14"/>
        <v>0</v>
      </c>
      <c r="J225" s="10" t="str">
        <f>VLOOKUP(A225,[4]REPUESTOS!$B:$FY,180,FALSE)</f>
        <v>Si</v>
      </c>
    </row>
    <row r="226" spans="1:10" x14ac:dyDescent="0.3">
      <c r="A226" s="10" t="s">
        <v>445</v>
      </c>
      <c r="B226" s="10" t="s">
        <v>444</v>
      </c>
      <c r="C226" s="17">
        <f>IFERROR(VLOOKUP(A226,[1]REPUESTOS!$A:$D,4,FALSE),"")</f>
        <v>10000</v>
      </c>
      <c r="D226" s="18">
        <f>IFERROR(VLOOKUP(A226,[2]REPUESTOS!$A:$R,18,FALSE),C226)</f>
        <v>10000</v>
      </c>
      <c r="E226" s="19">
        <f t="shared" si="12"/>
        <v>0</v>
      </c>
      <c r="F226" s="10" t="str">
        <f>VLOOKUP(A226,[3]data!$W:$Z,4,FALSE)</f>
        <v>Si</v>
      </c>
      <c r="G226" s="10" t="str">
        <f t="shared" si="13"/>
        <v>Golilla filtro aspirado</v>
      </c>
      <c r="H226" s="19">
        <f>IFERROR(VLOOKUP(A226,[2]REPUESTOS!$A:$S,19,FALSE),"SIN ANÁLISIS")</f>
        <v>0</v>
      </c>
      <c r="I226" s="19">
        <f t="shared" si="14"/>
        <v>0</v>
      </c>
      <c r="J226" s="10" t="str">
        <f>VLOOKUP(A226,[4]REPUESTOS!$B:$FY,180,FALSE)</f>
        <v>Si</v>
      </c>
    </row>
    <row r="227" spans="1:10" x14ac:dyDescent="0.3">
      <c r="A227" s="10" t="s">
        <v>447</v>
      </c>
      <c r="B227" s="10" t="s">
        <v>446</v>
      </c>
      <c r="C227" s="17">
        <f>IFERROR(VLOOKUP(A227,[1]REPUESTOS!$A:$D,4,FALSE),"")</f>
        <v>38864</v>
      </c>
      <c r="D227" s="18">
        <f>IFERROR(VLOOKUP(A227,[2]REPUESTOS!$A:$R,18,FALSE),C227)</f>
        <v>38864</v>
      </c>
      <c r="E227" s="19">
        <f t="shared" si="12"/>
        <v>0</v>
      </c>
      <c r="F227" s="10" t="str">
        <f>VLOOKUP(A227,[3]data!$W:$Z,4,FALSE)</f>
        <v>Si</v>
      </c>
      <c r="G227" s="10" t="str">
        <f t="shared" si="13"/>
        <v>Ánodo magnesio frontal</v>
      </c>
      <c r="H227" s="19">
        <f>IFERROR(VLOOKUP(A227,[2]REPUESTOS!$A:$S,19,FALSE),"SIN ANÁLISIS")</f>
        <v>0</v>
      </c>
      <c r="I227" s="19">
        <f t="shared" si="14"/>
        <v>0</v>
      </c>
      <c r="J227" s="10" t="str">
        <f>VLOOKUP(A227,[4]REPUESTOS!$B:$FY,180,FALSE)</f>
        <v>Si</v>
      </c>
    </row>
    <row r="228" spans="1:10" x14ac:dyDescent="0.3">
      <c r="A228" s="10" t="s">
        <v>449</v>
      </c>
      <c r="B228" s="10" t="s">
        <v>448</v>
      </c>
      <c r="C228" s="17">
        <f>IFERROR(VLOOKUP(A228,[1]REPUESTOS!$A:$D,4,FALSE),"")</f>
        <v>2520</v>
      </c>
      <c r="D228" s="18">
        <f>IFERROR(VLOOKUP(A228,[2]REPUESTOS!$A:$R,18,FALSE),C228)</f>
        <v>2520</v>
      </c>
      <c r="E228" s="19">
        <f t="shared" si="12"/>
        <v>0</v>
      </c>
      <c r="F228" s="10" t="str">
        <f>VLOOKUP(A228,[3]data!$W:$Z,4,FALSE)</f>
        <v>Si</v>
      </c>
      <c r="G228" s="10" t="str">
        <f t="shared" si="13"/>
        <v>Arosello para ánodo</v>
      </c>
      <c r="H228" s="19">
        <f>IFERROR(VLOOKUP(A228,[2]REPUESTOS!$A:$S,19,FALSE),"SIN ANÁLISIS")</f>
        <v>0</v>
      </c>
      <c r="I228" s="19">
        <f t="shared" si="14"/>
        <v>0</v>
      </c>
      <c r="J228" s="10" t="str">
        <f>VLOOKUP(A228,[4]REPUESTOS!$B:$FY,180,FALSE)</f>
        <v>Si</v>
      </c>
    </row>
    <row r="229" spans="1:10" x14ac:dyDescent="0.3">
      <c r="A229" s="10" t="s">
        <v>451</v>
      </c>
      <c r="B229" s="10" t="s">
        <v>450</v>
      </c>
      <c r="C229" s="17">
        <f>IFERROR(VLOOKUP(A229,[1]REPUESTOS!$A:$D,4,FALSE),"")</f>
        <v>38430</v>
      </c>
      <c r="D229" s="18">
        <f>IFERROR(VLOOKUP(A229,[2]REPUESTOS!$A:$R,18,FALSE),C229)</f>
        <v>38430</v>
      </c>
      <c r="E229" s="19">
        <f t="shared" si="12"/>
        <v>0</v>
      </c>
      <c r="F229" s="10" t="str">
        <f>VLOOKUP(A229,[3]data!$W:$Z,4,FALSE)</f>
        <v>Si</v>
      </c>
      <c r="G229" s="10" t="str">
        <f t="shared" si="13"/>
        <v>Calefactor 3 Kw -220V (Resistencia)</v>
      </c>
      <c r="H229" s="19">
        <f>IFERROR(VLOOKUP(A229,[2]REPUESTOS!$A:$S,19,FALSE),"SIN ANÁLISIS")</f>
        <v>0</v>
      </c>
      <c r="I229" s="19">
        <f t="shared" si="14"/>
        <v>0</v>
      </c>
      <c r="J229" s="10" t="str">
        <f>VLOOKUP(A229,[4]REPUESTOS!$B:$FY,180,FALSE)</f>
        <v>Si</v>
      </c>
    </row>
    <row r="230" spans="1:10" x14ac:dyDescent="0.3">
      <c r="A230" s="10" t="s">
        <v>453</v>
      </c>
      <c r="B230" s="10" t="s">
        <v>452</v>
      </c>
      <c r="C230" s="17">
        <f>IFERROR(VLOOKUP(A230,[1]REPUESTOS!$A:$D,4,FALSE),"")</f>
        <v>803830</v>
      </c>
      <c r="D230" s="18">
        <f>IFERROR(VLOOKUP(A230,[2]REPUESTOS!$A:$R,18,FALSE),C230)</f>
        <v>803830</v>
      </c>
      <c r="E230" s="19">
        <f t="shared" si="12"/>
        <v>0</v>
      </c>
      <c r="F230" s="10" t="str">
        <f>VLOOKUP(A230,[3]data!$W:$Z,4,FALSE)</f>
        <v>Si</v>
      </c>
      <c r="G230" s="10" t="str">
        <f t="shared" si="13"/>
        <v>Termo 100 Lt Trotter cincado 6 Kw</v>
      </c>
      <c r="H230" s="19">
        <f>IFERROR(VLOOKUP(A230,[2]REPUESTOS!$A:$S,19,FALSE),"SIN ANÁLISIS")</f>
        <v>0</v>
      </c>
      <c r="I230" s="19">
        <f t="shared" si="14"/>
        <v>0</v>
      </c>
      <c r="J230" s="10" t="str">
        <f>VLOOKUP(A230,[4]REPUESTOS!$B:$FY,180,FALSE)</f>
        <v>Si</v>
      </c>
    </row>
    <row r="231" spans="1:10" x14ac:dyDescent="0.3">
      <c r="A231" s="10" t="s">
        <v>455</v>
      </c>
      <c r="B231" s="10" t="s">
        <v>454</v>
      </c>
      <c r="C231" s="17">
        <f>IFERROR(VLOOKUP(A231,[1]REPUESTOS!$A:$D,4,FALSE),"")</f>
        <v>22176</v>
      </c>
      <c r="D231" s="18">
        <f>IFERROR(VLOOKUP(A231,[2]REPUESTOS!$A:$R,18,FALSE),C231)</f>
        <v>22176</v>
      </c>
      <c r="E231" s="19">
        <f t="shared" si="12"/>
        <v>0</v>
      </c>
      <c r="F231" s="10" t="str">
        <f>VLOOKUP(A231,[3]data!$W:$Z,4,FALSE)</f>
        <v>Si</v>
      </c>
      <c r="G231" s="10" t="str">
        <f t="shared" si="13"/>
        <v>Bornera de conexión ceramica 3 polos Trotter</v>
      </c>
      <c r="H231" s="19">
        <f>IFERROR(VLOOKUP(A231,[2]REPUESTOS!$A:$S,19,FALSE),"SIN ANÁLISIS")</f>
        <v>0</v>
      </c>
      <c r="I231" s="19">
        <f t="shared" si="14"/>
        <v>0</v>
      </c>
      <c r="J231" s="10" t="str">
        <f>VLOOKUP(A231,[4]REPUESTOS!$B:$FY,180,FALSE)</f>
        <v>Si</v>
      </c>
    </row>
    <row r="232" spans="1:10" x14ac:dyDescent="0.3">
      <c r="A232" s="10" t="s">
        <v>457</v>
      </c>
      <c r="B232" s="10" t="s">
        <v>456</v>
      </c>
      <c r="C232" s="17">
        <f>IFERROR(VLOOKUP(A232,[1]REPUESTOS!$A:$D,4,FALSE),"")</f>
        <v>79940</v>
      </c>
      <c r="D232" s="18">
        <f>IFERROR(VLOOKUP(A232,[2]REPUESTOS!$A:$R,18,FALSE),C232)</f>
        <v>79940</v>
      </c>
      <c r="E232" s="19">
        <f t="shared" si="12"/>
        <v>0</v>
      </c>
      <c r="F232" s="10" t="str">
        <f>VLOOKUP(A232,[3]data!$W:$Z,4,FALSE)</f>
        <v>Si</v>
      </c>
      <c r="G232" s="10" t="str">
        <f t="shared" si="13"/>
        <v>Calefactor CU 6KW flang (3x2) tipo L ( resistencia termo trifásico)</v>
      </c>
      <c r="H232" s="19">
        <f>IFERROR(VLOOKUP(A232,[2]REPUESTOS!$A:$S,19,FALSE),"SIN ANÁLISIS")</f>
        <v>0</v>
      </c>
      <c r="I232" s="19">
        <f t="shared" si="14"/>
        <v>0</v>
      </c>
      <c r="J232" s="10" t="str">
        <f>VLOOKUP(A232,[4]REPUESTOS!$B:$FY,180,FALSE)</f>
        <v>Si</v>
      </c>
    </row>
    <row r="233" spans="1:10" x14ac:dyDescent="0.3">
      <c r="A233" s="10" t="s">
        <v>459</v>
      </c>
      <c r="B233" s="10" t="s">
        <v>458</v>
      </c>
      <c r="C233" s="17">
        <f>IFERROR(VLOOKUP(A233,[1]REPUESTOS!$A:$D,4,FALSE),"")</f>
        <v>57460</v>
      </c>
      <c r="D233" s="18">
        <f>IFERROR(VLOOKUP(A233,[2]REPUESTOS!$A:$R,18,FALSE),C233)</f>
        <v>57460</v>
      </c>
      <c r="E233" s="19">
        <f t="shared" si="12"/>
        <v>0</v>
      </c>
      <c r="F233" s="10" t="str">
        <f>VLOOKUP(A233,[3]data!$W:$Z,4,FALSE)</f>
        <v>Si</v>
      </c>
      <c r="G233" s="10" t="str">
        <f t="shared" si="13"/>
        <v>Termostato termo Trotter</v>
      </c>
      <c r="H233" s="19">
        <f>IFERROR(VLOOKUP(A233,[2]REPUESTOS!$A:$S,19,FALSE),"SIN ANÁLISIS")</f>
        <v>0</v>
      </c>
      <c r="I233" s="19">
        <f t="shared" si="14"/>
        <v>0</v>
      </c>
      <c r="J233" s="10" t="str">
        <f>VLOOKUP(A233,[4]REPUESTOS!$B:$FY,180,FALSE)</f>
        <v>Si</v>
      </c>
    </row>
    <row r="234" spans="1:10" x14ac:dyDescent="0.3">
      <c r="A234" s="10" t="s">
        <v>461</v>
      </c>
      <c r="B234" s="10" t="s">
        <v>460</v>
      </c>
      <c r="C234" s="17">
        <f>IFERROR(VLOOKUP(A234,[1]REPUESTOS!$A:$D,4,FALSE),"")</f>
        <v>687</v>
      </c>
      <c r="D234" s="18">
        <f>IFERROR(VLOOKUP(A234,[2]REPUESTOS!$A:$R,18,FALSE),C234)</f>
        <v>687</v>
      </c>
      <c r="E234" s="19">
        <f t="shared" si="12"/>
        <v>0</v>
      </c>
      <c r="F234" s="10" t="str">
        <f>VLOOKUP(A234,[3]data!$W:$Z,4,FALSE)</f>
        <v>Si</v>
      </c>
      <c r="G234" s="10" t="str">
        <f t="shared" si="13"/>
        <v>Ficha aspirado vacuum token/vacuum token dorada (Abast, Socobar, Recabarren, Biec)</v>
      </c>
      <c r="H234" s="19" t="str">
        <f>IFERROR(VLOOKUP(A234,[2]REPUESTOS!$A:$S,19,FALSE),"SIN ANÁLISIS")</f>
        <v>SIN ANÁLISIS</v>
      </c>
      <c r="I234" s="19">
        <f t="shared" si="14"/>
        <v>0</v>
      </c>
      <c r="J234" s="10" t="str">
        <f>VLOOKUP(A234,[4]REPUESTOS!$B:$FY,180,FALSE)</f>
        <v>Si</v>
      </c>
    </row>
    <row r="235" spans="1:10" x14ac:dyDescent="0.3">
      <c r="A235" s="10" t="s">
        <v>463</v>
      </c>
      <c r="B235" s="10" t="s">
        <v>462</v>
      </c>
      <c r="C235" s="17">
        <f>IFERROR(VLOOKUP(A235,[1]REPUESTOS!$A:$D,4,FALSE),"")</f>
        <v>470</v>
      </c>
      <c r="D235" s="18">
        <f>IFERROR(VLOOKUP(A235,[2]REPUESTOS!$A:$R,18,FALSE),C235)</f>
        <v>470</v>
      </c>
      <c r="E235" s="19">
        <f t="shared" si="12"/>
        <v>0</v>
      </c>
      <c r="F235" s="10" t="str">
        <f>VLOOKUP(A235,[3]data!$W:$Z,4,FALSE)</f>
        <v>Si</v>
      </c>
      <c r="G235" s="10" t="str">
        <f t="shared" si="13"/>
        <v>Ficha lavado ESMAX save water save the world/car wash dorada</v>
      </c>
      <c r="H235" s="19" t="str">
        <f>IFERROR(VLOOKUP(A235,[2]REPUESTOS!$A:$S,19,FALSE),"SIN ANÁLISIS")</f>
        <v>SIN ANÁLISIS</v>
      </c>
      <c r="I235" s="19">
        <f t="shared" si="14"/>
        <v>0</v>
      </c>
      <c r="J235" s="10" t="str">
        <f>VLOOKUP(A235,[4]REPUESTOS!$B:$FY,180,FALSE)</f>
        <v>Si</v>
      </c>
    </row>
    <row r="236" spans="1:10" x14ac:dyDescent="0.3">
      <c r="A236" s="10" t="s">
        <v>465</v>
      </c>
      <c r="B236" s="10" t="s">
        <v>464</v>
      </c>
      <c r="C236" s="17">
        <f>IFERROR(VLOOKUP(A236,[1]REPUESTOS!$A:$D,4,FALSE),"")</f>
        <v>664</v>
      </c>
      <c r="D236" s="18">
        <f>IFERROR(VLOOKUP(A236,[2]REPUESTOS!$A:$R,18,FALSE),C236)</f>
        <v>664</v>
      </c>
      <c r="E236" s="19">
        <f t="shared" si="12"/>
        <v>0</v>
      </c>
      <c r="F236" s="10" t="str">
        <f>VLOOKUP(A236,[3]data!$W:$Z,4,FALSE)</f>
        <v>Si</v>
      </c>
      <c r="G236" s="10" t="str">
        <f t="shared" si="13"/>
        <v>Ficha aspirado COPEC mod \C\ personalizadas Lavamax</v>
      </c>
      <c r="H236" s="19" t="str">
        <f>IFERROR(VLOOKUP(A236,[2]REPUESTOS!$A:$S,19,FALSE),"SIN ANÁLISIS")</f>
        <v>SIN ANÁLISIS</v>
      </c>
      <c r="I236" s="19">
        <f t="shared" si="14"/>
        <v>0</v>
      </c>
      <c r="J236" s="10" t="str">
        <f>VLOOKUP(A236,[4]REPUESTOS!$B:$FY,180,FALSE)</f>
        <v>Si</v>
      </c>
    </row>
    <row r="237" spans="1:10" x14ac:dyDescent="0.3">
      <c r="A237" s="10" t="s">
        <v>467</v>
      </c>
      <c r="B237" s="10" t="s">
        <v>466</v>
      </c>
      <c r="C237" s="17">
        <f>IFERROR(VLOOKUP(A237,[1]REPUESTOS!$A:$D,4,FALSE),"")</f>
        <v>445</v>
      </c>
      <c r="D237" s="18">
        <f>IFERROR(VLOOKUP(A237,[2]REPUESTOS!$A:$R,18,FALSE),C237)</f>
        <v>445</v>
      </c>
      <c r="E237" s="19">
        <f t="shared" si="12"/>
        <v>0</v>
      </c>
      <c r="F237" s="10" t="str">
        <f>VLOOKUP(A237,[3]data!$W:$Z,4,FALSE)</f>
        <v>Si</v>
      </c>
      <c r="G237" s="10" t="str">
        <f t="shared" si="13"/>
        <v>Ficha lavado autos/crown dorada (Recabarren-Bascuñan)</v>
      </c>
      <c r="H237" s="19" t="str">
        <f>IFERROR(VLOOKUP(A237,[2]REPUESTOS!$A:$S,19,FALSE),"SIN ANÁLISIS")</f>
        <v>SIN ANÁLISIS</v>
      </c>
      <c r="I237" s="19">
        <f t="shared" si="14"/>
        <v>0</v>
      </c>
      <c r="J237" s="10" t="str">
        <f>VLOOKUP(A237,[4]REPUESTOS!$B:$FY,180,FALSE)</f>
        <v>Si</v>
      </c>
    </row>
    <row r="238" spans="1:10" x14ac:dyDescent="0.3">
      <c r="A238" s="10" t="s">
        <v>469</v>
      </c>
      <c r="B238" s="10" t="s">
        <v>468</v>
      </c>
      <c r="C238" s="17">
        <f>IFERROR(VLOOKUP(A238,[1]REPUESTOS!$A:$D,4,FALSE),"")</f>
        <v>656</v>
      </c>
      <c r="D238" s="18">
        <f>IFERROR(VLOOKUP(A238,[2]REPUESTOS!$A:$R,18,FALSE),C238)</f>
        <v>646.48627343556291</v>
      </c>
      <c r="E238" s="19">
        <f t="shared" si="12"/>
        <v>-1.4502631957983373E-2</v>
      </c>
      <c r="F238" s="10" t="str">
        <f>VLOOKUP(A238,[3]data!$W:$Z,4,FALSE)</f>
        <v>Si</v>
      </c>
      <c r="G238" s="10" t="str">
        <f t="shared" si="13"/>
        <v>Ficha lavado COPEC mod \A\ personalizadas Lavamax</v>
      </c>
      <c r="H238" s="19">
        <f>IFERROR(VLOOKUP(A238,[2]REPUESTOS!$A:$S,19,FALSE),"SIN ANÁLISIS")</f>
        <v>-1.5106888361045148E-2</v>
      </c>
      <c r="I238" s="19">
        <f t="shared" si="14"/>
        <v>-6.0425640306177412E-4</v>
      </c>
      <c r="J238" s="10" t="str">
        <f>VLOOKUP(A238,[4]REPUESTOS!$B:$FY,180,FALSE)</f>
        <v>Si</v>
      </c>
    </row>
    <row r="239" spans="1:10" x14ac:dyDescent="0.3">
      <c r="A239" s="10" t="s">
        <v>471</v>
      </c>
      <c r="B239" s="10" t="s">
        <v>470</v>
      </c>
      <c r="C239" s="17">
        <f>IFERROR(VLOOKUP(A239,[1]REPUESTOS!$A:$D,4,FALSE),"")</f>
        <v>445</v>
      </c>
      <c r="D239" s="18">
        <f>IFERROR(VLOOKUP(A239,[2]REPUESTOS!$A:$R,18,FALSE),C239)</f>
        <v>445</v>
      </c>
      <c r="E239" s="19">
        <f t="shared" si="12"/>
        <v>0</v>
      </c>
      <c r="F239" s="10" t="str">
        <f>VLOOKUP(A239,[3]data!$W:$Z,4,FALSE)</f>
        <v>Si</v>
      </c>
      <c r="G239" s="10" t="str">
        <f t="shared" si="13"/>
        <v>Ficha lavado part auto chico/no cash value red brass (Zambra, Socobar)</v>
      </c>
      <c r="H239" s="19" t="str">
        <f>IFERROR(VLOOKUP(A239,[2]REPUESTOS!$A:$S,19,FALSE),"SIN ANÁLISIS")</f>
        <v>SIN ANÁLISIS</v>
      </c>
      <c r="I239" s="19">
        <f t="shared" si="14"/>
        <v>0</v>
      </c>
      <c r="J239" s="10" t="str">
        <f>VLOOKUP(A239,[4]REPUESTOS!$B:$FY,180,FALSE)</f>
        <v>Si</v>
      </c>
    </row>
    <row r="240" spans="1:10" x14ac:dyDescent="0.3">
      <c r="A240" s="10" t="s">
        <v>473</v>
      </c>
      <c r="B240" s="10" t="s">
        <v>472</v>
      </c>
      <c r="C240" s="17">
        <f>IFERROR(VLOOKUP(A240,[1]REPUESTOS!$A:$D,4,FALSE),"")</f>
        <v>654</v>
      </c>
      <c r="D240" s="18">
        <f>IFERROR(VLOOKUP(A240,[2]REPUESTOS!$A:$R,18,FALSE),C240)</f>
        <v>654</v>
      </c>
      <c r="E240" s="19">
        <f t="shared" si="12"/>
        <v>0</v>
      </c>
      <c r="F240" s="10" t="str">
        <f>VLOOKUP(A240,[3]data!$W:$Z,4,FALSE)</f>
        <v>Si</v>
      </c>
      <c r="G240" s="10" t="str">
        <f t="shared" si="13"/>
        <v>Ficha aspirado ESMAX vacuum token/aguila estrellas plateada</v>
      </c>
      <c r="H240" s="19" t="str">
        <f>IFERROR(VLOOKUP(A240,[2]REPUESTOS!$A:$S,19,FALSE),"SIN ANÁLISIS")</f>
        <v>SIN ANÁLISIS</v>
      </c>
      <c r="I240" s="19">
        <f t="shared" si="14"/>
        <v>0</v>
      </c>
      <c r="J240" s="10" t="str">
        <f>VLOOKUP(A240,[4]REPUESTOS!$B:$FY,180,FALSE)</f>
        <v>Si</v>
      </c>
    </row>
    <row r="241" spans="1:10" x14ac:dyDescent="0.3">
      <c r="A241" s="10" t="s">
        <v>475</v>
      </c>
      <c r="B241" s="10" t="s">
        <v>474</v>
      </c>
      <c r="C241" s="17">
        <f>IFERROR(VLOOKUP(A241,[1]REPUESTOS!$A:$D,4,FALSE),"")</f>
        <v>483</v>
      </c>
      <c r="D241" s="18">
        <f>IFERROR(VLOOKUP(A241,[2]REPUESTOS!$A:$R,18,FALSE),C241)</f>
        <v>483</v>
      </c>
      <c r="E241" s="19">
        <f t="shared" si="12"/>
        <v>0</v>
      </c>
      <c r="F241" s="10" t="str">
        <f>VLOOKUP(A241,[3]data!$W:$Z,4,FALSE)</f>
        <v>Si</v>
      </c>
      <c r="G241" s="10" t="str">
        <f t="shared" si="13"/>
        <v>Ficha lavado corona/escudo Dorada PANATT/EING</v>
      </c>
      <c r="H241" s="19" t="str">
        <f>IFERROR(VLOOKUP(A241,[2]REPUESTOS!$A:$S,19,FALSE),"SIN ANÁLISIS")</f>
        <v>SIN ANÁLISIS</v>
      </c>
      <c r="I241" s="19">
        <f t="shared" si="14"/>
        <v>0</v>
      </c>
      <c r="J241" s="10" t="str">
        <f>VLOOKUP(A241,[4]REPUESTOS!$B:$FY,180,FALSE)</f>
        <v>Si</v>
      </c>
    </row>
    <row r="242" spans="1:10" x14ac:dyDescent="0.3">
      <c r="A242" s="10" t="s">
        <v>477</v>
      </c>
      <c r="B242" s="10" t="s">
        <v>476</v>
      </c>
      <c r="C242" s="17">
        <f>IFERROR(VLOOKUP(A242,[1]REPUESTOS!$A:$D,4,FALSE),"")</f>
        <v>893772</v>
      </c>
      <c r="D242" s="18">
        <f>IFERROR(VLOOKUP(A242,[2]REPUESTOS!$A:$R,18,FALSE),C242)</f>
        <v>837279.89370738366</v>
      </c>
      <c r="E242" s="19">
        <f t="shared" si="12"/>
        <v>-6.3206395246904509E-2</v>
      </c>
      <c r="F242" s="10" t="str">
        <f>VLOOKUP(A242,[3]data!$W:$Z,4,FALSE)</f>
        <v>Si</v>
      </c>
      <c r="G242" s="10" t="str">
        <f t="shared" si="13"/>
        <v>Inverter 2,2 KW 3AC380-480V</v>
      </c>
      <c r="H242" s="19">
        <f>IFERROR(VLOOKUP(A242,[2]REPUESTOS!$A:$S,19,FALSE),"SIN ANÁLISIS")</f>
        <v>-6.3205901828932751E-2</v>
      </c>
      <c r="I242" s="19">
        <f t="shared" si="14"/>
        <v>4.9341797175861402E-7</v>
      </c>
      <c r="J242" s="10" t="str">
        <f>VLOOKUP(A242,[4]REPUESTOS!$B:$FY,180,FALSE)</f>
        <v>Si</v>
      </c>
    </row>
    <row r="243" spans="1:10" x14ac:dyDescent="0.3">
      <c r="A243" s="10" t="s">
        <v>479</v>
      </c>
      <c r="B243" s="10" t="s">
        <v>478</v>
      </c>
      <c r="C243" s="17">
        <f>IFERROR(VLOOKUP(A243,[1]REPUESTOS!$A:$D,4,FALSE),"")</f>
        <v>47675</v>
      </c>
      <c r="D243" s="18">
        <f>IFERROR(VLOOKUP(A243,[2]REPUESTOS!$A:$R,18,FALSE),C243)</f>
        <v>44661.253423736722</v>
      </c>
      <c r="E243" s="19">
        <f t="shared" si="12"/>
        <v>-6.3214401180142182E-2</v>
      </c>
      <c r="F243" s="10" t="str">
        <f>VLOOKUP(A243,[3]data!$W:$Z,4,FALSE)</f>
        <v>Si</v>
      </c>
      <c r="G243" s="10" t="str">
        <f t="shared" si="13"/>
        <v>Ventilador 80x80 24V AC</v>
      </c>
      <c r="H243" s="19">
        <f>IFERROR(VLOOKUP(A243,[2]REPUESTOS!$A:$S,19,FALSE),"SIN ANÁLISIS")</f>
        <v>-6.3205901828932709E-2</v>
      </c>
      <c r="I243" s="19">
        <f t="shared" si="14"/>
        <v>8.4993512094733159E-6</v>
      </c>
      <c r="J243" s="10" t="str">
        <f>VLOOKUP(A243,[4]REPUESTOS!$B:$FY,180,FALSE)</f>
        <v>Si</v>
      </c>
    </row>
    <row r="244" spans="1:10" x14ac:dyDescent="0.3">
      <c r="A244" s="10" t="s">
        <v>481</v>
      </c>
      <c r="B244" s="10" t="s">
        <v>480</v>
      </c>
      <c r="C244" s="17">
        <f>IFERROR(VLOOKUP(A244,[1]REPUESTOS!$A:$D,4,FALSE),"")</f>
        <v>96408</v>
      </c>
      <c r="D244" s="18">
        <f>IFERROR(VLOOKUP(A244,[2]REPUESTOS!$A:$R,18,FALSE),C244)</f>
        <v>90314.139247612955</v>
      </c>
      <c r="E244" s="19">
        <f t="shared" si="12"/>
        <v>-6.3209077590936899E-2</v>
      </c>
      <c r="F244" s="10" t="str">
        <f>VLOOKUP(A244,[3]data!$W:$Z,4,FALSE)</f>
        <v>Si</v>
      </c>
      <c r="G244" s="10" t="str">
        <f t="shared" si="13"/>
        <v>Int. Aut. C60N 3P 16A</v>
      </c>
      <c r="H244" s="19">
        <f>IFERROR(VLOOKUP(A244,[2]REPUESTOS!$A:$S,19,FALSE),"SIN ANÁLISIS")</f>
        <v>-6.3205901828932765E-2</v>
      </c>
      <c r="I244" s="19">
        <f t="shared" si="14"/>
        <v>3.1757620041344969E-6</v>
      </c>
      <c r="J244" s="10" t="str">
        <f>VLOOKUP(A244,[4]REPUESTOS!$B:$FY,180,FALSE)</f>
        <v>Si</v>
      </c>
    </row>
    <row r="245" spans="1:10" x14ac:dyDescent="0.3">
      <c r="A245" s="10" t="s">
        <v>483</v>
      </c>
      <c r="B245" s="10" t="s">
        <v>482</v>
      </c>
      <c r="C245" s="17">
        <f>IFERROR(VLOOKUP(A245,[1]REPUESTOS!$A:$D,4,FALSE),"")</f>
        <v>51784</v>
      </c>
      <c r="D245" s="18">
        <f>IFERROR(VLOOKUP(A245,[2]REPUESTOS!$A:$R,18,FALSE),C245)</f>
        <v>48511.412923175165</v>
      </c>
      <c r="E245" s="19">
        <f t="shared" si="12"/>
        <v>-6.3196876966337773E-2</v>
      </c>
      <c r="F245" s="10" t="str">
        <f>VLOOKUP(A245,[3]data!$W:$Z,4,FALSE)</f>
        <v>Si</v>
      </c>
      <c r="G245" s="10" t="str">
        <f t="shared" si="13"/>
        <v>Int. MT 6KA 1N 1MOD 2A C</v>
      </c>
      <c r="H245" s="19">
        <f>IFERROR(VLOOKUP(A245,[2]REPUESTOS!$A:$S,19,FALSE),"SIN ANÁLISIS")</f>
        <v>-6.3205901828932751E-2</v>
      </c>
      <c r="I245" s="19">
        <f t="shared" si="14"/>
        <v>-9.0248625949779226E-6</v>
      </c>
      <c r="J245" s="10" t="str">
        <f>VLOOKUP(A245,[4]REPUESTOS!$B:$FY,180,FALSE)</f>
        <v>Si</v>
      </c>
    </row>
    <row r="246" spans="1:10" x14ac:dyDescent="0.3">
      <c r="A246" s="10" t="s">
        <v>485</v>
      </c>
      <c r="B246" s="10" t="s">
        <v>484</v>
      </c>
      <c r="C246" s="17">
        <f>IFERROR(VLOOKUP(A246,[1]REPUESTOS!$A:$D,4,FALSE),"")</f>
        <v>61267</v>
      </c>
      <c r="D246" s="18">
        <f>IFERROR(VLOOKUP(A246,[2]REPUESTOS!$A:$R,18,FALSE),C246)</f>
        <v>57394.330641977751</v>
      </c>
      <c r="E246" s="19">
        <f t="shared" si="12"/>
        <v>-6.3209710905091629E-2</v>
      </c>
      <c r="F246" s="10" t="str">
        <f>VLOOKUP(A246,[3]data!$W:$Z,4,FALSE)</f>
        <v>Si</v>
      </c>
      <c r="G246" s="10" t="str">
        <f t="shared" si="13"/>
        <v>Int. MT 10 KA 1P+1N D 2A</v>
      </c>
      <c r="H246" s="19">
        <f>IFERROR(VLOOKUP(A246,[2]REPUESTOS!$A:$S,19,FALSE),"SIN ANÁLISIS")</f>
        <v>-6.3205901828932723E-2</v>
      </c>
      <c r="I246" s="19">
        <f t="shared" si="14"/>
        <v>3.8090761589060218E-6</v>
      </c>
      <c r="J246" s="10" t="str">
        <f>VLOOKUP(A246,[4]REPUESTOS!$B:$FY,180,FALSE)</f>
        <v>Si</v>
      </c>
    </row>
    <row r="247" spans="1:10" x14ac:dyDescent="0.3">
      <c r="A247" s="10" t="s">
        <v>487</v>
      </c>
      <c r="B247" s="10" t="s">
        <v>486</v>
      </c>
      <c r="C247" s="17">
        <f>IFERROR(VLOOKUP(A247,[1]REPUESTOS!$A:$D,4,FALSE),"")</f>
        <v>42727</v>
      </c>
      <c r="D247" s="18">
        <f>IFERROR(VLOOKUP(A247,[2]REPUESTOS!$A:$R,18,FALSE),C247)</f>
        <v>40026.341703927057</v>
      </c>
      <c r="E247" s="19">
        <f t="shared" si="12"/>
        <v>-6.3207299741918299E-2</v>
      </c>
      <c r="F247" s="10" t="str">
        <f>VLOOKUP(A247,[3]data!$W:$Z,4,FALSE)</f>
        <v>Si</v>
      </c>
      <c r="G247" s="10" t="str">
        <f t="shared" si="13"/>
        <v>Int. mt 6KA 1N 1MOD 6A C</v>
      </c>
      <c r="H247" s="19">
        <f>IFERROR(VLOOKUP(A247,[2]REPUESTOS!$A:$S,19,FALSE),"SIN ANÁLISIS")</f>
        <v>-6.3205901828932723E-2</v>
      </c>
      <c r="I247" s="19">
        <f t="shared" si="14"/>
        <v>1.3979129855762329E-6</v>
      </c>
      <c r="J247" s="10" t="str">
        <f>VLOOKUP(A247,[4]REPUESTOS!$B:$FY,180,FALSE)</f>
        <v>Si</v>
      </c>
    </row>
    <row r="248" spans="1:10" x14ac:dyDescent="0.3">
      <c r="A248" s="10" t="s">
        <v>489</v>
      </c>
      <c r="B248" s="10" t="s">
        <v>488</v>
      </c>
      <c r="C248" s="17">
        <f>IFERROR(VLOOKUP(A248,[1]REPUESTOS!$A:$D,4,FALSE),"")</f>
        <v>425086</v>
      </c>
      <c r="D248" s="18">
        <f>IFERROR(VLOOKUP(A248,[2]REPUESTOS!$A:$R,18,FALSE),C248)</f>
        <v>398218.48603156052</v>
      </c>
      <c r="E248" s="19">
        <f t="shared" si="12"/>
        <v>-6.3204890230305122E-2</v>
      </c>
      <c r="F248" s="10" t="str">
        <f>VLOOKUP(A248,[3]data!$W:$Z,4,FALSE)</f>
        <v>Si</v>
      </c>
      <c r="G248" s="10" t="str">
        <f t="shared" si="13"/>
        <v>kit pistola+ manguera+soporte para sanitizado</v>
      </c>
      <c r="H248" s="19">
        <f>IFERROR(VLOOKUP(A248,[2]REPUESTOS!$A:$S,19,FALSE),"SIN ANÁLISIS")</f>
        <v>-6.3205901828932695E-2</v>
      </c>
      <c r="I248" s="19">
        <f t="shared" si="14"/>
        <v>-1.0115986275732736E-6</v>
      </c>
      <c r="J248" s="10" t="str">
        <f>VLOOKUP(A248,[4]REPUESTOS!$B:$FY,180,FALSE)</f>
        <v>Si</v>
      </c>
    </row>
    <row r="249" spans="1:10" x14ac:dyDescent="0.3">
      <c r="A249" s="10" t="s">
        <v>491</v>
      </c>
      <c r="B249" s="10" t="s">
        <v>490</v>
      </c>
      <c r="C249" s="17">
        <f>IFERROR(VLOOKUP(A249,[1]REPUESTOS!$A:$D,4,FALSE),"")</f>
        <v>18421</v>
      </c>
      <c r="D249" s="18">
        <f>IFERROR(VLOOKUP(A249,[2]REPUESTOS!$A:$R,18,FALSE),C249)</f>
        <v>17256.591918175443</v>
      </c>
      <c r="E249" s="19">
        <f t="shared" si="12"/>
        <v>-6.321090504449034E-2</v>
      </c>
      <c r="F249" s="10" t="str">
        <f>VLOOKUP(A249,[3]data!$W:$Z,4,FALSE)</f>
        <v>Si</v>
      </c>
      <c r="G249" s="10" t="str">
        <f t="shared" si="13"/>
        <v>Filtro pistola mousse</v>
      </c>
      <c r="H249" s="19">
        <f>IFERROR(VLOOKUP(A249,[2]REPUESTOS!$A:$S,19,FALSE),"SIN ANÁLISIS")</f>
        <v>-6.320590182893282E-2</v>
      </c>
      <c r="I249" s="19">
        <f t="shared" si="14"/>
        <v>5.0032155575197024E-6</v>
      </c>
      <c r="J249" s="10" t="str">
        <f>VLOOKUP(A249,[4]REPUESTOS!$B:$FY,180,FALSE)</f>
        <v>Si</v>
      </c>
    </row>
    <row r="250" spans="1:10" x14ac:dyDescent="0.3">
      <c r="A250" s="10" t="s">
        <v>493</v>
      </c>
      <c r="B250" s="10" t="s">
        <v>492</v>
      </c>
      <c r="C250" s="17">
        <f>IFERROR(VLOOKUP(A250,[1]REPUESTOS!$A:$D,4,FALSE),"")</f>
        <v>494</v>
      </c>
      <c r="D250" s="18">
        <f>IFERROR(VLOOKUP(A250,[2]REPUESTOS!$A:$R,18,FALSE),C250)</f>
        <v>494</v>
      </c>
      <c r="E250" s="19">
        <f t="shared" si="12"/>
        <v>0</v>
      </c>
      <c r="F250" s="10" t="str">
        <f>VLOOKUP(A250,[3]data!$W:$Z,4,FALSE)</f>
        <v>Si</v>
      </c>
      <c r="G250" s="10" t="str">
        <f t="shared" si="13"/>
        <v>Ficha lavado part autos/rueda (La Serena Florida, Llolleo part)</v>
      </c>
      <c r="H250" s="19" t="str">
        <f>IFERROR(VLOOKUP(A250,[2]REPUESTOS!$A:$S,19,FALSE),"SIN ANÁLISIS")</f>
        <v>SIN ANÁLISIS</v>
      </c>
      <c r="I250" s="19">
        <f t="shared" si="14"/>
        <v>0</v>
      </c>
      <c r="J250" s="10" t="str">
        <f>VLOOKUP(A250,[4]REPUESTOS!$B:$FY,180,FALSE)</f>
        <v>Si</v>
      </c>
    </row>
    <row r="251" spans="1:10" x14ac:dyDescent="0.3">
      <c r="A251" s="10" t="s">
        <v>495</v>
      </c>
      <c r="B251" s="10" t="s">
        <v>494</v>
      </c>
      <c r="C251" s="17">
        <f>IFERROR(VLOOKUP(A251,[1]REPUESTOS!$A:$D,4,FALSE),"")</f>
        <v>326</v>
      </c>
      <c r="D251" s="18">
        <f>IFERROR(VLOOKUP(A251,[2]REPUESTOS!$A:$R,18,FALSE),C251)</f>
        <v>326</v>
      </c>
      <c r="E251" s="19">
        <f t="shared" si="12"/>
        <v>0</v>
      </c>
      <c r="F251" s="10" t="str">
        <f>VLOOKUP(A251,[3]data!$W:$Z,4,FALSE)</f>
        <v>Si</v>
      </c>
      <c r="G251" s="10" t="str">
        <f t="shared" si="13"/>
        <v>Ficha asp part estrella-winner</v>
      </c>
      <c r="H251" s="19" t="str">
        <f>IFERROR(VLOOKUP(A251,[2]REPUESTOS!$A:$S,19,FALSE),"SIN ANÁLISIS")</f>
        <v>SIN ANÁLISIS</v>
      </c>
      <c r="I251" s="19">
        <f t="shared" si="14"/>
        <v>0</v>
      </c>
      <c r="J251" s="10" t="str">
        <f>VLOOKUP(A251,[4]REPUESTOS!$B:$FY,180,FALSE)</f>
        <v>Si</v>
      </c>
    </row>
    <row r="252" spans="1:10" x14ac:dyDescent="0.3">
      <c r="A252" s="10" t="s">
        <v>497</v>
      </c>
      <c r="B252" s="10" t="s">
        <v>496</v>
      </c>
      <c r="C252" s="17">
        <f>IFERROR(VLOOKUP(A252,[1]REPUESTOS!$A:$D,4,FALSE),"")</f>
        <v>40024</v>
      </c>
      <c r="D252" s="18">
        <f>IFERROR(VLOOKUP(A252,[2]REPUESTOS!$A:$R,18,FALSE),C252)</f>
        <v>37494.048734262811</v>
      </c>
      <c r="E252" s="19">
        <f t="shared" si="12"/>
        <v>-6.3210855130351504E-2</v>
      </c>
      <c r="F252" s="10" t="str">
        <f>VLOOKUP(A252,[3]data!$W:$Z,4,FALSE)</f>
        <v>Si</v>
      </c>
      <c r="G252" s="10" t="str">
        <f t="shared" si="13"/>
        <v>Válvula de inyección verde</v>
      </c>
      <c r="H252" s="19">
        <f>IFERROR(VLOOKUP(A252,[2]REPUESTOS!$A:$S,19,FALSE),"SIN ANÁLISIS")</f>
        <v>-6.3205901828932695E-2</v>
      </c>
      <c r="I252" s="19">
        <f t="shared" si="14"/>
        <v>4.9533014188085644E-6</v>
      </c>
      <c r="J252" s="10" t="str">
        <f>VLOOKUP(A252,[4]REPUESTOS!$B:$FY,180,FALSE)</f>
        <v>Si</v>
      </c>
    </row>
    <row r="253" spans="1:10" x14ac:dyDescent="0.3">
      <c r="A253" s="10" t="s">
        <v>499</v>
      </c>
      <c r="B253" s="10" t="s">
        <v>498</v>
      </c>
      <c r="C253" s="17">
        <f>IFERROR(VLOOKUP(A253,[1]REPUESTOS!$A:$D,4,FALSE),"")</f>
        <v>44143</v>
      </c>
      <c r="D253" s="18">
        <f>IFERROR(VLOOKUP(A253,[2]REPUESTOS!$A:$R,18,FALSE),C253)</f>
        <v>41353.159779941241</v>
      </c>
      <c r="E253" s="19">
        <f t="shared" si="12"/>
        <v>-6.3200059353889837E-2</v>
      </c>
      <c r="F253" s="10" t="str">
        <f>VLOOKUP(A253,[3]data!$W:$Z,4,FALSE)</f>
        <v>Si</v>
      </c>
      <c r="G253" s="10" t="str">
        <f t="shared" si="13"/>
        <v>Válvula de inyección blanca</v>
      </c>
      <c r="H253" s="19">
        <f>IFERROR(VLOOKUP(A253,[2]REPUESTOS!$A:$S,19,FALSE),"SIN ANÁLISIS")</f>
        <v>-6.3205901828932681E-2</v>
      </c>
      <c r="I253" s="19">
        <f t="shared" si="14"/>
        <v>-5.8424750428442973E-6</v>
      </c>
      <c r="J253" s="10" t="str">
        <f>VLOOKUP(A253,[4]REPUESTOS!$B:$FY,180,FALSE)</f>
        <v>Si</v>
      </c>
    </row>
    <row r="254" spans="1:10" x14ac:dyDescent="0.3">
      <c r="A254" s="10" t="s">
        <v>501</v>
      </c>
      <c r="B254" s="10" t="s">
        <v>500</v>
      </c>
      <c r="C254" s="17">
        <f>IFERROR(VLOOKUP(A254,[1]REPUESTOS!$A:$D,4,FALSE),"")</f>
        <v>67168</v>
      </c>
      <c r="D254" s="18">
        <f>IFERROR(VLOOKUP(A254,[2]REPUESTOS!$A:$R,18,FALSE),C254)</f>
        <v>66153.625105907267</v>
      </c>
      <c r="E254" s="19">
        <f t="shared" si="12"/>
        <v>-1.510205595064216E-2</v>
      </c>
      <c r="F254" s="10" t="str">
        <f>VLOOKUP(A254,[3]data!$W:$Z,4,FALSE)</f>
        <v>Si</v>
      </c>
      <c r="G254" s="10" t="str">
        <f t="shared" si="13"/>
        <v>Resina sunresin SC 130</v>
      </c>
      <c r="H254" s="19">
        <f>IFERROR(VLOOKUP(A254,[2]REPUESTOS!$A:$S,19,FALSE),"SIN ANÁLISIS")</f>
        <v>-1.5106888361044986E-2</v>
      </c>
      <c r="I254" s="19">
        <f t="shared" si="14"/>
        <v>-4.8324104028260595E-6</v>
      </c>
      <c r="J254" s="10" t="str">
        <f>VLOOKUP(A254,[4]REPUESTOS!$B:$FY,180,FALSE)</f>
        <v>Si</v>
      </c>
    </row>
    <row r="255" spans="1:10" x14ac:dyDescent="0.3">
      <c r="A255" s="10" t="s">
        <v>503</v>
      </c>
      <c r="B255" s="10" t="s">
        <v>502</v>
      </c>
      <c r="C255" s="17">
        <f>IFERROR(VLOOKUP(A255,[1]REPUESTOS!$A:$D,4,FALSE),"")</f>
        <v>226015</v>
      </c>
      <c r="D255" s="18">
        <f>IFERROR(VLOOKUP(A255,[2]REPUESTOS!$A:$R,18,FALSE),C255)</f>
        <v>211729.92859789717</v>
      </c>
      <c r="E255" s="19">
        <f t="shared" si="12"/>
        <v>-6.320408557884577E-2</v>
      </c>
      <c r="F255" s="10" t="str">
        <f>VLOOKUP(A255,[3]data!$W:$Z,4,FALSE)</f>
        <v>Si</v>
      </c>
      <c r="G255" s="10" t="str">
        <f t="shared" si="13"/>
        <v>Manguera espiral + terminales para sanitizado</v>
      </c>
      <c r="H255" s="19">
        <f>IFERROR(VLOOKUP(A255,[2]REPUESTOS!$A:$S,19,FALSE),"SIN ANÁLISIS")</f>
        <v>-6.3205901828932765E-2</v>
      </c>
      <c r="I255" s="19">
        <f t="shared" si="14"/>
        <v>-1.8162500869944864E-6</v>
      </c>
      <c r="J255" s="10" t="str">
        <f>VLOOKUP(A255,[4]REPUESTOS!$B:$FY,180,FALSE)</f>
        <v>Si</v>
      </c>
    </row>
    <row r="256" spans="1:10" x14ac:dyDescent="0.3">
      <c r="A256" s="10" t="s">
        <v>505</v>
      </c>
      <c r="B256" s="10" t="s">
        <v>504</v>
      </c>
      <c r="C256" s="17">
        <f>IFERROR(VLOOKUP(A256,[1]REPUESTOS!$A:$D,4,FALSE),"")</f>
        <v>5772</v>
      </c>
      <c r="D256" s="18">
        <f>IFERROR(VLOOKUP(A256,[2]REPUESTOS!$A:$R,18,FALSE),C256)</f>
        <v>5407.1988951819867</v>
      </c>
      <c r="E256" s="19">
        <f t="shared" si="12"/>
        <v>-6.3201854611575417E-2</v>
      </c>
      <c r="F256" s="10" t="str">
        <f>VLOOKUP(A256,[3]data!$W:$Z,4,FALSE)</f>
        <v>Si</v>
      </c>
      <c r="G256" s="10" t="str">
        <f t="shared" si="13"/>
        <v>Filtro de sedimento texpro</v>
      </c>
      <c r="H256" s="19">
        <f>IFERROR(VLOOKUP(A256,[2]REPUESTOS!$A:$S,19,FALSE),"SIN ANÁLISIS")</f>
        <v>-6.3205901828932737E-2</v>
      </c>
      <c r="I256" s="19">
        <f t="shared" si="14"/>
        <v>-4.0472173573197212E-6</v>
      </c>
      <c r="J256" s="10" t="str">
        <f>VLOOKUP(A256,[4]REPUESTOS!$B:$FY,180,FALSE)</f>
        <v>Si</v>
      </c>
    </row>
    <row r="257" spans="1:10" x14ac:dyDescent="0.3">
      <c r="A257" s="10" t="s">
        <v>507</v>
      </c>
      <c r="B257" s="10" t="s">
        <v>506</v>
      </c>
      <c r="C257" s="17">
        <f>IFERROR(VLOOKUP(A257,[1]REPUESTOS!$A:$D,4,FALSE),"")</f>
        <v>37500</v>
      </c>
      <c r="D257" s="18">
        <f>IFERROR(VLOOKUP(A257,[2]REPUESTOS!$A:$R,18,FALSE),C257)</f>
        <v>37500</v>
      </c>
      <c r="E257" s="19">
        <f t="shared" si="12"/>
        <v>0</v>
      </c>
      <c r="F257" s="10" t="str">
        <f>VLOOKUP(A257,[3]data!$W:$Z,4,FALSE)</f>
        <v>Si</v>
      </c>
      <c r="G257" s="10" t="str">
        <f t="shared" si="13"/>
        <v>Visera para display de 4 cifras</v>
      </c>
      <c r="H257" s="19">
        <f>IFERROR(VLOOKUP(A257,[2]REPUESTOS!$A:$S,19,FALSE),"SIN ANÁLISIS")</f>
        <v>0</v>
      </c>
      <c r="I257" s="19">
        <f t="shared" si="14"/>
        <v>0</v>
      </c>
      <c r="J257" s="10" t="str">
        <f>VLOOKUP(A257,[4]REPUESTOS!$B:$FY,180,FALSE)</f>
        <v>Si</v>
      </c>
    </row>
    <row r="258" spans="1:10" x14ac:dyDescent="0.3">
      <c r="A258" s="10" t="s">
        <v>509</v>
      </c>
      <c r="B258" s="10" t="s">
        <v>508</v>
      </c>
      <c r="C258" s="17">
        <f>IFERROR(VLOOKUP(A258,[1]REPUESTOS!$A:$D,4,FALSE),"")</f>
        <v>3900</v>
      </c>
      <c r="D258" s="18">
        <f>IFERROR(VLOOKUP(A258,[2]REPUESTOS!$A:$R,18,FALSE),C258)</f>
        <v>3900</v>
      </c>
      <c r="E258" s="19">
        <f t="shared" si="12"/>
        <v>0</v>
      </c>
      <c r="F258" s="10" t="str">
        <f>VLOOKUP(A258,[3]data!$W:$Z,4,FALSE)</f>
        <v>Si</v>
      </c>
      <c r="G258" s="10" t="str">
        <f t="shared" si="13"/>
        <v>Válvula bola paso total 1/2 ( Bonomi Italiana)</v>
      </c>
      <c r="H258" s="19">
        <f>IFERROR(VLOOKUP(A258,[2]REPUESTOS!$A:$S,19,FALSE),"SIN ANÁLISIS")</f>
        <v>0</v>
      </c>
      <c r="I258" s="19">
        <f t="shared" si="14"/>
        <v>0</v>
      </c>
      <c r="J258" s="10" t="str">
        <f>VLOOKUP(A258,[4]REPUESTOS!$B:$FY,180,FALSE)</f>
        <v>Si</v>
      </c>
    </row>
    <row r="259" spans="1:10" x14ac:dyDescent="0.3">
      <c r="A259" s="10" t="s">
        <v>511</v>
      </c>
      <c r="B259" s="10" t="s">
        <v>510</v>
      </c>
      <c r="C259" s="17">
        <f>IFERROR(VLOOKUP(A259,[1]REPUESTOS!$A:$D,4,FALSE),"")</f>
        <v>1939</v>
      </c>
      <c r="D259" s="18">
        <f>IFERROR(VLOOKUP(A259,[2]REPUESTOS!$A:$R,18,FALSE),C259)</f>
        <v>1939</v>
      </c>
      <c r="E259" s="19">
        <f t="shared" si="12"/>
        <v>0</v>
      </c>
      <c r="F259" s="10" t="str">
        <f>VLOOKUP(A259,[3]data!$W:$Z,4,FALSE)</f>
        <v>Si</v>
      </c>
      <c r="G259" s="10" t="str">
        <f t="shared" si="13"/>
        <v>Copla bronce  HI-HI 1/2 x 1/2 nacional</v>
      </c>
      <c r="H259" s="19">
        <f>IFERROR(VLOOKUP(A259,[2]REPUESTOS!$A:$S,19,FALSE),"SIN ANÁLISIS")</f>
        <v>0</v>
      </c>
      <c r="I259" s="19">
        <f t="shared" si="14"/>
        <v>0</v>
      </c>
      <c r="J259" s="10" t="str">
        <f>VLOOKUP(A259,[4]REPUESTOS!$B:$FY,180,FALSE)</f>
        <v>Si</v>
      </c>
    </row>
    <row r="260" spans="1:10" x14ac:dyDescent="0.3">
      <c r="A260" s="10" t="s">
        <v>513</v>
      </c>
      <c r="B260" s="10" t="s">
        <v>512</v>
      </c>
      <c r="C260" s="17">
        <f>IFERROR(VLOOKUP(A260,[1]REPUESTOS!$A:$D,4,FALSE),"")</f>
        <v>65372</v>
      </c>
      <c r="D260" s="18">
        <f>IFERROR(VLOOKUP(A260,[2]REPUESTOS!$A:$R,18,FALSE),C260)</f>
        <v>65372</v>
      </c>
      <c r="E260" s="19">
        <f t="shared" si="12"/>
        <v>0</v>
      </c>
      <c r="F260" s="10" t="str">
        <f>VLOOKUP(A260,[3]data!$W:$Z,4,FALSE)</f>
        <v>Si</v>
      </c>
      <c r="G260" s="10" t="str">
        <f t="shared" si="13"/>
        <v>Kit analizador de durezas de alto rango 100 determinaciones</v>
      </c>
      <c r="H260" s="19">
        <f>IFERROR(VLOOKUP(A260,[2]REPUESTOS!$A:$S,19,FALSE),"SIN ANÁLISIS")</f>
        <v>0</v>
      </c>
      <c r="I260" s="19">
        <f t="shared" si="14"/>
        <v>0</v>
      </c>
      <c r="J260" s="10" t="str">
        <f>VLOOKUP(A260,[4]REPUESTOS!$B:$FY,180,FALSE)</f>
        <v>Si</v>
      </c>
    </row>
    <row r="261" spans="1:10" x14ac:dyDescent="0.3">
      <c r="A261" s="10" t="s">
        <v>515</v>
      </c>
      <c r="B261" s="10" t="s">
        <v>514</v>
      </c>
      <c r="C261" s="17">
        <f>IFERROR(VLOOKUP(A261,[1]REPUESTOS!$A:$D,4,FALSE),"")</f>
        <v>10535</v>
      </c>
      <c r="D261" s="18">
        <f>IFERROR(VLOOKUP(A261,[2]REPUESTOS!$A:$R,18,FALSE),C261)</f>
        <v>10535</v>
      </c>
      <c r="E261" s="19">
        <f t="shared" si="12"/>
        <v>0</v>
      </c>
      <c r="F261" s="10" t="str">
        <f>VLOOKUP(A261,[3]data!$W:$Z,4,FALSE)</f>
        <v>Si</v>
      </c>
      <c r="G261" s="10" t="str">
        <f t="shared" si="13"/>
        <v>Pulsador armado azul contacto NO</v>
      </c>
      <c r="H261" s="19">
        <f>IFERROR(VLOOKUP(A261,[2]REPUESTOS!$A:$S,19,FALSE),"SIN ANÁLISIS")</f>
        <v>0</v>
      </c>
      <c r="I261" s="19">
        <f t="shared" si="14"/>
        <v>0</v>
      </c>
      <c r="J261" s="10" t="str">
        <f>VLOOKUP(A261,[4]REPUESTOS!$B:$FY,180,FALSE)</f>
        <v>Si</v>
      </c>
    </row>
    <row r="262" spans="1:10" x14ac:dyDescent="0.3">
      <c r="A262" s="10" t="s">
        <v>517</v>
      </c>
      <c r="B262" s="10" t="s">
        <v>516</v>
      </c>
      <c r="C262" s="17">
        <f>IFERROR(VLOOKUP(A262,[1]REPUESTOS!$A:$D,4,FALSE),"")</f>
        <v>55944</v>
      </c>
      <c r="D262" s="18">
        <f>IFERROR(VLOOKUP(A262,[2]REPUESTOS!$A:$R,18,FALSE),C262)</f>
        <v>55944</v>
      </c>
      <c r="E262" s="19">
        <f t="shared" ref="E262:E325" si="15">IFERROR((D262-C262)/C262,0)</f>
        <v>0</v>
      </c>
      <c r="F262" s="10" t="str">
        <f>VLOOKUP(A262,[3]data!$W:$Z,4,FALSE)</f>
        <v>Si</v>
      </c>
      <c r="G262" s="10" t="str">
        <f t="shared" ref="G262:G325" si="16">MID(B262,15,100)</f>
        <v>Kit analizador de durezas bajo rango 100 determinaciones</v>
      </c>
      <c r="H262" s="19">
        <f>IFERROR(VLOOKUP(A262,[2]REPUESTOS!$A:$S,19,FALSE),"SIN ANÁLISIS")</f>
        <v>0</v>
      </c>
      <c r="I262" s="19">
        <f t="shared" ref="I262:I325" si="17">IFERROR(H262-E262,0)</f>
        <v>0</v>
      </c>
      <c r="J262" s="10" t="str">
        <f>VLOOKUP(A262,[4]REPUESTOS!$B:$FY,180,FALSE)</f>
        <v>Si</v>
      </c>
    </row>
    <row r="263" spans="1:10" x14ac:dyDescent="0.3">
      <c r="A263" s="10" t="s">
        <v>519</v>
      </c>
      <c r="B263" s="10" t="s">
        <v>518</v>
      </c>
      <c r="C263" s="17">
        <f>IFERROR(VLOOKUP(A263,[1]REPUESTOS!$A:$D,4,FALSE),"")</f>
        <v>494278</v>
      </c>
      <c r="D263" s="18">
        <f>IFERROR(VLOOKUP(A263,[2]REPUESTOS!$A:$R,18,FALSE),C263)</f>
        <v>463036.63235522492</v>
      </c>
      <c r="E263" s="19">
        <f t="shared" si="15"/>
        <v>-6.3206065503168415E-2</v>
      </c>
      <c r="F263" s="10" t="str">
        <f>VLOOKUP(A263,[3]data!$W:$Z,4,FALSE)</f>
        <v>Si</v>
      </c>
      <c r="G263" s="10" t="str">
        <f t="shared" si="16"/>
        <v>EV 1/2 100 bar mousse</v>
      </c>
      <c r="H263" s="19">
        <f>IFERROR(VLOOKUP(A263,[2]REPUESTOS!$A:$S,19,FALSE),"SIN ANÁLISIS")</f>
        <v>-6.3205901828932681E-2</v>
      </c>
      <c r="I263" s="19">
        <f t="shared" si="17"/>
        <v>1.6367423573415696E-7</v>
      </c>
      <c r="J263" s="10" t="str">
        <f>VLOOKUP(A263,[4]REPUESTOS!$B:$FY,180,FALSE)</f>
        <v>Si</v>
      </c>
    </row>
    <row r="264" spans="1:10" x14ac:dyDescent="0.3">
      <c r="A264" s="10" t="s">
        <v>521</v>
      </c>
      <c r="B264" s="10" t="s">
        <v>520</v>
      </c>
      <c r="C264" s="17">
        <f>IFERROR(VLOOKUP(A264,[1]REPUESTOS!$A:$D,4,FALSE),"")</f>
        <v>1270000</v>
      </c>
      <c r="D264" s="18">
        <f>IFERROR(VLOOKUP(A264,[2]REPUESTOS!$A:$R,18,FALSE),C264)</f>
        <v>1270000</v>
      </c>
      <c r="E264" s="19">
        <f t="shared" si="15"/>
        <v>0</v>
      </c>
      <c r="F264" s="10" t="str">
        <f>VLOOKUP(A264,[3]data!$W:$Z,4,FALSE)</f>
        <v>Si</v>
      </c>
      <c r="G264" s="10" t="str">
        <f t="shared" si="16"/>
        <v>Termo 100lt Trotter inoxidable 6 kw</v>
      </c>
      <c r="H264" s="19">
        <f>IFERROR(VLOOKUP(A264,[2]REPUESTOS!$A:$S,19,FALSE),"SIN ANÁLISIS")</f>
        <v>0</v>
      </c>
      <c r="I264" s="19">
        <f t="shared" si="17"/>
        <v>0</v>
      </c>
      <c r="J264" s="10" t="str">
        <f>VLOOKUP(A264,[4]REPUESTOS!$B:$FY,180,FALSE)</f>
        <v>Si</v>
      </c>
    </row>
    <row r="265" spans="1:10" x14ac:dyDescent="0.3">
      <c r="A265" s="10" t="s">
        <v>523</v>
      </c>
      <c r="B265" s="10" t="s">
        <v>522</v>
      </c>
      <c r="C265" s="17">
        <f>IFERROR(VLOOKUP(A265,[1]REPUESTOS!$A:$D,4,FALSE),"")</f>
        <v>16546</v>
      </c>
      <c r="D265" s="18">
        <f>IFERROR(VLOOKUP(A265,[2]REPUESTOS!$A:$R,18,FALSE),C265)</f>
        <v>16546</v>
      </c>
      <c r="E265" s="19">
        <f t="shared" si="15"/>
        <v>0</v>
      </c>
      <c r="F265" s="10" t="str">
        <f>VLOOKUP(A265,[3]data!$W:$Z,4,FALSE)</f>
        <v>Si</v>
      </c>
      <c r="G265" s="10" t="str">
        <f t="shared" si="16"/>
        <v xml:space="preserve"> Soporte de plástico para manguera de soplado</v>
      </c>
      <c r="H265" s="19">
        <f>IFERROR(VLOOKUP(A265,[2]REPUESTOS!$A:$S,19,FALSE),"SIN ANÁLISIS")</f>
        <v>0</v>
      </c>
      <c r="I265" s="19">
        <f t="shared" si="17"/>
        <v>0</v>
      </c>
      <c r="J265" s="10" t="str">
        <f>VLOOKUP(A265,[4]REPUESTOS!$B:$FY,180,FALSE)</f>
        <v>Si</v>
      </c>
    </row>
    <row r="266" spans="1:10" x14ac:dyDescent="0.3">
      <c r="A266" s="10" t="s">
        <v>525</v>
      </c>
      <c r="B266" s="10" t="s">
        <v>524</v>
      </c>
      <c r="C266" s="17">
        <f>IFERROR(VLOOKUP(A266,[1]REPUESTOS!$A:$D,4,FALSE),"")</f>
        <v>21155</v>
      </c>
      <c r="D266" s="18">
        <f>IFERROR(VLOOKUP(A266,[2]REPUESTOS!$A:$R,18,FALSE),C266)</f>
        <v>19817.728759057391</v>
      </c>
      <c r="E266" s="19">
        <f t="shared" si="15"/>
        <v>-6.3213010680340798E-2</v>
      </c>
      <c r="F266" s="10" t="str">
        <f>VLOOKUP(A266,[3]data!$W:$Z,4,FALSE)</f>
        <v>Si</v>
      </c>
      <c r="G266" s="10" t="str">
        <f t="shared" si="16"/>
        <v>Contactor 4KW DILEM 10 24V 50/60</v>
      </c>
      <c r="H266" s="19">
        <f>IFERROR(VLOOKUP(A266,[2]REPUESTOS!$A:$S,19,FALSE),"SIN ANÁLISIS")</f>
        <v>-6.3205901828932778E-2</v>
      </c>
      <c r="I266" s="19">
        <f t="shared" si="17"/>
        <v>7.1088514080192011E-6</v>
      </c>
      <c r="J266" s="10" t="str">
        <f>VLOOKUP(A266,[4]REPUESTOS!$B:$FY,180,FALSE)</f>
        <v>Si</v>
      </c>
    </row>
    <row r="267" spans="1:10" x14ac:dyDescent="0.3">
      <c r="A267" s="10" t="s">
        <v>527</v>
      </c>
      <c r="B267" s="10" t="s">
        <v>526</v>
      </c>
      <c r="C267" s="17">
        <f>IFERROR(VLOOKUP(A267,[1]REPUESTOS!$A:$D,4,FALSE),"")</f>
        <v>958800</v>
      </c>
      <c r="D267" s="18">
        <f>IFERROR(VLOOKUP(A267,[2]REPUESTOS!$A:$R,18,FALSE),C267)</f>
        <v>898198.14971916529</v>
      </c>
      <c r="E267" s="19">
        <f t="shared" si="15"/>
        <v>-6.3205934794362442E-2</v>
      </c>
      <c r="F267" s="10" t="str">
        <f>VLOOKUP(A267,[3]data!$W:$Z,4,FALSE)</f>
        <v>Si</v>
      </c>
      <c r="G267" s="10" t="str">
        <f t="shared" si="16"/>
        <v>Diferencial tipo B SIEMENE 5SV3342-4</v>
      </c>
      <c r="H267" s="19">
        <f>IFERROR(VLOOKUP(A267,[2]REPUESTOS!$A:$S,19,FALSE),"SIN ANÁLISIS")</f>
        <v>-6.3205901828932737E-2</v>
      </c>
      <c r="I267" s="19">
        <f t="shared" si="17"/>
        <v>3.2965429705433813E-8</v>
      </c>
      <c r="J267" s="10" t="str">
        <f>VLOOKUP(A267,[4]REPUESTOS!$B:$FY,180,FALSE)</f>
        <v>Si</v>
      </c>
    </row>
    <row r="268" spans="1:10" x14ac:dyDescent="0.3">
      <c r="A268" s="10" t="s">
        <v>529</v>
      </c>
      <c r="B268" s="10" t="s">
        <v>528</v>
      </c>
      <c r="C268" s="17">
        <f>IFERROR(VLOOKUP(A268,[1]REPUESTOS!$A:$D,4,FALSE),"")</f>
        <v>72646</v>
      </c>
      <c r="D268" s="18">
        <f>IFERROR(VLOOKUP(A268,[2]REPUESTOS!$A:$R,18,FALSE),C268)</f>
        <v>68054.627597539977</v>
      </c>
      <c r="E268" s="19">
        <f t="shared" si="15"/>
        <v>-6.3201998767447948E-2</v>
      </c>
      <c r="F268" s="10" t="str">
        <f>VLOOKUP(A268,[3]data!$W:$Z,4,FALSE)</f>
        <v>Si</v>
      </c>
      <c r="G268" s="10" t="str">
        <f t="shared" si="16"/>
        <v>Manguera 3,5 mts color rojo</v>
      </c>
      <c r="H268" s="19">
        <f>IFERROR(VLOOKUP(A268,[2]REPUESTOS!$A:$S,19,FALSE),"SIN ANÁLISIS")</f>
        <v>-6.3205901828932751E-2</v>
      </c>
      <c r="I268" s="19">
        <f t="shared" si="17"/>
        <v>-3.9030614848029055E-6</v>
      </c>
      <c r="J268" s="10" t="str">
        <f>VLOOKUP(A268,[4]REPUESTOS!$B:$FY,180,FALSE)</f>
        <v>Si</v>
      </c>
    </row>
    <row r="269" spans="1:10" x14ac:dyDescent="0.3">
      <c r="A269" s="10" t="s">
        <v>531</v>
      </c>
      <c r="B269" s="10" t="s">
        <v>530</v>
      </c>
      <c r="C269" s="17">
        <f>IFERROR(VLOOKUP(A269,[1]REPUESTOS!$A:$D,4,FALSE),"")</f>
        <v>113245</v>
      </c>
      <c r="D269" s="18">
        <f>IFERROR(VLOOKUP(A269,[2]REPUESTOS!$A:$R,18,FALSE),C269)</f>
        <v>106087.34295952004</v>
      </c>
      <c r="E269" s="19">
        <f t="shared" si="15"/>
        <v>-6.3205060183495573E-2</v>
      </c>
      <c r="F269" s="10" t="str">
        <f>VLOOKUP(A269,[3]data!$W:$Z,4,FALSE)</f>
        <v>Si</v>
      </c>
      <c r="G269" s="10" t="str">
        <f t="shared" si="16"/>
        <v>Manguera 4,7 mts color gris</v>
      </c>
      <c r="H269" s="19">
        <f>IFERROR(VLOOKUP(A269,[2]REPUESTOS!$A:$S,19,FALSE),"SIN ANÁLISIS")</f>
        <v>-6.3205901828932709E-2</v>
      </c>
      <c r="I269" s="19">
        <f t="shared" si="17"/>
        <v>-8.4164543713571849E-7</v>
      </c>
      <c r="J269" s="10" t="str">
        <f>VLOOKUP(A269,[4]REPUESTOS!$B:$FY,180,FALSE)</f>
        <v>Si</v>
      </c>
    </row>
    <row r="270" spans="1:10" x14ac:dyDescent="0.3">
      <c r="A270" s="10" t="s">
        <v>533</v>
      </c>
      <c r="B270" s="10" t="s">
        <v>532</v>
      </c>
      <c r="C270" s="17">
        <f>IFERROR(VLOOKUP(A270,[1]REPUESTOS!$A:$D,4,FALSE),"")</f>
        <v>76275</v>
      </c>
      <c r="D270" s="18">
        <f>IFERROR(VLOOKUP(A270,[2]REPUESTOS!$A:$R,18,FALSE),C270)</f>
        <v>71454.225936232979</v>
      </c>
      <c r="E270" s="19">
        <f t="shared" si="15"/>
        <v>-6.3202544264398836E-2</v>
      </c>
      <c r="F270" s="10" t="str">
        <f>VLOOKUP(A270,[3]data!$W:$Z,4,FALSE)</f>
        <v>Si</v>
      </c>
      <c r="G270" s="10" t="str">
        <f t="shared" si="16"/>
        <v>Manguera 4,0 mts color gris</v>
      </c>
      <c r="H270" s="19">
        <f>IFERROR(VLOOKUP(A270,[2]REPUESTOS!$A:$S,19,FALSE),"SIN ANÁLISIS")</f>
        <v>-6.3205901828932792E-2</v>
      </c>
      <c r="I270" s="19">
        <f t="shared" si="17"/>
        <v>-3.3575645339567473E-6</v>
      </c>
      <c r="J270" s="10" t="str">
        <f>VLOOKUP(A270,[4]REPUESTOS!$B:$FY,180,FALSE)</f>
        <v>Si</v>
      </c>
    </row>
    <row r="271" spans="1:10" x14ac:dyDescent="0.3">
      <c r="A271" s="10" t="s">
        <v>535</v>
      </c>
      <c r="B271" s="10" t="s">
        <v>534</v>
      </c>
      <c r="C271" s="17">
        <f>IFERROR(VLOOKUP(A271,[1]REPUESTOS!$A:$D,4,FALSE),"")</f>
        <v>295095</v>
      </c>
      <c r="D271" s="18">
        <f>IFERROR(VLOOKUP(A271,[2]REPUESTOS!$A:$R,18,FALSE),C271)</f>
        <v>295095.10887650267</v>
      </c>
      <c r="E271" s="19">
        <f t="shared" si="15"/>
        <v>3.6895407467163258E-7</v>
      </c>
      <c r="F271" s="10" t="str">
        <f>VLOOKUP(A271,[3]data!$W:$Z,4,FALSE)</f>
        <v>Si</v>
      </c>
      <c r="G271" s="10" t="str">
        <f t="shared" si="16"/>
        <v>Fichero nuevo RM5 evo</v>
      </c>
      <c r="H271" s="19">
        <f>IFERROR(VLOOKUP(A271,[2]REPUESTOS!$A:$S,19,FALSE),"SIN ANÁLISIS")</f>
        <v>0</v>
      </c>
      <c r="I271" s="19">
        <f t="shared" si="17"/>
        <v>-3.6895407467163258E-7</v>
      </c>
      <c r="J271" s="10" t="str">
        <f>VLOOKUP(A271,[4]REPUESTOS!$B:$FY,180,FALSE)</f>
        <v>Si</v>
      </c>
    </row>
    <row r="272" spans="1:10" x14ac:dyDescent="0.3">
      <c r="A272" s="10" t="s">
        <v>537</v>
      </c>
      <c r="B272" s="10" t="s">
        <v>536</v>
      </c>
      <c r="C272" s="17">
        <f>IFERROR(VLOOKUP(A272,[1]REPUESTOS!$A:$D,4,FALSE),"")</f>
        <v>5237</v>
      </c>
      <c r="D272" s="18">
        <f>IFERROR(VLOOKUP(A272,[2]REPUESTOS!$A:$R,18,FALSE),C272)</f>
        <v>4906.285436417329</v>
      </c>
      <c r="E272" s="19">
        <f t="shared" si="15"/>
        <v>-6.3149620695564443E-2</v>
      </c>
      <c r="F272" s="10" t="str">
        <f>VLOOKUP(A272,[3]data!$W:$Z,4,FALSE)</f>
        <v>Si</v>
      </c>
      <c r="G272" s="10" t="str">
        <f t="shared" si="16"/>
        <v>Reducción 1/2 A 1/4" bronce (bushing)</v>
      </c>
      <c r="H272" s="19">
        <f>IFERROR(VLOOKUP(A272,[2]REPUESTOS!$A:$S,19,FALSE),"SIN ANÁLISIS")</f>
        <v>-6.320590182893282E-2</v>
      </c>
      <c r="I272" s="19">
        <f t="shared" si="17"/>
        <v>-5.6281133368377145E-5</v>
      </c>
      <c r="J272" s="10" t="str">
        <f>VLOOKUP(A272,[4]REPUESTOS!$B:$FY,180,FALSE)</f>
        <v>Si</v>
      </c>
    </row>
    <row r="273" spans="1:10" x14ac:dyDescent="0.3">
      <c r="A273" s="10" t="s">
        <v>539</v>
      </c>
      <c r="B273" s="10" t="s">
        <v>538</v>
      </c>
      <c r="C273" s="17">
        <f>IFERROR(VLOOKUP(A273,[1]REPUESTOS!$A:$D,4,FALSE),"")</f>
        <v>1632</v>
      </c>
      <c r="D273" s="18">
        <f>IFERROR(VLOOKUP(A273,[2]REPUESTOS!$A:$R,18,FALSE),C273)</f>
        <v>1632</v>
      </c>
      <c r="E273" s="19">
        <f t="shared" si="15"/>
        <v>0</v>
      </c>
      <c r="F273" s="10" t="str">
        <f>VLOOKUP(A273,[3]data!$W:$Z,4,FALSE)</f>
        <v>Si</v>
      </c>
      <c r="G273" s="10" t="str">
        <f t="shared" si="16"/>
        <v xml:space="preserve"> Oring para boquilla pistola mousse</v>
      </c>
      <c r="H273" s="19">
        <f>IFERROR(VLOOKUP(A273,[2]REPUESTOS!$A:$S,19,FALSE),"SIN ANÁLISIS")</f>
        <v>0</v>
      </c>
      <c r="I273" s="19">
        <f t="shared" si="17"/>
        <v>0</v>
      </c>
      <c r="J273" s="10" t="str">
        <f>VLOOKUP(A273,[4]REPUESTOS!$B:$FY,180,FALSE)</f>
        <v>Si</v>
      </c>
    </row>
    <row r="274" spans="1:10" x14ac:dyDescent="0.3">
      <c r="A274" s="10" t="s">
        <v>541</v>
      </c>
      <c r="B274" s="10" t="s">
        <v>540</v>
      </c>
      <c r="C274" s="17">
        <f>IFERROR(VLOOKUP(A274,[1]REPUESTOS!$A:$D,4,FALSE),"")</f>
        <v>578</v>
      </c>
      <c r="D274" s="18">
        <f>IFERROR(VLOOKUP(A274,[2]REPUESTOS!$A:$R,18,FALSE),C274)</f>
        <v>578</v>
      </c>
      <c r="E274" s="19">
        <f t="shared" si="15"/>
        <v>0</v>
      </c>
      <c r="F274" s="10" t="str">
        <f>VLOOKUP(A274,[3]data!$W:$Z,4,FALSE)</f>
        <v>Si</v>
      </c>
      <c r="G274" s="10" t="str">
        <f t="shared" si="16"/>
        <v>Ficha lavado Abastible self service car wash/tu lavas tu brillas</v>
      </c>
      <c r="H274" s="19" t="str">
        <f>IFERROR(VLOOKUP(A274,[2]REPUESTOS!$A:$S,19,FALSE),"SIN ANÁLISIS")</f>
        <v>SIN ANÁLISIS</v>
      </c>
      <c r="I274" s="19">
        <f t="shared" si="17"/>
        <v>0</v>
      </c>
      <c r="J274" s="10" t="str">
        <f>VLOOKUP(A274,[4]REPUESTOS!$B:$FY,180,FALSE)</f>
        <v>Si</v>
      </c>
    </row>
    <row r="275" spans="1:10" x14ac:dyDescent="0.3">
      <c r="A275" s="10" t="s">
        <v>543</v>
      </c>
      <c r="B275" s="10" t="s">
        <v>542</v>
      </c>
      <c r="C275" s="17">
        <f>IFERROR(VLOOKUP(A275,[1]REPUESTOS!$A:$D,4,FALSE),"")</f>
        <v>74630</v>
      </c>
      <c r="D275" s="18">
        <f>IFERROR(VLOOKUP(A275,[2]REPUESTOS!$A:$R,18,FALSE),C275)</f>
        <v>69912.570750459374</v>
      </c>
      <c r="E275" s="19">
        <f t="shared" si="15"/>
        <v>-6.321089708616677E-2</v>
      </c>
      <c r="F275" s="10" t="str">
        <f>VLOOKUP(A275,[3]data!$W:$Z,4,FALSE)</f>
        <v>Si</v>
      </c>
      <c r="G275" s="10" t="str">
        <f t="shared" si="16"/>
        <v>Manguera 4,0 mts color rojo</v>
      </c>
      <c r="H275" s="19">
        <f>IFERROR(VLOOKUP(A275,[2]REPUESTOS!$A:$S,19,FALSE),"SIN ANÁLISIS")</f>
        <v>-6.3205901828932806E-2</v>
      </c>
      <c r="I275" s="19">
        <f t="shared" si="17"/>
        <v>4.99525723396399E-6</v>
      </c>
      <c r="J275" s="10" t="str">
        <f>VLOOKUP(A275,[4]REPUESTOS!$B:$FY,180,FALSE)</f>
        <v>Si</v>
      </c>
    </row>
    <row r="276" spans="1:10" x14ac:dyDescent="0.3">
      <c r="A276" s="10" t="s">
        <v>545</v>
      </c>
      <c r="B276" s="10" t="s">
        <v>544</v>
      </c>
      <c r="C276" s="17">
        <f>IFERROR(VLOOKUP(A276,[1]REPUESTOS!$A:$D,4,FALSE),"")</f>
        <v>741</v>
      </c>
      <c r="D276" s="18">
        <f>IFERROR(VLOOKUP(A276,[2]REPUESTOS!$A:$R,18,FALSE),C276)</f>
        <v>741</v>
      </c>
      <c r="E276" s="19">
        <f t="shared" si="15"/>
        <v>0</v>
      </c>
      <c r="F276" s="10" t="str">
        <f>VLOOKUP(A276,[3]data!$W:$Z,4,FALSE)</f>
        <v>Si</v>
      </c>
      <c r="G276" s="10" t="str">
        <f t="shared" si="16"/>
        <v>Ficha dorada lava interni Lavamax multifunción</v>
      </c>
      <c r="H276" s="19" t="str">
        <f>IFERROR(VLOOKUP(A276,[2]REPUESTOS!$A:$S,19,FALSE),"SIN ANÁLISIS")</f>
        <v>SIN ANÁLISIS</v>
      </c>
      <c r="I276" s="19">
        <f t="shared" si="17"/>
        <v>0</v>
      </c>
      <c r="J276" s="10" t="str">
        <f>VLOOKUP(A276,[4]REPUESTOS!$B:$FY,180,FALSE)</f>
        <v>Si</v>
      </c>
    </row>
    <row r="277" spans="1:10" x14ac:dyDescent="0.3">
      <c r="A277" s="10" t="s">
        <v>547</v>
      </c>
      <c r="B277" s="10" t="s">
        <v>546</v>
      </c>
      <c r="C277" s="17">
        <f>IFERROR(VLOOKUP(A277,[1]REPUESTOS!$A:$D,4,FALSE),"")</f>
        <v>354827</v>
      </c>
      <c r="D277" s="18">
        <f>IFERROR(VLOOKUP(A277,[2]REPUESTOS!$A:$R,18,FALSE),C277)</f>
        <v>332399.75576151669</v>
      </c>
      <c r="E277" s="19">
        <f t="shared" si="15"/>
        <v>-6.3206137747362265E-2</v>
      </c>
      <c r="F277" s="10" t="str">
        <f>VLOOKUP(A277,[3]data!$W:$Z,4,FALSE)</f>
        <v>Si</v>
      </c>
      <c r="G277" s="10" t="str">
        <f t="shared" si="16"/>
        <v>Carcasa de membrana de osmosis</v>
      </c>
      <c r="H277" s="19">
        <f>IFERROR(VLOOKUP(A277,[2]REPUESTOS!$A:$S,19,FALSE),"SIN ANÁLISIS")</f>
        <v>-6.3205901828932792E-2</v>
      </c>
      <c r="I277" s="19">
        <f t="shared" si="17"/>
        <v>2.3591842947257025E-7</v>
      </c>
      <c r="J277" s="10" t="str">
        <f>VLOOKUP(A277,[4]REPUESTOS!$B:$FY,180,FALSE)</f>
        <v>Si</v>
      </c>
    </row>
    <row r="278" spans="1:10" x14ac:dyDescent="0.3">
      <c r="A278" s="10" t="s">
        <v>549</v>
      </c>
      <c r="B278" s="10" t="s">
        <v>548</v>
      </c>
      <c r="C278" s="17">
        <f>IFERROR(VLOOKUP(A278,[1]REPUESTOS!$A:$D,4,FALSE),"")</f>
        <v>158862</v>
      </c>
      <c r="D278" s="18">
        <f>IFERROR(VLOOKUP(A278,[2]REPUESTOS!$A:$R,18,FALSE),C278)</f>
        <v>148821.44547209438</v>
      </c>
      <c r="E278" s="19">
        <f t="shared" si="15"/>
        <v>-6.3202997116400553E-2</v>
      </c>
      <c r="F278" s="10" t="str">
        <f>VLOOKUP(A278,[3]data!$W:$Z,4,FALSE)</f>
        <v>Si</v>
      </c>
      <c r="G278" s="10" t="str">
        <f t="shared" si="16"/>
        <v>Mango pistola mousse</v>
      </c>
      <c r="H278" s="19">
        <f>IFERROR(VLOOKUP(A278,[2]REPUESTOS!$A:$S,19,FALSE),"SIN ANÁLISIS")</f>
        <v>-6.3205901828932737E-2</v>
      </c>
      <c r="I278" s="19">
        <f t="shared" si="17"/>
        <v>-2.9047125321840506E-6</v>
      </c>
      <c r="J278" s="10" t="str">
        <f>VLOOKUP(A278,[4]REPUESTOS!$B:$FY,180,FALSE)</f>
        <v>Si</v>
      </c>
    </row>
    <row r="279" spans="1:10" x14ac:dyDescent="0.3">
      <c r="A279" s="10" t="s">
        <v>551</v>
      </c>
      <c r="B279" s="10" t="s">
        <v>550</v>
      </c>
      <c r="C279" s="17">
        <f>IFERROR(VLOOKUP(A279,[1]REPUESTOS!$A:$D,4,FALSE),"")</f>
        <v>257504</v>
      </c>
      <c r="D279" s="18">
        <f>IFERROR(VLOOKUP(A279,[2]REPUESTOS!$A:$R,18,FALSE),C279)</f>
        <v>241228.25730736388</v>
      </c>
      <c r="E279" s="19">
        <f t="shared" si="15"/>
        <v>-6.3205785900941822E-2</v>
      </c>
      <c r="F279" s="10" t="str">
        <f>VLOOKUP(A279,[3]data!$W:$Z,4,FALSE)</f>
        <v>Si</v>
      </c>
      <c r="G279" s="10" t="str">
        <f t="shared" si="16"/>
        <v>Boquilla y cuerpo lanza mousse</v>
      </c>
      <c r="H279" s="19">
        <f>IFERROR(VLOOKUP(A279,[2]REPUESTOS!$A:$S,19,FALSE),"SIN ANÁLISIS")</f>
        <v>-6.3205901828932792E-2</v>
      </c>
      <c r="I279" s="19">
        <f t="shared" si="17"/>
        <v>-1.1592799097071005E-7</v>
      </c>
      <c r="J279" s="10" t="str">
        <f>VLOOKUP(A279,[4]REPUESTOS!$B:$FY,180,FALSE)</f>
        <v>Si</v>
      </c>
    </row>
    <row r="280" spans="1:10" x14ac:dyDescent="0.3">
      <c r="A280" s="10" t="s">
        <v>553</v>
      </c>
      <c r="B280" s="10" t="s">
        <v>552</v>
      </c>
      <c r="C280" s="17">
        <f>IFERROR(VLOOKUP(A280,[1]REPUESTOS!$A:$D,4,FALSE),"")</f>
        <v>430536</v>
      </c>
      <c r="D280" s="18">
        <f>IFERROR(VLOOKUP(A280,[2]REPUESTOS!$A:$R,18,FALSE),C280)</f>
        <v>403323.85123709339</v>
      </c>
      <c r="E280" s="19">
        <f t="shared" si="15"/>
        <v>-6.320528077305175E-2</v>
      </c>
      <c r="F280" s="10" t="str">
        <f>VLOOKUP(A280,[3]data!$W:$Z,4,FALSE)</f>
        <v>Si</v>
      </c>
      <c r="G280" s="10" t="str">
        <f t="shared" si="16"/>
        <v>Bomba dosificadora de mousse</v>
      </c>
      <c r="H280" s="19">
        <f>IFERROR(VLOOKUP(A280,[2]REPUESTOS!$A:$S,19,FALSE),"SIN ANÁLISIS")</f>
        <v>-6.3205901828932737E-2</v>
      </c>
      <c r="I280" s="19">
        <f t="shared" si="17"/>
        <v>-6.2105588098659847E-7</v>
      </c>
      <c r="J280" s="10" t="str">
        <f>VLOOKUP(A280,[4]REPUESTOS!$B:$FY,180,FALSE)</f>
        <v>Si</v>
      </c>
    </row>
    <row r="281" spans="1:10" x14ac:dyDescent="0.3">
      <c r="A281" s="10" t="s">
        <v>555</v>
      </c>
      <c r="B281" s="10" t="s">
        <v>554</v>
      </c>
      <c r="C281" s="17">
        <f>IFERROR(VLOOKUP(A281,[1]REPUESTOS!$A:$D,4,FALSE),"")</f>
        <v>38857</v>
      </c>
      <c r="D281" s="18">
        <f>IFERROR(VLOOKUP(A281,[2]REPUESTOS!$A:$R,18,FALSE),C281)</f>
        <v>36400.965476736885</v>
      </c>
      <c r="E281" s="19">
        <f t="shared" si="15"/>
        <v>-6.3207003197959577E-2</v>
      </c>
      <c r="F281" s="10" t="str">
        <f>VLOOKUP(A281,[3]data!$W:$Z,4,FALSE)</f>
        <v>Si</v>
      </c>
      <c r="G281" s="10" t="str">
        <f t="shared" si="16"/>
        <v>Manguera 1/4" 1 mt color rojo ext. HE-HI 3/8</v>
      </c>
      <c r="H281" s="19">
        <f>IFERROR(VLOOKUP(A281,[2]REPUESTOS!$A:$S,19,FALSE),"SIN ANÁLISIS")</f>
        <v>-6.3205901828932723E-2</v>
      </c>
      <c r="I281" s="19">
        <f t="shared" si="17"/>
        <v>1.1013690268540932E-6</v>
      </c>
      <c r="J281" s="10" t="str">
        <f>VLOOKUP(A281,[4]REPUESTOS!$B:$FY,180,FALSE)</f>
        <v>Si</v>
      </c>
    </row>
    <row r="282" spans="1:10" x14ac:dyDescent="0.3">
      <c r="A282" s="10" t="s">
        <v>557</v>
      </c>
      <c r="B282" s="10" t="s">
        <v>556</v>
      </c>
      <c r="C282" s="17">
        <f>IFERROR(VLOOKUP(A282,[1]REPUESTOS!$A:$D,4,FALSE),"")</f>
        <v>3044</v>
      </c>
      <c r="D282" s="18">
        <f>IFERROR(VLOOKUP(A282,[2]REPUESTOS!$A:$R,18,FALSE),C282)</f>
        <v>3044</v>
      </c>
      <c r="E282" s="19">
        <f t="shared" si="15"/>
        <v>0</v>
      </c>
      <c r="F282" s="10" t="str">
        <f>VLOOKUP(A282,[3]data!$W:$Z,4,FALSE)</f>
        <v>Si</v>
      </c>
      <c r="G282" s="10" t="str">
        <f t="shared" si="16"/>
        <v>Codo bronce 1/4 HE- HI</v>
      </c>
      <c r="H282" s="19">
        <f>IFERROR(VLOOKUP(A282,[2]REPUESTOS!$A:$S,19,FALSE),"SIN ANÁLISIS")</f>
        <v>0</v>
      </c>
      <c r="I282" s="19">
        <f t="shared" si="17"/>
        <v>0</v>
      </c>
      <c r="J282" s="10" t="str">
        <f>VLOOKUP(A282,[4]REPUESTOS!$B:$FY,180,FALSE)</f>
        <v>Si</v>
      </c>
    </row>
    <row r="283" spans="1:10" x14ac:dyDescent="0.3">
      <c r="A283" s="10" t="s">
        <v>559</v>
      </c>
      <c r="B283" s="10" t="s">
        <v>558</v>
      </c>
      <c r="C283" s="17">
        <f>IFERROR(VLOOKUP(A283,[1]REPUESTOS!$A:$D,4,FALSE),"")</f>
        <v>97704</v>
      </c>
      <c r="D283" s="18">
        <f>IFERROR(VLOOKUP(A283,[2]REPUESTOS!$A:$R,18,FALSE),C283)</f>
        <v>97704</v>
      </c>
      <c r="E283" s="19">
        <f t="shared" si="15"/>
        <v>0</v>
      </c>
      <c r="F283" s="10" t="str">
        <f>VLOOKUP(A283,[3]data!$W:$Z,4,FALSE)</f>
        <v>Si</v>
      </c>
      <c r="G283" s="10" t="str">
        <f t="shared" si="16"/>
        <v>Resina catiónica G8 CG8 saco de 28,32L</v>
      </c>
      <c r="H283" s="19">
        <f>IFERROR(VLOOKUP(A283,[2]REPUESTOS!$A:$S,19,FALSE),"SIN ANÁLISIS")</f>
        <v>0</v>
      </c>
      <c r="I283" s="19">
        <f t="shared" si="17"/>
        <v>0</v>
      </c>
      <c r="J283" s="10" t="str">
        <f>VLOOKUP(A283,[4]REPUESTOS!$B:$FY,180,FALSE)</f>
        <v>Si</v>
      </c>
    </row>
    <row r="284" spans="1:10" x14ac:dyDescent="0.3">
      <c r="A284" s="10" t="s">
        <v>561</v>
      </c>
      <c r="B284" s="10" t="s">
        <v>560</v>
      </c>
      <c r="C284" s="17">
        <f>IFERROR(VLOOKUP(A284,[1]REPUESTOS!$A:$D,4,FALSE),"")</f>
        <v>16560</v>
      </c>
      <c r="D284" s="18">
        <f>IFERROR(VLOOKUP(A284,[2]REPUESTOS!$A:$R,18,FALSE),C284)</f>
        <v>16560</v>
      </c>
      <c r="E284" s="19">
        <f t="shared" si="15"/>
        <v>0</v>
      </c>
      <c r="F284" s="10" t="str">
        <f>VLOOKUP(A284,[3]data!$W:$Z,4,FALSE)</f>
        <v>Si</v>
      </c>
      <c r="G284" s="10" t="str">
        <f t="shared" si="16"/>
        <v>Gravilla silica malla 4"-8" saco</v>
      </c>
      <c r="H284" s="19">
        <f>IFERROR(VLOOKUP(A284,[2]REPUESTOS!$A:$S,19,FALSE),"SIN ANÁLISIS")</f>
        <v>0</v>
      </c>
      <c r="I284" s="19">
        <f t="shared" si="17"/>
        <v>0</v>
      </c>
      <c r="J284" s="10" t="str">
        <f>VLOOKUP(A284,[4]REPUESTOS!$B:$FY,180,FALSE)</f>
        <v>Si</v>
      </c>
    </row>
    <row r="285" spans="1:10" x14ac:dyDescent="0.3">
      <c r="A285" s="10" t="s">
        <v>563</v>
      </c>
      <c r="B285" s="10" t="s">
        <v>562</v>
      </c>
      <c r="C285" s="17">
        <f>IFERROR(VLOOKUP(A285,[1]REPUESTOS!$A:$D,4,FALSE),"")</f>
        <v>336734</v>
      </c>
      <c r="D285" s="18">
        <f>IFERROR(VLOOKUP(A285,[2]REPUESTOS!$A:$R,18,FALSE),C285)</f>
        <v>315450.61677888141</v>
      </c>
      <c r="E285" s="19">
        <f t="shared" si="15"/>
        <v>-6.3205328897939006E-2</v>
      </c>
      <c r="F285" s="10" t="str">
        <f>VLOOKUP(A285,[3]data!$W:$Z,4,FALSE)</f>
        <v>Si</v>
      </c>
      <c r="G285" s="10" t="str">
        <f t="shared" si="16"/>
        <v>HF1 membrana de osmosis para MSELF</v>
      </c>
      <c r="H285" s="19">
        <f>IFERROR(VLOOKUP(A285,[2]REPUESTOS!$A:$S,19,FALSE),"SIN ANÁLISIS")</f>
        <v>-6.3205901828932723E-2</v>
      </c>
      <c r="I285" s="19">
        <f t="shared" si="17"/>
        <v>-5.7293099371691358E-7</v>
      </c>
      <c r="J285" s="10" t="str">
        <f>VLOOKUP(A285,[4]REPUESTOS!$B:$FY,180,FALSE)</f>
        <v>Si</v>
      </c>
    </row>
    <row r="286" spans="1:10" x14ac:dyDescent="0.3">
      <c r="A286" s="10" t="s">
        <v>565</v>
      </c>
      <c r="B286" s="10" t="s">
        <v>564</v>
      </c>
      <c r="C286" s="17">
        <f>IFERROR(VLOOKUP(A286,[1]REPUESTOS!$A:$D,4,FALSE),"")</f>
        <v>341253</v>
      </c>
      <c r="D286" s="18">
        <f>IFERROR(VLOOKUP(A286,[2]REPUESTOS!$A:$R,18,FALSE),C286)</f>
        <v>336097.51966188301</v>
      </c>
      <c r="E286" s="19">
        <f t="shared" si="15"/>
        <v>-1.5107501877249406E-2</v>
      </c>
      <c r="F286" s="10" t="str">
        <f>VLOOKUP(A286,[3]data!$W:$Z,4,FALSE)</f>
        <v>Si</v>
      </c>
      <c r="G286" s="10" t="str">
        <f t="shared" si="16"/>
        <v>HR3 membrana de osmosis para MSELF</v>
      </c>
      <c r="H286" s="19">
        <f>IFERROR(VLOOKUP(A286,[2]REPUESTOS!$A:$S,19,FALSE),"SIN ANÁLISIS")</f>
        <v>-1.5106888361045156E-2</v>
      </c>
      <c r="I286" s="19">
        <f t="shared" si="17"/>
        <v>6.1351620424948683E-7</v>
      </c>
      <c r="J286" s="10" t="str">
        <f>VLOOKUP(A286,[4]REPUESTOS!$B:$FY,180,FALSE)</f>
        <v>Si</v>
      </c>
    </row>
    <row r="287" spans="1:10" x14ac:dyDescent="0.3">
      <c r="A287" s="10" t="s">
        <v>567</v>
      </c>
      <c r="B287" s="10" t="s">
        <v>566</v>
      </c>
      <c r="C287" s="17">
        <f>IFERROR(VLOOKUP(A287,[1]REPUESTOS!$A:$D,4,FALSE),"")</f>
        <v>0</v>
      </c>
      <c r="D287" s="18">
        <f>IFERROR(VLOOKUP(A287,[2]REPUESTOS!$A:$R,18,FALSE),C287)</f>
        <v>0</v>
      </c>
      <c r="E287" s="19">
        <f t="shared" si="15"/>
        <v>0</v>
      </c>
      <c r="F287" s="10" t="str">
        <f>VLOOKUP(A287,[3]data!$W:$Z,4,FALSE)</f>
        <v>Si</v>
      </c>
      <c r="G287" s="10" t="str">
        <f t="shared" si="16"/>
        <v>Ficha mod "B" no personalizadas (ex Abastible)</v>
      </c>
      <c r="H287" s="19" t="str">
        <f>IFERROR(VLOOKUP(A287,[2]REPUESTOS!$A:$S,19,FALSE),"SIN ANÁLISIS")</f>
        <v>SIN ANÁLISIS</v>
      </c>
      <c r="I287" s="19">
        <f t="shared" si="17"/>
        <v>0</v>
      </c>
      <c r="J287" s="10" t="str">
        <f>VLOOKUP(A287,[4]REPUESTOS!$B:$FY,180,FALSE)</f>
        <v>Si</v>
      </c>
    </row>
    <row r="288" spans="1:10" x14ac:dyDescent="0.3">
      <c r="A288" s="10" t="s">
        <v>569</v>
      </c>
      <c r="B288" s="10" t="s">
        <v>568</v>
      </c>
      <c r="C288" s="17">
        <f>IFERROR(VLOOKUP(A288,[1]REPUESTOS!$A:$D,4,FALSE),"")</f>
        <v>601</v>
      </c>
      <c r="D288" s="18">
        <f>IFERROR(VLOOKUP(A288,[2]REPUESTOS!$A:$R,18,FALSE),C288)</f>
        <v>601</v>
      </c>
      <c r="E288" s="19">
        <f t="shared" si="15"/>
        <v>0</v>
      </c>
      <c r="F288" s="10" t="str">
        <f>VLOOKUP(A288,[3]data!$W:$Z,4,FALSE)</f>
        <v>Si</v>
      </c>
      <c r="G288" s="10" t="str">
        <f t="shared" si="16"/>
        <v>Ficha vacuum plateada (aspiradora)</v>
      </c>
      <c r="H288" s="19" t="str">
        <f>IFERROR(VLOOKUP(A288,[2]REPUESTOS!$A:$S,19,FALSE),"SIN ANÁLISIS")</f>
        <v>SIN ANÁLISIS</v>
      </c>
      <c r="I288" s="19">
        <f t="shared" si="17"/>
        <v>0</v>
      </c>
      <c r="J288" s="10" t="str">
        <f>VLOOKUP(A288,[4]REPUESTOS!$B:$FY,180,FALSE)</f>
        <v>Si</v>
      </c>
    </row>
    <row r="289" spans="1:10" x14ac:dyDescent="0.3">
      <c r="A289" s="10" t="s">
        <v>571</v>
      </c>
      <c r="B289" s="10" t="s">
        <v>570</v>
      </c>
      <c r="C289" s="17">
        <f>IFERROR(VLOOKUP(A289,[1]REPUESTOS!$A:$D,4,FALSE),"")</f>
        <v>450</v>
      </c>
      <c r="D289" s="18">
        <f>IFERROR(VLOOKUP(A289,[2]REPUESTOS!$A:$R,18,FALSE),C289)</f>
        <v>450</v>
      </c>
      <c r="E289" s="19">
        <f t="shared" si="15"/>
        <v>0</v>
      </c>
      <c r="F289" s="10" t="str">
        <f>VLOOKUP(A289,[3]data!$W:$Z,4,FALSE)</f>
        <v>Si</v>
      </c>
      <c r="G289" s="10" t="str">
        <f t="shared" si="16"/>
        <v>Ficha carwash dorada (auto covertible)</v>
      </c>
      <c r="H289" s="19" t="str">
        <f>IFERROR(VLOOKUP(A289,[2]REPUESTOS!$A:$S,19,FALSE),"SIN ANÁLISIS")</f>
        <v>SIN ANÁLISIS</v>
      </c>
      <c r="I289" s="19">
        <f t="shared" si="17"/>
        <v>0</v>
      </c>
      <c r="J289" s="10" t="str">
        <f>VLOOKUP(A289,[4]REPUESTOS!$B:$FY,180,FALSE)</f>
        <v>Si</v>
      </c>
    </row>
    <row r="290" spans="1:10" x14ac:dyDescent="0.3">
      <c r="A290" s="10" t="s">
        <v>573</v>
      </c>
      <c r="B290" s="10" t="s">
        <v>572</v>
      </c>
      <c r="C290" s="17">
        <f>IFERROR(VLOOKUP(A290,[1]REPUESTOS!$A:$D,4,FALSE),"")</f>
        <v>47675</v>
      </c>
      <c r="D290" s="18">
        <f>IFERROR(VLOOKUP(A290,[2]REPUESTOS!$A:$R,18,FALSE),C290)</f>
        <v>44661.253423736722</v>
      </c>
      <c r="E290" s="19">
        <f t="shared" si="15"/>
        <v>-6.3214401180142182E-2</v>
      </c>
      <c r="F290" s="10" t="str">
        <f>VLOOKUP(A290,[3]data!$W:$Z,4,FALSE)</f>
        <v>Si</v>
      </c>
      <c r="G290" s="10" t="str">
        <f t="shared" si="16"/>
        <v>Cubre fichero (lava interior)</v>
      </c>
      <c r="H290" s="19">
        <f>IFERROR(VLOOKUP(A290,[2]REPUESTOS!$A:$S,19,FALSE),"SIN ANÁLISIS")</f>
        <v>-6.3205901828932709E-2</v>
      </c>
      <c r="I290" s="19">
        <f t="shared" si="17"/>
        <v>8.4993512094733159E-6</v>
      </c>
      <c r="J290" s="10" t="str">
        <f>VLOOKUP(A290,[4]REPUESTOS!$B:$FY,180,FALSE)</f>
        <v>Si</v>
      </c>
    </row>
    <row r="291" spans="1:10" x14ac:dyDescent="0.3">
      <c r="A291" s="10" t="s">
        <v>575</v>
      </c>
      <c r="B291" s="10" t="s">
        <v>574</v>
      </c>
      <c r="C291" s="17">
        <f>IFERROR(VLOOKUP(A291,[1]REPUESTOS!$A:$D,4,FALSE),"")</f>
        <v>338436</v>
      </c>
      <c r="D291" s="18">
        <f>IFERROR(VLOOKUP(A291,[2]REPUESTOS!$A:$R,18,FALSE),C291)</f>
        <v>317044.88865457429</v>
      </c>
      <c r="E291" s="19">
        <f t="shared" si="15"/>
        <v>-6.3205779956699973E-2</v>
      </c>
      <c r="F291" s="10" t="str">
        <f>VLOOKUP(A291,[3]data!$W:$Z,4,FALSE)</f>
        <v>Si</v>
      </c>
      <c r="G291" s="10" t="str">
        <f t="shared" si="16"/>
        <v>Tarjeta electrónica lavainterior (lava interior)</v>
      </c>
      <c r="H291" s="19">
        <f>IFERROR(VLOOKUP(A291,[2]REPUESTOS!$A:$S,19,FALSE),"SIN ANÁLISIS")</f>
        <v>-6.3205901828932667E-2</v>
      </c>
      <c r="I291" s="19">
        <f t="shared" si="17"/>
        <v>-1.2187223269455316E-7</v>
      </c>
      <c r="J291" s="10" t="str">
        <f>VLOOKUP(A291,[4]REPUESTOS!$B:$FY,180,FALSE)</f>
        <v>Si</v>
      </c>
    </row>
    <row r="292" spans="1:10" x14ac:dyDescent="0.3">
      <c r="A292" s="10" t="s">
        <v>577</v>
      </c>
      <c r="B292" s="10" t="s">
        <v>576</v>
      </c>
      <c r="C292" s="17">
        <f>IFERROR(VLOOKUP(A292,[1]REPUESTOS!$A:$D,4,FALSE),"")</f>
        <v>105455</v>
      </c>
      <c r="D292" s="18">
        <f>IFERROR(VLOOKUP(A292,[2]REPUESTOS!$A:$R,18,FALSE),C292)</f>
        <v>98789.26430437222</v>
      </c>
      <c r="E292" s="19">
        <f t="shared" si="15"/>
        <v>-6.3209290177116115E-2</v>
      </c>
      <c r="F292" s="10" t="str">
        <f>VLOOKUP(A292,[3]data!$W:$Z,4,FALSE)</f>
        <v>Si</v>
      </c>
      <c r="G292" s="10" t="str">
        <f t="shared" si="16"/>
        <v>Alimentador para tarjeta electrónica (lava interior)</v>
      </c>
      <c r="H292" s="19">
        <f>IFERROR(VLOOKUP(A292,[2]REPUESTOS!$A:$S,19,FALSE),"SIN ANÁLISIS")</f>
        <v>-6.3205901828932695E-2</v>
      </c>
      <c r="I292" s="19">
        <f t="shared" si="17"/>
        <v>3.3883481834195983E-6</v>
      </c>
      <c r="J292" s="10" t="str">
        <f>VLOOKUP(A292,[4]REPUESTOS!$B:$FY,180,FALSE)</f>
        <v>Si</v>
      </c>
    </row>
    <row r="293" spans="1:10" x14ac:dyDescent="0.3">
      <c r="A293" s="10" t="s">
        <v>579</v>
      </c>
      <c r="B293" s="10" t="s">
        <v>578</v>
      </c>
      <c r="C293" s="17">
        <f>IFERROR(VLOOKUP(A293,[1]REPUESTOS!$A:$D,4,FALSE),"")</f>
        <v>78477</v>
      </c>
      <c r="D293" s="18">
        <f>IFERROR(VLOOKUP(A293,[2]REPUESTOS!$A:$R,18,FALSE),C293)</f>
        <v>73517.060036422932</v>
      </c>
      <c r="E293" s="19">
        <f t="shared" si="15"/>
        <v>-6.3202466500720825E-2</v>
      </c>
      <c r="F293" s="10" t="str">
        <f>VLOOKUP(A293,[3]data!$W:$Z,4,FALSE)</f>
        <v>Si</v>
      </c>
      <c r="G293" s="10" t="str">
        <f t="shared" si="16"/>
        <v>Pulsador azul luminoso (lava interior)</v>
      </c>
      <c r="H293" s="19">
        <f>IFERROR(VLOOKUP(A293,[2]REPUESTOS!$A:$S,19,FALSE),"SIN ANÁLISIS")</f>
        <v>-6.3205901828932765E-2</v>
      </c>
      <c r="I293" s="19">
        <f t="shared" si="17"/>
        <v>-3.4353282119398143E-6</v>
      </c>
      <c r="J293" s="10" t="str">
        <f>VLOOKUP(A293,[4]REPUESTOS!$B:$FY,180,FALSE)</f>
        <v>Si</v>
      </c>
    </row>
    <row r="294" spans="1:10" x14ac:dyDescent="0.3">
      <c r="A294" s="10" t="s">
        <v>581</v>
      </c>
      <c r="B294" s="10" t="s">
        <v>580</v>
      </c>
      <c r="C294" s="17">
        <f>IFERROR(VLOOKUP(A294,[1]REPUESTOS!$A:$D,4,FALSE),"")</f>
        <v>78477</v>
      </c>
      <c r="D294" s="18">
        <f>IFERROR(VLOOKUP(A294,[2]REPUESTOS!$A:$R,18,FALSE),C294)</f>
        <v>73517.060036422932</v>
      </c>
      <c r="E294" s="19">
        <f t="shared" si="15"/>
        <v>-6.3202466500720825E-2</v>
      </c>
      <c r="F294" s="10" t="str">
        <f>VLOOKUP(A294,[3]data!$W:$Z,4,FALSE)</f>
        <v>Si</v>
      </c>
      <c r="G294" s="10" t="str">
        <f t="shared" si="16"/>
        <v>Pulsador rojo luminoso (lava interior)</v>
      </c>
      <c r="H294" s="19">
        <f>IFERROR(VLOOKUP(A294,[2]REPUESTOS!$A:$S,19,FALSE),"SIN ANÁLISIS")</f>
        <v>-6.3205901828932765E-2</v>
      </c>
      <c r="I294" s="19">
        <f t="shared" si="17"/>
        <v>-3.4353282119398143E-6</v>
      </c>
      <c r="J294" s="10" t="str">
        <f>VLOOKUP(A294,[4]REPUESTOS!$B:$FY,180,FALSE)</f>
        <v>Si</v>
      </c>
    </row>
    <row r="295" spans="1:10" x14ac:dyDescent="0.3">
      <c r="A295" s="10" t="s">
        <v>583</v>
      </c>
      <c r="B295" s="10" t="s">
        <v>582</v>
      </c>
      <c r="C295" s="17">
        <f>IFERROR(VLOOKUP(A295,[1]REPUESTOS!$A:$D,4,FALSE),"")</f>
        <v>106271</v>
      </c>
      <c r="D295" s="18">
        <f>IFERROR(VLOOKUP(A295,[2]REPUESTOS!$A:$R,18,FALSE),C295)</f>
        <v>99554.124199765705</v>
      </c>
      <c r="E295" s="19">
        <f t="shared" si="15"/>
        <v>-6.320516227601411E-2</v>
      </c>
      <c r="F295" s="10" t="str">
        <f>VLOOKUP(A295,[3]data!$W:$Z,4,FALSE)</f>
        <v>Si</v>
      </c>
      <c r="G295" s="10" t="str">
        <f t="shared" si="16"/>
        <v>Bomba producto electromagnética (lava interior)</v>
      </c>
      <c r="H295" s="19">
        <f>IFERROR(VLOOKUP(A295,[2]REPUESTOS!$A:$S,19,FALSE),"SIN ANÁLISIS")</f>
        <v>-6.3205901828932737E-2</v>
      </c>
      <c r="I295" s="19">
        <f t="shared" si="17"/>
        <v>-7.39552918627151E-7</v>
      </c>
      <c r="J295" s="10" t="str">
        <f>VLOOKUP(A295,[4]REPUESTOS!$B:$FY,180,FALSE)</f>
        <v>Si</v>
      </c>
    </row>
    <row r="296" spans="1:10" x14ac:dyDescent="0.3">
      <c r="A296" s="10" t="s">
        <v>585</v>
      </c>
      <c r="B296" s="10" t="s">
        <v>584</v>
      </c>
      <c r="C296" s="17">
        <f>IFERROR(VLOOKUP(A296,[1]REPUESTOS!$A:$D,4,FALSE),"")</f>
        <v>269766</v>
      </c>
      <c r="D296" s="18">
        <f>IFERROR(VLOOKUP(A296,[2]REPUESTOS!$A:$R,18,FALSE),C296)</f>
        <v>252715.08036575053</v>
      </c>
      <c r="E296" s="19">
        <f t="shared" si="15"/>
        <v>-6.320633302287712E-2</v>
      </c>
      <c r="F296" s="10" t="str">
        <f>VLOOKUP(A296,[3]data!$W:$Z,4,FALSE)</f>
        <v>Si</v>
      </c>
      <c r="G296" s="10" t="str">
        <f t="shared" si="16"/>
        <v>Espiral + pistola perfume (lava interior)</v>
      </c>
      <c r="H296" s="19">
        <f>IFERROR(VLOOKUP(A296,[2]REPUESTOS!$A:$S,19,FALSE),"SIN ANÁLISIS")</f>
        <v>-6.3205901828932737E-2</v>
      </c>
      <c r="I296" s="19">
        <f t="shared" si="17"/>
        <v>4.3119394438351222E-7</v>
      </c>
      <c r="J296" s="10" t="str">
        <f>VLOOKUP(A296,[4]REPUESTOS!$B:$FY,180,FALSE)</f>
        <v>Si</v>
      </c>
    </row>
    <row r="297" spans="1:10" x14ac:dyDescent="0.3">
      <c r="A297" s="10" t="s">
        <v>587</v>
      </c>
      <c r="B297" s="10" t="s">
        <v>586</v>
      </c>
      <c r="C297" s="17">
        <f>IFERROR(VLOOKUP(A297,[1]REPUESTOS!$A:$D,4,FALSE),"")</f>
        <v>269766</v>
      </c>
      <c r="D297" s="18">
        <f>IFERROR(VLOOKUP(A297,[2]REPUESTOS!$A:$R,18,FALSE),C297)</f>
        <v>252715.08036575053</v>
      </c>
      <c r="E297" s="19">
        <f t="shared" si="15"/>
        <v>-6.320633302287712E-2</v>
      </c>
      <c r="F297" s="10" t="str">
        <f>VLOOKUP(A297,[3]data!$W:$Z,4,FALSE)</f>
        <v>Si</v>
      </c>
      <c r="G297" s="10" t="str">
        <f t="shared" si="16"/>
        <v>Espiral + pistola renovador (lava interior)</v>
      </c>
      <c r="H297" s="19">
        <f>IFERROR(VLOOKUP(A297,[2]REPUESTOS!$A:$S,19,FALSE),"SIN ANÁLISIS")</f>
        <v>-6.3205901828932737E-2</v>
      </c>
      <c r="I297" s="19">
        <f t="shared" si="17"/>
        <v>4.3119394438351222E-7</v>
      </c>
      <c r="J297" s="10" t="str">
        <f>VLOOKUP(A297,[4]REPUESTOS!$B:$FY,180,FALSE)</f>
        <v>Si</v>
      </c>
    </row>
    <row r="298" spans="1:10" x14ac:dyDescent="0.3">
      <c r="A298" s="10" t="s">
        <v>589</v>
      </c>
      <c r="B298" s="10" t="s">
        <v>588</v>
      </c>
      <c r="C298" s="17">
        <f>IFERROR(VLOOKUP(A298,[1]REPUESTOS!$A:$D,4,FALSE),"")</f>
        <v>306552</v>
      </c>
      <c r="D298" s="18">
        <f>IFERROR(VLOOKUP(A298,[2]REPUESTOS!$A:$R,18,FALSE),C298)</f>
        <v>287176.54415715928</v>
      </c>
      <c r="E298" s="19">
        <f t="shared" si="15"/>
        <v>-6.3204467244841717E-2</v>
      </c>
      <c r="F298" s="10" t="str">
        <f>VLOOKUP(A298,[3]data!$W:$Z,4,FALSE)</f>
        <v>Si</v>
      </c>
      <c r="G298" s="10" t="str">
        <f t="shared" si="16"/>
        <v>Filtro metálico aspirado (lava interior)</v>
      </c>
      <c r="H298" s="19">
        <f>IFERROR(VLOOKUP(A298,[2]REPUESTOS!$A:$S,19,FALSE),"SIN ANÁLISIS")</f>
        <v>-6.3205901828932765E-2</v>
      </c>
      <c r="I298" s="19">
        <f t="shared" si="17"/>
        <v>-1.434584091047908E-6</v>
      </c>
      <c r="J298" s="10" t="str">
        <f>VLOOKUP(A298,[4]REPUESTOS!$B:$FY,180,FALSE)</f>
        <v>Si</v>
      </c>
    </row>
    <row r="299" spans="1:10" x14ac:dyDescent="0.3">
      <c r="A299" s="10" t="s">
        <v>591</v>
      </c>
      <c r="B299" s="10" t="s">
        <v>590</v>
      </c>
      <c r="C299" s="17">
        <f>IFERROR(VLOOKUP(A299,[1]REPUESTOS!$A:$D,4,FALSE),"")</f>
        <v>30660</v>
      </c>
      <c r="D299" s="18">
        <f>IFERROR(VLOOKUP(A299,[2]REPUESTOS!$A:$R,18,FALSE),C299)</f>
        <v>28722.528035335476</v>
      </c>
      <c r="E299" s="19">
        <f t="shared" si="15"/>
        <v>-6.3192171058855981E-2</v>
      </c>
      <c r="F299" s="10" t="str">
        <f>VLOOKUP(A299,[3]data!$W:$Z,4,FALSE)</f>
        <v>Si</v>
      </c>
      <c r="G299" s="10" t="str">
        <f t="shared" si="16"/>
        <v>Kit aspiradora, boquilla, manguito y sujetador (lava interior)</v>
      </c>
      <c r="H299" s="19">
        <f>IFERROR(VLOOKUP(A299,[2]REPUESTOS!$A:$S,19,FALSE),"SIN ANÁLISIS")</f>
        <v>-6.3205901828932792E-2</v>
      </c>
      <c r="I299" s="19">
        <f t="shared" si="17"/>
        <v>-1.3730770076811338E-5</v>
      </c>
      <c r="J299" s="10" t="str">
        <f>VLOOKUP(A299,[4]REPUESTOS!$B:$FY,180,FALSE)</f>
        <v>Si</v>
      </c>
    </row>
    <row r="300" spans="1:10" x14ac:dyDescent="0.3">
      <c r="A300" s="10" t="s">
        <v>593</v>
      </c>
      <c r="B300" s="10" t="s">
        <v>592</v>
      </c>
      <c r="C300" s="17">
        <f>IFERROR(VLOOKUP(A300,[1]REPUESTOS!$A:$D,4,FALSE),"")</f>
        <v>58532</v>
      </c>
      <c r="D300" s="18">
        <f>IFERROR(VLOOKUP(A300,[2]REPUESTOS!$A:$R,18,FALSE),C300)</f>
        <v>54832.882209525123</v>
      </c>
      <c r="E300" s="19">
        <f t="shared" si="15"/>
        <v>-6.3198212780613619E-2</v>
      </c>
      <c r="F300" s="10" t="str">
        <f>VLOOKUP(A300,[3]data!$W:$Z,4,FALSE)</f>
        <v>Si</v>
      </c>
      <c r="G300" s="10" t="str">
        <f t="shared" si="16"/>
        <v>Boquilla lavainteriores dry (lava interior)</v>
      </c>
      <c r="H300" s="19">
        <f>IFERROR(VLOOKUP(A300,[2]REPUESTOS!$A:$S,19,FALSE),"SIN ANÁLISIS")</f>
        <v>-6.3205901828932695E-2</v>
      </c>
      <c r="I300" s="19">
        <f t="shared" si="17"/>
        <v>-7.6890483190761305E-6</v>
      </c>
      <c r="J300" s="10" t="str">
        <f>VLOOKUP(A300,[4]REPUESTOS!$B:$FY,180,FALSE)</f>
        <v>Si</v>
      </c>
    </row>
    <row r="301" spans="1:10" x14ac:dyDescent="0.3">
      <c r="A301" s="10" t="s">
        <v>595</v>
      </c>
      <c r="B301" s="10" t="s">
        <v>594</v>
      </c>
      <c r="C301" s="17">
        <f>IFERROR(VLOOKUP(A301,[1]REPUESTOS!$A:$D,4,FALSE),"")</f>
        <v>231624</v>
      </c>
      <c r="D301" s="18">
        <f>IFERROR(VLOOKUP(A301,[2]REPUESTOS!$A:$R,18,FALSE),C301)</f>
        <v>195682.06363132803</v>
      </c>
      <c r="E301" s="19">
        <f t="shared" si="15"/>
        <v>-0.15517362781349073</v>
      </c>
      <c r="F301" s="10" t="str">
        <f>VLOOKUP(A301,[3]data!$W:$Z,4,FALSE)</f>
        <v>Si</v>
      </c>
      <c r="G301" s="10" t="str">
        <f t="shared" si="16"/>
        <v>Cepillo completo lavainteriores (lava interior)</v>
      </c>
      <c r="H301" s="19">
        <f>IFERROR(VLOOKUP(A301,[2]REPUESTOS!$A:$S,19,FALSE),"SIN ANÁLISIS")</f>
        <v>-0.15517400157811367</v>
      </c>
      <c r="I301" s="19">
        <f t="shared" si="17"/>
        <v>-3.7376462294624879E-7</v>
      </c>
      <c r="J301" s="10" t="str">
        <f>VLOOKUP(A301,[4]REPUESTOS!$B:$FY,180,FALSE)</f>
        <v>Si</v>
      </c>
    </row>
    <row r="302" spans="1:10" x14ac:dyDescent="0.3">
      <c r="A302" s="10" t="s">
        <v>597</v>
      </c>
      <c r="B302" s="10" t="s">
        <v>596</v>
      </c>
      <c r="C302" s="17">
        <f>IFERROR(VLOOKUP(A302,[1]REPUESTOS!$A:$D,4,FALSE),"")</f>
        <v>79751</v>
      </c>
      <c r="D302" s="18">
        <f>IFERROR(VLOOKUP(A302,[2]REPUESTOS!$A:$R,18,FALSE),C302)</f>
        <v>74710.385298488414</v>
      </c>
      <c r="E302" s="19">
        <f t="shared" si="15"/>
        <v>-6.320440748719873E-2</v>
      </c>
      <c r="F302" s="10" t="str">
        <f>VLOOKUP(A302,[3]data!$W:$Z,4,FALSE)</f>
        <v>Si</v>
      </c>
      <c r="G302" s="10" t="str">
        <f t="shared" si="16"/>
        <v>Espiral lavainteriores dry (lava interior)</v>
      </c>
      <c r="H302" s="19">
        <f>IFERROR(VLOOKUP(A302,[2]REPUESTOS!$A:$S,19,FALSE),"SIN ANÁLISIS")</f>
        <v>-6.320590182893282E-2</v>
      </c>
      <c r="I302" s="19">
        <f t="shared" si="17"/>
        <v>-1.4943417340901322E-6</v>
      </c>
      <c r="J302" s="10" t="str">
        <f>VLOOKUP(A302,[4]REPUESTOS!$B:$FY,180,FALSE)</f>
        <v>Si</v>
      </c>
    </row>
    <row r="303" spans="1:10" x14ac:dyDescent="0.3">
      <c r="A303" s="10" t="s">
        <v>599</v>
      </c>
      <c r="B303" s="10" t="s">
        <v>598</v>
      </c>
      <c r="C303" s="17">
        <f>IFERROR(VLOOKUP(A303,[1]REPUESTOS!$A:$D,4,FALSE),"")</f>
        <v>61310</v>
      </c>
      <c r="D303" s="18">
        <f>IFERROR(VLOOKUP(A303,[2]REPUESTOS!$A:$R,18,FALSE),C303)</f>
        <v>57435.109908182087</v>
      </c>
      <c r="E303" s="19">
        <f t="shared" si="15"/>
        <v>-6.3201599931787852E-2</v>
      </c>
      <c r="F303" s="10" t="str">
        <f>VLOOKUP(A303,[3]data!$W:$Z,4,FALSE)</f>
        <v>Si</v>
      </c>
      <c r="G303" s="10" t="str">
        <f t="shared" si="16"/>
        <v>Manguera aspiración agua delgada (lava interior)</v>
      </c>
      <c r="H303" s="19">
        <f>IFERROR(VLOOKUP(A303,[2]REPUESTOS!$A:$S,19,FALSE),"SIN ANÁLISIS")</f>
        <v>-6.3205901828932792E-2</v>
      </c>
      <c r="I303" s="19">
        <f t="shared" si="17"/>
        <v>-4.3018971449398924E-6</v>
      </c>
      <c r="J303" s="10" t="str">
        <f>VLOOKUP(A303,[4]REPUESTOS!$B:$FY,180,FALSE)</f>
        <v>Si</v>
      </c>
    </row>
    <row r="304" spans="1:10" x14ac:dyDescent="0.3">
      <c r="A304" s="10" t="s">
        <v>601</v>
      </c>
      <c r="B304" s="10" t="s">
        <v>600</v>
      </c>
      <c r="C304" s="17">
        <f>IFERROR(VLOOKUP(A304,[1]REPUESTOS!$A:$D,4,FALSE),"")</f>
        <v>572232</v>
      </c>
      <c r="D304" s="18">
        <f>IFERROR(VLOOKUP(A304,[2]REPUESTOS!$A:$R,18,FALSE),C304)</f>
        <v>536063.34658094693</v>
      </c>
      <c r="E304" s="19">
        <f t="shared" si="15"/>
        <v>-6.3206275460046035E-2</v>
      </c>
      <c r="F304" s="10" t="str">
        <f>VLOOKUP(A304,[3]data!$W:$Z,4,FALSE)</f>
        <v>Si</v>
      </c>
      <c r="G304" s="10" t="str">
        <f t="shared" si="16"/>
        <v>Motor modulo aspiración agua (lava interior)</v>
      </c>
      <c r="H304" s="19">
        <f>IFERROR(VLOOKUP(A304,[2]REPUESTOS!$A:$S,19,FALSE),"SIN ANÁLISIS")</f>
        <v>-6.3205901828932681E-2</v>
      </c>
      <c r="I304" s="19">
        <f t="shared" si="17"/>
        <v>3.7363111335397825E-7</v>
      </c>
      <c r="J304" s="10" t="str">
        <f>VLOOKUP(A304,[4]REPUESTOS!$B:$FY,180,FALSE)</f>
        <v>Si</v>
      </c>
    </row>
    <row r="305" spans="1:10" x14ac:dyDescent="0.3">
      <c r="A305" s="10" t="s">
        <v>603</v>
      </c>
      <c r="B305" s="10" t="s">
        <v>602</v>
      </c>
      <c r="C305" s="17">
        <f>IFERROR(VLOOKUP(A305,[1]REPUESTOS!$A:$D,4,FALSE),"")</f>
        <v>292144</v>
      </c>
      <c r="D305" s="18">
        <f>IFERROR(VLOOKUP(A305,[2]REPUESTOS!$A:$R,18,FALSE),C305)</f>
        <v>273678.73450015415</v>
      </c>
      <c r="E305" s="19">
        <f t="shared" si="15"/>
        <v>-6.3206040513739264E-2</v>
      </c>
      <c r="F305" s="10" t="str">
        <f>VLOOKUP(A305,[3]data!$W:$Z,4,FALSE)</f>
        <v>Si</v>
      </c>
      <c r="G305" s="10" t="str">
        <f t="shared" si="16"/>
        <v>Bomba modulo lavainteriores dry (lava interior)</v>
      </c>
      <c r="H305" s="19">
        <f>IFERROR(VLOOKUP(A305,[2]REPUESTOS!$A:$S,19,FALSE),"SIN ANÁLISIS")</f>
        <v>-6.3205901828932695E-2</v>
      </c>
      <c r="I305" s="19">
        <f t="shared" si="17"/>
        <v>1.3868480656931137E-7</v>
      </c>
      <c r="J305" s="10" t="str">
        <f>VLOOKUP(A305,[4]REPUESTOS!$B:$FY,180,FALSE)</f>
        <v>Si</v>
      </c>
    </row>
    <row r="306" spans="1:10" x14ac:dyDescent="0.3">
      <c r="A306" s="10" t="s">
        <v>605</v>
      </c>
      <c r="B306" s="10" t="s">
        <v>604</v>
      </c>
      <c r="C306" s="17">
        <f>IFERROR(VLOOKUP(A306,[1]REPUESTOS!$A:$D,4,FALSE),"")</f>
        <v>13690</v>
      </c>
      <c r="D306" s="18">
        <f>IFERROR(VLOOKUP(A306,[2]REPUESTOS!$A:$R,18,FALSE),C306)</f>
        <v>12824.581913138571</v>
      </c>
      <c r="E306" s="19">
        <f t="shared" si="15"/>
        <v>-6.3215346008869938E-2</v>
      </c>
      <c r="F306" s="10" t="str">
        <f>VLOOKUP(A306,[3]data!$W:$Z,4,FALSE)</f>
        <v>Si</v>
      </c>
      <c r="G306" s="10" t="str">
        <f t="shared" si="16"/>
        <v>Bisagra (lava interior)</v>
      </c>
      <c r="H306" s="19">
        <f>IFERROR(VLOOKUP(A306,[2]REPUESTOS!$A:$S,19,FALSE),"SIN ANÁLISIS")</f>
        <v>-6.3205901828932695E-2</v>
      </c>
      <c r="I306" s="19">
        <f t="shared" si="17"/>
        <v>9.4441799372430024E-6</v>
      </c>
      <c r="J306" s="10" t="str">
        <f>VLOOKUP(A306,[4]REPUESTOS!$B:$FY,180,FALSE)</f>
        <v>Si</v>
      </c>
    </row>
    <row r="307" spans="1:10" x14ac:dyDescent="0.3">
      <c r="A307" s="10" t="s">
        <v>607</v>
      </c>
      <c r="B307" s="10" t="s">
        <v>606</v>
      </c>
      <c r="C307" s="17">
        <f>IFERROR(VLOOKUP(A307,[1]REPUESTOS!$A:$D,4,FALSE),"")</f>
        <v>29429</v>
      </c>
      <c r="D307" s="18">
        <f>IFERROR(VLOOKUP(A307,[2]REPUESTOS!$A:$R,18,FALSE),C307)</f>
        <v>27568.773186627488</v>
      </c>
      <c r="E307" s="19">
        <f t="shared" si="15"/>
        <v>-6.3210670201927083E-2</v>
      </c>
      <c r="F307" s="10" t="str">
        <f>VLOOKUP(A307,[3]data!$W:$Z,4,FALSE)</f>
        <v>Si</v>
      </c>
      <c r="G307" s="10" t="str">
        <f t="shared" si="16"/>
        <v>Cerradura (lava interior)</v>
      </c>
      <c r="H307" s="19">
        <f>IFERROR(VLOOKUP(A307,[2]REPUESTOS!$A:$S,19,FALSE),"SIN ANÁLISIS")</f>
        <v>-6.3205901828932806E-2</v>
      </c>
      <c r="I307" s="19">
        <f t="shared" si="17"/>
        <v>4.7683729942765707E-6</v>
      </c>
      <c r="J307" s="10" t="str">
        <f>VLOOKUP(A307,[4]REPUESTOS!$B:$FY,180,FALSE)</f>
        <v>Si</v>
      </c>
    </row>
    <row r="308" spans="1:10" x14ac:dyDescent="0.3">
      <c r="A308" s="10" t="s">
        <v>609</v>
      </c>
      <c r="B308" s="10" t="s">
        <v>608</v>
      </c>
      <c r="C308" s="17">
        <f>IFERROR(VLOOKUP(A308,[1]REPUESTOS!$A:$D,4,FALSE),"")</f>
        <v>7150</v>
      </c>
      <c r="D308" s="18">
        <f>IFERROR(VLOOKUP(A308,[2]REPUESTOS!$A:$R,18,FALSE),C308)</f>
        <v>6697.7458199996227</v>
      </c>
      <c r="E308" s="19">
        <f t="shared" si="15"/>
        <v>-6.3252332867185637E-2</v>
      </c>
      <c r="F308" s="10" t="str">
        <f>VLOOKUP(A308,[3]data!$W:$Z,4,FALSE)</f>
        <v>Si</v>
      </c>
      <c r="G308" s="10" t="str">
        <f t="shared" si="16"/>
        <v>Palanca interior cerradura (lava interior)</v>
      </c>
      <c r="H308" s="19">
        <f>IFERROR(VLOOKUP(A308,[2]REPUESTOS!$A:$S,19,FALSE),"SIN ANÁLISIS")</f>
        <v>-6.3205901828932723E-2</v>
      </c>
      <c r="I308" s="19">
        <f t="shared" si="17"/>
        <v>4.6431038252914281E-5</v>
      </c>
      <c r="J308" s="10" t="str">
        <f>VLOOKUP(A308,[4]REPUESTOS!$B:$FY,180,FALSE)</f>
        <v>Si</v>
      </c>
    </row>
    <row r="309" spans="1:10" x14ac:dyDescent="0.3">
      <c r="A309" s="10" t="s">
        <v>611</v>
      </c>
      <c r="B309" s="10" t="s">
        <v>610</v>
      </c>
      <c r="C309" s="17">
        <f>IFERROR(VLOOKUP(A309,[1]REPUESTOS!$A:$D,4,FALSE),"")</f>
        <v>153686</v>
      </c>
      <c r="D309" s="18">
        <f>IFERROR(VLOOKUP(A309,[2]REPUESTOS!$A:$R,18,FALSE),C309)</f>
        <v>143971.69664252529</v>
      </c>
      <c r="E309" s="19">
        <f t="shared" si="15"/>
        <v>-6.3208772155399384E-2</v>
      </c>
      <c r="F309" s="10" t="str">
        <f>VLOOKUP(A309,[3]data!$W:$Z,4,FALSE)</f>
        <v>Si</v>
      </c>
      <c r="G309" s="10" t="str">
        <f t="shared" si="16"/>
        <v>Interruptor ON/OFF (lava interior)</v>
      </c>
      <c r="H309" s="19">
        <f>IFERROR(VLOOKUP(A309,[2]REPUESTOS!$A:$S,19,FALSE),"SIN ANÁLISIS")</f>
        <v>-6.3205901828932695E-2</v>
      </c>
      <c r="I309" s="19">
        <f t="shared" si="17"/>
        <v>2.8703264666890549E-6</v>
      </c>
      <c r="J309" s="10" t="str">
        <f>VLOOKUP(A309,[4]REPUESTOS!$B:$FY,180,FALSE)</f>
        <v>Si</v>
      </c>
    </row>
    <row r="310" spans="1:10" x14ac:dyDescent="0.3">
      <c r="A310" s="10" t="s">
        <v>613</v>
      </c>
      <c r="B310" s="10" t="s">
        <v>612</v>
      </c>
      <c r="C310" s="17">
        <f>IFERROR(VLOOKUP(A310,[1]REPUESTOS!$A:$D,4,FALSE),"")</f>
        <v>23499</v>
      </c>
      <c r="D310" s="18">
        <f>IFERROR(VLOOKUP(A310,[2]REPUESTOS!$A:$R,18,FALSE),C310)</f>
        <v>22013.841436598108</v>
      </c>
      <c r="E310" s="19">
        <f t="shared" si="15"/>
        <v>-6.3200926141618458E-2</v>
      </c>
      <c r="F310" s="10" t="str">
        <f>VLOOKUP(A310,[3]data!$W:$Z,4,FALSE)</f>
        <v>Si</v>
      </c>
      <c r="G310" s="10" t="str">
        <f t="shared" si="16"/>
        <v>Cable (lava interior)</v>
      </c>
      <c r="H310" s="19">
        <f>IFERROR(VLOOKUP(A310,[2]REPUESTOS!$A:$S,19,FALSE),"SIN ANÁLISIS")</f>
        <v>-6.3205901828932667E-2</v>
      </c>
      <c r="I310" s="19">
        <f t="shared" si="17"/>
        <v>-4.9756873142098312E-6</v>
      </c>
      <c r="J310" s="10" t="str">
        <f>VLOOKUP(A310,[4]REPUESTOS!$B:$FY,180,FALSE)</f>
        <v>Si</v>
      </c>
    </row>
    <row r="311" spans="1:10" x14ac:dyDescent="0.3">
      <c r="A311" s="10" t="s">
        <v>615</v>
      </c>
      <c r="B311" s="10" t="s">
        <v>614</v>
      </c>
      <c r="C311" s="17">
        <f>IFERROR(VLOOKUP(A311,[1]REPUESTOS!$A:$D,4,FALSE),"")</f>
        <v>10224</v>
      </c>
      <c r="D311" s="18">
        <f>IFERROR(VLOOKUP(A311,[2]REPUESTOS!$A:$R,18,FALSE),C311)</f>
        <v>9578.1544767740361</v>
      </c>
      <c r="E311" s="19">
        <f t="shared" si="15"/>
        <v>-6.3169554306138881E-2</v>
      </c>
      <c r="F311" s="10" t="str">
        <f>VLOOKUP(A311,[3]data!$W:$Z,4,FALSE)</f>
        <v>Si</v>
      </c>
      <c r="G311" s="10" t="str">
        <f t="shared" si="16"/>
        <v>Perilla timer de programas (lava interior)</v>
      </c>
      <c r="H311" s="19">
        <f>IFERROR(VLOOKUP(A311,[2]REPUESTOS!$A:$S,19,FALSE),"SIN ANÁLISIS")</f>
        <v>-6.3205901828932751E-2</v>
      </c>
      <c r="I311" s="19">
        <f t="shared" si="17"/>
        <v>-3.6347522793869769E-5</v>
      </c>
      <c r="J311" s="10" t="str">
        <f>VLOOKUP(A311,[4]REPUESTOS!$B:$FY,180,FALSE)</f>
        <v>Si</v>
      </c>
    </row>
    <row r="312" spans="1:10" x14ac:dyDescent="0.3">
      <c r="A312" s="10" t="s">
        <v>617</v>
      </c>
      <c r="B312" s="10" t="s">
        <v>616</v>
      </c>
      <c r="C312" s="17">
        <f>IFERROR(VLOOKUP(A312,[1]REPUESTOS!$A:$D,4,FALSE),"")</f>
        <v>83382</v>
      </c>
      <c r="D312" s="18">
        <f>IFERROR(VLOOKUP(A312,[2]REPUESTOS!$A:$R,18,FALSE),C312)</f>
        <v>78112.187106277153</v>
      </c>
      <c r="E312" s="19">
        <f t="shared" si="15"/>
        <v>-6.3200845430942496E-2</v>
      </c>
      <c r="F312" s="10" t="str">
        <f>VLOOKUP(A312,[3]data!$W:$Z,4,FALSE)</f>
        <v>Si</v>
      </c>
      <c r="G312" s="10" t="str">
        <f t="shared" si="16"/>
        <v>Contactor 24V NO (lava interior)</v>
      </c>
      <c r="H312" s="19">
        <f>IFERROR(VLOOKUP(A312,[2]REPUESTOS!$A:$S,19,FALSE),"SIN ANÁLISIS")</f>
        <v>-6.3205901828932737E-2</v>
      </c>
      <c r="I312" s="19">
        <f t="shared" si="17"/>
        <v>-5.0563979902412681E-6</v>
      </c>
      <c r="J312" s="10" t="str">
        <f>VLOOKUP(A312,[4]REPUESTOS!$B:$FY,180,FALSE)</f>
        <v>Si</v>
      </c>
    </row>
    <row r="313" spans="1:10" x14ac:dyDescent="0.3">
      <c r="A313" s="10" t="s">
        <v>619</v>
      </c>
      <c r="B313" s="10" t="s">
        <v>618</v>
      </c>
      <c r="C313" s="17">
        <f>IFERROR(VLOOKUP(A313,[1]REPUESTOS!$A:$D,4,FALSE),"")</f>
        <v>103820</v>
      </c>
      <c r="D313" s="18">
        <f>IFERROR(VLOOKUP(A313,[2]REPUESTOS!$A:$R,18,FALSE),C313)</f>
        <v>97257.55528108748</v>
      </c>
      <c r="E313" s="19">
        <f t="shared" si="15"/>
        <v>-6.3209831621195534E-2</v>
      </c>
      <c r="F313" s="10" t="str">
        <f>VLOOKUP(A313,[3]data!$W:$Z,4,FALSE)</f>
        <v>Si</v>
      </c>
      <c r="G313" s="10" t="str">
        <f t="shared" si="16"/>
        <v>Interruptor térmico 4.2-5.7A (lava interior)</v>
      </c>
      <c r="H313" s="19">
        <f>IFERROR(VLOOKUP(A313,[2]REPUESTOS!$A:$S,19,FALSE),"SIN ANÁLISIS")</f>
        <v>-6.3205901828932709E-2</v>
      </c>
      <c r="I313" s="19">
        <f t="shared" si="17"/>
        <v>3.9297922628245274E-6</v>
      </c>
      <c r="J313" s="10" t="str">
        <f>VLOOKUP(A313,[4]REPUESTOS!$B:$FY,180,FALSE)</f>
        <v>Si</v>
      </c>
    </row>
    <row r="314" spans="1:10" x14ac:dyDescent="0.3">
      <c r="A314" s="10" t="s">
        <v>621</v>
      </c>
      <c r="B314" s="10" t="s">
        <v>620</v>
      </c>
      <c r="C314" s="17">
        <f>IFERROR(VLOOKUP(A314,[1]REPUESTOS!$A:$D,4,FALSE),"")</f>
        <v>16349</v>
      </c>
      <c r="D314" s="18">
        <f>IFERROR(VLOOKUP(A314,[2]REPUESTOS!$A:$R,18,FALSE),C314)</f>
        <v>15316.095616598483</v>
      </c>
      <c r="E314" s="19">
        <f t="shared" si="15"/>
        <v>-6.3178444149582083E-2</v>
      </c>
      <c r="F314" s="10" t="str">
        <f>VLOOKUP(A314,[3]data!$W:$Z,4,FALSE)</f>
        <v>Si</v>
      </c>
      <c r="G314" s="10" t="str">
        <f t="shared" si="16"/>
        <v>Mango sujetador aspirado interior(lava interior)</v>
      </c>
      <c r="H314" s="19">
        <f>IFERROR(VLOOKUP(A314,[2]REPUESTOS!$A:$S,19,FALSE),"SIN ANÁLISIS")</f>
        <v>-6.3205901828932765E-2</v>
      </c>
      <c r="I314" s="19">
        <f t="shared" si="17"/>
        <v>-2.7457679350681441E-5</v>
      </c>
      <c r="J314" s="10" t="str">
        <f>VLOOKUP(A314,[4]REPUESTOS!$B:$FY,180,FALSE)</f>
        <v>Si</v>
      </c>
    </row>
    <row r="315" spans="1:10" x14ac:dyDescent="0.3">
      <c r="A315" s="10" t="s">
        <v>623</v>
      </c>
      <c r="B315" s="10" t="s">
        <v>622</v>
      </c>
      <c r="C315" s="17">
        <f>IFERROR(VLOOKUP(A315,[1]REPUESTOS!$A:$D,4,FALSE),"")</f>
        <v>129161</v>
      </c>
      <c r="D315" s="18">
        <f>IFERROR(VLOOKUP(A315,[2]REPUESTOS!$A:$R,18,FALSE),C315)</f>
        <v>120997.05590950312</v>
      </c>
      <c r="E315" s="19">
        <f t="shared" si="15"/>
        <v>-6.3207501416812195E-2</v>
      </c>
      <c r="F315" s="10" t="str">
        <f>VLOOKUP(A315,[3]data!$W:$Z,4,FALSE)</f>
        <v>Si</v>
      </c>
      <c r="G315" s="10" t="str">
        <f t="shared" si="16"/>
        <v>Electroválvula 230V 50HZ 1/4 (lava interior)</v>
      </c>
      <c r="H315" s="19">
        <f>IFERROR(VLOOKUP(A315,[2]REPUESTOS!$A:$S,19,FALSE),"SIN ANÁLISIS")</f>
        <v>-6.3205901828932765E-2</v>
      </c>
      <c r="I315" s="19">
        <f t="shared" si="17"/>
        <v>1.5995878794305973E-6</v>
      </c>
      <c r="J315" s="10" t="str">
        <f>VLOOKUP(A315,[4]REPUESTOS!$B:$FY,180,FALSE)</f>
        <v>Si</v>
      </c>
    </row>
    <row r="316" spans="1:10" x14ac:dyDescent="0.3">
      <c r="A316" s="10" t="s">
        <v>625</v>
      </c>
      <c r="B316" s="10" t="s">
        <v>624</v>
      </c>
      <c r="C316" s="17">
        <f>IFERROR(VLOOKUP(A316,[1]REPUESTOS!$A:$D,4,FALSE),"")</f>
        <v>63763</v>
      </c>
      <c r="D316" s="18">
        <f>IFERROR(VLOOKUP(A316,[2]REPUESTOS!$A:$R,18,FALSE),C316)</f>
        <v>59732.67344310919</v>
      </c>
      <c r="E316" s="19">
        <f t="shared" si="15"/>
        <v>-6.3207919277493377E-2</v>
      </c>
      <c r="F316" s="10" t="str">
        <f>VLOOKUP(A316,[3]data!$W:$Z,4,FALSE)</f>
        <v>Si</v>
      </c>
      <c r="G316" s="10" t="str">
        <f t="shared" si="16"/>
        <v>Gancho (lava interior)</v>
      </c>
      <c r="H316" s="19">
        <f>IFERROR(VLOOKUP(A316,[2]REPUESTOS!$A:$S,19,FALSE),"SIN ANÁLISIS")</f>
        <v>-6.3205901828932778E-2</v>
      </c>
      <c r="I316" s="19">
        <f t="shared" si="17"/>
        <v>2.0174485605983783E-6</v>
      </c>
      <c r="J316" s="10" t="str">
        <f>VLOOKUP(A316,[4]REPUESTOS!$B:$FY,180,FALSE)</f>
        <v>Si</v>
      </c>
    </row>
    <row r="317" spans="1:10" x14ac:dyDescent="0.3">
      <c r="A317" s="10" t="s">
        <v>627</v>
      </c>
      <c r="B317" s="10" t="s">
        <v>626</v>
      </c>
      <c r="C317" s="17">
        <f>IFERROR(VLOOKUP(A317,[1]REPUESTOS!$A:$D,4,FALSE),"")</f>
        <v>3856428</v>
      </c>
      <c r="D317" s="18">
        <f>IFERROR(VLOOKUP(A317,[2]REPUESTOS!$A:$R,18,FALSE),C317)</f>
        <v>3612678.9561568918</v>
      </c>
      <c r="E317" s="19">
        <f t="shared" si="15"/>
        <v>-6.3205910714035946E-2</v>
      </c>
      <c r="F317" s="10" t="str">
        <f>VLOOKUP(A317,[3]data!$W:$Z,4,FALSE)</f>
        <v>Si</v>
      </c>
      <c r="G317" s="10" t="str">
        <f t="shared" si="16"/>
        <v>Módulo regulador y mezcla producto (lava interior)</v>
      </c>
      <c r="H317" s="19">
        <f>IFERROR(VLOOKUP(A317,[2]REPUESTOS!$A:$S,19,FALSE),"SIN ANÁLISIS")</f>
        <v>-6.3205901828932765E-2</v>
      </c>
      <c r="I317" s="19">
        <f t="shared" si="17"/>
        <v>8.8851031809777936E-9</v>
      </c>
      <c r="J317" s="10" t="str">
        <f>VLOOKUP(A317,[4]REPUESTOS!$B:$FY,180,FALSE)</f>
        <v>Si</v>
      </c>
    </row>
    <row r="318" spans="1:10" x14ac:dyDescent="0.3">
      <c r="A318" s="10" t="s">
        <v>629</v>
      </c>
      <c r="B318" s="10" t="s">
        <v>628</v>
      </c>
      <c r="C318" s="17">
        <f>IFERROR(VLOOKUP(A318,[1]REPUESTOS!$A:$D,4,FALSE),"")</f>
        <v>133662</v>
      </c>
      <c r="D318" s="18">
        <f>IFERROR(VLOOKUP(A318,[2]REPUESTOS!$A:$R,18,FALSE),C318)</f>
        <v>125214.22880478058</v>
      </c>
      <c r="E318" s="19">
        <f t="shared" si="15"/>
        <v>-6.3202489826722802E-2</v>
      </c>
      <c r="F318" s="10" t="str">
        <f>VLOOKUP(A318,[3]data!$W:$Z,4,FALSE)</f>
        <v>Si</v>
      </c>
      <c r="G318" s="10" t="str">
        <f t="shared" si="16"/>
        <v>Contactor 230V NO (lava interior)</v>
      </c>
      <c r="H318" s="19">
        <f>IFERROR(VLOOKUP(A318,[2]REPUESTOS!$A:$S,19,FALSE),"SIN ANÁLISIS")</f>
        <v>-6.3205901828932778E-2</v>
      </c>
      <c r="I318" s="19">
        <f t="shared" si="17"/>
        <v>-3.4120022099765057E-6</v>
      </c>
      <c r="J318" s="10" t="str">
        <f>VLOOKUP(A318,[4]REPUESTOS!$B:$FY,180,FALSE)</f>
        <v>Si</v>
      </c>
    </row>
    <row r="319" spans="1:10" x14ac:dyDescent="0.3">
      <c r="A319" s="10" t="s">
        <v>631</v>
      </c>
      <c r="B319" s="10" t="s">
        <v>630</v>
      </c>
      <c r="C319" s="17">
        <f>IFERROR(VLOOKUP(A319,[1]REPUESTOS!$A:$D,4,FALSE),"")</f>
        <v>2186743</v>
      </c>
      <c r="D319" s="18">
        <f>IFERROR(VLOOKUP(A319,[2]REPUESTOS!$A:$R,18,FALSE),C319)</f>
        <v>2048527.5400659847</v>
      </c>
      <c r="E319" s="19">
        <f t="shared" si="15"/>
        <v>-6.3206083172103578E-2</v>
      </c>
      <c r="F319" s="10" t="str">
        <f>VLOOKUP(A319,[3]data!$W:$Z,4,FALSE)</f>
        <v>Si</v>
      </c>
      <c r="G319" s="10" t="str">
        <f t="shared" si="16"/>
        <v>Motor aspirado con turbina (lava interior)</v>
      </c>
      <c r="H319" s="19">
        <f>IFERROR(VLOOKUP(A319,[2]REPUESTOS!$A:$S,19,FALSE),"SIN ANÁLISIS")</f>
        <v>-6.3205901828932806E-2</v>
      </c>
      <c r="I319" s="19">
        <f t="shared" si="17"/>
        <v>1.8134317077145301E-7</v>
      </c>
      <c r="J319" s="10" t="str">
        <f>VLOOKUP(A319,[4]REPUESTOS!$B:$FY,180,FALSE)</f>
        <v>Si</v>
      </c>
    </row>
    <row r="320" spans="1:10" x14ac:dyDescent="0.3">
      <c r="A320" s="10" t="s">
        <v>633</v>
      </c>
      <c r="B320" s="10" t="s">
        <v>632</v>
      </c>
      <c r="C320" s="17">
        <f>IFERROR(VLOOKUP(A320,[1]REPUESTOS!$A:$D,4,FALSE),"")</f>
        <v>10016</v>
      </c>
      <c r="D320" s="18">
        <f>IFERROR(VLOOKUP(A320,[2]REPUESTOS!$A:$R,18,FALSE),C320)</f>
        <v>9383.2096919923424</v>
      </c>
      <c r="E320" s="19">
        <f t="shared" si="15"/>
        <v>-6.317794608702651E-2</v>
      </c>
      <c r="F320" s="10" t="str">
        <f>VLOOKUP(A320,[3]data!$W:$Z,4,FALSE)</f>
        <v>Si</v>
      </c>
      <c r="G320" s="10" t="str">
        <f t="shared" si="16"/>
        <v>Codo 45° entrada tambor aspirado (lava interior)</v>
      </c>
      <c r="H320" s="19">
        <f>IFERROR(VLOOKUP(A320,[2]REPUESTOS!$A:$S,19,FALSE),"SIN ANÁLISIS")</f>
        <v>-6.320590182893282E-2</v>
      </c>
      <c r="I320" s="19">
        <f t="shared" si="17"/>
        <v>-2.7955741906310339E-5</v>
      </c>
      <c r="J320" s="10" t="str">
        <f>VLOOKUP(A320,[4]REPUESTOS!$B:$FY,180,FALSE)</f>
        <v>Si</v>
      </c>
    </row>
    <row r="321" spans="1:10" x14ac:dyDescent="0.3">
      <c r="A321" s="10" t="s">
        <v>635</v>
      </c>
      <c r="B321" s="10" t="s">
        <v>634</v>
      </c>
      <c r="C321" s="17">
        <f>IFERROR(VLOOKUP(A321,[1]REPUESTOS!$A:$D,4,FALSE),"")</f>
        <v>11444</v>
      </c>
      <c r="D321" s="18">
        <f>IFERROR(VLOOKUP(A321,[2]REPUESTOS!$A:$R,18,FALSE),C321)</f>
        <v>10720.968546744272</v>
      </c>
      <c r="E321" s="19">
        <f t="shared" si="15"/>
        <v>-6.3179959214936007E-2</v>
      </c>
      <c r="F321" s="10" t="str">
        <f>VLOOKUP(A321,[3]data!$W:$Z,4,FALSE)</f>
        <v>Si</v>
      </c>
      <c r="G321" s="10" t="str">
        <f t="shared" si="16"/>
        <v>Acople rápido de bombas (lava interior)</v>
      </c>
      <c r="H321" s="19">
        <f>IFERROR(VLOOKUP(A321,[2]REPUESTOS!$A:$S,19,FALSE),"SIN ANÁLISIS")</f>
        <v>-6.3205901828932765E-2</v>
      </c>
      <c r="I321" s="19">
        <f t="shared" si="17"/>
        <v>-2.5942613996757236E-5</v>
      </c>
      <c r="J321" s="10" t="str">
        <f>VLOOKUP(A321,[4]REPUESTOS!$B:$FY,180,FALSE)</f>
        <v>Si</v>
      </c>
    </row>
    <row r="322" spans="1:10" x14ac:dyDescent="0.3">
      <c r="A322" s="10" t="s">
        <v>637</v>
      </c>
      <c r="B322" s="10" t="s">
        <v>636</v>
      </c>
      <c r="C322" s="17">
        <f>IFERROR(VLOOKUP(A322,[1]REPUESTOS!$A:$D,4,FALSE),"")</f>
        <v>101160</v>
      </c>
      <c r="D322" s="18">
        <f>IFERROR(VLOOKUP(A322,[2]REPUESTOS!$A:$R,18,FALSE),C322)</f>
        <v>94766.041577627562</v>
      </c>
      <c r="E322" s="19">
        <f t="shared" si="15"/>
        <v>-6.3206390098580839E-2</v>
      </c>
      <c r="F322" s="10" t="str">
        <f>VLOOKUP(A322,[3]data!$W:$Z,4,FALSE)</f>
        <v>Si</v>
      </c>
      <c r="G322" s="10" t="str">
        <f t="shared" si="16"/>
        <v>Tubo a espiral para perfume (lava interior)</v>
      </c>
      <c r="H322" s="19">
        <f>IFERROR(VLOOKUP(A322,[2]REPUESTOS!$A:$S,19,FALSE),"SIN ANÁLISIS")</f>
        <v>-6.3205901828932737E-2</v>
      </c>
      <c r="I322" s="19">
        <f t="shared" si="17"/>
        <v>4.882696481023352E-7</v>
      </c>
      <c r="J322" s="10" t="str">
        <f>VLOOKUP(A322,[4]REPUESTOS!$B:$FY,180,FALSE)</f>
        <v>Si</v>
      </c>
    </row>
    <row r="323" spans="1:10" x14ac:dyDescent="0.3">
      <c r="A323" s="10" t="s">
        <v>639</v>
      </c>
      <c r="B323" s="10" t="s">
        <v>638</v>
      </c>
      <c r="C323" s="17">
        <f>IFERROR(VLOOKUP(A323,[1]REPUESTOS!$A:$D,4,FALSE),"")</f>
        <v>1355786</v>
      </c>
      <c r="D323" s="18">
        <f>IFERROR(VLOOKUP(A323,[2]REPUESTOS!$A:$R,18,FALSE),C323)</f>
        <v>1270092.1274914551</v>
      </c>
      <c r="E323" s="19">
        <f t="shared" si="15"/>
        <v>-6.3206046166979848E-2</v>
      </c>
      <c r="F323" s="10" t="str">
        <f>VLOOKUP(A323,[3]data!$W:$Z,4,FALSE)</f>
        <v>Si</v>
      </c>
      <c r="G323" s="10" t="str">
        <f t="shared" si="16"/>
        <v>Telaio SD/TI (lava interior)</v>
      </c>
      <c r="H323" s="19">
        <f>IFERROR(VLOOKUP(A323,[2]REPUESTOS!$A:$S,19,FALSE),"SIN ANÁLISIS")</f>
        <v>-6.3205901828932681E-2</v>
      </c>
      <c r="I323" s="19">
        <f t="shared" si="17"/>
        <v>1.4433804716718068E-7</v>
      </c>
      <c r="J323" s="10" t="str">
        <f>VLOOKUP(A323,[4]REPUESTOS!$B:$FY,180,FALSE)</f>
        <v>Si</v>
      </c>
    </row>
    <row r="324" spans="1:10" x14ac:dyDescent="0.3">
      <c r="A324" s="10" t="s">
        <v>641</v>
      </c>
      <c r="B324" s="10" t="s">
        <v>640</v>
      </c>
      <c r="C324" s="17">
        <f>IFERROR(VLOOKUP(A324,[1]REPUESTOS!$A:$D,4,FALSE),"")</f>
        <v>53136</v>
      </c>
      <c r="D324" s="18">
        <f>IFERROR(VLOOKUP(A324,[2]REPUESTOS!$A:$R,18,FALSE),C324)</f>
        <v>49777.559408007284</v>
      </c>
      <c r="E324" s="19">
        <f t="shared" si="15"/>
        <v>-6.3204618187155892E-2</v>
      </c>
      <c r="F324" s="10" t="str">
        <f>VLOOKUP(A324,[3]data!$W:$Z,4,FALSE)</f>
        <v>Si</v>
      </c>
      <c r="G324" s="10" t="str">
        <f t="shared" si="16"/>
        <v>Boquilla bronce para pistola (lava interior)</v>
      </c>
      <c r="H324" s="19">
        <f>IFERROR(VLOOKUP(A324,[2]REPUESTOS!$A:$S,19,FALSE),"SIN ANÁLISIS")</f>
        <v>-6.3205901828932778E-2</v>
      </c>
      <c r="I324" s="19">
        <f t="shared" si="17"/>
        <v>-1.2836417768863351E-6</v>
      </c>
      <c r="J324" s="10" t="str">
        <f>VLOOKUP(A324,[4]REPUESTOS!$B:$FY,180,FALSE)</f>
        <v>Si</v>
      </c>
    </row>
    <row r="325" spans="1:10" x14ac:dyDescent="0.3">
      <c r="A325" s="10" t="s">
        <v>643</v>
      </c>
      <c r="B325" s="10" t="s">
        <v>642</v>
      </c>
      <c r="C325" s="17">
        <f>IFERROR(VLOOKUP(A325,[1]REPUESTOS!$A:$D,4,FALSE),"")</f>
        <v>51098</v>
      </c>
      <c r="D325" s="18">
        <f>IFERROR(VLOOKUP(A325,[2]REPUESTOS!$A:$R,18,FALSE),C325)</f>
        <v>47867.896210145802</v>
      </c>
      <c r="E325" s="19">
        <f t="shared" si="15"/>
        <v>-6.3213898584175462E-2</v>
      </c>
      <c r="F325" s="10" t="str">
        <f>VLOOKUP(A325,[3]data!$W:$Z,4,FALSE)</f>
        <v>Si</v>
      </c>
      <c r="G325" s="10" t="str">
        <f t="shared" si="16"/>
        <v>Boquilla verde para pistola (lava interior)</v>
      </c>
      <c r="H325" s="19">
        <f>IFERROR(VLOOKUP(A325,[2]REPUESTOS!$A:$S,19,FALSE),"SIN ANÁLISIS")</f>
        <v>-6.3205901828932709E-2</v>
      </c>
      <c r="I325" s="19">
        <f t="shared" si="17"/>
        <v>7.9967552427534505E-6</v>
      </c>
      <c r="J325" s="10" t="str">
        <f>VLOOKUP(A325,[4]REPUESTOS!$B:$FY,180,FALSE)</f>
        <v>Si</v>
      </c>
    </row>
    <row r="326" spans="1:10" x14ac:dyDescent="0.3">
      <c r="A326" s="10" t="s">
        <v>645</v>
      </c>
      <c r="B326" s="10" t="s">
        <v>644</v>
      </c>
      <c r="C326" s="17">
        <f>IFERROR(VLOOKUP(A326,[1]REPUESTOS!$A:$D,4,FALSE),"")</f>
        <v>293026</v>
      </c>
      <c r="D326" s="18">
        <f>IFERROR(VLOOKUP(A326,[2]REPUESTOS!$A:$R,18,FALSE),C326)</f>
        <v>274505.13314634928</v>
      </c>
      <c r="E326" s="19">
        <f t="shared" ref="E326:E388" si="18">IFERROR((D326-C326)/C326,0)</f>
        <v>-6.3205540988344786E-2</v>
      </c>
      <c r="F326" s="10" t="str">
        <f>VLOOKUP(A326,[3]data!$W:$Z,4,FALSE)</f>
        <v>Si</v>
      </c>
      <c r="G326" s="10" t="str">
        <f t="shared" ref="G326:G388" si="19">MID(B326,15,100)</f>
        <v>Tambor cilíndrico filtro aspirado</v>
      </c>
      <c r="H326" s="19">
        <f>IFERROR(VLOOKUP(A326,[2]REPUESTOS!$A:$S,19,FALSE),"SIN ANÁLISIS")</f>
        <v>-6.3205901828932709E-2</v>
      </c>
      <c r="I326" s="19">
        <f t="shared" ref="I326:I389" si="20">IFERROR(H326-E326,0)</f>
        <v>-3.6084058792351659E-7</v>
      </c>
      <c r="J326" s="10" t="str">
        <f>VLOOKUP(A326,[4]REPUESTOS!$B:$FY,180,FALSE)</f>
        <v>Si</v>
      </c>
    </row>
    <row r="327" spans="1:10" x14ac:dyDescent="0.3">
      <c r="A327" s="10" t="s">
        <v>647</v>
      </c>
      <c r="B327" s="10" t="s">
        <v>646</v>
      </c>
      <c r="C327" s="17">
        <f>IFERROR(VLOOKUP(A327,[1]REPUESTOS!$A:$D,4,FALSE),"")</f>
        <v>11674</v>
      </c>
      <c r="D327" s="18">
        <f>IFERROR(VLOOKUP(A327,[2]REPUESTOS!$A:$R,18,FALSE),C327)</f>
        <v>10935.80565650369</v>
      </c>
      <c r="E327" s="19">
        <f t="shared" si="18"/>
        <v>-6.3234053751611313E-2</v>
      </c>
      <c r="F327" s="10" t="str">
        <f>VLOOKUP(A327,[3]data!$W:$Z,4,FALSE)</f>
        <v>Si</v>
      </c>
      <c r="G327" s="10" t="str">
        <f t="shared" si="19"/>
        <v xml:space="preserve"> Manguito boquilla aspirado lava tapiz (lava interior)</v>
      </c>
      <c r="H327" s="19">
        <f>IFERROR(VLOOKUP(A327,[2]REPUESTOS!$A:$S,19,FALSE),"SIN ANÁLISIS")</f>
        <v>-6.3205901828932751E-2</v>
      </c>
      <c r="I327" s="19">
        <f t="shared" si="20"/>
        <v>2.8151922678562591E-5</v>
      </c>
      <c r="J327" s="10" t="str">
        <f>VLOOKUP(A327,[4]REPUESTOS!$B:$FY,180,FALSE)</f>
        <v>Si</v>
      </c>
    </row>
    <row r="328" spans="1:10" x14ac:dyDescent="0.3">
      <c r="A328" s="10" t="s">
        <v>649</v>
      </c>
      <c r="B328" s="10" t="s">
        <v>648</v>
      </c>
      <c r="C328" s="17">
        <f>IFERROR(VLOOKUP(A328,[1]REPUESTOS!$A:$D,4,FALSE),"")</f>
        <v>367863</v>
      </c>
      <c r="D328" s="18">
        <f>IFERROR(VLOOKUP(A328,[2]REPUESTOS!$A:$R,18,FALSE),C328)</f>
        <v>344611.65406534146</v>
      </c>
      <c r="E328" s="19">
        <f t="shared" si="18"/>
        <v>-6.3206535951314882E-2</v>
      </c>
      <c r="F328" s="10" t="str">
        <f>VLOOKUP(A328,[3]data!$W:$Z,4,FALSE)</f>
        <v>Si</v>
      </c>
      <c r="G328" s="10" t="str">
        <f t="shared" si="19"/>
        <v>Display (lava interior)</v>
      </c>
      <c r="H328" s="19">
        <f>IFERROR(VLOOKUP(A328,[2]REPUESTOS!$A:$S,19,FALSE),"SIN ANÁLISIS")</f>
        <v>-6.3205901828932667E-2</v>
      </c>
      <c r="I328" s="19">
        <f t="shared" si="20"/>
        <v>6.3412238221483008E-7</v>
      </c>
      <c r="J328" s="10" t="str">
        <f>VLOOKUP(A328,[4]REPUESTOS!$B:$FY,180,FALSE)</f>
        <v>Si</v>
      </c>
    </row>
    <row r="329" spans="1:10" x14ac:dyDescent="0.3">
      <c r="A329" s="10" t="s">
        <v>651</v>
      </c>
      <c r="B329" s="10" t="s">
        <v>650</v>
      </c>
      <c r="C329" s="17">
        <f>IFERROR(VLOOKUP(A329,[1]REPUESTOS!$A:$D,4,FALSE),"")</f>
        <v>152672</v>
      </c>
      <c r="D329" s="18">
        <f>IFERROR(VLOOKUP(A329,[2]REPUESTOS!$A:$R,18,FALSE),C329)</f>
        <v>143021.83812483898</v>
      </c>
      <c r="E329" s="19">
        <f t="shared" si="18"/>
        <v>-6.320845914877006E-2</v>
      </c>
      <c r="F329" s="10" t="str">
        <f>VLOOKUP(A329,[3]data!$W:$Z,4,FALSE)</f>
        <v>Si</v>
      </c>
      <c r="G329" s="10" t="str">
        <f t="shared" si="19"/>
        <v>022 Cubrefichero inox plus 2022</v>
      </c>
      <c r="H329" s="19">
        <f>IFERROR(VLOOKUP(A329,[2]REPUESTOS!$A:$S,19,FALSE),"SIN ANÁLISIS")</f>
        <v>-6.3205901828932709E-2</v>
      </c>
      <c r="I329" s="19">
        <f t="shared" si="20"/>
        <v>2.5573198373513018E-6</v>
      </c>
      <c r="J329" s="10" t="str">
        <f>VLOOKUP(A329,[4]REPUESTOS!$B:$FY,180,FALSE)</f>
        <v>Si</v>
      </c>
    </row>
    <row r="330" spans="1:10" x14ac:dyDescent="0.3">
      <c r="A330" s="10" t="s">
        <v>653</v>
      </c>
      <c r="B330" s="10" t="s">
        <v>652</v>
      </c>
      <c r="C330" s="17">
        <f>IFERROR(VLOOKUP(A330,[1]REPUESTOS!$A:$D,4,FALSE),"")</f>
        <v>47468</v>
      </c>
      <c r="D330" s="18">
        <f>IFERROR(VLOOKUP(A330,[2]REPUESTOS!$A:$R,18,FALSE),C330)</f>
        <v>44467.303255203908</v>
      </c>
      <c r="E330" s="19">
        <f t="shared" si="18"/>
        <v>-6.3215150096825073E-2</v>
      </c>
      <c r="F330" s="10" t="str">
        <f>VLOOKUP(A330,[3]data!$W:$Z,4,FALSE)</f>
        <v>Si</v>
      </c>
      <c r="G330" s="10" t="str">
        <f t="shared" si="19"/>
        <v>Lexan para cubrefichero plus 2022</v>
      </c>
      <c r="H330" s="19">
        <f>IFERROR(VLOOKUP(A330,[2]REPUESTOS!$A:$S,19,FALSE),"SIN ANÁLISIS")</f>
        <v>-6.3205901828932751E-2</v>
      </c>
      <c r="I330" s="19">
        <f t="shared" si="20"/>
        <v>9.2482678923228034E-6</v>
      </c>
      <c r="J330" s="10" t="str">
        <f>VLOOKUP(A330,[4]REPUESTOS!$B:$FY,180,FALSE)</f>
        <v>Si</v>
      </c>
    </row>
    <row r="331" spans="1:10" x14ac:dyDescent="0.3">
      <c r="A331" s="10" t="s">
        <v>655</v>
      </c>
      <c r="B331" s="10" t="s">
        <v>654</v>
      </c>
      <c r="C331" s="17">
        <f>IFERROR(VLOOKUP(A331,[1]REPUESTOS!$A:$D,4,FALSE),"")</f>
        <v>2969</v>
      </c>
      <c r="D331" s="18">
        <f>IFERROR(VLOOKUP(A331,[2]REPUESTOS!$A:$R,18,FALSE),C331)</f>
        <v>2969</v>
      </c>
      <c r="E331" s="19">
        <f t="shared" si="18"/>
        <v>0</v>
      </c>
      <c r="F331" s="10" t="str">
        <f>VLOOKUP(A331,[3]data!$W:$Z,4,FALSE)</f>
        <v>Si</v>
      </c>
      <c r="G331" s="10" t="str">
        <f t="shared" si="19"/>
        <v>Unión americana inoxidable de 1/2"</v>
      </c>
      <c r="H331" s="19">
        <f>IFERROR(VLOOKUP(A331,[2]REPUESTOS!$A:$S,19,FALSE),"SIN ANÁLISIS")</f>
        <v>0</v>
      </c>
      <c r="I331" s="19">
        <f t="shared" si="20"/>
        <v>0</v>
      </c>
      <c r="J331" s="10" t="str">
        <f>VLOOKUP(A331,[4]REPUESTOS!$B:$FY,180,FALSE)</f>
        <v>Si</v>
      </c>
    </row>
    <row r="332" spans="1:10" x14ac:dyDescent="0.3">
      <c r="A332" s="10" t="s">
        <v>657</v>
      </c>
      <c r="B332" s="10" t="s">
        <v>656</v>
      </c>
      <c r="C332" s="17">
        <f>IFERROR(VLOOKUP(A332,[1]REPUESTOS!$A:$D,4,FALSE),"")</f>
        <v>28208</v>
      </c>
      <c r="D332" s="18">
        <f>IFERROR(VLOOKUP(A332,[2]REPUESTOS!$A:$R,18,FALSE),C332)</f>
        <v>26424.964500408369</v>
      </c>
      <c r="E332" s="19">
        <f t="shared" si="18"/>
        <v>-6.321027721184172E-2</v>
      </c>
      <c r="F332" s="10" t="str">
        <f>VLOOKUP(A332,[3]data!$W:$Z,4,FALSE)</f>
        <v>Si</v>
      </c>
      <c r="G332" s="10" t="str">
        <f t="shared" si="19"/>
        <v>Manguera silicona D8/D5 150cm (lava interior)</v>
      </c>
      <c r="H332" s="19">
        <f>IFERROR(VLOOKUP(A332,[2]REPUESTOS!$A:$S,19,FALSE),"SIN ANÁLISIS")</f>
        <v>-6.3205901828932709E-2</v>
      </c>
      <c r="I332" s="19">
        <f t="shared" si="20"/>
        <v>4.3753829090109608E-6</v>
      </c>
      <c r="J332" s="10" t="str">
        <f>VLOOKUP(A332,[4]REPUESTOS!$B:$FY,180,FALSE)</f>
        <v>Si</v>
      </c>
    </row>
    <row r="333" spans="1:10" x14ac:dyDescent="0.3">
      <c r="A333" s="10" t="s">
        <v>659</v>
      </c>
      <c r="B333" s="10" t="s">
        <v>658</v>
      </c>
      <c r="C333" s="17">
        <f>IFERROR(VLOOKUP(A333,[1]REPUESTOS!$A:$D,4,FALSE),"")</f>
        <v>4985</v>
      </c>
      <c r="D333" s="18">
        <f>IFERROR(VLOOKUP(A333,[2]REPUESTOS!$A:$R,18,FALSE),C333)</f>
        <v>4985</v>
      </c>
      <c r="E333" s="19">
        <f t="shared" si="18"/>
        <v>0</v>
      </c>
      <c r="F333" s="10" t="str">
        <f>VLOOKUP(A333,[3]data!$W:$Z,4,FALSE)</f>
        <v>Si</v>
      </c>
      <c r="G333" s="10" t="str">
        <f t="shared" si="19"/>
        <v>Niple bronce 1/4 x 3/8 HE-HE</v>
      </c>
      <c r="H333" s="19" t="str">
        <f>IFERROR(VLOOKUP(A333,[2]REPUESTOS!$A:$S,19,FALSE),"SIN ANÁLISIS")</f>
        <v>SIN ANÁLISIS</v>
      </c>
      <c r="I333" s="19">
        <f t="shared" si="20"/>
        <v>0</v>
      </c>
      <c r="J333" s="10" t="str">
        <f>VLOOKUP(A333,[4]REPUESTOS!$B:$FY,180,FALSE)</f>
        <v>Si</v>
      </c>
    </row>
    <row r="334" spans="1:10" x14ac:dyDescent="0.3">
      <c r="A334" s="10" t="s">
        <v>661</v>
      </c>
      <c r="B334" s="10" t="s">
        <v>660</v>
      </c>
      <c r="C334" s="17">
        <f>IFERROR(VLOOKUP(A334,[1]REPUESTOS!$A:$D,4,FALSE),"")</f>
        <v>3912</v>
      </c>
      <c r="D334" s="18">
        <f>IFERROR(VLOOKUP(A334,[2]REPUESTOS!$A:$R,18,FALSE),C334)</f>
        <v>3912</v>
      </c>
      <c r="E334" s="19">
        <f t="shared" si="18"/>
        <v>0</v>
      </c>
      <c r="F334" s="10" t="str">
        <f>VLOOKUP(A334,[3]data!$W:$Z,4,FALSE)</f>
        <v>Si</v>
      </c>
      <c r="G334" s="10" t="str">
        <f t="shared" si="19"/>
        <v>Niple bronce 1/4 HE HE</v>
      </c>
      <c r="H334" s="19" t="str">
        <f>IFERROR(VLOOKUP(A334,[2]REPUESTOS!$A:$S,19,FALSE),"SIN ANÁLISIS")</f>
        <v>SIN ANÁLISIS</v>
      </c>
      <c r="I334" s="19">
        <f t="shared" si="20"/>
        <v>0</v>
      </c>
      <c r="J334" s="10" t="str">
        <f>VLOOKUP(A334,[4]REPUESTOS!$B:$FY,180,FALSE)</f>
        <v>Si</v>
      </c>
    </row>
    <row r="335" spans="1:10" x14ac:dyDescent="0.3">
      <c r="A335" s="10" t="s">
        <v>663</v>
      </c>
      <c r="B335" s="10" t="s">
        <v>662</v>
      </c>
      <c r="C335" s="17">
        <f>IFERROR(VLOOKUP(A335,[1]REPUESTOS!$A:$D,4,FALSE),"")</f>
        <v>5662</v>
      </c>
      <c r="D335" s="18">
        <f>IFERROR(VLOOKUP(A335,[2]REPUESTOS!$A:$R,18,FALSE),C335)</f>
        <v>5662</v>
      </c>
      <c r="E335" s="19">
        <f t="shared" si="18"/>
        <v>0</v>
      </c>
      <c r="F335" s="10" t="str">
        <f>VLOOKUP(A335,[3]data!$W:$Z,4,FALSE)</f>
        <v>Si</v>
      </c>
      <c r="G335" s="10" t="str">
        <f t="shared" si="19"/>
        <v>Niple bronce 3/4 x 1/2 HE HI</v>
      </c>
      <c r="H335" s="19" t="str">
        <f>IFERROR(VLOOKUP(A335,[2]REPUESTOS!$A:$S,19,FALSE),"SIN ANÁLISIS")</f>
        <v>SIN ANÁLISIS</v>
      </c>
      <c r="I335" s="19">
        <f t="shared" si="20"/>
        <v>0</v>
      </c>
      <c r="J335" s="10" t="str">
        <f>VLOOKUP(A335,[4]REPUESTOS!$B:$FY,180,FALSE)</f>
        <v>Si</v>
      </c>
    </row>
    <row r="336" spans="1:10" x14ac:dyDescent="0.3">
      <c r="A336" s="10" t="s">
        <v>665</v>
      </c>
      <c r="B336" s="10" t="s">
        <v>664</v>
      </c>
      <c r="C336" s="17">
        <f>IFERROR(VLOOKUP(A336,[1]REPUESTOS!$A:$D,4,FALSE),"")</f>
        <v>5250</v>
      </c>
      <c r="D336" s="18">
        <f>IFERROR(VLOOKUP(A336,[2]REPUESTOS!$A:$R,18,FALSE),C336)</f>
        <v>5250</v>
      </c>
      <c r="E336" s="19">
        <f t="shared" si="18"/>
        <v>0</v>
      </c>
      <c r="F336" s="10" t="str">
        <f>VLOOKUP(A336,[3]data!$W:$Z,4,FALSE)</f>
        <v>Si</v>
      </c>
      <c r="G336" s="10" t="str">
        <f t="shared" si="19"/>
        <v>Niple bronce 3/4 x 1/2 HI HE</v>
      </c>
      <c r="H336" s="19" t="str">
        <f>IFERROR(VLOOKUP(A336,[2]REPUESTOS!$A:$S,19,FALSE),"SIN ANÁLISIS")</f>
        <v>SIN ANÁLISIS</v>
      </c>
      <c r="I336" s="19">
        <f t="shared" si="20"/>
        <v>0</v>
      </c>
      <c r="J336" s="10" t="str">
        <f>VLOOKUP(A336,[4]REPUESTOS!$B:$FY,180,FALSE)</f>
        <v>Si</v>
      </c>
    </row>
    <row r="337" spans="1:10" x14ac:dyDescent="0.3">
      <c r="A337" s="10" t="s">
        <v>667</v>
      </c>
      <c r="B337" s="10" t="s">
        <v>666</v>
      </c>
      <c r="C337" s="17">
        <f>IFERROR(VLOOKUP(A337,[1]REPUESTOS!$A:$D,4,FALSE),"")</f>
        <v>6000</v>
      </c>
      <c r="D337" s="18">
        <f>IFERROR(VLOOKUP(A337,[2]REPUESTOS!$A:$R,18,FALSE),C337)</f>
        <v>6000</v>
      </c>
      <c r="E337" s="19">
        <f t="shared" si="18"/>
        <v>0</v>
      </c>
      <c r="F337" s="10" t="str">
        <f>VLOOKUP(A337,[3]data!$W:$Z,4,FALSE)</f>
        <v>Si</v>
      </c>
      <c r="G337" s="10" t="str">
        <f t="shared" si="19"/>
        <v>Terminal cachimba 1/2 HI</v>
      </c>
      <c r="H337" s="19" t="str">
        <f>IFERROR(VLOOKUP(A337,[2]REPUESTOS!$A:$S,19,FALSE),"SIN ANÁLISIS")</f>
        <v>SIN ANÁLISIS</v>
      </c>
      <c r="I337" s="19">
        <f t="shared" si="20"/>
        <v>0</v>
      </c>
      <c r="J337" s="10" t="str">
        <f>VLOOKUP(A337,[4]REPUESTOS!$B:$FY,180,FALSE)</f>
        <v>Si</v>
      </c>
    </row>
    <row r="338" spans="1:10" x14ac:dyDescent="0.3">
      <c r="A338" s="10" t="s">
        <v>669</v>
      </c>
      <c r="B338" s="10" t="s">
        <v>668</v>
      </c>
      <c r="C338" s="17">
        <f>IFERROR(VLOOKUP(A338,[1]REPUESTOS!$A:$D,4,FALSE),"")</f>
        <v>6000</v>
      </c>
      <c r="D338" s="18">
        <f>IFERROR(VLOOKUP(A338,[2]REPUESTOS!$A:$R,18,FALSE),C338)</f>
        <v>6000</v>
      </c>
      <c r="E338" s="19">
        <f t="shared" si="18"/>
        <v>0</v>
      </c>
      <c r="F338" s="10" t="str">
        <f>VLOOKUP(A338,[3]data!$W:$Z,4,FALSE)</f>
        <v>Si</v>
      </c>
      <c r="G338" s="10" t="str">
        <f t="shared" si="19"/>
        <v>Terminal cachimba 1/2 HE</v>
      </c>
      <c r="H338" s="19" t="str">
        <f>IFERROR(VLOOKUP(A338,[2]REPUESTOS!$A:$S,19,FALSE),"SIN ANÁLISIS")</f>
        <v>SIN ANÁLISIS</v>
      </c>
      <c r="I338" s="19">
        <f t="shared" si="20"/>
        <v>0</v>
      </c>
      <c r="J338" s="10" t="str">
        <f>VLOOKUP(A338,[4]REPUESTOS!$B:$FY,180,FALSE)</f>
        <v>Si</v>
      </c>
    </row>
    <row r="339" spans="1:10" x14ac:dyDescent="0.3">
      <c r="A339" s="10" t="s">
        <v>671</v>
      </c>
      <c r="B339" s="10" t="s">
        <v>670</v>
      </c>
      <c r="C339" s="17">
        <f>IFERROR(VLOOKUP(A339,[1]REPUESTOS!$A:$D,4,FALSE),"")</f>
        <v>303626</v>
      </c>
      <c r="D339" s="18">
        <f>IFERROR(VLOOKUP(A339,[2]REPUESTOS!$A:$R,18,FALSE),C339)</f>
        <v>303626</v>
      </c>
      <c r="E339" s="19">
        <f t="shared" si="18"/>
        <v>0</v>
      </c>
      <c r="F339" s="10" t="str">
        <f>VLOOKUP(A339,[3]data!$W:$Z,4,FALSE)</f>
        <v>Si</v>
      </c>
      <c r="G339" s="10" t="str">
        <f t="shared" si="19"/>
        <v>membranas de osmosis de CSM RE4021-BLN-K</v>
      </c>
      <c r="H339" s="19">
        <f>IFERROR(VLOOKUP(A339,[2]REPUESTOS!$A:$S,19,FALSE),"SIN ANÁLISIS")</f>
        <v>0</v>
      </c>
      <c r="I339" s="19">
        <f t="shared" si="20"/>
        <v>0</v>
      </c>
      <c r="J339" s="10" t="str">
        <f>VLOOKUP(A339,[4]REPUESTOS!$B:$FY,180,FALSE)</f>
        <v>Si</v>
      </c>
    </row>
    <row r="340" spans="1:10" x14ac:dyDescent="0.3">
      <c r="A340" s="10" t="s">
        <v>673</v>
      </c>
      <c r="B340" s="10" t="s">
        <v>672</v>
      </c>
      <c r="C340" s="17">
        <f>IFERROR(VLOOKUP(A340,[1]REPUESTOS!$A:$D,4,FALSE),"")</f>
        <v>550000</v>
      </c>
      <c r="D340" s="18">
        <f>IFERROR(VLOOKUP(A340,[2]REPUESTOS!$A:$R,18,FALSE),C340)</f>
        <v>550000</v>
      </c>
      <c r="E340" s="19">
        <f t="shared" si="18"/>
        <v>0</v>
      </c>
      <c r="F340" s="10" t="str">
        <f>VLOOKUP(A340,[3]data!$W:$Z,4,FALSE)</f>
        <v>Si</v>
      </c>
      <c r="G340" s="10" t="str">
        <f t="shared" si="19"/>
        <v>Cabezal ablandador down flow válvula cleck</v>
      </c>
      <c r="H340" s="19" t="str">
        <f>IFERROR(VLOOKUP(A340,[2]REPUESTOS!$A:$S,19,FALSE),"SIN ANÁLISIS")</f>
        <v>SIN ANÁLISIS</v>
      </c>
      <c r="I340" s="19">
        <f t="shared" si="20"/>
        <v>0</v>
      </c>
      <c r="J340" s="10" t="str">
        <f>VLOOKUP(A340,[4]REPUESTOS!$B:$FY,180,FALSE)</f>
        <v>Si</v>
      </c>
    </row>
    <row r="341" spans="1:10" x14ac:dyDescent="0.3">
      <c r="A341" s="10" t="s">
        <v>675</v>
      </c>
      <c r="B341" s="10" t="s">
        <v>674</v>
      </c>
      <c r="C341" s="17">
        <f>IFERROR(VLOOKUP(A341,[1]REPUESTOS!$A:$D,4,FALSE),"")</f>
        <v>9104</v>
      </c>
      <c r="D341" s="18">
        <f>IFERROR(VLOOKUP(A341,[2]REPUESTOS!$A:$R,18,FALSE),C341)</f>
        <v>9104</v>
      </c>
      <c r="E341" s="19">
        <f t="shared" si="18"/>
        <v>0</v>
      </c>
      <c r="F341" s="10" t="str">
        <f>VLOOKUP(A341,[3]data!$W:$Z,4,FALSE)</f>
        <v>Si</v>
      </c>
      <c r="G341" s="10" t="str">
        <f t="shared" si="19"/>
        <v>Codo inox 1/2 HE HI</v>
      </c>
      <c r="H341" s="19">
        <f>IFERROR(VLOOKUP(A341,[2]REPUESTOS!$A:$S,19,FALSE),"SIN ANÁLISIS")</f>
        <v>0</v>
      </c>
      <c r="I341" s="19">
        <f t="shared" si="20"/>
        <v>0</v>
      </c>
      <c r="J341" s="10" t="str">
        <f>VLOOKUP(A341,[4]REPUESTOS!$B:$FY,180,FALSE)</f>
        <v>Si</v>
      </c>
    </row>
    <row r="342" spans="1:10" x14ac:dyDescent="0.3">
      <c r="A342" s="10" t="s">
        <v>677</v>
      </c>
      <c r="B342" s="10" t="s">
        <v>676</v>
      </c>
      <c r="C342" s="17">
        <f>IFERROR(VLOOKUP(A342,[1]REPUESTOS!$A:$D,4,FALSE),"")</f>
        <v>63220</v>
      </c>
      <c r="D342" s="18">
        <f>IFERROR(VLOOKUP(A342,[2]REPUESTOS!$A:$R,18,FALSE),C342)</f>
        <v>63220</v>
      </c>
      <c r="E342" s="19">
        <f t="shared" si="18"/>
        <v>0</v>
      </c>
      <c r="F342" s="10" t="str">
        <f>VLOOKUP(A342,[3]data!$W:$Z,4,FALSE)</f>
        <v>Si</v>
      </c>
      <c r="G342" s="10" t="str">
        <f t="shared" si="19"/>
        <v>Kit 269 Interpump</v>
      </c>
      <c r="H342" s="19" t="str">
        <f>IFERROR(VLOOKUP(A342,[2]REPUESTOS!$A:$S,19,FALSE),"SIN ANÁLISIS")</f>
        <v>SIN ANÁLISIS</v>
      </c>
      <c r="I342" s="19">
        <f t="shared" si="20"/>
        <v>0</v>
      </c>
      <c r="J342" s="10" t="str">
        <f>VLOOKUP(A342,[4]REPUESTOS!$B:$FY,180,FALSE)</f>
        <v>Si</v>
      </c>
    </row>
    <row r="343" spans="1:10" x14ac:dyDescent="0.3">
      <c r="A343" s="10" t="s">
        <v>679</v>
      </c>
      <c r="B343" s="10" t="s">
        <v>678</v>
      </c>
      <c r="C343" s="17">
        <f>IFERROR(VLOOKUP(A343,[1]REPUESTOS!$A:$D,4,FALSE),"")</f>
        <v>22580</v>
      </c>
      <c r="D343" s="18">
        <f>IFERROR(VLOOKUP(A343,[2]REPUESTOS!$A:$R,18,FALSE),C343)</f>
        <v>22580</v>
      </c>
      <c r="E343" s="19">
        <f t="shared" si="18"/>
        <v>0</v>
      </c>
      <c r="F343" s="10" t="str">
        <f>VLOOKUP(A343,[3]data!$W:$Z,4,FALSE)</f>
        <v>Si</v>
      </c>
      <c r="G343" s="10" t="str">
        <f t="shared" si="19"/>
        <v>Kit 271 Interpump</v>
      </c>
      <c r="H343" s="19" t="str">
        <f>IFERROR(VLOOKUP(A343,[2]REPUESTOS!$A:$S,19,FALSE),"SIN ANÁLISIS")</f>
        <v>SIN ANÁLISIS</v>
      </c>
      <c r="I343" s="19">
        <f t="shared" si="20"/>
        <v>0</v>
      </c>
      <c r="J343" s="10" t="str">
        <f>VLOOKUP(A343,[4]REPUESTOS!$B:$FY,180,FALSE)</f>
        <v>Si</v>
      </c>
    </row>
    <row r="344" spans="1:10" x14ac:dyDescent="0.3">
      <c r="A344" s="10" t="s">
        <v>681</v>
      </c>
      <c r="B344" s="10" t="s">
        <v>680</v>
      </c>
      <c r="C344" s="17">
        <f>IFERROR(VLOOKUP(A344,[1]REPUESTOS!$A:$D,4,FALSE),"")</f>
        <v>60853</v>
      </c>
      <c r="D344" s="18">
        <f>IFERROR(VLOOKUP(A344,[2]REPUESTOS!$A:$R,18,FALSE),C344)</f>
        <v>57006.430304912137</v>
      </c>
      <c r="E344" s="19">
        <f t="shared" si="18"/>
        <v>-6.3210847371335227E-2</v>
      </c>
      <c r="F344" s="10" t="str">
        <f>VLOOKUP(A344,[3]data!$W:$Z,4,FALSE)</f>
        <v>Si</v>
      </c>
      <c r="G344" s="10" t="str">
        <f t="shared" si="19"/>
        <v>Tapa carcasa osmosis</v>
      </c>
      <c r="H344" s="19">
        <f>IFERROR(VLOOKUP(A344,[2]REPUESTOS!$A:$S,19,FALSE),"SIN ANÁLISIS")</f>
        <v>-6.3205901828932778E-2</v>
      </c>
      <c r="I344" s="19">
        <f t="shared" si="20"/>
        <v>4.9455424024485994E-6</v>
      </c>
      <c r="J344" s="10" t="str">
        <f>VLOOKUP(A344,[4]REPUESTOS!$B:$FY,180,FALSE)</f>
        <v>Si</v>
      </c>
    </row>
    <row r="345" spans="1:10" x14ac:dyDescent="0.3">
      <c r="A345" s="10" t="s">
        <v>683</v>
      </c>
      <c r="B345" s="10" t="s">
        <v>682</v>
      </c>
      <c r="C345" s="17">
        <f>IFERROR(VLOOKUP(A345,[1]REPUESTOS!$A:$D,4,FALSE),"")</f>
        <v>6189</v>
      </c>
      <c r="D345" s="18">
        <f>IFERROR(VLOOKUP(A345,[2]REPUESTOS!$A:$R,18,FALSE),C345)</f>
        <v>6189</v>
      </c>
      <c r="E345" s="19">
        <f t="shared" si="18"/>
        <v>0</v>
      </c>
      <c r="F345" s="10" t="str">
        <f>VLOOKUP(A345,[3]data!$W:$Z,4,FALSE)</f>
        <v>Si</v>
      </c>
      <c r="G345" s="10" t="str">
        <f t="shared" si="19"/>
        <v>O´rings tapa carcasa de osmosis</v>
      </c>
      <c r="H345" s="19">
        <f>IFERROR(VLOOKUP(A345,[2]REPUESTOS!$A:$S,19,FALSE),"SIN ANÁLISIS")</f>
        <v>0</v>
      </c>
      <c r="I345" s="19">
        <f t="shared" si="20"/>
        <v>0</v>
      </c>
      <c r="J345" s="10" t="str">
        <f>VLOOKUP(A345,[4]REPUESTOS!$B:$FY,180,FALSE)</f>
        <v>Si</v>
      </c>
    </row>
    <row r="346" spans="1:10" x14ac:dyDescent="0.3">
      <c r="A346" s="10" t="s">
        <v>685</v>
      </c>
      <c r="B346" s="10" t="s">
        <v>684</v>
      </c>
      <c r="C346" s="17">
        <f>IFERROR(VLOOKUP(A346,[1]REPUESTOS!$A:$D,4,FALSE),"")</f>
        <v>234116</v>
      </c>
      <c r="D346" s="18">
        <f>IFERROR(VLOOKUP(A346,[2]REPUESTOS!$A:$R,18,FALSE),C346)</f>
        <v>234116</v>
      </c>
      <c r="E346" s="19">
        <f t="shared" si="18"/>
        <v>0</v>
      </c>
      <c r="F346" s="10" t="str">
        <f>VLOOKUP(A346,[3]data!$W:$Z,4,FALSE)</f>
        <v>Si</v>
      </c>
      <c r="G346" s="10" t="str">
        <f t="shared" si="19"/>
        <v>Kit 343 bomba CAT</v>
      </c>
      <c r="H346" s="19" t="str">
        <f>IFERROR(VLOOKUP(A346,[2]REPUESTOS!$A:$S,19,FALSE),"SIN ANÁLISIS")</f>
        <v>SIN ANÁLISIS</v>
      </c>
      <c r="I346" s="19">
        <f t="shared" si="20"/>
        <v>0</v>
      </c>
      <c r="J346" s="10" t="str">
        <f>VLOOKUP(A346,[4]REPUESTOS!$B:$FY,180,FALSE)</f>
        <v>Si</v>
      </c>
    </row>
    <row r="347" spans="1:10" x14ac:dyDescent="0.3">
      <c r="A347" s="10" t="s">
        <v>687</v>
      </c>
      <c r="B347" s="10" t="s">
        <v>686</v>
      </c>
      <c r="C347" s="17">
        <f>IFERROR(VLOOKUP(A347,[1]REPUESTOS!$A:$D,4,FALSE),"")</f>
        <v>683240</v>
      </c>
      <c r="D347" s="18">
        <f>IFERROR(VLOOKUP(A347,[2]REPUESTOS!$A:$R,18,FALSE),C347)</f>
        <v>683240</v>
      </c>
      <c r="E347" s="19">
        <f t="shared" si="18"/>
        <v>0</v>
      </c>
      <c r="F347" s="10" t="str">
        <f>VLOOKUP(A347,[3]data!$W:$Z,4,FALSE)</f>
        <v>Si</v>
      </c>
      <c r="G347" s="10" t="str">
        <f t="shared" si="19"/>
        <v>Bomba espa prisma 25 5M.</v>
      </c>
      <c r="H347" s="19" t="str">
        <f>IFERROR(VLOOKUP(A347,[2]REPUESTOS!$A:$S,19,FALSE),"SIN ANÁLISIS")</f>
        <v>SIN ANÁLISIS</v>
      </c>
      <c r="I347" s="19">
        <f t="shared" si="20"/>
        <v>0</v>
      </c>
      <c r="J347" s="10" t="str">
        <f>VLOOKUP(A347,[4]REPUESTOS!$B:$FY,180,FALSE)</f>
        <v>Si</v>
      </c>
    </row>
    <row r="348" spans="1:10" x14ac:dyDescent="0.3">
      <c r="A348" s="10" t="s">
        <v>689</v>
      </c>
      <c r="B348" s="10" t="s">
        <v>688</v>
      </c>
      <c r="C348" s="17">
        <f>IFERROR(VLOOKUP(A348,[1]REPUESTOS!$A:$D,4,FALSE),"")</f>
        <v>17438</v>
      </c>
      <c r="D348" s="18">
        <f>IFERROR(VLOOKUP(A348,[2]REPUESTOS!$A:$R,18,FALSE),C348)</f>
        <v>17174.83232094812</v>
      </c>
      <c r="E348" s="19">
        <f t="shared" si="18"/>
        <v>-1.509162054432157E-2</v>
      </c>
      <c r="F348" s="10" t="str">
        <f>VLOOKUP(A348,[3]data!$W:$Z,4,FALSE)</f>
        <v>Si</v>
      </c>
      <c r="G348" s="10" t="str">
        <f t="shared" si="19"/>
        <v>Tapón rojo (bomba 3cp) CAT</v>
      </c>
      <c r="H348" s="19">
        <f>IFERROR(VLOOKUP(A348,[2]REPUESTOS!$A:$S,19,FALSE),"SIN ANÁLISIS")</f>
        <v>-1.5106888361045144E-2</v>
      </c>
      <c r="I348" s="19">
        <f t="shared" si="20"/>
        <v>-1.5267816723573552E-5</v>
      </c>
      <c r="J348" s="10" t="str">
        <f>VLOOKUP(A348,[4]REPUESTOS!$B:$FY,180,FALSE)</f>
        <v>Si</v>
      </c>
    </row>
    <row r="349" spans="1:10" x14ac:dyDescent="0.3">
      <c r="A349" s="10" t="s">
        <v>691</v>
      </c>
      <c r="B349" s="10" t="s">
        <v>690</v>
      </c>
      <c r="C349" s="17">
        <f>IFERROR(VLOOKUP(A349,[1]REPUESTOS!$A:$D,4,FALSE),"")</f>
        <v>556463</v>
      </c>
      <c r="D349" s="18">
        <f>IFERROR(VLOOKUP(A349,[2]REPUESTOS!$A:$R,18,FALSE),C349)</f>
        <v>548056.90437679808</v>
      </c>
      <c r="E349" s="19">
        <f t="shared" si="18"/>
        <v>-1.510629749543442E-2</v>
      </c>
      <c r="F349" s="10" t="str">
        <f>VLOOKUP(A349,[3]data!$W:$Z,4,FALSE)</f>
        <v>Si</v>
      </c>
      <c r="G349" s="10" t="str">
        <f t="shared" si="19"/>
        <v>Culatín (bomba 3cp) CAT</v>
      </c>
      <c r="H349" s="19">
        <f>IFERROR(VLOOKUP(A349,[2]REPUESTOS!$A:$S,19,FALSE),"SIN ANÁLISIS")</f>
        <v>-1.5106888361045127E-2</v>
      </c>
      <c r="I349" s="19">
        <f t="shared" si="20"/>
        <v>-5.9086561070634258E-7</v>
      </c>
      <c r="J349" s="10" t="str">
        <f>VLOOKUP(A349,[4]REPUESTOS!$B:$FY,180,FALSE)</f>
        <v>Si</v>
      </c>
    </row>
    <row r="350" spans="1:10" x14ac:dyDescent="0.3">
      <c r="A350" s="10" t="s">
        <v>693</v>
      </c>
      <c r="B350" s="10" t="s">
        <v>692</v>
      </c>
      <c r="C350" s="17">
        <f>IFERROR(VLOOKUP(A350,[1]REPUESTOS!$A:$D,4,FALSE),"")</f>
        <v>24000</v>
      </c>
      <c r="D350" s="18">
        <f>IFERROR(VLOOKUP(A350,[2]REPUESTOS!$A:$R,18,FALSE),C350)</f>
        <v>24000</v>
      </c>
      <c r="E350" s="19">
        <f t="shared" si="18"/>
        <v>0</v>
      </c>
      <c r="F350" s="10" t="str">
        <f>VLOOKUP(A350,[3]data!$W:$Z,4,FALSE)</f>
        <v>Si</v>
      </c>
      <c r="G350" s="10" t="str">
        <f t="shared" si="19"/>
        <v>Válvula rompe vacío</v>
      </c>
      <c r="H350" s="19">
        <f>IFERROR(VLOOKUP(A350,[2]REPUESTOS!$A:$S,19,FALSE),"SIN ANÁLISIS")</f>
        <v>0</v>
      </c>
      <c r="I350" s="19">
        <f t="shared" si="20"/>
        <v>0</v>
      </c>
      <c r="J350" s="10" t="str">
        <f>VLOOKUP(A350,[4]REPUESTOS!$B:$FY,180,FALSE)</f>
        <v>Si</v>
      </c>
    </row>
    <row r="351" spans="1:10" x14ac:dyDescent="0.3">
      <c r="A351" s="10" t="s">
        <v>695</v>
      </c>
      <c r="B351" s="10" t="s">
        <v>694</v>
      </c>
      <c r="C351" s="17">
        <f>IFERROR(VLOOKUP(A351,[1]REPUESTOS!$A:$D,4,FALSE),"")</f>
        <v>0</v>
      </c>
      <c r="D351" s="18">
        <f>IFERROR(VLOOKUP(A351,[2]REPUESTOS!$A:$R,18,FALSE),C351)</f>
        <v>0</v>
      </c>
      <c r="E351" s="19">
        <f t="shared" si="18"/>
        <v>0</v>
      </c>
      <c r="F351" s="10" t="str">
        <f>VLOOKUP(A351,[3]data!$W:$Z,4,FALSE)</f>
        <v>Si</v>
      </c>
      <c r="G351" s="10" t="str">
        <f t="shared" si="19"/>
        <v>Manguera espiral 8MM sin terminales color rojo</v>
      </c>
      <c r="H351" s="19" t="str">
        <f>IFERROR(VLOOKUP(A351,[2]REPUESTOS!$A:$S,19,FALSE),"SIN ANÁLISIS")</f>
        <v>SIN ANÁLISIS</v>
      </c>
      <c r="I351" s="19">
        <f t="shared" si="20"/>
        <v>0</v>
      </c>
      <c r="J351" s="10" t="str">
        <f>VLOOKUP(A351,[4]REPUESTOS!$B:$FY,180,FALSE)</f>
        <v>Si</v>
      </c>
    </row>
    <row r="352" spans="1:10" x14ac:dyDescent="0.3">
      <c r="A352" s="10" t="s">
        <v>697</v>
      </c>
      <c r="B352" s="10" t="s">
        <v>696</v>
      </c>
      <c r="C352" s="17">
        <f>IFERROR(VLOOKUP(A352,[1]REPUESTOS!$A:$D,4,FALSE),"")</f>
        <v>4644878</v>
      </c>
      <c r="D352" s="18">
        <f>IFERROR(VLOOKUP(A352,[2]REPUESTOS!$A:$R,18,FALSE),C352)</f>
        <v>4644878</v>
      </c>
      <c r="E352" s="19">
        <f t="shared" si="18"/>
        <v>0</v>
      </c>
      <c r="F352" s="10" t="str">
        <f>VLOOKUP(A352,[3]data!$W:$Z,4,FALSE)</f>
        <v>Si</v>
      </c>
      <c r="G352" s="10" t="str">
        <f t="shared" si="19"/>
        <v>Kit mousse mix</v>
      </c>
      <c r="H352" s="19" t="str">
        <f>IFERROR(VLOOKUP(A352,[2]REPUESTOS!$A:$S,19,FALSE),"SIN ANÁLISIS")</f>
        <v>SIN ANÁLISIS</v>
      </c>
      <c r="I352" s="19">
        <f t="shared" si="20"/>
        <v>0</v>
      </c>
      <c r="J352" s="10" t="str">
        <f>VLOOKUP(A352,[4]REPUESTOS!$B:$FY,180,FALSE)</f>
        <v>Si</v>
      </c>
    </row>
    <row r="353" spans="1:10" x14ac:dyDescent="0.3">
      <c r="A353" s="10" t="s">
        <v>699</v>
      </c>
      <c r="B353" s="10" t="s">
        <v>698</v>
      </c>
      <c r="C353" s="17">
        <f>IFERROR(VLOOKUP(A353,[1]REPUESTOS!$A:$D,4,FALSE),"")</f>
        <v>69900</v>
      </c>
      <c r="D353" s="18">
        <f>IFERROR(VLOOKUP(A353,[2]REPUESTOS!$A:$R,18,FALSE),C353)</f>
        <v>69900</v>
      </c>
      <c r="E353" s="19">
        <f t="shared" si="18"/>
        <v>0</v>
      </c>
      <c r="F353" s="10" t="str">
        <f>VLOOKUP(A353,[3]data!$W:$Z,4,FALSE)</f>
        <v>Si</v>
      </c>
      <c r="G353" s="10" t="str">
        <f t="shared" si="19"/>
        <v>Resistencia termo Rheem 3200W</v>
      </c>
      <c r="H353" s="19" t="str">
        <f>IFERROR(VLOOKUP(A353,[2]REPUESTOS!$A:$S,19,FALSE),"SIN ANÁLISIS")</f>
        <v>SIN ANÁLISIS</v>
      </c>
      <c r="I353" s="19">
        <f t="shared" si="20"/>
        <v>0</v>
      </c>
      <c r="J353" s="10" t="str">
        <f>VLOOKUP(A353,[4]REPUESTOS!$B:$FY,180,FALSE)</f>
        <v>Si</v>
      </c>
    </row>
    <row r="354" spans="1:10" x14ac:dyDescent="0.3">
      <c r="A354" s="10" t="s">
        <v>701</v>
      </c>
      <c r="B354" s="10" t="s">
        <v>700</v>
      </c>
      <c r="C354" s="17">
        <f>IFERROR(VLOOKUP(A354,[1]REPUESTOS!$A:$D,4,FALSE),"")</f>
        <v>399154</v>
      </c>
      <c r="D354" s="18">
        <f>IFERROR(VLOOKUP(A354,[2]REPUESTOS!$A:$R,18,FALSE),C354)</f>
        <v>399154</v>
      </c>
      <c r="E354" s="19">
        <f t="shared" si="18"/>
        <v>0</v>
      </c>
      <c r="F354" s="10" t="str">
        <f>VLOOKUP(A354,[3]data!$W:$Z,4,FALSE)</f>
        <v>Si</v>
      </c>
      <c r="G354" s="10" t="str">
        <f t="shared" si="19"/>
        <v>Cabezal ablandador Aguasin HAF-1200</v>
      </c>
      <c r="H354" s="19" t="str">
        <f>IFERROR(VLOOKUP(A354,[2]REPUESTOS!$A:$S,19,FALSE),"SIN ANÁLISIS")</f>
        <v>SIN ANÁLISIS</v>
      </c>
      <c r="I354" s="19">
        <f t="shared" si="20"/>
        <v>0</v>
      </c>
      <c r="J354" s="10" t="str">
        <f>VLOOKUP(A354,[4]REPUESTOS!$B:$FY,180,FALSE)</f>
        <v>Si</v>
      </c>
    </row>
    <row r="355" spans="1:10" x14ac:dyDescent="0.3">
      <c r="A355" s="10" t="s">
        <v>703</v>
      </c>
      <c r="B355" s="10" t="s">
        <v>702</v>
      </c>
      <c r="C355" s="17">
        <f>IFERROR(VLOOKUP(A355,[1]REPUESTOS!$A:$D,4,FALSE),"")</f>
        <v>0</v>
      </c>
      <c r="D355" s="18">
        <f>IFERROR(VLOOKUP(A355,[2]REPUESTOS!$A:$R,18,FALSE),C355)</f>
        <v>0</v>
      </c>
      <c r="E355" s="19">
        <f t="shared" si="18"/>
        <v>0</v>
      </c>
      <c r="F355" s="10" t="str">
        <f>VLOOKUP(A355,[3]data!$W:$Z,4,FALSE)</f>
        <v>Si</v>
      </c>
      <c r="G355" s="10" t="str">
        <f t="shared" si="19"/>
        <v>Sello para separador tambor aspirado</v>
      </c>
      <c r="H355" s="19" t="str">
        <f>IFERROR(VLOOKUP(A355,[2]REPUESTOS!$A:$S,19,FALSE),"SIN ANÁLISIS")</f>
        <v>SIN ANÁLISIS</v>
      </c>
      <c r="I355" s="19">
        <f t="shared" si="20"/>
        <v>0</v>
      </c>
      <c r="J355" s="10" t="str">
        <f>VLOOKUP(A355,[4]REPUESTOS!$B:$FY,180,FALSE)</f>
        <v>Si</v>
      </c>
    </row>
    <row r="356" spans="1:10" x14ac:dyDescent="0.3">
      <c r="A356" s="10" t="s">
        <v>705</v>
      </c>
      <c r="B356" s="10" t="s">
        <v>704</v>
      </c>
      <c r="C356" s="17">
        <f>IFERROR(VLOOKUP(A356,[1]REPUESTOS!$A:$D,4,FALSE),"")</f>
        <v>39060</v>
      </c>
      <c r="D356" s="18">
        <f>IFERROR(VLOOKUP(A356,[2]REPUESTOS!$A:$R,18,FALSE),C356)</f>
        <v>39060</v>
      </c>
      <c r="E356" s="19">
        <f t="shared" si="18"/>
        <v>0</v>
      </c>
      <c r="F356" s="10" t="str">
        <f>VLOOKUP(A356,[3]data!$W:$Z,4,FALSE)</f>
        <v>Si</v>
      </c>
      <c r="G356" s="10" t="str">
        <f t="shared" si="19"/>
        <v>Ánodo magnesio delgado</v>
      </c>
      <c r="H356" s="19">
        <f>IFERROR(VLOOKUP(A356,[2]REPUESTOS!$A:$S,19,FALSE),"SIN ANÁLISIS")</f>
        <v>0</v>
      </c>
      <c r="I356" s="19">
        <f t="shared" si="20"/>
        <v>0</v>
      </c>
      <c r="J356" s="10" t="str">
        <f>VLOOKUP(A356,[4]REPUESTOS!$B:$FY,180,FALSE)</f>
        <v>Si</v>
      </c>
    </row>
    <row r="357" spans="1:10" x14ac:dyDescent="0.3">
      <c r="A357" s="10" t="s">
        <v>707</v>
      </c>
      <c r="B357" s="10" t="s">
        <v>706</v>
      </c>
      <c r="C357" s="17">
        <f>IFERROR(VLOOKUP(A357,[1]REPUESTOS!$A:$D,4,FALSE),"")</f>
        <v>6224</v>
      </c>
      <c r="D357" s="18">
        <f>IFERROR(VLOOKUP(A357,[2]REPUESTOS!$A:$R,18,FALSE),C357)</f>
        <v>5830.440450970862</v>
      </c>
      <c r="E357" s="19">
        <f t="shared" si="18"/>
        <v>-6.3232575358151993E-2</v>
      </c>
      <c r="F357" s="10" t="str">
        <f>VLOOKUP(A357,[3]data!$W:$Z,4,FALSE)</f>
        <v>Si</v>
      </c>
      <c r="G357" s="10" t="str">
        <f t="shared" si="19"/>
        <v>Tee acople rápido</v>
      </c>
      <c r="H357" s="19">
        <f>IFERROR(VLOOKUP(A357,[2]REPUESTOS!$A:$S,19,FALSE),"SIN ANÁLISIS")</f>
        <v>-6.3205901828932695E-2</v>
      </c>
      <c r="I357" s="19">
        <f t="shared" si="20"/>
        <v>2.667352921929822E-5</v>
      </c>
      <c r="J357" s="10" t="str">
        <f>VLOOKUP(A357,[4]REPUESTOS!$B:$FY,180,FALSE)</f>
        <v>Si</v>
      </c>
    </row>
    <row r="358" spans="1:10" x14ac:dyDescent="0.3">
      <c r="A358" s="10" t="s">
        <v>709</v>
      </c>
      <c r="B358" s="10" t="s">
        <v>708</v>
      </c>
      <c r="C358" s="17">
        <f>IFERROR(VLOOKUP(A358,[1]REPUESTOS!$A:$D,4,FALSE),"")</f>
        <v>775551</v>
      </c>
      <c r="D358" s="18">
        <f>IFERROR(VLOOKUP(A358,[2]REPUESTOS!$A:$R,18,FALSE),C358)</f>
        <v>775551</v>
      </c>
      <c r="E358" s="19">
        <f t="shared" si="18"/>
        <v>0</v>
      </c>
      <c r="F358" s="10" t="str">
        <f>VLOOKUP(A358,[3]data!$W:$Z,4,FALSE)</f>
        <v>Si</v>
      </c>
      <c r="G358" s="10" t="str">
        <f t="shared" si="19"/>
        <v>Motor trifásico</v>
      </c>
      <c r="H358" s="19" t="str">
        <f>IFERROR(VLOOKUP(A358,[2]REPUESTOS!$A:$S,19,FALSE),"SIN ANÁLISIS")</f>
        <v>SIN ANÁLISIS</v>
      </c>
      <c r="I358" s="19">
        <f t="shared" si="20"/>
        <v>0</v>
      </c>
      <c r="J358" s="10" t="str">
        <f>VLOOKUP(A358,[4]REPUESTOS!$B:$FY,180,FALSE)</f>
        <v>Si</v>
      </c>
    </row>
    <row r="359" spans="1:10" x14ac:dyDescent="0.3">
      <c r="A359" s="10" t="s">
        <v>711</v>
      </c>
      <c r="B359" s="10" t="s">
        <v>710</v>
      </c>
      <c r="C359" s="17">
        <f>IFERROR(VLOOKUP(A359,[1]REPUESTOS!$A:$D,4,FALSE),"")</f>
        <v>273004</v>
      </c>
      <c r="D359" s="18">
        <f>IFERROR(VLOOKUP(A359,[2]REPUESTOS!$A:$R,18,FALSE),C359)</f>
        <v>273004</v>
      </c>
      <c r="E359" s="19">
        <f t="shared" si="18"/>
        <v>0</v>
      </c>
      <c r="F359" s="10" t="str">
        <f>VLOOKUP(A359,[3]data!$W:$Z,4,FALSE)</f>
        <v>Si</v>
      </c>
      <c r="G359" s="10" t="str">
        <f t="shared" si="19"/>
        <v>Compresor lavainteriores</v>
      </c>
      <c r="H359" s="19">
        <f>IFERROR(VLOOKUP(A359,[2]REPUESTOS!$A:$S,19,FALSE),"SIN ANÁLISIS")</f>
        <v>0</v>
      </c>
      <c r="I359" s="19">
        <f t="shared" si="20"/>
        <v>0</v>
      </c>
      <c r="J359" s="10" t="str">
        <f>VLOOKUP(A359,[4]REPUESTOS!$B:$FY,180,FALSE)</f>
        <v>Si</v>
      </c>
    </row>
    <row r="360" spans="1:10" x14ac:dyDescent="0.3">
      <c r="A360" s="10" t="s">
        <v>713</v>
      </c>
      <c r="B360" s="10" t="s">
        <v>712</v>
      </c>
      <c r="C360" s="17">
        <f>IFERROR(VLOOKUP(A360,[1]REPUESTOS!$A:$D,4,FALSE),"")</f>
        <v>664629</v>
      </c>
      <c r="D360" s="18">
        <f>IFERROR(VLOOKUP(A360,[2]REPUESTOS!$A:$R,18,FALSE),C360)</f>
        <v>622620.8202565168</v>
      </c>
      <c r="E360" s="19">
        <f t="shared" si="18"/>
        <v>-6.320545709483516E-2</v>
      </c>
      <c r="F360" s="10" t="str">
        <f>VLOOKUP(A360,[3]data!$W:$Z,4,FALSE)</f>
        <v>Si</v>
      </c>
      <c r="G360" s="10" t="str">
        <f t="shared" si="19"/>
        <v>Bomba dosificadora de producto</v>
      </c>
      <c r="H360" s="19">
        <f>IFERROR(VLOOKUP(A360,[2]REPUESTOS!$A:$S,19,FALSE),"SIN ANÁLISIS")</f>
        <v>-6.3205901828932654E-2</v>
      </c>
      <c r="I360" s="19">
        <f t="shared" si="20"/>
        <v>-4.4473409749334891E-7</v>
      </c>
      <c r="J360" s="10" t="str">
        <f>VLOOKUP(A360,[4]REPUESTOS!$B:$FY,180,FALSE)</f>
        <v>Si</v>
      </c>
    </row>
    <row r="361" spans="1:10" x14ac:dyDescent="0.3">
      <c r="A361" s="10" t="s">
        <v>715</v>
      </c>
      <c r="B361" s="10" t="s">
        <v>714</v>
      </c>
      <c r="C361" s="17">
        <f>IFERROR(VLOOKUP(A361,[1]REPUESTOS!$A:$D,4,FALSE),"")</f>
        <v>418932</v>
      </c>
      <c r="D361" s="18">
        <f>IFERROR(VLOOKUP(A361,[2]REPUESTOS!$A:$R,18,FALSE),C361)</f>
        <v>392453.31495168339</v>
      </c>
      <c r="E361" s="19">
        <f t="shared" si="18"/>
        <v>-6.3205210030068376E-2</v>
      </c>
      <c r="F361" s="10" t="str">
        <f>VLOOKUP(A361,[3]data!$W:$Z,4,FALSE)</f>
        <v>Si</v>
      </c>
      <c r="G361" s="10" t="str">
        <f t="shared" si="19"/>
        <v>Cabezal multifunción ROHS</v>
      </c>
      <c r="H361" s="19">
        <f>IFERROR(VLOOKUP(A361,[2]REPUESTOS!$A:$S,19,FALSE),"SIN ANÁLISIS")</f>
        <v>-6.3205901828932681E-2</v>
      </c>
      <c r="I361" s="19">
        <f t="shared" si="20"/>
        <v>-6.917988643051487E-7</v>
      </c>
      <c r="J361" s="10" t="str">
        <f>VLOOKUP(A361,[4]REPUESTOS!$B:$FY,180,FALSE)</f>
        <v>Si</v>
      </c>
    </row>
    <row r="362" spans="1:10" x14ac:dyDescent="0.3">
      <c r="A362" s="10" t="s">
        <v>717</v>
      </c>
      <c r="B362" s="10" t="s">
        <v>716</v>
      </c>
      <c r="C362" s="17">
        <f>IFERROR(VLOOKUP(A362,[1]REPUESTOS!$A:$D,4,FALSE),"")</f>
        <v>466808</v>
      </c>
      <c r="D362" s="18">
        <f>IFERROR(VLOOKUP(A362,[2]REPUESTOS!$A:$R,18,FALSE),C362)</f>
        <v>466808</v>
      </c>
      <c r="E362" s="19">
        <f t="shared" si="18"/>
        <v>0</v>
      </c>
      <c r="F362" s="10" t="str">
        <f>VLOOKUP(A362,[3]data!$W:$Z,4,FALSE)</f>
        <v>Si</v>
      </c>
      <c r="G362" s="10" t="str">
        <f t="shared" si="19"/>
        <v>Punto de control</v>
      </c>
      <c r="H362" s="19" t="str">
        <f>IFERROR(VLOOKUP(A362,[2]REPUESTOS!$A:$S,19,FALSE),"SIN ANÁLISIS")</f>
        <v>SIN ANÁLISIS</v>
      </c>
      <c r="I362" s="19">
        <f t="shared" si="20"/>
        <v>0</v>
      </c>
      <c r="J362" s="10" t="str">
        <f>VLOOKUP(A362,[4]REPUESTOS!$B:$FY,180,FALSE)</f>
        <v>Si</v>
      </c>
    </row>
    <row r="363" spans="1:10" x14ac:dyDescent="0.3">
      <c r="A363" s="10" t="s">
        <v>719</v>
      </c>
      <c r="B363" s="10" t="s">
        <v>718</v>
      </c>
      <c r="C363" s="17">
        <f>IFERROR(VLOOKUP(A363,[1]REPUESTOS!$A:$D,4,FALSE),"")</f>
        <v>326027</v>
      </c>
      <c r="D363" s="18">
        <f>IFERROR(VLOOKUP(A363,[2]REPUESTOS!$A:$R,18,FALSE),C363)</f>
        <v>326027</v>
      </c>
      <c r="E363" s="19">
        <f t="shared" si="18"/>
        <v>0</v>
      </c>
      <c r="F363" s="10" t="str">
        <f>VLOOKUP(A363,[3]data!$W:$Z,4,FALSE)</f>
        <v>Si</v>
      </c>
      <c r="G363" s="10" t="str">
        <f t="shared" si="19"/>
        <v>Cuerpo de válvula 2000PF2</v>
      </c>
      <c r="H363" s="19" t="str">
        <f>IFERROR(VLOOKUP(A363,[2]REPUESTOS!$A:$S,19,FALSE),"SIN ANÁLISIS")</f>
        <v>SIN ANÁLISIS</v>
      </c>
      <c r="I363" s="19">
        <f t="shared" si="20"/>
        <v>0</v>
      </c>
      <c r="J363" s="10" t="str">
        <f>VLOOKUP(A363,[4]REPUESTOS!$B:$FY,180,FALSE)</f>
        <v>Si</v>
      </c>
    </row>
    <row r="364" spans="1:10" x14ac:dyDescent="0.3">
      <c r="A364" s="10" t="s">
        <v>721</v>
      </c>
      <c r="B364" s="10" t="s">
        <v>720</v>
      </c>
      <c r="C364" s="17">
        <f>IFERROR(VLOOKUP(A364,[1]REPUESTOS!$A:$D,4,FALSE),"")</f>
        <v>69854</v>
      </c>
      <c r="D364" s="18">
        <f>IFERROR(VLOOKUP(A364,[2]REPUESTOS!$A:$R,18,FALSE),C364)</f>
        <v>69854</v>
      </c>
      <c r="E364" s="19">
        <f t="shared" si="18"/>
        <v>0</v>
      </c>
      <c r="F364" s="10" t="str">
        <f>VLOOKUP(A364,[3]data!$W:$Z,4,FALSE)</f>
        <v>Si</v>
      </c>
      <c r="G364" s="10" t="str">
        <f t="shared" si="19"/>
        <v>Disyuntor automático 4 polos</v>
      </c>
      <c r="H364" s="19" t="str">
        <f>IFERROR(VLOOKUP(A364,[2]REPUESTOS!$A:$S,19,FALSE),"SIN ANÁLISIS")</f>
        <v>SIN ANÁLISIS</v>
      </c>
      <c r="I364" s="19">
        <f t="shared" si="20"/>
        <v>0</v>
      </c>
      <c r="J364" s="10" t="str">
        <f>VLOOKUP(A364,[4]REPUESTOS!$B:$FY,180,FALSE)</f>
        <v>Si</v>
      </c>
    </row>
    <row r="365" spans="1:10" x14ac:dyDescent="0.3">
      <c r="A365" s="10" t="s">
        <v>723</v>
      </c>
      <c r="B365" s="10" t="s">
        <v>722</v>
      </c>
      <c r="C365" s="17">
        <f>IFERROR(VLOOKUP(A365,[1]REPUESTOS!$A:$D,4,FALSE),"")</f>
        <v>1115698</v>
      </c>
      <c r="D365" s="18">
        <f>IFERROR(VLOOKUP(A365,[2]REPUESTOS!$A:$R,18,FALSE),C365)</f>
        <v>1115698</v>
      </c>
      <c r="E365" s="19">
        <f t="shared" si="18"/>
        <v>0</v>
      </c>
      <c r="F365" s="10" t="str">
        <f>VLOOKUP(A365,[3]data!$W:$Z,4,FALSE)</f>
        <v>Si</v>
      </c>
      <c r="G365" s="10" t="str">
        <f t="shared" si="19"/>
        <v>Bomba Interpump W-150</v>
      </c>
      <c r="H365" s="19" t="str">
        <f>IFERROR(VLOOKUP(A365,[2]REPUESTOS!$A:$S,19,FALSE),"SIN ANÁLISIS")</f>
        <v>SIN ANÁLISIS</v>
      </c>
      <c r="I365" s="19">
        <f t="shared" si="20"/>
        <v>0</v>
      </c>
      <c r="J365" s="10" t="str">
        <f>VLOOKUP(A365,[4]REPUESTOS!$B:$FY,180,FALSE)</f>
        <v>Si</v>
      </c>
    </row>
    <row r="366" spans="1:10" x14ac:dyDescent="0.3">
      <c r="A366" s="10" t="s">
        <v>725</v>
      </c>
      <c r="B366" s="10" t="s">
        <v>724</v>
      </c>
      <c r="C366" s="17">
        <f>IFERROR(VLOOKUP(A366,[1]REPUESTOS!$A:$D,4,FALSE),"")</f>
        <v>17503</v>
      </c>
      <c r="D366" s="18">
        <f>IFERROR(VLOOKUP(A366,[2]REPUESTOS!$A:$R,18,FALSE),C366)</f>
        <v>17503</v>
      </c>
      <c r="E366" s="19">
        <f t="shared" si="18"/>
        <v>0</v>
      </c>
      <c r="F366" s="10" t="str">
        <f>VLOOKUP(A366,[3]data!$W:$Z,4,FALSE)</f>
        <v>Si</v>
      </c>
      <c r="G366" s="10" t="str">
        <f t="shared" si="19"/>
        <v>Mariposa para aspirado</v>
      </c>
      <c r="H366" s="19">
        <f>IFERROR(VLOOKUP(A366,[2]REPUESTOS!$A:$S,19,FALSE),"SIN ANÁLISIS")</f>
        <v>0</v>
      </c>
      <c r="I366" s="19">
        <f t="shared" si="20"/>
        <v>0</v>
      </c>
      <c r="J366" s="10" t="str">
        <f>VLOOKUP(A366,[4]REPUESTOS!$B:$FY,180,FALSE)</f>
        <v>Si</v>
      </c>
    </row>
    <row r="367" spans="1:10" x14ac:dyDescent="0.3">
      <c r="A367" s="10" t="s">
        <v>727</v>
      </c>
      <c r="B367" s="10" t="s">
        <v>726</v>
      </c>
      <c r="C367" s="17">
        <f>IFERROR(VLOOKUP(A367,[1]REPUESTOS!$A:$D,4,FALSE),"")</f>
        <v>894223</v>
      </c>
      <c r="D367" s="18">
        <f>IFERROR(VLOOKUP(A367,[2]REPUESTOS!$A:$R,18,FALSE),C367)</f>
        <v>894223</v>
      </c>
      <c r="E367" s="19">
        <f t="shared" si="18"/>
        <v>0</v>
      </c>
      <c r="F367" s="10" t="str">
        <f>VLOOKUP(A367,[3]data!$W:$Z,4,FALSE)</f>
        <v>Si</v>
      </c>
      <c r="G367" s="10" t="str">
        <f t="shared" si="19"/>
        <v>Motor Hp3 M100 200/380B3</v>
      </c>
      <c r="H367" s="19" t="str">
        <f>IFERROR(VLOOKUP(A367,[2]REPUESTOS!$A:$S,19,FALSE),"SIN ANÁLISIS")</f>
        <v>SIN ANÁLISIS</v>
      </c>
      <c r="I367" s="19">
        <f t="shared" si="20"/>
        <v>0</v>
      </c>
      <c r="J367" s="10" t="str">
        <f>VLOOKUP(A367,[4]REPUESTOS!$B:$FY,180,FALSE)</f>
        <v>Si</v>
      </c>
    </row>
    <row r="368" spans="1:10" x14ac:dyDescent="0.3">
      <c r="A368" s="10" t="s">
        <v>729</v>
      </c>
      <c r="B368" s="10" t="s">
        <v>728</v>
      </c>
      <c r="C368" s="17">
        <f>IFERROR(VLOOKUP(A368,[1]REPUESTOS!$A:$D,4,FALSE),"")</f>
        <v>539336</v>
      </c>
      <c r="D368" s="18">
        <f>IFERROR(VLOOKUP(A368,[2]REPUESTOS!$A:$R,18,FALSE),C368)</f>
        <v>505247.15134170599</v>
      </c>
      <c r="E368" s="19">
        <f t="shared" si="18"/>
        <v>-6.3205216522342303E-2</v>
      </c>
      <c r="F368" s="10" t="str">
        <f>VLOOKUP(A368,[3]data!$W:$Z,4,FALSE)</f>
        <v>Si</v>
      </c>
      <c r="G368" s="10" t="str">
        <f t="shared" si="19"/>
        <v>Membrana 4040</v>
      </c>
      <c r="H368" s="19">
        <f>IFERROR(VLOOKUP(A368,[2]REPUESTOS!$A:$S,19,FALSE),"SIN ANÁLISIS")</f>
        <v>-6.3205901828932709E-2</v>
      </c>
      <c r="I368" s="19">
        <f t="shared" si="20"/>
        <v>-6.8530659040610953E-7</v>
      </c>
      <c r="J368" s="10" t="str">
        <f>VLOOKUP(A368,[4]REPUESTOS!$B:$FY,180,FALSE)</f>
        <v>Si</v>
      </c>
    </row>
    <row r="369" spans="1:10" x14ac:dyDescent="0.3">
      <c r="A369" s="10" t="s">
        <v>731</v>
      </c>
      <c r="B369" s="10" t="s">
        <v>730</v>
      </c>
      <c r="C369" s="17">
        <f>IFERROR(VLOOKUP(A369,[1]REPUESTOS!$A:$D,4,FALSE),"")</f>
        <v>167811</v>
      </c>
      <c r="D369" s="18">
        <f>IFERROR(VLOOKUP(A369,[2]REPUESTOS!$A:$R,18,FALSE),C369)</f>
        <v>167811</v>
      </c>
      <c r="E369" s="19">
        <f t="shared" si="18"/>
        <v>0</v>
      </c>
      <c r="F369" s="10" t="str">
        <f>VLOOKUP(A369,[3]data!$W:$Z,4,FALSE)</f>
        <v>Si</v>
      </c>
      <c r="G369" s="10" t="str">
        <f t="shared" si="19"/>
        <v>Kit anello tenutadi 18 bomba C2W2012</v>
      </c>
      <c r="H369" s="19" t="str">
        <f>IFERROR(VLOOKUP(A369,[2]REPUESTOS!$A:$S,19,FALSE),"SIN ANÁLISIS")</f>
        <v>SIN ANÁLISIS</v>
      </c>
      <c r="I369" s="19">
        <f t="shared" si="20"/>
        <v>0</v>
      </c>
      <c r="J369" s="10" t="str">
        <f>VLOOKUP(A369,[4]REPUESTOS!$B:$FY,180,FALSE)</f>
        <v>Si</v>
      </c>
    </row>
    <row r="370" spans="1:10" x14ac:dyDescent="0.3">
      <c r="A370" s="10" t="s">
        <v>733</v>
      </c>
      <c r="B370" s="10" t="s">
        <v>732</v>
      </c>
      <c r="C370" s="17">
        <f>IFERROR(VLOOKUP(A370,[1]REPUESTOS!$A:$D,4,FALSE),"")</f>
        <v>23482</v>
      </c>
      <c r="D370" s="18">
        <f>IFERROR(VLOOKUP(A370,[2]REPUESTOS!$A:$R,18,FALSE),C370)</f>
        <v>23482</v>
      </c>
      <c r="E370" s="19">
        <f t="shared" si="18"/>
        <v>0</v>
      </c>
      <c r="F370" s="10" t="str">
        <f>VLOOKUP(A370,[3]data!$W:$Z,4,FALSE)</f>
        <v>Si</v>
      </c>
      <c r="G370" s="10" t="str">
        <f t="shared" si="19"/>
        <v>Kit anello radialed 15 bomba C2W2012</v>
      </c>
      <c r="H370" s="19" t="str">
        <f>IFERROR(VLOOKUP(A370,[2]REPUESTOS!$A:$S,19,FALSE),"SIN ANÁLISIS")</f>
        <v>SIN ANÁLISIS</v>
      </c>
      <c r="I370" s="19">
        <f t="shared" si="20"/>
        <v>0</v>
      </c>
      <c r="J370" s="10" t="str">
        <f>VLOOKUP(A370,[4]REPUESTOS!$B:$FY,180,FALSE)</f>
        <v>Si</v>
      </c>
    </row>
    <row r="371" spans="1:10" x14ac:dyDescent="0.3">
      <c r="A371" s="10" t="s">
        <v>735</v>
      </c>
      <c r="B371" s="10" t="s">
        <v>734</v>
      </c>
      <c r="C371" s="17">
        <f>IFERROR(VLOOKUP(A371,[1]REPUESTOS!$A:$D,4,FALSE),"")</f>
        <v>74829</v>
      </c>
      <c r="D371" s="18">
        <f>IFERROR(VLOOKUP(A371,[2]REPUESTOS!$A:$R,18,FALSE),C371)</f>
        <v>74829</v>
      </c>
      <c r="E371" s="19">
        <f t="shared" si="18"/>
        <v>0</v>
      </c>
      <c r="F371" s="10" t="str">
        <f>VLOOKUP(A371,[3]data!$W:$Z,4,FALSE)</f>
        <v>Si</v>
      </c>
      <c r="G371" s="10" t="str">
        <f t="shared" si="19"/>
        <v>Kit válvula a/m bomba C2W2012</v>
      </c>
      <c r="H371" s="19" t="str">
        <f>IFERROR(VLOOKUP(A371,[2]REPUESTOS!$A:$S,19,FALSE),"SIN ANÁLISIS")</f>
        <v>SIN ANÁLISIS</v>
      </c>
      <c r="I371" s="19">
        <f t="shared" si="20"/>
        <v>0</v>
      </c>
      <c r="J371" s="10" t="str">
        <f>VLOOKUP(A371,[4]REPUESTOS!$B:$FY,180,FALSE)</f>
        <v>Si</v>
      </c>
    </row>
    <row r="372" spans="1:10" x14ac:dyDescent="0.3">
      <c r="A372" s="10" t="s">
        <v>737</v>
      </c>
      <c r="B372" s="10" t="s">
        <v>736</v>
      </c>
      <c r="C372" s="17">
        <f>IFERROR(VLOOKUP(A372,[1]REPUESTOS!$A:$D,4,FALSE),"")</f>
        <v>16900</v>
      </c>
      <c r="D372" s="18">
        <f>IFERROR(VLOOKUP(A372,[2]REPUESTOS!$A:$R,18,FALSE),C372)</f>
        <v>16900</v>
      </c>
      <c r="E372" s="19">
        <f t="shared" si="18"/>
        <v>0</v>
      </c>
      <c r="F372" s="10" t="str">
        <f>VLOOKUP(A372,[3]data!$W:$Z,4,FALSE)</f>
        <v>Si</v>
      </c>
      <c r="G372" s="10" t="str">
        <f t="shared" si="19"/>
        <v>Válvula sobre presión 8 BAR</v>
      </c>
      <c r="H372" s="19">
        <f>IFERROR(VLOOKUP(A372,[2]REPUESTOS!$A:$S,19,FALSE),"SIN ANÁLISIS")</f>
        <v>0</v>
      </c>
      <c r="I372" s="19">
        <f t="shared" si="20"/>
        <v>0</v>
      </c>
      <c r="J372" s="10" t="str">
        <f>VLOOKUP(A372,[4]REPUESTOS!$B:$FY,180,FALSE)</f>
        <v>Si</v>
      </c>
    </row>
    <row r="373" spans="1:10" x14ac:dyDescent="0.3">
      <c r="A373" s="10" t="s">
        <v>739</v>
      </c>
      <c r="B373" s="10" t="s">
        <v>738</v>
      </c>
      <c r="C373" s="17">
        <f>IFERROR(VLOOKUP(A373,[1]REPUESTOS!$A:$D,4,FALSE),"")</f>
        <v>6300</v>
      </c>
      <c r="D373" s="18">
        <f>IFERROR(VLOOKUP(A373,[2]REPUESTOS!$A:$R,18,FALSE),C373)</f>
        <v>6300</v>
      </c>
      <c r="E373" s="19">
        <f t="shared" si="18"/>
        <v>0</v>
      </c>
      <c r="F373" s="10" t="str">
        <f>VLOOKUP(A373,[3]data!$W:$Z,4,FALSE)</f>
        <v>Si</v>
      </c>
      <c r="G373" s="10" t="str">
        <f t="shared" si="19"/>
        <v>Interruptor luminoso termo Trotter</v>
      </c>
      <c r="H373" s="19" t="str">
        <f>IFERROR(VLOOKUP(A373,[2]REPUESTOS!$A:$S,19,FALSE),"SIN ANÁLISIS")</f>
        <v>SIN ANÁLISIS</v>
      </c>
      <c r="I373" s="19">
        <f t="shared" si="20"/>
        <v>0</v>
      </c>
      <c r="J373" s="10" t="str">
        <f>VLOOKUP(A373,[4]REPUESTOS!$B:$FY,180,FALSE)</f>
        <v>Si</v>
      </c>
    </row>
    <row r="374" spans="1:10" x14ac:dyDescent="0.3">
      <c r="A374" s="10" t="s">
        <v>741</v>
      </c>
      <c r="B374" s="10" t="s">
        <v>740</v>
      </c>
      <c r="C374" s="17">
        <f>IFERROR(VLOOKUP(A374,[1]REPUESTOS!$A:$D,4,FALSE),"")</f>
        <v>19990</v>
      </c>
      <c r="D374" s="18">
        <f>IFERROR(VLOOKUP(A374,[2]REPUESTOS!$A:$R,18,FALSE),C374)</f>
        <v>19990</v>
      </c>
      <c r="E374" s="19">
        <f t="shared" si="18"/>
        <v>0</v>
      </c>
      <c r="F374" s="10" t="str">
        <f>VLOOKUP(A374,[3]data!$W:$Z,4,FALSE)</f>
        <v>Si</v>
      </c>
      <c r="G374" s="10" t="str">
        <f t="shared" si="19"/>
        <v>Válvula Seg 1/2 10 BAR termo Trotter</v>
      </c>
      <c r="H374" s="19" t="str">
        <f>IFERROR(VLOOKUP(A374,[2]REPUESTOS!$A:$S,19,FALSE),"SIN ANÁLISIS")</f>
        <v>SIN ANÁLISIS</v>
      </c>
      <c r="I374" s="19">
        <f t="shared" si="20"/>
        <v>0</v>
      </c>
      <c r="J374" s="10" t="str">
        <f>VLOOKUP(A374,[4]REPUESTOS!$B:$FY,180,FALSE)</f>
        <v>Si</v>
      </c>
    </row>
    <row r="375" spans="1:10" x14ac:dyDescent="0.3">
      <c r="A375" s="10" t="s">
        <v>743</v>
      </c>
      <c r="B375" s="10" t="s">
        <v>742</v>
      </c>
      <c r="C375" s="17">
        <f>IFERROR(VLOOKUP(A375,[1]REPUESTOS!$A:$D,4,FALSE),"")</f>
        <v>15061</v>
      </c>
      <c r="D375" s="18">
        <f>IFERROR(VLOOKUP(A375,[2]REPUESTOS!$A:$R,18,FALSE),C375)</f>
        <v>15061</v>
      </c>
      <c r="E375" s="19">
        <f t="shared" si="18"/>
        <v>0</v>
      </c>
      <c r="F375" s="10" t="str">
        <f>VLOOKUP(A375,[3]data!$W:$Z,4,FALSE)</f>
        <v>Si</v>
      </c>
      <c r="G375" s="10" t="str">
        <f t="shared" si="19"/>
        <v>Porta filtro con elemento para compresor lavainterior</v>
      </c>
      <c r="H375" s="19">
        <f>IFERROR(VLOOKUP(A375,[2]REPUESTOS!$A:$S,19,FALSE),"SIN ANÁLISIS")</f>
        <v>0</v>
      </c>
      <c r="I375" s="19">
        <f t="shared" si="20"/>
        <v>0</v>
      </c>
      <c r="J375" s="10" t="str">
        <f>VLOOKUP(A375,[4]REPUESTOS!$B:$FY,180,FALSE)</f>
        <v>Si</v>
      </c>
    </row>
    <row r="376" spans="1:10" x14ac:dyDescent="0.3">
      <c r="A376" s="10" t="s">
        <v>745</v>
      </c>
      <c r="B376" s="10" t="s">
        <v>744</v>
      </c>
      <c r="C376" s="17">
        <f>IFERROR(VLOOKUP(A376,[1]REPUESTOS!$A:$D,4,FALSE),"")</f>
        <v>39060</v>
      </c>
      <c r="D376" s="18">
        <f>IFERROR(VLOOKUP(A376,[2]REPUESTOS!$A:$R,18,FALSE),C376)</f>
        <v>39060</v>
      </c>
      <c r="E376" s="19">
        <f t="shared" si="18"/>
        <v>0</v>
      </c>
      <c r="F376" s="10" t="str">
        <f>VLOOKUP(A376,[3]data!$W:$Z,4,FALSE)</f>
        <v>Si</v>
      </c>
      <c r="G376" s="10" t="str">
        <f t="shared" si="19"/>
        <v>Ánodo grueso frontal 4 pernos</v>
      </c>
      <c r="H376" s="19">
        <f>IFERROR(VLOOKUP(A376,[2]REPUESTOS!$A:$S,19,FALSE),"SIN ANÁLISIS")</f>
        <v>0</v>
      </c>
      <c r="I376" s="19">
        <f t="shared" si="20"/>
        <v>0</v>
      </c>
      <c r="J376" s="10" t="str">
        <f>VLOOKUP(A376,[4]REPUESTOS!$B:$FY,180,FALSE)</f>
        <v>Si</v>
      </c>
    </row>
    <row r="377" spans="1:10" x14ac:dyDescent="0.3">
      <c r="A377" s="10" t="s">
        <v>747</v>
      </c>
      <c r="B377" s="10" t="s">
        <v>746</v>
      </c>
      <c r="C377" s="17">
        <f>IFERROR(VLOOKUP(A377,[1]REPUESTOS!$A:$D,4,FALSE),"")</f>
        <v>2400</v>
      </c>
      <c r="D377" s="18">
        <f>IFERROR(VLOOKUP(A377,[2]REPUESTOS!$A:$R,18,FALSE),C377)</f>
        <v>2400</v>
      </c>
      <c r="E377" s="19">
        <f t="shared" si="18"/>
        <v>0</v>
      </c>
      <c r="F377" s="10" t="str">
        <f>VLOOKUP(A377,[3]data!$W:$Z,4,FALSE)</f>
        <v>Si</v>
      </c>
      <c r="G377" s="10" t="str">
        <f t="shared" si="19"/>
        <v>Orin´g ánodo grueso</v>
      </c>
      <c r="H377" s="19">
        <f>IFERROR(VLOOKUP(A377,[2]REPUESTOS!$A:$S,19,FALSE),"SIN ANÁLISIS")</f>
        <v>0</v>
      </c>
      <c r="I377" s="19">
        <f t="shared" si="20"/>
        <v>0</v>
      </c>
      <c r="J377" s="10" t="str">
        <f>VLOOKUP(A377,[4]REPUESTOS!$B:$FY,180,FALSE)</f>
        <v>Si</v>
      </c>
    </row>
    <row r="378" spans="1:10" x14ac:dyDescent="0.3">
      <c r="A378" s="10" t="s">
        <v>749</v>
      </c>
      <c r="B378" s="10" t="s">
        <v>748</v>
      </c>
      <c r="C378" s="17">
        <f>IFERROR(VLOOKUP(A378,[1]REPUESTOS!$A:$D,4,FALSE),"")</f>
        <v>329297</v>
      </c>
      <c r="D378" s="18">
        <f>IFERROR(VLOOKUP(A378,[2]REPUESTOS!$A:$R,18,FALSE),C378)</f>
        <v>329297</v>
      </c>
      <c r="E378" s="19">
        <f t="shared" si="18"/>
        <v>0</v>
      </c>
      <c r="F378" s="10" t="str">
        <f>VLOOKUP(A378,[3]data!$W:$Z,4,FALSE)</f>
        <v>Si</v>
      </c>
      <c r="G378" s="10" t="str">
        <f t="shared" si="19"/>
        <v>Bomba dosificadora de cera Smart pro</v>
      </c>
      <c r="H378" s="19" t="str">
        <f>IFERROR(VLOOKUP(A378,[2]REPUESTOS!$A:$S,19,FALSE),"SIN ANÁLISIS")</f>
        <v>SIN ANÁLISIS</v>
      </c>
      <c r="I378" s="19">
        <f t="shared" si="20"/>
        <v>0</v>
      </c>
      <c r="J378" s="10" t="str">
        <f>VLOOKUP(A378,[4]REPUESTOS!$B:$FY,180,FALSE)</f>
        <v>Si</v>
      </c>
    </row>
    <row r="379" spans="1:10" x14ac:dyDescent="0.3">
      <c r="A379" s="10" t="s">
        <v>751</v>
      </c>
      <c r="B379" s="10" t="s">
        <v>750</v>
      </c>
      <c r="C379" s="17">
        <f>IFERROR(VLOOKUP(A379,[1]REPUESTOS!$A:$D,4,FALSE),"")</f>
        <v>324076</v>
      </c>
      <c r="D379" s="18">
        <f>IFERROR(VLOOKUP(A379,[2]REPUESTOS!$A:$R,18,FALSE),C379)</f>
        <v>324076</v>
      </c>
      <c r="E379" s="19">
        <f t="shared" si="18"/>
        <v>0</v>
      </c>
      <c r="F379" s="10" t="str">
        <f>VLOOKUP(A379,[3]data!$W:$Z,4,FALSE)</f>
        <v>Si</v>
      </c>
      <c r="G379" s="10" t="str">
        <f t="shared" si="19"/>
        <v>Bomba dosificadora de shampoo/lava llantas Smart pro</v>
      </c>
      <c r="H379" s="19" t="str">
        <f>IFERROR(VLOOKUP(A379,[2]REPUESTOS!$A:$S,19,FALSE),"SIN ANÁLISIS")</f>
        <v>SIN ANÁLISIS</v>
      </c>
      <c r="I379" s="19">
        <f t="shared" si="20"/>
        <v>0</v>
      </c>
      <c r="J379" s="10" t="str">
        <f>VLOOKUP(A379,[4]REPUESTOS!$B:$FY,180,FALSE)</f>
        <v>Si</v>
      </c>
    </row>
    <row r="380" spans="1:10" x14ac:dyDescent="0.3">
      <c r="A380" s="10" t="s">
        <v>753</v>
      </c>
      <c r="B380" s="10" t="s">
        <v>752</v>
      </c>
      <c r="C380" s="17">
        <f>IFERROR(VLOOKUP(A380,[1]REPUESTOS!$A:$D,4,FALSE),"")</f>
        <v>55722</v>
      </c>
      <c r="D380" s="18">
        <f>IFERROR(VLOOKUP(A380,[2]REPUESTOS!$A:$R,18,FALSE),C380)</f>
        <v>55722</v>
      </c>
      <c r="E380" s="19">
        <f t="shared" si="18"/>
        <v>0</v>
      </c>
      <c r="F380" s="10" t="str">
        <f>VLOOKUP(A380,[3]data!$W:$Z,4,FALSE)</f>
        <v>Si</v>
      </c>
      <c r="G380" s="10" t="str">
        <f t="shared" si="19"/>
        <v>Cuerpo reparación bomba Smart pro</v>
      </c>
      <c r="H380" s="19" t="str">
        <f>IFERROR(VLOOKUP(A380,[2]REPUESTOS!$A:$S,19,FALSE),"SIN ANÁLISIS")</f>
        <v>SIN ANÁLISIS</v>
      </c>
      <c r="I380" s="19">
        <f t="shared" si="20"/>
        <v>0</v>
      </c>
      <c r="J380" s="10" t="str">
        <f>VLOOKUP(A380,[4]REPUESTOS!$B:$FY,180,FALSE)</f>
        <v>Si</v>
      </c>
    </row>
    <row r="381" spans="1:10" x14ac:dyDescent="0.3">
      <c r="A381" s="10" t="s">
        <v>755</v>
      </c>
      <c r="B381" s="10" t="s">
        <v>754</v>
      </c>
      <c r="C381" s="17">
        <f>IFERROR(VLOOKUP(A381,[1]REPUESTOS!$A:$D,4,FALSE),"")</f>
        <v>47767</v>
      </c>
      <c r="D381" s="18">
        <f>IFERROR(VLOOKUP(A381,[2]REPUESTOS!$A:$R,18,FALSE),C381)</f>
        <v>47767</v>
      </c>
      <c r="E381" s="19">
        <f t="shared" si="18"/>
        <v>0</v>
      </c>
      <c r="F381" s="10" t="str">
        <f>VLOOKUP(A381,[3]data!$W:$Z,4,FALSE)</f>
        <v>Si</v>
      </c>
      <c r="G381" s="10" t="str">
        <f t="shared" si="19"/>
        <v>Cuerpo reparación de bomba cera Smart pro</v>
      </c>
      <c r="H381" s="19" t="str">
        <f>IFERROR(VLOOKUP(A381,[2]REPUESTOS!$A:$S,19,FALSE),"SIN ANÁLISIS")</f>
        <v>SIN ANÁLISIS</v>
      </c>
      <c r="I381" s="19">
        <f t="shared" si="20"/>
        <v>0</v>
      </c>
      <c r="J381" s="10" t="str">
        <f>VLOOKUP(A381,[4]REPUESTOS!$B:$FY,180,FALSE)</f>
        <v>Si</v>
      </c>
    </row>
    <row r="382" spans="1:10" x14ac:dyDescent="0.3">
      <c r="A382" s="10" t="s">
        <v>757</v>
      </c>
      <c r="B382" s="10" t="s">
        <v>756</v>
      </c>
      <c r="C382" s="17">
        <f>IFERROR(VLOOKUP(A382,[1]REPUESTOS!$A:$D,4,FALSE),"")</f>
        <v>16727</v>
      </c>
      <c r="D382" s="18">
        <f>IFERROR(VLOOKUP(A382,[2]REPUESTOS!$A:$R,18,FALSE),C382)</f>
        <v>16727</v>
      </c>
      <c r="E382" s="19">
        <f t="shared" si="18"/>
        <v>0</v>
      </c>
      <c r="F382" s="10" t="str">
        <f>VLOOKUP(A382,[3]data!$W:$Z,4,FALSE)</f>
        <v>Si</v>
      </c>
      <c r="G382" s="10" t="str">
        <f t="shared" si="19"/>
        <v>Válvula de fondo shampoo/lava llantas Smart pro</v>
      </c>
      <c r="H382" s="19" t="str">
        <f>IFERROR(VLOOKUP(A382,[2]REPUESTOS!$A:$S,19,FALSE),"SIN ANÁLISIS")</f>
        <v>SIN ANÁLISIS</v>
      </c>
      <c r="I382" s="19">
        <f t="shared" si="20"/>
        <v>0</v>
      </c>
      <c r="J382" s="10" t="str">
        <f>VLOOKUP(A382,[4]REPUESTOS!$B:$FY,180,FALSE)</f>
        <v>Si</v>
      </c>
    </row>
    <row r="383" spans="1:10" x14ac:dyDescent="0.3">
      <c r="A383" s="10" t="s">
        <v>759</v>
      </c>
      <c r="B383" s="10" t="s">
        <v>758</v>
      </c>
      <c r="C383" s="17">
        <f>IFERROR(VLOOKUP(A383,[1]REPUESTOS!$A:$D,4,FALSE),"")</f>
        <v>16941</v>
      </c>
      <c r="D383" s="18">
        <f>IFERROR(VLOOKUP(A383,[2]REPUESTOS!$A:$R,18,FALSE),C383)</f>
        <v>16941</v>
      </c>
      <c r="E383" s="19">
        <f t="shared" si="18"/>
        <v>0</v>
      </c>
      <c r="F383" s="10" t="str">
        <f>VLOOKUP(A383,[3]data!$W:$Z,4,FALSE)</f>
        <v>Si</v>
      </c>
      <c r="G383" s="10" t="str">
        <f t="shared" si="19"/>
        <v>Válvula de fondo bidón cera Smart pro</v>
      </c>
      <c r="H383" s="19" t="str">
        <f>IFERROR(VLOOKUP(A383,[2]REPUESTOS!$A:$S,19,FALSE),"SIN ANÁLISIS")</f>
        <v>SIN ANÁLISIS</v>
      </c>
      <c r="I383" s="19">
        <f t="shared" si="20"/>
        <v>0</v>
      </c>
      <c r="J383" s="10" t="str">
        <f>VLOOKUP(A383,[4]REPUESTOS!$B:$FY,180,FALSE)</f>
        <v>Si</v>
      </c>
    </row>
    <row r="384" spans="1:10" x14ac:dyDescent="0.3">
      <c r="A384" s="10" t="s">
        <v>761</v>
      </c>
      <c r="B384" s="10" t="s">
        <v>760</v>
      </c>
      <c r="C384" s="17">
        <f>IFERROR(VLOOKUP(A384,[1]REPUESTOS!$A:$D,4,FALSE),"")</f>
        <v>317288</v>
      </c>
      <c r="D384" s="18">
        <f>IFERROR(VLOOKUP(A384,[2]REPUESTOS!$A:$R,18,FALSE),C384)</f>
        <v>317288</v>
      </c>
      <c r="E384" s="19">
        <f t="shared" si="18"/>
        <v>0</v>
      </c>
      <c r="F384" s="10" t="str">
        <f>VLOOKUP(A384,[3]data!$W:$Z,4,FALSE)</f>
        <v>Si</v>
      </c>
      <c r="G384" s="10" t="str">
        <f t="shared" si="19"/>
        <v>Contenedor membrana osmosis Smart pro</v>
      </c>
      <c r="H384" s="19" t="str">
        <f>IFERROR(VLOOKUP(A384,[2]REPUESTOS!$A:$S,19,FALSE),"SIN ANÁLISIS")</f>
        <v>SIN ANÁLISIS</v>
      </c>
      <c r="I384" s="19">
        <f t="shared" si="20"/>
        <v>0</v>
      </c>
      <c r="J384" s="10" t="str">
        <f>VLOOKUP(A384,[4]REPUESTOS!$B:$FY,180,FALSE)</f>
        <v>Si</v>
      </c>
    </row>
    <row r="385" spans="1:10" x14ac:dyDescent="0.3">
      <c r="A385" s="10" t="s">
        <v>763</v>
      </c>
      <c r="B385" s="10" t="s">
        <v>762</v>
      </c>
      <c r="C385" s="17">
        <f>IFERROR(VLOOKUP(A385,[1]REPUESTOS!$A:$D,4,FALSE),"")</f>
        <v>3401</v>
      </c>
      <c r="D385" s="18">
        <f>IFERROR(VLOOKUP(A385,[2]REPUESTOS!$A:$R,18,FALSE),C385)</f>
        <v>3401</v>
      </c>
      <c r="E385" s="19">
        <f t="shared" si="18"/>
        <v>0</v>
      </c>
      <c r="F385" s="10" t="str">
        <f>VLOOKUP(A385,[3]data!$W:$Z,4,FALSE)</f>
        <v>Si</v>
      </c>
      <c r="G385" s="10" t="str">
        <f t="shared" si="19"/>
        <v>Adaptador grifo Smart pro</v>
      </c>
      <c r="H385" s="19" t="str">
        <f>IFERROR(VLOOKUP(A385,[2]REPUESTOS!$A:$S,19,FALSE),"SIN ANÁLISIS")</f>
        <v>SIN ANÁLISIS</v>
      </c>
      <c r="I385" s="19">
        <f t="shared" si="20"/>
        <v>0</v>
      </c>
      <c r="J385" s="10" t="str">
        <f>VLOOKUP(A385,[4]REPUESTOS!$B:$FY,180,FALSE)</f>
        <v>Si</v>
      </c>
    </row>
    <row r="386" spans="1:10" x14ac:dyDescent="0.3">
      <c r="A386" s="10" t="s">
        <v>765</v>
      </c>
      <c r="B386" s="10" t="s">
        <v>764</v>
      </c>
      <c r="C386" s="17">
        <f>IFERROR(VLOOKUP(A386,[1]REPUESTOS!$A:$D,4,FALSE),"")</f>
        <v>20168</v>
      </c>
      <c r="D386" s="18">
        <f>IFERROR(VLOOKUP(A386,[2]REPUESTOS!$A:$R,18,FALSE),C386)</f>
        <v>20168</v>
      </c>
      <c r="E386" s="19">
        <f t="shared" si="18"/>
        <v>0</v>
      </c>
      <c r="F386" s="10" t="str">
        <f>VLOOKUP(A386,[3]data!$W:$Z,4,FALSE)</f>
        <v>Si</v>
      </c>
      <c r="G386" s="10" t="str">
        <f t="shared" si="19"/>
        <v>Grifo 1/4 Smart pro</v>
      </c>
      <c r="H386" s="19" t="str">
        <f>IFERROR(VLOOKUP(A386,[2]REPUESTOS!$A:$S,19,FALSE),"SIN ANÁLISIS")</f>
        <v>SIN ANÁLISIS</v>
      </c>
      <c r="I386" s="19">
        <f t="shared" si="20"/>
        <v>0</v>
      </c>
      <c r="J386" s="10" t="str">
        <f>VLOOKUP(A386,[4]REPUESTOS!$B:$FY,180,FALSE)</f>
        <v>Si</v>
      </c>
    </row>
    <row r="387" spans="1:10" x14ac:dyDescent="0.3">
      <c r="A387" s="10" t="s">
        <v>767</v>
      </c>
      <c r="B387" s="10" t="s">
        <v>766</v>
      </c>
      <c r="C387" s="17">
        <f>IFERROR(VLOOKUP(A387,[1]REPUESTOS!$A:$D,4,FALSE),"")</f>
        <v>61480</v>
      </c>
      <c r="D387" s="18">
        <f>IFERROR(VLOOKUP(A387,[2]REPUESTOS!$A:$R,18,FALSE),C387)</f>
        <v>61480</v>
      </c>
      <c r="E387" s="19">
        <f t="shared" si="18"/>
        <v>0</v>
      </c>
      <c r="F387" s="10" t="str">
        <f>VLOOKUP(A387,[3]data!$W:$Z,4,FALSE)</f>
        <v>Si</v>
      </c>
      <c r="G387" s="10" t="str">
        <f t="shared" si="19"/>
        <v>Válvula retención inox 1/2</v>
      </c>
      <c r="H387" s="19" t="str">
        <f>IFERROR(VLOOKUP(A387,[2]REPUESTOS!$A:$S,19,FALSE),"SIN ANÁLISIS")</f>
        <v>SIN ANÁLISIS</v>
      </c>
      <c r="I387" s="19">
        <f t="shared" si="20"/>
        <v>0</v>
      </c>
      <c r="J387" s="10" t="str">
        <f>VLOOKUP(A387,[4]REPUESTOS!$B:$FY,180,FALSE)</f>
        <v>Si</v>
      </c>
    </row>
    <row r="388" spans="1:10" x14ac:dyDescent="0.3">
      <c r="A388" s="10" t="s">
        <v>769</v>
      </c>
      <c r="B388" s="10" t="s">
        <v>768</v>
      </c>
      <c r="C388" s="17">
        <f>IFERROR(VLOOKUP(A388,[1]REPUESTOS!$A:$D,4,FALSE),"")</f>
        <v>30955</v>
      </c>
      <c r="D388" s="18">
        <f>IFERROR(VLOOKUP(A388,[2]REPUESTOS!$A:$R,18,FALSE),C388)</f>
        <v>30955</v>
      </c>
      <c r="E388" s="19">
        <f t="shared" si="18"/>
        <v>0</v>
      </c>
      <c r="F388" s="10" t="str">
        <f>VLOOKUP(A388,[3]data!$W:$Z,4,FALSE)</f>
        <v>Si</v>
      </c>
      <c r="G388" s="10" t="str">
        <f t="shared" si="19"/>
        <v>Tee 1/2 HI,HI,HI, Inox Smart pro</v>
      </c>
      <c r="H388" s="19" t="str">
        <f>IFERROR(VLOOKUP(A388,[2]REPUESTOS!$A:$S,19,FALSE),"SIN ANÁLISIS")</f>
        <v>SIN ANÁLISIS</v>
      </c>
      <c r="I388" s="19">
        <f t="shared" si="20"/>
        <v>0</v>
      </c>
      <c r="J388" s="10" t="str">
        <f>VLOOKUP(A388,[4]REPUESTOS!$B:$FY,180,FALSE)</f>
        <v>Si</v>
      </c>
    </row>
    <row r="389" spans="1:10" x14ac:dyDescent="0.3">
      <c r="A389" s="10" t="s">
        <v>771</v>
      </c>
      <c r="B389" s="10" t="s">
        <v>770</v>
      </c>
      <c r="C389" s="17">
        <f>IFERROR(VLOOKUP(A389,[1]REPUESTOS!$A:$D,4,FALSE),"")</f>
        <v>24682</v>
      </c>
      <c r="D389" s="18">
        <f>IFERROR(VLOOKUP(A389,[2]REPUESTOS!$A:$R,18,FALSE),C389)</f>
        <v>24682</v>
      </c>
      <c r="E389" s="19">
        <f t="shared" ref="E389:E452" si="21">IFERROR((D389-C389)/C389,0)</f>
        <v>0</v>
      </c>
      <c r="F389" s="10" t="str">
        <f>VLOOKUP(A389,[3]data!$W:$Z,4,FALSE)</f>
        <v>Si</v>
      </c>
      <c r="G389" s="10" t="str">
        <f t="shared" ref="G389:G452" si="22">MID(B389,15,100)</f>
        <v>Salida estanque agua desmineralizada</v>
      </c>
      <c r="H389" s="19" t="str">
        <f>IFERROR(VLOOKUP(A389,[2]REPUESTOS!$A:$S,19,FALSE),"SIN ANÁLISIS")</f>
        <v>SIN ANÁLISIS</v>
      </c>
      <c r="I389" s="19">
        <f t="shared" si="20"/>
        <v>0</v>
      </c>
      <c r="J389" s="10" t="str">
        <f>VLOOKUP(A389,[4]REPUESTOS!$B:$FY,180,FALSE)</f>
        <v>Si</v>
      </c>
    </row>
    <row r="390" spans="1:10" x14ac:dyDescent="0.3">
      <c r="A390" s="10" t="s">
        <v>773</v>
      </c>
      <c r="B390" s="10" t="s">
        <v>772</v>
      </c>
      <c r="C390" s="17">
        <f>IFERROR(VLOOKUP(A390,[1]REPUESTOS!$A:$D,4,FALSE),"")</f>
        <v>44228</v>
      </c>
      <c r="D390" s="18">
        <f>IFERROR(VLOOKUP(A390,[2]REPUESTOS!$A:$R,18,FALSE),C390)</f>
        <v>44228</v>
      </c>
      <c r="E390" s="19">
        <f t="shared" si="21"/>
        <v>0</v>
      </c>
      <c r="F390" s="10" t="str">
        <f>VLOOKUP(A390,[3]data!$W:$Z,4,FALSE)</f>
        <v>Si</v>
      </c>
      <c r="G390" s="10" t="str">
        <f t="shared" si="22"/>
        <v>Foco esquina exterior Smart pro</v>
      </c>
      <c r="H390" s="19" t="str">
        <f>IFERROR(VLOOKUP(A390,[2]REPUESTOS!$A:$S,19,FALSE),"SIN ANÁLISIS")</f>
        <v>SIN ANÁLISIS</v>
      </c>
      <c r="I390" s="19">
        <f t="shared" ref="I390:I453" si="23">IFERROR(H390-E390,0)</f>
        <v>0</v>
      </c>
      <c r="J390" s="10" t="str">
        <f>VLOOKUP(A390,[4]REPUESTOS!$B:$FY,180,FALSE)</f>
        <v>Si</v>
      </c>
    </row>
    <row r="391" spans="1:10" x14ac:dyDescent="0.3">
      <c r="A391" s="10" t="s">
        <v>775</v>
      </c>
      <c r="B391" s="10" t="s">
        <v>774</v>
      </c>
      <c r="C391" s="17">
        <f>IFERROR(VLOOKUP(A391,[1]REPUESTOS!$A:$D,4,FALSE),"")</f>
        <v>180453</v>
      </c>
      <c r="D391" s="18">
        <f>IFERROR(VLOOKUP(A391,[2]REPUESTOS!$A:$R,18,FALSE),C391)</f>
        <v>180453</v>
      </c>
      <c r="E391" s="19">
        <f t="shared" si="21"/>
        <v>0</v>
      </c>
      <c r="F391" s="10" t="str">
        <f>VLOOKUP(A391,[3]data!$W:$Z,4,FALSE)</f>
        <v>Si</v>
      </c>
      <c r="G391" s="10" t="str">
        <f t="shared" si="22"/>
        <v>Ampolleta led foco exterior Smart pro</v>
      </c>
      <c r="H391" s="19" t="str">
        <f>IFERROR(VLOOKUP(A391,[2]REPUESTOS!$A:$S,19,FALSE),"SIN ANÁLISIS")</f>
        <v>SIN ANÁLISIS</v>
      </c>
      <c r="I391" s="19">
        <f t="shared" si="23"/>
        <v>0</v>
      </c>
      <c r="J391" s="10" t="str">
        <f>VLOOKUP(A391,[4]REPUESTOS!$B:$FY,180,FALSE)</f>
        <v>Si</v>
      </c>
    </row>
    <row r="392" spans="1:10" x14ac:dyDescent="0.3">
      <c r="A392" s="10" t="s">
        <v>777</v>
      </c>
      <c r="B392" s="10" t="s">
        <v>776</v>
      </c>
      <c r="C392" s="17">
        <f>IFERROR(VLOOKUP(A392,[1]REPUESTOS!$A:$D,4,FALSE),"")</f>
        <v>13049</v>
      </c>
      <c r="D392" s="18">
        <f>IFERROR(VLOOKUP(A392,[2]REPUESTOS!$A:$R,18,FALSE),C392)</f>
        <v>13049</v>
      </c>
      <c r="E392" s="19">
        <f t="shared" si="21"/>
        <v>0</v>
      </c>
      <c r="F392" s="10" t="str">
        <f>VLOOKUP(A392,[3]data!$W:$Z,4,FALSE)</f>
        <v>Si</v>
      </c>
      <c r="G392" s="10" t="str">
        <f t="shared" si="22"/>
        <v>Bisagra puerta frontal</v>
      </c>
      <c r="H392" s="19" t="str">
        <f>IFERROR(VLOOKUP(A392,[2]REPUESTOS!$A:$S,19,FALSE),"SIN ANÁLISIS")</f>
        <v>SIN ANÁLISIS</v>
      </c>
      <c r="I392" s="19">
        <f t="shared" si="23"/>
        <v>0</v>
      </c>
      <c r="J392" s="10" t="str">
        <f>VLOOKUP(A392,[4]REPUESTOS!$B:$FY,180,FALSE)</f>
        <v>Si</v>
      </c>
    </row>
    <row r="393" spans="1:10" x14ac:dyDescent="0.3">
      <c r="A393" s="10" t="s">
        <v>779</v>
      </c>
      <c r="B393" s="10" t="s">
        <v>778</v>
      </c>
      <c r="C393" s="17">
        <f>IFERROR(VLOOKUP(A393,[1]REPUESTOS!$A:$D,4,FALSE),"")</f>
        <v>10486</v>
      </c>
      <c r="D393" s="18">
        <f>IFERROR(VLOOKUP(A393,[2]REPUESTOS!$A:$R,18,FALSE),C393)</f>
        <v>10486</v>
      </c>
      <c r="E393" s="19">
        <f t="shared" si="21"/>
        <v>0</v>
      </c>
      <c r="F393" s="10" t="str">
        <f>VLOOKUP(A393,[3]data!$W:$Z,4,FALSE)</f>
        <v>Si</v>
      </c>
      <c r="G393" s="10" t="str">
        <f t="shared" si="22"/>
        <v>Placa mini protección entrada fichero Smart pro</v>
      </c>
      <c r="H393" s="19" t="str">
        <f>IFERROR(VLOOKUP(A393,[2]REPUESTOS!$A:$S,19,FALSE),"SIN ANÁLISIS")</f>
        <v>SIN ANÁLISIS</v>
      </c>
      <c r="I393" s="19">
        <f t="shared" si="23"/>
        <v>0</v>
      </c>
      <c r="J393" s="10" t="str">
        <f>VLOOKUP(A393,[4]REPUESTOS!$B:$FY,180,FALSE)</f>
        <v>Si</v>
      </c>
    </row>
    <row r="394" spans="1:10" x14ac:dyDescent="0.3">
      <c r="A394" s="10" t="s">
        <v>781</v>
      </c>
      <c r="B394" s="10" t="s">
        <v>780</v>
      </c>
      <c r="C394" s="17">
        <f>IFERROR(VLOOKUP(A394,[1]REPUESTOS!$A:$D,4,FALSE),"")</f>
        <v>313</v>
      </c>
      <c r="D394" s="18">
        <f>IFERROR(VLOOKUP(A394,[2]REPUESTOS!$A:$R,18,FALSE),C394)</f>
        <v>312.5</v>
      </c>
      <c r="E394" s="19">
        <f t="shared" si="21"/>
        <v>-1.5974440894568689E-3</v>
      </c>
      <c r="F394" s="10" t="str">
        <f>VLOOKUP(A394,[3]data!$W:$Z,4,FALSE)</f>
        <v>Si</v>
      </c>
      <c r="G394" s="10" t="str">
        <f t="shared" si="22"/>
        <v>Perno largo Allen electroválvula de 1/2 (442)</v>
      </c>
      <c r="H394" s="19">
        <f>IFERROR(VLOOKUP(A394,[2]REPUESTOS!$A:$S,19,FALSE),"SIN ANÁLISIS")</f>
        <v>0</v>
      </c>
      <c r="I394" s="19">
        <f t="shared" si="23"/>
        <v>1.5974440894568689E-3</v>
      </c>
      <c r="J394" s="10" t="str">
        <f>VLOOKUP(A394,[4]REPUESTOS!$B:$FY,180,FALSE)</f>
        <v>Si</v>
      </c>
    </row>
    <row r="395" spans="1:10" x14ac:dyDescent="0.3">
      <c r="A395" s="10" t="s">
        <v>783</v>
      </c>
      <c r="B395" s="10" t="s">
        <v>782</v>
      </c>
      <c r="C395" s="17">
        <f>IFERROR(VLOOKUP(A395,[1]REPUESTOS!$A:$D,4,FALSE),"")</f>
        <v>0</v>
      </c>
      <c r="D395" s="18">
        <f>IFERROR(VLOOKUP(A395,[2]REPUESTOS!$A:$R,18,FALSE),C395)</f>
        <v>0</v>
      </c>
      <c r="E395" s="19">
        <f t="shared" si="21"/>
        <v>0</v>
      </c>
      <c r="F395" s="10" t="str">
        <f>VLOOKUP(A395,[3]data!$W:$Z,4,FALSE)</f>
        <v>Si</v>
      </c>
      <c r="G395" s="10" t="str">
        <f t="shared" si="22"/>
        <v>Perno corto Allen electroválvula (442)</v>
      </c>
      <c r="H395" s="19" t="str">
        <f>IFERROR(VLOOKUP(A395,[2]REPUESTOS!$A:$S,19,FALSE),"SIN ANÁLISIS")</f>
        <v>SIN ANÁLISIS</v>
      </c>
      <c r="I395" s="19">
        <f t="shared" si="23"/>
        <v>0</v>
      </c>
      <c r="J395" s="10" t="str">
        <f>VLOOKUP(A395,[4]REPUESTOS!$B:$FY,180,FALSE)</f>
        <v>Si</v>
      </c>
    </row>
    <row r="396" spans="1:10" x14ac:dyDescent="0.3">
      <c r="A396" s="10" t="s">
        <v>785</v>
      </c>
      <c r="B396" s="10" t="s">
        <v>784</v>
      </c>
      <c r="C396" s="17">
        <f>IFERROR(VLOOKUP(A396,[1]REPUESTOS!$A:$D,4,FALSE),"")</f>
        <v>6168</v>
      </c>
      <c r="D396" s="18">
        <f>IFERROR(VLOOKUP(A396,[2]REPUESTOS!$A:$R,18,FALSE),C396)</f>
        <v>7823.4722222222217</v>
      </c>
      <c r="E396" s="19">
        <f t="shared" si="21"/>
        <v>0.26839692318777914</v>
      </c>
      <c r="F396" s="10" t="str">
        <f>VLOOKUP(A396,[3]data!$W:$Z,4,FALSE)</f>
        <v>Si</v>
      </c>
      <c r="G396" s="10" t="str">
        <f t="shared" si="22"/>
        <v>Filtro tipo Y</v>
      </c>
      <c r="H396" s="19">
        <f>IFERROR(VLOOKUP(A396,[2]REPUESTOS!$A:$S,19,FALSE),"SIN ANÁLISIS")</f>
        <v>0.26839692318777914</v>
      </c>
      <c r="I396" s="19">
        <f t="shared" si="23"/>
        <v>0</v>
      </c>
      <c r="J396" s="10" t="str">
        <f>VLOOKUP(A396,[4]REPUESTOS!$B:$FY,180,FALSE)</f>
        <v>Si</v>
      </c>
    </row>
    <row r="397" spans="1:10" x14ac:dyDescent="0.3">
      <c r="A397" s="10" t="s">
        <v>787</v>
      </c>
      <c r="B397" s="10" t="s">
        <v>786</v>
      </c>
      <c r="C397" s="17">
        <f>IFERROR(VLOOKUP(A397,[1]REPUESTOS!$A:$D,4,FALSE),"")</f>
        <v>60000</v>
      </c>
      <c r="D397" s="18">
        <f>IFERROR(VLOOKUP(A397,[2]REPUESTOS!$A:$R,18,FALSE),C397)</f>
        <v>60000</v>
      </c>
      <c r="E397" s="19">
        <f t="shared" si="21"/>
        <v>0</v>
      </c>
      <c r="F397" s="10" t="str">
        <f>VLOOKUP(A397,[3]data!$W:$Z,4,FALSE)</f>
        <v>Si</v>
      </c>
      <c r="G397" s="10" t="str">
        <f t="shared" si="22"/>
        <v>Contactor ABB para termo trifásico</v>
      </c>
      <c r="H397" s="19" t="str">
        <f>IFERROR(VLOOKUP(A397,[2]REPUESTOS!$A:$S,19,FALSE),"SIN ANÁLISIS")</f>
        <v>SIN ANÁLISIS</v>
      </c>
      <c r="I397" s="19">
        <f t="shared" si="23"/>
        <v>0</v>
      </c>
      <c r="J397" s="10" t="str">
        <f>VLOOKUP(A397,[4]REPUESTOS!$B:$FY,180,FALSE)</f>
        <v>Si</v>
      </c>
    </row>
    <row r="398" spans="1:10" x14ac:dyDescent="0.3">
      <c r="A398" s="10" t="s">
        <v>789</v>
      </c>
      <c r="B398" s="10" t="s">
        <v>788</v>
      </c>
      <c r="C398" s="17">
        <f>IFERROR(VLOOKUP(A398,[1]REPUESTOS!$A:$D,4,FALSE),"")</f>
        <v>40000</v>
      </c>
      <c r="D398" s="18">
        <f>IFERROR(VLOOKUP(A398,[2]REPUESTOS!$A:$R,18,FALSE),C398)</f>
        <v>40000</v>
      </c>
      <c r="E398" s="19">
        <f t="shared" si="21"/>
        <v>0</v>
      </c>
      <c r="F398" s="10" t="str">
        <f>VLOOKUP(A398,[3]data!$W:$Z,4,FALSE)</f>
        <v>Si</v>
      </c>
      <c r="G398" s="10" t="str">
        <f t="shared" si="22"/>
        <v>Espiral de protección 10m</v>
      </c>
      <c r="H398" s="19">
        <f>IFERROR(VLOOKUP(A398,[2]REPUESTOS!$A:$S,19,FALSE),"SIN ANÁLISIS")</f>
        <v>0</v>
      </c>
      <c r="I398" s="19">
        <f t="shared" si="23"/>
        <v>0</v>
      </c>
      <c r="J398" s="10" t="str">
        <f>VLOOKUP(A398,[4]REPUESTOS!$B:$FY,180,FALSE)</f>
        <v>Si</v>
      </c>
    </row>
    <row r="399" spans="1:10" x14ac:dyDescent="0.3">
      <c r="A399" s="10" t="s">
        <v>791</v>
      </c>
      <c r="B399" s="10" t="s">
        <v>790</v>
      </c>
      <c r="C399" s="17">
        <f>IFERROR(VLOOKUP(A399,[1]REPUESTOS!$A:$D,4,FALSE),"")</f>
        <v>35424</v>
      </c>
      <c r="D399" s="18">
        <f>IFERROR(VLOOKUP(A399,[2]REPUESTOS!$A:$R,18,FALSE),C399)</f>
        <v>33185.371144087825</v>
      </c>
      <c r="E399" s="19">
        <f t="shared" si="21"/>
        <v>-6.3195259030944417E-2</v>
      </c>
      <c r="F399" s="10" t="str">
        <f>VLOOKUP(A399,[3]data!$W:$Z,4,FALSE)</f>
        <v>Si</v>
      </c>
      <c r="G399" s="10" t="str">
        <f t="shared" si="22"/>
        <v>Manguera baja presión poliuretano 10M</v>
      </c>
      <c r="H399" s="19">
        <f>IFERROR(VLOOKUP(A399,[2]REPUESTOS!$A:$S,19,FALSE),"SIN ANÁLISIS")</f>
        <v>-6.3205901828932792E-2</v>
      </c>
      <c r="I399" s="19">
        <f t="shared" si="23"/>
        <v>-1.0642797988374975E-5</v>
      </c>
      <c r="J399" s="10" t="str">
        <f>VLOOKUP(A399,[4]REPUESTOS!$B:$FY,180,FALSE)</f>
        <v>Si</v>
      </c>
    </row>
    <row r="400" spans="1:10" x14ac:dyDescent="0.3">
      <c r="A400" s="10" t="s">
        <v>793</v>
      </c>
      <c r="B400" s="10" t="s">
        <v>792</v>
      </c>
      <c r="C400" s="17">
        <f>IFERROR(VLOOKUP(A400,[1]REPUESTOS!$A:$D,4,FALSE),"")</f>
        <v>93585</v>
      </c>
      <c r="D400" s="18">
        <f>IFERROR(VLOOKUP(A400,[2]REPUESTOS!$A:$R,18,FALSE),C400)</f>
        <v>40204.251949230456</v>
      </c>
      <c r="E400" s="19">
        <f t="shared" si="21"/>
        <v>-0.57039854731815509</v>
      </c>
      <c r="F400" s="10" t="str">
        <f>VLOOKUP(A400,[3]data!$W:$Z,4,FALSE)</f>
        <v>Si</v>
      </c>
      <c r="G400" s="10" t="str">
        <f t="shared" si="22"/>
        <v>Flexible aspiradora D.38</v>
      </c>
      <c r="H400" s="19">
        <f>IFERROR(VLOOKUP(A400,[2]REPUESTOS!$A:$S,19,FALSE),"SIN ANÁLISIS")</f>
        <v>-0.57039648414267963</v>
      </c>
      <c r="I400" s="19">
        <f t="shared" si="23"/>
        <v>2.0631754754640852E-6</v>
      </c>
      <c r="J400" s="10" t="str">
        <f>VLOOKUP(A400,[4]REPUESTOS!$B:$FY,180,FALSE)</f>
        <v>Si</v>
      </c>
    </row>
    <row r="401" spans="1:10" x14ac:dyDescent="0.3">
      <c r="A401" s="10" t="s">
        <v>795</v>
      </c>
      <c r="B401" s="10" t="s">
        <v>794</v>
      </c>
      <c r="C401" s="17">
        <f>IFERROR(VLOOKUP(A401,[1]REPUESTOS!$A:$D,4,FALSE),"")</f>
        <v>3460</v>
      </c>
      <c r="D401" s="18">
        <f>IFERROR(VLOOKUP(A401,[2]REPUESTOS!$A:$R,18,FALSE),C401)</f>
        <v>3460</v>
      </c>
      <c r="E401" s="19">
        <f t="shared" si="21"/>
        <v>0</v>
      </c>
      <c r="F401" s="10" t="str">
        <f>VLOOKUP(A401,[3]data!$W:$Z,4,FALSE)</f>
        <v>Si</v>
      </c>
      <c r="G401" s="10" t="str">
        <f t="shared" si="22"/>
        <v>Válvula fondo bidón (lava interior)</v>
      </c>
      <c r="H401" s="19" t="str">
        <f>IFERROR(VLOOKUP(A401,[2]REPUESTOS!$A:$S,19,FALSE),"SIN ANÁLISIS")</f>
        <v>SIN ANÁLISIS</v>
      </c>
      <c r="I401" s="19">
        <f t="shared" si="23"/>
        <v>0</v>
      </c>
      <c r="J401" s="10" t="str">
        <f>VLOOKUP(A401,[4]REPUESTOS!$B:$FY,180,FALSE)</f>
        <v>Si</v>
      </c>
    </row>
    <row r="402" spans="1:10" x14ac:dyDescent="0.3">
      <c r="A402" s="10" t="s">
        <v>797</v>
      </c>
      <c r="B402" s="10" t="s">
        <v>796</v>
      </c>
      <c r="C402" s="17">
        <f>IFERROR(VLOOKUP(A402,[1]REPUESTOS!$A:$D,4,FALSE),"")</f>
        <v>30000</v>
      </c>
      <c r="D402" s="18">
        <f>IFERROR(VLOOKUP(A402,[2]REPUESTOS!$A:$R,18,FALSE),C402)</f>
        <v>30000</v>
      </c>
      <c r="E402" s="19">
        <f t="shared" si="21"/>
        <v>0</v>
      </c>
      <c r="F402" s="10" t="str">
        <f>VLOOKUP(A402,[3]data!$W:$Z,4,FALSE)</f>
        <v>Si</v>
      </c>
      <c r="G402" s="10" t="str">
        <f t="shared" si="22"/>
        <v>Mango lanza AP</v>
      </c>
      <c r="H402" s="19" t="str">
        <f>IFERROR(VLOOKUP(A402,[2]REPUESTOS!$A:$S,19,FALSE),"SIN ANÁLISIS")</f>
        <v>SIN ANÁLISIS</v>
      </c>
      <c r="I402" s="19">
        <f t="shared" si="23"/>
        <v>0</v>
      </c>
      <c r="J402" s="10" t="str">
        <f>VLOOKUP(A402,[4]REPUESTOS!$B:$FY,180,FALSE)</f>
        <v>Si</v>
      </c>
    </row>
    <row r="403" spans="1:10" x14ac:dyDescent="0.3">
      <c r="A403" s="10" t="s">
        <v>799</v>
      </c>
      <c r="B403" s="10" t="s">
        <v>798</v>
      </c>
      <c r="C403" s="17">
        <f>IFERROR(VLOOKUP(A403,[1]REPUESTOS!$A:$D,4,FALSE),"")</f>
        <v>28279</v>
      </c>
      <c r="D403" s="18">
        <f>IFERROR(VLOOKUP(A403,[2]REPUESTOS!$A:$R,18,FALSE),C403)</f>
        <v>28279</v>
      </c>
      <c r="E403" s="19">
        <f t="shared" si="21"/>
        <v>0</v>
      </c>
      <c r="F403" s="10" t="str">
        <f>VLOOKUP(A403,[3]data!$W:$Z,4,FALSE)</f>
        <v>Si</v>
      </c>
      <c r="G403" s="10" t="str">
        <f t="shared" si="22"/>
        <v>Boquilla metálica pistola mousse</v>
      </c>
      <c r="H403" s="19">
        <f>IFERROR(VLOOKUP(A403,[2]REPUESTOS!$A:$S,19,FALSE),"SIN ANÁLISIS")</f>
        <v>0</v>
      </c>
      <c r="I403" s="19">
        <f t="shared" si="23"/>
        <v>0</v>
      </c>
      <c r="J403" s="10" t="str">
        <f>VLOOKUP(A403,[4]REPUESTOS!$B:$FY,180,FALSE)</f>
        <v>Si</v>
      </c>
    </row>
    <row r="404" spans="1:10" x14ac:dyDescent="0.3">
      <c r="A404" s="10" t="s">
        <v>801</v>
      </c>
      <c r="B404" s="10" t="s">
        <v>800</v>
      </c>
      <c r="C404" s="17">
        <f>IFERROR(VLOOKUP(A404,[1]REPUESTOS!$A:$D,4,FALSE),"")</f>
        <v>67515</v>
      </c>
      <c r="D404" s="18">
        <f>IFERROR(VLOOKUP(A404,[2]REPUESTOS!$A:$R,18,FALSE),C404)</f>
        <v>67515</v>
      </c>
      <c r="E404" s="19">
        <f t="shared" si="21"/>
        <v>0</v>
      </c>
      <c r="F404" s="10" t="str">
        <f>VLOOKUP(A404,[3]data!$W:$Z,4,FALSE)</f>
        <v>Si</v>
      </c>
      <c r="G404" s="10" t="str">
        <f t="shared" si="22"/>
        <v>Punta pistola de mousse</v>
      </c>
      <c r="H404" s="19">
        <f>IFERROR(VLOOKUP(A404,[2]REPUESTOS!$A:$S,19,FALSE),"SIN ANÁLISIS")</f>
        <v>0</v>
      </c>
      <c r="I404" s="19">
        <f t="shared" si="23"/>
        <v>0</v>
      </c>
      <c r="J404" s="10" t="str">
        <f>VLOOKUP(A404,[4]REPUESTOS!$B:$FY,180,FALSE)</f>
        <v>Si</v>
      </c>
    </row>
    <row r="405" spans="1:10" x14ac:dyDescent="0.3">
      <c r="A405" s="10" t="s">
        <v>803</v>
      </c>
      <c r="B405" s="10" t="s">
        <v>802</v>
      </c>
      <c r="C405" s="17">
        <f>IFERROR(VLOOKUP(A405,[1]REPUESTOS!$A:$D,4,FALSE),"")</f>
        <v>0</v>
      </c>
      <c r="D405" s="18">
        <f>IFERROR(VLOOKUP(A405,[2]REPUESTOS!$A:$R,18,FALSE),C405)</f>
        <v>0</v>
      </c>
      <c r="E405" s="19">
        <f t="shared" si="21"/>
        <v>0</v>
      </c>
      <c r="F405" s="10" t="str">
        <f>VLOOKUP(A405,[3]data!$W:$Z,4,FALSE)</f>
        <v>Si</v>
      </c>
      <c r="G405" s="10" t="str">
        <f t="shared" si="22"/>
        <v>Termo eléctrico 200L 6kw.380v. ac. inox</v>
      </c>
      <c r="H405" s="19" t="str">
        <f>IFERROR(VLOOKUP(A405,[2]REPUESTOS!$A:$S,19,FALSE),"SIN ANÁLISIS")</f>
        <v>SIN ANÁLISIS</v>
      </c>
      <c r="I405" s="19">
        <f t="shared" si="23"/>
        <v>0</v>
      </c>
      <c r="J405" s="10" t="str">
        <f>VLOOKUP(A405,[4]REPUESTOS!$B:$FY,180,FALSE)</f>
        <v>Si</v>
      </c>
    </row>
    <row r="406" spans="1:10" x14ac:dyDescent="0.3">
      <c r="A406" s="10" t="s">
        <v>805</v>
      </c>
      <c r="B406" s="10" t="s">
        <v>804</v>
      </c>
      <c r="C406" s="17">
        <f>IFERROR(VLOOKUP(A406,[1]REPUESTOS!$A:$D,4,FALSE),"")</f>
        <v>14990</v>
      </c>
      <c r="D406" s="18">
        <f>IFERROR(VLOOKUP(A406,[2]REPUESTOS!$A:$R,18,FALSE),C406)</f>
        <v>14990</v>
      </c>
      <c r="E406" s="19">
        <f t="shared" si="21"/>
        <v>0</v>
      </c>
      <c r="F406" s="10" t="str">
        <f>VLOOKUP(A406,[3]data!$W:$Z,4,FALSE)</f>
        <v>Si</v>
      </c>
      <c r="G406" s="10" t="str">
        <f t="shared" si="22"/>
        <v>Manguera entrada EV alta presión</v>
      </c>
      <c r="H406" s="19">
        <f>IFERROR(VLOOKUP(A406,[2]REPUESTOS!$A:$S,19,FALSE),"SIN ANÁLISIS")</f>
        <v>0</v>
      </c>
      <c r="I406" s="19">
        <f t="shared" si="23"/>
        <v>0</v>
      </c>
      <c r="J406" s="10" t="str">
        <f>VLOOKUP(A406,[4]REPUESTOS!$B:$FY,180,FALSE)</f>
        <v>Si</v>
      </c>
    </row>
    <row r="407" spans="1:10" x14ac:dyDescent="0.3">
      <c r="A407" s="10" t="s">
        <v>807</v>
      </c>
      <c r="B407" s="10" t="s">
        <v>806</v>
      </c>
      <c r="C407" s="17">
        <f>IFERROR(VLOOKUP(A407,[1]REPUESTOS!$A:$D,4,FALSE),"")</f>
        <v>4200</v>
      </c>
      <c r="D407" s="18">
        <f>IFERROR(VLOOKUP(A407,[2]REPUESTOS!$A:$R,18,FALSE),C407)</f>
        <v>4200</v>
      </c>
      <c r="E407" s="19">
        <f t="shared" si="21"/>
        <v>0</v>
      </c>
      <c r="F407" s="10" t="str">
        <f>VLOOKUP(A407,[3]data!$W:$Z,4,FALSE)</f>
        <v>Si</v>
      </c>
      <c r="G407" s="10" t="str">
        <f t="shared" si="22"/>
        <v>Fusible placa de aspirado</v>
      </c>
      <c r="H407" s="19">
        <f>IFERROR(VLOOKUP(A407,[2]REPUESTOS!$A:$S,19,FALSE),"SIN ANÁLISIS")</f>
        <v>0</v>
      </c>
      <c r="I407" s="19">
        <f t="shared" si="23"/>
        <v>0</v>
      </c>
      <c r="J407" s="10" t="str">
        <f>VLOOKUP(A407,[4]REPUESTOS!$B:$FY,180,FALSE)</f>
        <v>Si</v>
      </c>
    </row>
    <row r="408" spans="1:10" x14ac:dyDescent="0.3">
      <c r="A408" s="10" t="s">
        <v>809</v>
      </c>
      <c r="B408" s="10" t="s">
        <v>808</v>
      </c>
      <c r="C408" s="17">
        <f>IFERROR(VLOOKUP(A408,[1]REPUESTOS!$A:$D,4,FALSE),"")</f>
        <v>1200</v>
      </c>
      <c r="D408" s="18">
        <f>IFERROR(VLOOKUP(A408,[2]REPUESTOS!$A:$R,18,FALSE),C408)</f>
        <v>1200</v>
      </c>
      <c r="E408" s="19">
        <f t="shared" si="21"/>
        <v>0</v>
      </c>
      <c r="F408" s="10" t="str">
        <f>VLOOKUP(A408,[3]data!$W:$Z,4,FALSE)</f>
        <v>Si</v>
      </c>
      <c r="G408" s="10" t="str">
        <f t="shared" si="22"/>
        <v>Oring pequeño EV alta presión</v>
      </c>
      <c r="H408" s="19">
        <f>IFERROR(VLOOKUP(A408,[2]REPUESTOS!$A:$S,19,FALSE),"SIN ANÁLISIS")</f>
        <v>0</v>
      </c>
      <c r="I408" s="19">
        <f t="shared" si="23"/>
        <v>0</v>
      </c>
      <c r="J408" s="10" t="str">
        <f>VLOOKUP(A408,[4]REPUESTOS!$B:$FY,180,FALSE)</f>
        <v>Si</v>
      </c>
    </row>
    <row r="409" spans="1:10" x14ac:dyDescent="0.3">
      <c r="A409" s="10" t="s">
        <v>811</v>
      </c>
      <c r="B409" s="10" t="s">
        <v>810</v>
      </c>
      <c r="C409" s="17">
        <f>IFERROR(VLOOKUP(A409,[1]REPUESTOS!$A:$D,4,FALSE),"")</f>
        <v>72935</v>
      </c>
      <c r="D409" s="18">
        <f>IFERROR(VLOOKUP(A409,[2]REPUESTOS!$A:$R,18,FALSE),C409)</f>
        <v>70651.874773112708</v>
      </c>
      <c r="E409" s="19">
        <f t="shared" si="21"/>
        <v>-3.1303561073384417E-2</v>
      </c>
      <c r="F409" s="10" t="str">
        <f>VLOOKUP(A409,[3]data!$W:$Z,4,FALSE)</f>
        <v>Si</v>
      </c>
      <c r="G409" s="10" t="str">
        <f t="shared" si="22"/>
        <v>Cuerpo cepillo (lava interior)</v>
      </c>
      <c r="H409" s="19">
        <f>IFERROR(VLOOKUP(A409,[2]REPUESTOS!$A:$S,19,FALSE),"SIN ANÁLISIS")</f>
        <v>-3.13022940128551E-2</v>
      </c>
      <c r="I409" s="19">
        <f t="shared" si="23"/>
        <v>1.2670605293169102E-6</v>
      </c>
      <c r="J409" s="10" t="str">
        <f>VLOOKUP(A409,[4]REPUESTOS!$B:$FY,180,FALSE)</f>
        <v>Si</v>
      </c>
    </row>
    <row r="410" spans="1:10" x14ac:dyDescent="0.3">
      <c r="A410" s="10" t="s">
        <v>813</v>
      </c>
      <c r="B410" s="10" t="s">
        <v>812</v>
      </c>
      <c r="C410" s="17">
        <f>IFERROR(VLOOKUP(A410,[1]REPUESTOS!$A:$D,4,FALSE),"")</f>
        <v>132365</v>
      </c>
      <c r="D410" s="18">
        <f>IFERROR(VLOOKUP(A410,[2]REPUESTOS!$A:$R,18,FALSE),C410)</f>
        <v>123998.80774864164</v>
      </c>
      <c r="E410" s="19">
        <f t="shared" si="21"/>
        <v>-6.3205471622848605E-2</v>
      </c>
      <c r="F410" s="10" t="str">
        <f>VLOOKUP(A410,[3]data!$W:$Z,4,FALSE)</f>
        <v>Si</v>
      </c>
      <c r="G410" s="10" t="str">
        <f t="shared" si="22"/>
        <v>Lanza pistola perdente corta</v>
      </c>
      <c r="H410" s="19">
        <f>IFERROR(VLOOKUP(A410,[2]REPUESTOS!$A:$S,19,FALSE),"SIN ANÁLISIS")</f>
        <v>-6.3205901828932709E-2</v>
      </c>
      <c r="I410" s="19">
        <f t="shared" si="23"/>
        <v>-4.3020608410382355E-7</v>
      </c>
      <c r="J410" s="10" t="str">
        <f>VLOOKUP(A410,[4]REPUESTOS!$B:$FY,180,FALSE)</f>
        <v>Si</v>
      </c>
    </row>
    <row r="411" spans="1:10" x14ac:dyDescent="0.3">
      <c r="A411" s="10" t="s">
        <v>815</v>
      </c>
      <c r="B411" s="10" t="s">
        <v>814</v>
      </c>
      <c r="C411" s="17">
        <f>IFERROR(VLOOKUP(A411,[1]REPUESTOS!$A:$D,4,FALSE),"")</f>
        <v>20900</v>
      </c>
      <c r="D411" s="18">
        <f>IFERROR(VLOOKUP(A411,[2]REPUESTOS!$A:$R,18,FALSE),C411)</f>
        <v>20900</v>
      </c>
      <c r="E411" s="19">
        <f t="shared" si="21"/>
        <v>0</v>
      </c>
      <c r="F411" s="10" t="str">
        <f>VLOOKUP(A411,[3]data!$W:$Z,4,FALSE)</f>
        <v>Si</v>
      </c>
      <c r="G411" s="10" t="str">
        <f t="shared" si="22"/>
        <v>Boquilla dry lavainterior alternativa</v>
      </c>
      <c r="H411" s="19">
        <f>IFERROR(VLOOKUP(A411,[2]REPUESTOS!$A:$S,19,FALSE),"SIN ANÁLISIS")</f>
        <v>0</v>
      </c>
      <c r="I411" s="19">
        <f t="shared" si="23"/>
        <v>0</v>
      </c>
      <c r="J411" s="10" t="str">
        <f>VLOOKUP(A411,[4]REPUESTOS!$B:$FY,180,FALSE)</f>
        <v>Si</v>
      </c>
    </row>
    <row r="412" spans="1:10" x14ac:dyDescent="0.3">
      <c r="A412" s="10" t="s">
        <v>817</v>
      </c>
      <c r="B412" s="10" t="s">
        <v>816</v>
      </c>
      <c r="C412" s="17">
        <f>IFERROR(VLOOKUP(A412,[1]REPUESTOS!$A:$D,4,FALSE),"")</f>
        <v>2687500</v>
      </c>
      <c r="D412" s="18">
        <f>IFERROR(VLOOKUP(A412,[2]REPUESTOS!$A:$R,18,FALSE),C412)</f>
        <v>2687500</v>
      </c>
      <c r="E412" s="19">
        <f t="shared" si="21"/>
        <v>0</v>
      </c>
      <c r="F412" s="10" t="str">
        <f>VLOOKUP(A412,[3]data!$W:$Z,4,FALSE)</f>
        <v>Si</v>
      </c>
      <c r="G412" s="10" t="str">
        <f t="shared" si="22"/>
        <v>Ablandador twin 1600 kit completo</v>
      </c>
      <c r="H412" s="19" t="str">
        <f>IFERROR(VLOOKUP(A412,[2]REPUESTOS!$A:$S,19,FALSE),"SIN ANÁLISIS")</f>
        <v>SIN ANÁLISIS</v>
      </c>
      <c r="I412" s="19">
        <f t="shared" si="23"/>
        <v>0</v>
      </c>
      <c r="J412" s="10" t="str">
        <f>VLOOKUP(A412,[4]REPUESTOS!$B:$FY,180,FALSE)</f>
        <v>Si</v>
      </c>
    </row>
    <row r="413" spans="1:10" x14ac:dyDescent="0.3">
      <c r="A413" s="10" t="s">
        <v>819</v>
      </c>
      <c r="B413" s="10" t="s">
        <v>818</v>
      </c>
      <c r="C413" s="17">
        <f>IFERROR(VLOOKUP(A413,[1]REPUESTOS!$A:$D,4,FALSE),"")</f>
        <v>43750</v>
      </c>
      <c r="D413" s="18">
        <f>IFERROR(VLOOKUP(A413,[2]REPUESTOS!$A:$R,18,FALSE),C413)</f>
        <v>43750</v>
      </c>
      <c r="E413" s="19">
        <f t="shared" si="21"/>
        <v>0</v>
      </c>
      <c r="F413" s="10" t="str">
        <f>VLOOKUP(A413,[3]data!$W:$Z,4,FALSE)</f>
        <v>Si</v>
      </c>
      <c r="G413" s="10" t="str">
        <f t="shared" si="22"/>
        <v>BIPASS CABEZAL 1"</v>
      </c>
      <c r="H413" s="19" t="str">
        <f>IFERROR(VLOOKUP(A413,[2]REPUESTOS!$A:$S,19,FALSE),"SIN ANÁLISIS")</f>
        <v>SIN ANÁLISIS</v>
      </c>
      <c r="I413" s="19">
        <f t="shared" si="23"/>
        <v>0</v>
      </c>
      <c r="J413" s="10" t="str">
        <f>VLOOKUP(A413,[4]REPUESTOS!$B:$FY,180,FALSE)</f>
        <v>Si</v>
      </c>
    </row>
    <row r="414" spans="1:10" x14ac:dyDescent="0.3">
      <c r="A414" s="10" t="s">
        <v>821</v>
      </c>
      <c r="B414" s="10" t="s">
        <v>820</v>
      </c>
      <c r="C414" s="17">
        <f>IFERROR(VLOOKUP(A414,[1]REPUESTOS!$A:$D,4,FALSE),"")</f>
        <v>43750</v>
      </c>
      <c r="D414" s="18">
        <f>IFERROR(VLOOKUP(A414,[2]REPUESTOS!$A:$R,18,FALSE),C414)</f>
        <v>43750</v>
      </c>
      <c r="E414" s="19">
        <f t="shared" si="21"/>
        <v>0</v>
      </c>
      <c r="F414" s="10" t="str">
        <f>VLOOKUP(A414,[3]data!$W:$Z,4,FALSE)</f>
        <v>Si</v>
      </c>
      <c r="G414" s="10" t="str">
        <f t="shared" si="22"/>
        <v>CANASTILLO CABEZAL CON ORING.</v>
      </c>
      <c r="H414" s="19" t="str">
        <f>IFERROR(VLOOKUP(A414,[2]REPUESTOS!$A:$S,19,FALSE),"SIN ANÁLISIS")</f>
        <v>SIN ANÁLISIS</v>
      </c>
      <c r="I414" s="19">
        <f t="shared" si="23"/>
        <v>0</v>
      </c>
      <c r="J414" s="10" t="str">
        <f>VLOOKUP(A414,[4]REPUESTOS!$B:$FY,180,FALSE)</f>
        <v>Si</v>
      </c>
    </row>
    <row r="415" spans="1:10" x14ac:dyDescent="0.3">
      <c r="A415" s="10" t="s">
        <v>823</v>
      </c>
      <c r="B415" s="10" t="s">
        <v>822</v>
      </c>
      <c r="C415" s="17">
        <f>IFERROR(VLOOKUP(A415,[1]REPUESTOS!$A:$D,4,FALSE),"")</f>
        <v>25763</v>
      </c>
      <c r="D415" s="18">
        <f>IFERROR(VLOOKUP(A415,[2]REPUESTOS!$A:$R,18,FALSE),C415)</f>
        <v>24134.31518150706</v>
      </c>
      <c r="E415" s="19">
        <f t="shared" si="21"/>
        <v>-6.3217979990410289E-2</v>
      </c>
      <c r="F415" s="10" t="str">
        <f>VLOOKUP(A415,[3]data!$W:$Z,4,FALSE)</f>
        <v>Si</v>
      </c>
      <c r="G415" s="10" t="str">
        <f t="shared" si="22"/>
        <v>RELE FINDER ZOCALO (KIT MOUSSE ECO)</v>
      </c>
      <c r="H415" s="19">
        <f>IFERROR(VLOOKUP(A415,[2]REPUESTOS!$A:$S,19,FALSE),"SIN ANÁLISIS")</f>
        <v>-6.320590182893282E-2</v>
      </c>
      <c r="I415" s="19">
        <f t="shared" si="23"/>
        <v>1.2078161477468985E-5</v>
      </c>
      <c r="J415" s="10" t="str">
        <f>VLOOKUP(A415,[4]REPUESTOS!$B:$FY,180,FALSE)</f>
        <v>Si</v>
      </c>
    </row>
    <row r="416" spans="1:10" x14ac:dyDescent="0.3">
      <c r="A416" s="10" t="s">
        <v>825</v>
      </c>
      <c r="B416" s="10" t="s">
        <v>824</v>
      </c>
      <c r="C416" s="17">
        <f>IFERROR(VLOOKUP(A416,[1]REPUESTOS!$A:$D,4,FALSE),"")</f>
        <v>27027</v>
      </c>
      <c r="D416" s="18">
        <f>IFERROR(VLOOKUP(A416,[2]REPUESTOS!$A:$R,18,FALSE),C416)</f>
        <v>25318.985034555037</v>
      </c>
      <c r="E416" s="19">
        <f t="shared" si="21"/>
        <v>-6.3196616918080567E-2</v>
      </c>
      <c r="F416" s="10" t="str">
        <f>VLOOKUP(A416,[3]data!$W:$Z,4,FALSE)</f>
        <v>Si</v>
      </c>
      <c r="G416" s="10" t="str">
        <f t="shared" si="22"/>
        <v>BOUILLA PISTOLA MOUSSE ST-75 05 (KIT MOUSSE ECO )</v>
      </c>
      <c r="H416" s="19">
        <f>IFERROR(VLOOKUP(A416,[2]REPUESTOS!$A:$S,19,FALSE),"SIN ANÁLISIS")</f>
        <v>-6.3205901828932709E-2</v>
      </c>
      <c r="I416" s="19">
        <f t="shared" si="23"/>
        <v>-9.2849108521420032E-6</v>
      </c>
      <c r="J416" s="10" t="str">
        <f>VLOOKUP(A416,[4]REPUESTOS!$B:$FY,180,FALSE)</f>
        <v>Si</v>
      </c>
    </row>
    <row r="417" spans="1:10" x14ac:dyDescent="0.3">
      <c r="A417" s="10" t="s">
        <v>827</v>
      </c>
      <c r="B417" s="10" t="s">
        <v>826</v>
      </c>
      <c r="C417" s="17">
        <f>IFERROR(VLOOKUP(A417,[1]REPUESTOS!$A:$D,4,FALSE),"")</f>
        <v>100</v>
      </c>
      <c r="D417" s="18">
        <f>IFERROR(VLOOKUP(A417,[2]REPUESTOS!$A:$R,18,FALSE),C417)</f>
        <v>100</v>
      </c>
      <c r="E417" s="19">
        <f t="shared" si="21"/>
        <v>0</v>
      </c>
      <c r="F417" s="10" t="str">
        <f>VLOOKUP(A417,[3]data!$W:$Z,4,FALSE)</f>
        <v>Si</v>
      </c>
      <c r="G417" s="10" t="str">
        <f t="shared" si="22"/>
        <v>PASADOR PUNTA PISTOLA DE MOUSSE</v>
      </c>
      <c r="H417" s="19">
        <f>IFERROR(VLOOKUP(A417,[2]REPUESTOS!$A:$S,19,FALSE),"SIN ANÁLISIS")</f>
        <v>0</v>
      </c>
      <c r="I417" s="19">
        <f t="shared" si="23"/>
        <v>0</v>
      </c>
      <c r="J417" s="10" t="str">
        <f>VLOOKUP(A417,[4]REPUESTOS!$B:$FY,180,FALSE)</f>
        <v>Si</v>
      </c>
    </row>
    <row r="418" spans="1:10" x14ac:dyDescent="0.3">
      <c r="A418" s="10" t="s">
        <v>829</v>
      </c>
      <c r="B418" s="10" t="s">
        <v>828</v>
      </c>
      <c r="C418" s="17">
        <f>IFERROR(VLOOKUP(A418,[1]REPUESTOS!$A:$D,4,FALSE),"")</f>
        <v>50000</v>
      </c>
      <c r="D418" s="18">
        <f>IFERROR(VLOOKUP(A418,[2]REPUESTOS!$A:$R,18,FALSE),C418)</f>
        <v>50000</v>
      </c>
      <c r="E418" s="19">
        <f t="shared" si="21"/>
        <v>0</v>
      </c>
      <c r="F418" s="10" t="str">
        <f>VLOOKUP(A418,[3]data!$W:$Z,4,FALSE)</f>
        <v>Si</v>
      </c>
      <c r="G418" s="10" t="str">
        <f t="shared" si="22"/>
        <v>Sensor flotante de nivel ON / OFF</v>
      </c>
      <c r="H418" s="19">
        <f>IFERROR(VLOOKUP(A418,[2]REPUESTOS!$A:$S,19,FALSE),"SIN ANÁLISIS")</f>
        <v>0</v>
      </c>
      <c r="I418" s="19">
        <f t="shared" si="23"/>
        <v>0</v>
      </c>
      <c r="J418" s="10" t="str">
        <f>VLOOKUP(A418,[4]REPUESTOS!$B:$FY,180,FALSE)</f>
        <v>Si</v>
      </c>
    </row>
    <row r="419" spans="1:10" x14ac:dyDescent="0.3">
      <c r="A419" s="10" t="s">
        <v>831</v>
      </c>
      <c r="B419" s="10" t="s">
        <v>830</v>
      </c>
      <c r="C419" s="17">
        <f>IFERROR(VLOOKUP(A419,[1]REPUESTOS!$A:$D,4,FALSE),"")</f>
        <v>7555</v>
      </c>
      <c r="D419" s="18">
        <f>IFERROR(VLOOKUP(A419,[2]REPUESTOS!$A:$R,18,FALSE),C419)</f>
        <v>7555</v>
      </c>
      <c r="E419" s="19">
        <f t="shared" si="21"/>
        <v>0</v>
      </c>
      <c r="F419" s="10" t="str">
        <f>VLOOKUP(A419,[3]data!$W:$Z,4,FALSE)</f>
        <v>Si</v>
      </c>
      <c r="G419" s="10" t="str">
        <f t="shared" si="22"/>
        <v>RELE ULTRADELGADO 24V</v>
      </c>
      <c r="H419" s="19">
        <f>IFERROR(VLOOKUP(A419,[2]REPUESTOS!$A:$S,19,FALSE),"SIN ANÁLISIS")</f>
        <v>0</v>
      </c>
      <c r="I419" s="19">
        <f t="shared" si="23"/>
        <v>0</v>
      </c>
      <c r="J419" s="10" t="str">
        <f>VLOOKUP(A419,[4]REPUESTOS!$B:$FY,180,FALSE)</f>
        <v>Si</v>
      </c>
    </row>
    <row r="420" spans="1:10" x14ac:dyDescent="0.3">
      <c r="A420" s="10" t="s">
        <v>833</v>
      </c>
      <c r="B420" s="10" t="s">
        <v>832</v>
      </c>
      <c r="C420" s="17">
        <f>IFERROR(VLOOKUP(A420,[1]REPUESTOS!$A:$D,4,FALSE),"")</f>
        <v>16563</v>
      </c>
      <c r="D420" s="18">
        <f>IFERROR(VLOOKUP(A420,[2]REPUESTOS!$A:$R,18,FALSE),C420)</f>
        <v>16563</v>
      </c>
      <c r="E420" s="19">
        <f t="shared" si="21"/>
        <v>0</v>
      </c>
      <c r="F420" s="10" t="str">
        <f>VLOOKUP(A420,[3]data!$W:$Z,4,FALSE)</f>
        <v>Si</v>
      </c>
      <c r="G420" s="10" t="str">
        <f t="shared" si="22"/>
        <v>TUBO INOXIDABLE MANGO DE LANZA AP</v>
      </c>
      <c r="H420" s="19">
        <f>IFERROR(VLOOKUP(A420,[2]REPUESTOS!$A:$S,19,FALSE),"SIN ANÁLISIS")</f>
        <v>0</v>
      </c>
      <c r="I420" s="19">
        <f t="shared" si="23"/>
        <v>0</v>
      </c>
      <c r="J420" s="10" t="str">
        <f>VLOOKUP(A420,[4]REPUESTOS!$B:$FY,180,FALSE)</f>
        <v>Si</v>
      </c>
    </row>
    <row r="421" spans="1:10" x14ac:dyDescent="0.3">
      <c r="A421" s="10" t="s">
        <v>835</v>
      </c>
      <c r="B421" s="10" t="s">
        <v>834</v>
      </c>
      <c r="C421" s="17">
        <f>IFERROR(VLOOKUP(A421,[1]REPUESTOS!$A:$D,4,FALSE),"")</f>
        <v>42859</v>
      </c>
      <c r="D421" s="18">
        <f>IFERROR(VLOOKUP(A421,[2]REPUESTOS!$A:$R,18,FALSE),C421)</f>
        <v>42859</v>
      </c>
      <c r="E421" s="19">
        <f t="shared" si="21"/>
        <v>0</v>
      </c>
      <c r="F421" s="10" t="str">
        <f>VLOOKUP(A421,[3]data!$W:$Z,4,FALSE)</f>
        <v>Si</v>
      </c>
      <c r="G421" s="10" t="str">
        <f t="shared" si="22"/>
        <v>TAPA INTERIOR LAVAINTERIOR</v>
      </c>
      <c r="H421" s="19">
        <f>IFERROR(VLOOKUP(A421,[2]REPUESTOS!$A:$S,19,FALSE),"SIN ANÁLISIS")</f>
        <v>0</v>
      </c>
      <c r="I421" s="19">
        <f t="shared" si="23"/>
        <v>0</v>
      </c>
      <c r="J421" s="10" t="str">
        <f>VLOOKUP(A421,[4]REPUESTOS!$B:$FY,180,FALSE)</f>
        <v>Si</v>
      </c>
    </row>
    <row r="422" spans="1:10" x14ac:dyDescent="0.3">
      <c r="A422" s="10" t="s">
        <v>837</v>
      </c>
      <c r="B422" s="10" t="s">
        <v>836</v>
      </c>
      <c r="C422" s="17">
        <f>IFERROR(VLOOKUP(A422,[1]REPUESTOS!$A:$D,4,FALSE),"")</f>
        <v>43750</v>
      </c>
      <c r="D422" s="18">
        <f>IFERROR(VLOOKUP(A422,[2]REPUESTOS!$A:$R,18,FALSE),C422)</f>
        <v>52372.493656784754</v>
      </c>
      <c r="E422" s="19">
        <f t="shared" si="21"/>
        <v>0.19708556929793725</v>
      </c>
      <c r="F422" s="10" t="str">
        <f>VLOOKUP(A422,[3]data!$W:$Z,4,FALSE)</f>
        <v>Si</v>
      </c>
      <c r="G422" s="10" t="str">
        <f t="shared" si="22"/>
        <v>GATILLO PISTOLA NO PERDENTE AZUL</v>
      </c>
      <c r="H422" s="19">
        <f>IFERROR(VLOOKUP(A422,[2]REPUESTOS!$A:$S,19,FALSE),"SIN ANÁLISIS")</f>
        <v>0.19708556929793725</v>
      </c>
      <c r="I422" s="19">
        <f t="shared" si="23"/>
        <v>0</v>
      </c>
      <c r="J422" s="10" t="str">
        <f>VLOOKUP(A422,[4]REPUESTOS!$B:$FY,180,FALSE)</f>
        <v>Si</v>
      </c>
    </row>
    <row r="423" spans="1:10" x14ac:dyDescent="0.3">
      <c r="A423" s="10" t="s">
        <v>839</v>
      </c>
      <c r="B423" s="10" t="s">
        <v>838</v>
      </c>
      <c r="C423" s="17">
        <f>IFERROR(VLOOKUP(A423,[1]REPUESTOS!$A:$D,4,FALSE),"")</f>
        <v>43750</v>
      </c>
      <c r="D423" s="18">
        <f>IFERROR(VLOOKUP(A423,[2]REPUESTOS!$A:$R,18,FALSE),C423)</f>
        <v>43750</v>
      </c>
      <c r="E423" s="19">
        <f t="shared" si="21"/>
        <v>0</v>
      </c>
      <c r="F423" s="10" t="str">
        <f>VLOOKUP(A423,[3]data!$W:$Z,4,FALSE)</f>
        <v>Si</v>
      </c>
      <c r="G423" s="10" t="str">
        <f t="shared" si="22"/>
        <v>GATILLO PISTOLA PERDENTE CELESTE</v>
      </c>
      <c r="H423" s="19">
        <f>IFERROR(VLOOKUP(A423,[2]REPUESTOS!$A:$S,19,FALSE),"SIN ANÁLISIS")</f>
        <v>0</v>
      </c>
      <c r="I423" s="19">
        <f t="shared" si="23"/>
        <v>0</v>
      </c>
      <c r="J423" s="10" t="str">
        <f>VLOOKUP(A423,[4]REPUESTOS!$B:$FY,180,FALSE)</f>
        <v>Si</v>
      </c>
    </row>
    <row r="424" spans="1:10" x14ac:dyDescent="0.3">
      <c r="A424" s="10" t="s">
        <v>841</v>
      </c>
      <c r="B424" s="10" t="s">
        <v>840</v>
      </c>
      <c r="C424" s="17">
        <f>IFERROR(VLOOKUP(A424,[1]REPUESTOS!$A:$D,4,FALSE),"")</f>
        <v>9500</v>
      </c>
      <c r="D424" s="18">
        <f>IFERROR(VLOOKUP(A424,[2]REPUESTOS!$A:$R,18,FALSE),C424)</f>
        <v>9500</v>
      </c>
      <c r="E424" s="19">
        <f t="shared" si="21"/>
        <v>0</v>
      </c>
      <c r="F424" s="10" t="str">
        <f>VLOOKUP(A424,[3]data!$W:$Z,4,FALSE)</f>
        <v>Si</v>
      </c>
      <c r="G424" s="10" t="str">
        <f t="shared" si="22"/>
        <v>CODO 3/8 HIHI</v>
      </c>
      <c r="H424" s="19">
        <f>IFERROR(VLOOKUP(A424,[2]REPUESTOS!$A:$S,19,FALSE),"SIN ANÁLISIS")</f>
        <v>0</v>
      </c>
      <c r="I424" s="19">
        <f t="shared" si="23"/>
        <v>0</v>
      </c>
      <c r="J424" s="10" t="str">
        <f>VLOOKUP(A424,[4]REPUESTOS!$B:$FY,180,FALSE)</f>
        <v>Si</v>
      </c>
    </row>
    <row r="425" spans="1:10" x14ac:dyDescent="0.3">
      <c r="A425" s="10" t="s">
        <v>843</v>
      </c>
      <c r="B425" s="10" t="s">
        <v>842</v>
      </c>
      <c r="C425" s="17">
        <f>IFERROR(VLOOKUP(A425,[1]REPUESTOS!$A:$D,4,FALSE),"")</f>
        <v>8000</v>
      </c>
      <c r="D425" s="18">
        <f>IFERROR(VLOOKUP(A425,[2]REPUESTOS!$A:$R,18,FALSE),C425)</f>
        <v>8000</v>
      </c>
      <c r="E425" s="19">
        <f t="shared" si="21"/>
        <v>0</v>
      </c>
      <c r="F425" s="10" t="str">
        <f>VLOOKUP(A425,[3]data!$W:$Z,4,FALSE)</f>
        <v>Si</v>
      </c>
      <c r="G425" s="10" t="str">
        <f t="shared" si="22"/>
        <v>CERRADURA TUBULAR</v>
      </c>
      <c r="H425" s="19">
        <f>IFERROR(VLOOKUP(A425,[2]REPUESTOS!$A:$S,19,FALSE),"SIN ANÁLISIS")</f>
        <v>0</v>
      </c>
      <c r="I425" s="19">
        <f t="shared" si="23"/>
        <v>0</v>
      </c>
      <c r="J425" s="10" t="str">
        <f>VLOOKUP(A425,[4]REPUESTOS!$B:$FY,180,FALSE)</f>
        <v>Si</v>
      </c>
    </row>
    <row r="426" spans="1:10" x14ac:dyDescent="0.3">
      <c r="A426" s="10" t="s">
        <v>845</v>
      </c>
      <c r="B426" s="10" t="s">
        <v>844</v>
      </c>
      <c r="C426" s="17">
        <f>IFERROR(VLOOKUP(A426,[1]REPUESTOS!$A:$D,4,FALSE),"")</f>
        <v>9375</v>
      </c>
      <c r="D426" s="18">
        <f>IFERROR(VLOOKUP(A426,[2]REPUESTOS!$A:$R,18,FALSE),C426)</f>
        <v>9375</v>
      </c>
      <c r="E426" s="19">
        <f t="shared" si="21"/>
        <v>0</v>
      </c>
      <c r="F426" s="10" t="str">
        <f>VLOOKUP(A426,[3]data!$W:$Z,4,FALSE)</f>
        <v>Si</v>
      </c>
      <c r="G426" s="10" t="str">
        <f t="shared" si="22"/>
        <v>CODO 3/8 HE 1/4HI BROCE</v>
      </c>
      <c r="H426" s="19">
        <f>IFERROR(VLOOKUP(A426,[2]REPUESTOS!$A:$S,19,FALSE),"SIN ANÁLISIS")</f>
        <v>0</v>
      </c>
      <c r="I426" s="19">
        <f t="shared" si="23"/>
        <v>0</v>
      </c>
      <c r="J426" s="10" t="str">
        <f>VLOOKUP(A426,[4]REPUESTOS!$B:$FY,180,FALSE)</f>
        <v>Si</v>
      </c>
    </row>
    <row r="427" spans="1:10" x14ac:dyDescent="0.3">
      <c r="A427" s="10" t="s">
        <v>846</v>
      </c>
      <c r="B427" s="10" t="s">
        <v>913</v>
      </c>
      <c r="C427" s="17">
        <f>IFERROR(VLOOKUP(A427,[1]REPUESTOS!$A:$D,4,FALSE),"")</f>
        <v>846667</v>
      </c>
      <c r="D427" s="18">
        <f>IFERROR(VLOOKUP(A427,[2]REPUESTOS!$A:$R,18,FALSE),C427)</f>
        <v>846667</v>
      </c>
      <c r="E427" s="19">
        <f t="shared" si="21"/>
        <v>0</v>
      </c>
      <c r="F427" s="10" t="str">
        <f>VLOOKUP(A427,[3]data!$W:$Z,4,FALSE)</f>
        <v>Si</v>
      </c>
      <c r="G427" s="10" t="str">
        <f t="shared" si="22"/>
        <v>BOMBA INTER W154</v>
      </c>
      <c r="H427" s="19">
        <f>IFERROR(VLOOKUP(A427,[2]REPUESTOS!$A:$S,19,FALSE),"SIN ANÁLISIS")</f>
        <v>0</v>
      </c>
      <c r="I427" s="19">
        <f t="shared" si="23"/>
        <v>0</v>
      </c>
      <c r="J427" s="10" t="str">
        <f>VLOOKUP(A427,[4]REPUESTOS!$B:$FY,180,FALSE)</f>
        <v>Si</v>
      </c>
    </row>
    <row r="428" spans="1:10" x14ac:dyDescent="0.3">
      <c r="A428" s="10" t="s">
        <v>848</v>
      </c>
      <c r="B428" s="10" t="s">
        <v>847</v>
      </c>
      <c r="C428" s="17">
        <f>IFERROR(VLOOKUP(A428,[1]REPUESTOS!$A:$D,4,FALSE),"")</f>
        <v>110737</v>
      </c>
      <c r="D428" s="18">
        <f>IFERROR(VLOOKUP(A428,[2]REPUESTOS!$A:$R,18,FALSE),C428)</f>
        <v>110737</v>
      </c>
      <c r="E428" s="19">
        <f t="shared" si="21"/>
        <v>0</v>
      </c>
      <c r="F428" s="10" t="str">
        <f>VLOOKUP(A428,[3]data!$W:$Z,4,FALSE)</f>
        <v>Si</v>
      </c>
      <c r="G428" s="10" t="str">
        <f t="shared" si="22"/>
        <v>KIT 127 ANILLOS AGUA BOMBA INTER SHELL</v>
      </c>
      <c r="H428" s="19">
        <f>IFERROR(VLOOKUP(A428,[2]REPUESTOS!$A:$S,19,FALSE),"SIN ANÁLISIS")</f>
        <v>0</v>
      </c>
      <c r="I428" s="19">
        <f t="shared" si="23"/>
        <v>0</v>
      </c>
      <c r="J428" s="10" t="str">
        <f>VLOOKUP(A428,[4]REPUESTOS!$B:$FY,180,FALSE)</f>
        <v>Si</v>
      </c>
    </row>
    <row r="429" spans="1:10" x14ac:dyDescent="0.3">
      <c r="A429" s="10" t="s">
        <v>850</v>
      </c>
      <c r="B429" s="10" t="s">
        <v>849</v>
      </c>
      <c r="C429" s="17">
        <f>IFERROR(VLOOKUP(A429,[1]REPUESTOS!$A:$D,4,FALSE),"")</f>
        <v>11562</v>
      </c>
      <c r="D429" s="18">
        <f>IFERROR(VLOOKUP(A429,[2]REPUESTOS!$A:$R,18,FALSE),C429)</f>
        <v>11562</v>
      </c>
      <c r="E429" s="19">
        <f t="shared" si="21"/>
        <v>0</v>
      </c>
      <c r="F429" s="10" t="str">
        <f>VLOOKUP(A429,[3]data!$W:$Z,4,FALSE)</f>
        <v>Si</v>
      </c>
      <c r="G429" s="10" t="str">
        <f t="shared" si="22"/>
        <v>KIT 129 ANILLO EXPANSOR BOMBA INTER SHELL</v>
      </c>
      <c r="H429" s="19">
        <f>IFERROR(VLOOKUP(A429,[2]REPUESTOS!$A:$S,19,FALSE),"SIN ANÁLISIS")</f>
        <v>0</v>
      </c>
      <c r="I429" s="19">
        <f t="shared" si="23"/>
        <v>0</v>
      </c>
      <c r="J429" s="10" t="str">
        <f>VLOOKUP(A429,[4]REPUESTOS!$B:$FY,180,FALSE)</f>
        <v>Si</v>
      </c>
    </row>
    <row r="430" spans="1:10" x14ac:dyDescent="0.3">
      <c r="A430" s="10" t="s">
        <v>852</v>
      </c>
      <c r="B430" s="10" t="s">
        <v>851</v>
      </c>
      <c r="C430" s="17">
        <f>IFERROR(VLOOKUP(A430,[1]REPUESTOS!$A:$D,4,FALSE),"")</f>
        <v>93778</v>
      </c>
      <c r="D430" s="18">
        <f>IFERROR(VLOOKUP(A430,[2]REPUESTOS!$A:$R,18,FALSE),C430)</f>
        <v>93778</v>
      </c>
      <c r="E430" s="19">
        <f t="shared" si="21"/>
        <v>0</v>
      </c>
      <c r="F430" s="10" t="str">
        <f>VLOOKUP(A430,[3]data!$W:$Z,4,FALSE)</f>
        <v>Si</v>
      </c>
      <c r="G430" s="10" t="str">
        <f t="shared" si="22"/>
        <v>KIT 123 VALVULAS ASPIRACION BOMBA INTER SHELL</v>
      </c>
      <c r="H430" s="19">
        <f>IFERROR(VLOOKUP(A430,[2]REPUESTOS!$A:$S,19,FALSE),"SIN ANÁLISIS")</f>
        <v>0</v>
      </c>
      <c r="I430" s="19">
        <f t="shared" si="23"/>
        <v>0</v>
      </c>
      <c r="J430" s="10" t="str">
        <f>VLOOKUP(A430,[4]REPUESTOS!$B:$FY,180,FALSE)</f>
        <v>Si</v>
      </c>
    </row>
    <row r="431" spans="1:10" x14ac:dyDescent="0.3">
      <c r="A431" s="10" t="s">
        <v>854</v>
      </c>
      <c r="B431" s="10" t="s">
        <v>853</v>
      </c>
      <c r="C431" s="17">
        <f>IFERROR(VLOOKUP(A431,[1]REPUESTOS!$A:$D,4,FALSE),"")</f>
        <v>31310</v>
      </c>
      <c r="D431" s="18">
        <f>IFERROR(VLOOKUP(A431,[2]REPUESTOS!$A:$R,18,FALSE),C431)</f>
        <v>31310</v>
      </c>
      <c r="E431" s="19">
        <f t="shared" si="21"/>
        <v>0</v>
      </c>
      <c r="F431" s="10" t="str">
        <f>VLOOKUP(A431,[3]data!$W:$Z,4,FALSE)</f>
        <v>Si</v>
      </c>
      <c r="G431" s="10" t="str">
        <f t="shared" si="22"/>
        <v>KIT 23 SELLOS BOMBA INTER SHELL</v>
      </c>
      <c r="H431" s="19">
        <f>IFERROR(VLOOKUP(A431,[2]REPUESTOS!$A:$S,19,FALSE),"SIN ANÁLISIS")</f>
        <v>0</v>
      </c>
      <c r="I431" s="19">
        <f t="shared" si="23"/>
        <v>0</v>
      </c>
      <c r="J431" s="10" t="str">
        <f>VLOOKUP(A431,[4]REPUESTOS!$B:$FY,180,FALSE)</f>
        <v>Si</v>
      </c>
    </row>
    <row r="432" spans="1:10" x14ac:dyDescent="0.3">
      <c r="A432" s="10" t="s">
        <v>856</v>
      </c>
      <c r="B432" s="10" t="s">
        <v>855</v>
      </c>
      <c r="C432" s="17">
        <f>IFERROR(VLOOKUP(A432,[1]REPUESTOS!$A:$D,4,FALSE),"")</f>
        <v>36235</v>
      </c>
      <c r="D432" s="18">
        <f>IFERROR(VLOOKUP(A432,[2]REPUESTOS!$A:$R,18,FALSE),C432)</f>
        <v>36235</v>
      </c>
      <c r="E432" s="19">
        <f t="shared" si="21"/>
        <v>0</v>
      </c>
      <c r="F432" s="10" t="str">
        <f>VLOOKUP(A432,[3]data!$W:$Z,4,FALSE)</f>
        <v>Si</v>
      </c>
      <c r="G432" s="10" t="str">
        <f t="shared" si="22"/>
        <v>LANZA CURVA 600MM</v>
      </c>
      <c r="H432" s="19">
        <f>IFERROR(VLOOKUP(A432,[2]REPUESTOS!$A:$S,19,FALSE),"SIN ANÁLISIS")</f>
        <v>0</v>
      </c>
      <c r="I432" s="19">
        <f t="shared" si="23"/>
        <v>0</v>
      </c>
      <c r="J432" s="10" t="str">
        <f>VLOOKUP(A432,[4]REPUESTOS!$B:$FY,180,FALSE)</f>
        <v>Si</v>
      </c>
    </row>
    <row r="433" spans="1:10" x14ac:dyDescent="0.3">
      <c r="A433" s="10" t="s">
        <v>858</v>
      </c>
      <c r="B433" s="10" t="s">
        <v>857</v>
      </c>
      <c r="C433" s="17">
        <f>IFERROR(VLOOKUP(A433,[1]REPUESTOS!$A:$D,4,FALSE),"")</f>
        <v>4603</v>
      </c>
      <c r="D433" s="18">
        <f>IFERROR(VLOOKUP(A433,[2]REPUESTOS!$A:$R,18,FALSE),C433)</f>
        <v>4312.0458959816906</v>
      </c>
      <c r="E433" s="19">
        <f t="shared" si="21"/>
        <v>-6.3209668481057871E-2</v>
      </c>
      <c r="F433" s="10" t="str">
        <f>VLOOKUP(A433,[3]data!$W:$Z,4,FALSE)</f>
        <v>Si</v>
      </c>
      <c r="G433" s="10" t="str">
        <f t="shared" si="22"/>
        <v>GUIA ASTA MSELF</v>
      </c>
      <c r="H433" s="19">
        <f>IFERROR(VLOOKUP(A433,[2]REPUESTOS!$A:$S,19,FALSE),"SIN ANÁLISIS")</f>
        <v>-6.3205901828932667E-2</v>
      </c>
      <c r="I433" s="19">
        <f t="shared" si="23"/>
        <v>3.7666521252033291E-6</v>
      </c>
      <c r="J433" s="10" t="str">
        <f>VLOOKUP(A433,[4]REPUESTOS!$B:$FY,180,FALSE)</f>
        <v>Si</v>
      </c>
    </row>
    <row r="434" spans="1:10" x14ac:dyDescent="0.3">
      <c r="A434" s="10" t="s">
        <v>860</v>
      </c>
      <c r="B434" s="10" t="s">
        <v>859</v>
      </c>
      <c r="C434" s="17">
        <f>IFERROR(VLOOKUP(A434,[1]REPUESTOS!$A:$D,4,FALSE),"")</f>
        <v>12400</v>
      </c>
      <c r="D434" s="18">
        <f>IFERROR(VLOOKUP(A434,[2]REPUESTOS!$A:$R,18,FALSE),C434)</f>
        <v>11616.240247169757</v>
      </c>
      <c r="E434" s="19">
        <f t="shared" si="21"/>
        <v>-6.3206431679858316E-2</v>
      </c>
      <c r="F434" s="10" t="str">
        <f>VLOOKUP(A434,[3]data!$W:$Z,4,FALSE)</f>
        <v>Si</v>
      </c>
      <c r="G434" s="10" t="str">
        <f t="shared" si="22"/>
        <v>ASTA MSELF</v>
      </c>
      <c r="H434" s="19">
        <f>IFERROR(VLOOKUP(A434,[2]REPUESTOS!$A:$S,19,FALSE),"SIN ANÁLISIS")</f>
        <v>-6.3205901828932709E-2</v>
      </c>
      <c r="I434" s="19">
        <f t="shared" si="23"/>
        <v>5.2985092560686731E-7</v>
      </c>
      <c r="J434" s="10" t="str">
        <f>VLOOKUP(A434,[4]REPUESTOS!$B:$FY,180,FALSE)</f>
        <v>Si</v>
      </c>
    </row>
    <row r="435" spans="1:10" x14ac:dyDescent="0.3">
      <c r="A435" s="10" t="s">
        <v>862</v>
      </c>
      <c r="B435" s="10" t="s">
        <v>861</v>
      </c>
      <c r="C435" s="17">
        <f>IFERROR(VLOOKUP(A435,[1]REPUESTOS!$A:$D,4,FALSE),"")</f>
        <v>11249</v>
      </c>
      <c r="D435" s="18">
        <f>IFERROR(VLOOKUP(A435,[2]REPUESTOS!$A:$R,18,FALSE),C435)</f>
        <v>10538.228773174334</v>
      </c>
      <c r="E435" s="19">
        <f t="shared" si="21"/>
        <v>-6.3185281076154814E-2</v>
      </c>
      <c r="F435" s="10" t="str">
        <f>VLOOKUP(A435,[3]data!$W:$Z,4,FALSE)</f>
        <v>Si</v>
      </c>
      <c r="G435" s="10" t="str">
        <f t="shared" si="22"/>
        <v>UNION CENTRAL MSELF</v>
      </c>
      <c r="H435" s="19">
        <f>IFERROR(VLOOKUP(A435,[2]REPUESTOS!$A:$S,19,FALSE),"SIN ANÁLISIS")</f>
        <v>-6.3205901828932709E-2</v>
      </c>
      <c r="I435" s="19">
        <f t="shared" si="23"/>
        <v>-2.0620752777894547E-5</v>
      </c>
      <c r="J435" s="10" t="str">
        <f>VLOOKUP(A435,[4]REPUESTOS!$B:$FY,180,FALSE)</f>
        <v>Si</v>
      </c>
    </row>
    <row r="436" spans="1:10" x14ac:dyDescent="0.3">
      <c r="A436" s="10" t="s">
        <v>864</v>
      </c>
      <c r="B436" s="10" t="s">
        <v>863</v>
      </c>
      <c r="C436" s="17">
        <f>IFERROR(VLOOKUP(A436,[1]REPUESTOS!$A:$D,4,FALSE),"")</f>
        <v>9378</v>
      </c>
      <c r="D436" s="18">
        <f>IFERROR(VLOOKUP(A436,[2]REPUESTOS!$A:$R,18,FALSE),C436)</f>
        <v>8785.0316674980313</v>
      </c>
      <c r="E436" s="19">
        <f t="shared" si="21"/>
        <v>-6.322972195585079E-2</v>
      </c>
      <c r="F436" s="10" t="str">
        <f>VLOOKUP(A436,[3]data!$W:$Z,4,FALSE)</f>
        <v>Si</v>
      </c>
      <c r="G436" s="10" t="str">
        <f t="shared" si="22"/>
        <v>BOQUILLA RECTA DE LATON 1/2</v>
      </c>
      <c r="H436" s="19">
        <f>IFERROR(VLOOKUP(A436,[2]REPUESTOS!$A:$S,19,FALSE),"SIN ANÁLISIS")</f>
        <v>-6.3205901828932834E-2</v>
      </c>
      <c r="I436" s="19">
        <f t="shared" si="23"/>
        <v>2.3820126917956097E-5</v>
      </c>
      <c r="J436" s="10" t="str">
        <f>VLOOKUP(A436,[4]REPUESTOS!$B:$FY,180,FALSE)</f>
        <v>Si</v>
      </c>
    </row>
    <row r="437" spans="1:10" x14ac:dyDescent="0.3">
      <c r="A437" s="10" t="s">
        <v>866</v>
      </c>
      <c r="B437" s="10" t="s">
        <v>865</v>
      </c>
      <c r="C437" s="17">
        <f>IFERROR(VLOOKUP(A437,[1]REPUESTOS!$A:$D,4,FALSE),"")</f>
        <v>17999</v>
      </c>
      <c r="D437" s="18">
        <f>IFERROR(VLOOKUP(A437,[2]REPUESTOS!$A:$R,18,FALSE),C437)</f>
        <v>16861.546959861265</v>
      </c>
      <c r="E437" s="19">
        <f t="shared" si="21"/>
        <v>-6.3195346415841694E-2</v>
      </c>
      <c r="F437" s="10" t="str">
        <f>VLOOKUP(A437,[3]data!$W:$Z,4,FALSE)</f>
        <v>Si</v>
      </c>
      <c r="G437" s="10" t="str">
        <f t="shared" si="22"/>
        <v>VALVULA 3/4 RECTA</v>
      </c>
      <c r="H437" s="19">
        <f>IFERROR(VLOOKUP(A437,[2]REPUESTOS!$A:$S,19,FALSE),"SIN ANÁLISIS")</f>
        <v>-6.3205901828932667E-2</v>
      </c>
      <c r="I437" s="19">
        <f t="shared" si="23"/>
        <v>-1.055541309097352E-5</v>
      </c>
      <c r="J437" s="10" t="str">
        <f>VLOOKUP(A437,[4]REPUESTOS!$B:$FY,180,FALSE)</f>
        <v>Si</v>
      </c>
    </row>
    <row r="438" spans="1:10" x14ac:dyDescent="0.3">
      <c r="A438" s="10" t="s">
        <v>868</v>
      </c>
      <c r="B438" s="10" t="s">
        <v>867</v>
      </c>
      <c r="C438" s="17">
        <f>IFERROR(VLOOKUP(A438,[1]REPUESTOS!$A:$D,4,FALSE),"")</f>
        <v>12366</v>
      </c>
      <c r="D438" s="18">
        <f>IFERROR(VLOOKUP(A438,[2]REPUESTOS!$A:$R,18,FALSE),C438)</f>
        <v>11584.814117627488</v>
      </c>
      <c r="E438" s="19">
        <f t="shared" si="21"/>
        <v>-6.3172075236334502E-2</v>
      </c>
      <c r="F438" s="10" t="str">
        <f>VLOOKUP(A438,[3]data!$W:$Z,4,FALSE)</f>
        <v>Si</v>
      </c>
      <c r="G438" s="10" t="str">
        <f t="shared" si="22"/>
        <v>BOQUILLA CROMADA RECTA 3/4</v>
      </c>
      <c r="H438" s="19">
        <f>IFERROR(VLOOKUP(A438,[2]REPUESTOS!$A:$S,19,FALSE),"SIN ANÁLISIS")</f>
        <v>-6.3205901828932695E-2</v>
      </c>
      <c r="I438" s="19">
        <f t="shared" si="23"/>
        <v>-3.3826592598193428E-5</v>
      </c>
      <c r="J438" s="10" t="str">
        <f>VLOOKUP(A438,[4]REPUESTOS!$B:$FY,180,FALSE)</f>
        <v>Si</v>
      </c>
    </row>
    <row r="439" spans="1:10" x14ac:dyDescent="0.3">
      <c r="A439" s="10" t="s">
        <v>870</v>
      </c>
      <c r="B439" s="10" t="s">
        <v>869</v>
      </c>
      <c r="C439" s="17">
        <f>IFERROR(VLOOKUP(A439,[1]REPUESTOS!$A:$D,4,FALSE),"")</f>
        <v>69936</v>
      </c>
      <c r="D439" s="18">
        <f>IFERROR(VLOOKUP(A439,[2]REPUESTOS!$A:$R,18,FALSE),C439)</f>
        <v>65515.861639985058</v>
      </c>
      <c r="E439" s="19">
        <f t="shared" si="21"/>
        <v>-6.3202618966125348E-2</v>
      </c>
      <c r="F439" s="10" t="str">
        <f>VLOOKUP(A439,[3]data!$W:$Z,4,FALSE)</f>
        <v>Si</v>
      </c>
      <c r="G439" s="10" t="str">
        <f t="shared" si="22"/>
        <v>MANGUEA ROJA 4.7 METROS</v>
      </c>
      <c r="H439" s="19">
        <f>IFERROR(VLOOKUP(A439,[2]REPUESTOS!$A:$S,19,FALSE),"SIN ANÁLISIS")</f>
        <v>-6.3205901828932709E-2</v>
      </c>
      <c r="I439" s="19">
        <f t="shared" si="23"/>
        <v>-3.2828628073605648E-6</v>
      </c>
      <c r="J439" s="10" t="str">
        <f>VLOOKUP(A439,[4]REPUESTOS!$B:$FY,180,FALSE)</f>
        <v>Si</v>
      </c>
    </row>
    <row r="440" spans="1:10" x14ac:dyDescent="0.3">
      <c r="A440" s="10" t="s">
        <v>872</v>
      </c>
      <c r="B440" s="10" t="s">
        <v>871</v>
      </c>
      <c r="C440" s="17">
        <f>IFERROR(VLOOKUP(A440,[1]REPUESTOS!$A:$D,4,FALSE),"")</f>
        <v>43144</v>
      </c>
      <c r="D440" s="18">
        <f>IFERROR(VLOOKUP(A440,[2]REPUESTOS!$A:$R,18,FALSE),C440)</f>
        <v>40416.859512225907</v>
      </c>
      <c r="E440" s="19">
        <f t="shared" si="21"/>
        <v>-6.3210191168507637E-2</v>
      </c>
      <c r="F440" s="10" t="str">
        <f>VLOOKUP(A440,[3]data!$W:$Z,4,FALSE)</f>
        <v>Si</v>
      </c>
      <c r="G440" s="10" t="str">
        <f t="shared" si="22"/>
        <v>BISAGRA DE ASPIRADO</v>
      </c>
      <c r="H440" s="19">
        <f>IFERROR(VLOOKUP(A440,[2]REPUESTOS!$A:$S,19,FALSE),"SIN ANÁLISIS")</f>
        <v>-6.3205901828932723E-2</v>
      </c>
      <c r="I440" s="19">
        <f t="shared" si="23"/>
        <v>4.289339574914397E-6</v>
      </c>
      <c r="J440" s="10" t="str">
        <f>VLOOKUP(A440,[4]REPUESTOS!$B:$FY,180,FALSE)</f>
        <v>Si</v>
      </c>
    </row>
    <row r="441" spans="1:10" x14ac:dyDescent="0.3">
      <c r="A441" s="10" t="s">
        <v>874</v>
      </c>
      <c r="B441" s="10" t="s">
        <v>873</v>
      </c>
      <c r="C441" s="17">
        <f>IFERROR(VLOOKUP(A441,[1]REPUESTOS!$A:$D,4,FALSE),"")</f>
        <v>17175</v>
      </c>
      <c r="D441" s="18">
        <f>IFERROR(VLOOKUP(A441,[2]REPUESTOS!$A:$R,18,FALSE),C441)</f>
        <v>16089.226018686099</v>
      </c>
      <c r="E441" s="19">
        <f t="shared" si="21"/>
        <v>-6.3218281299208243E-2</v>
      </c>
      <c r="F441" s="10" t="str">
        <f>VLOOKUP(A441,[3]data!$W:$Z,4,FALSE)</f>
        <v>Si</v>
      </c>
      <c r="G441" s="10" t="str">
        <f t="shared" si="22"/>
        <v>MARCO NEGRO DE PUERTA DE ASPIRADO</v>
      </c>
      <c r="H441" s="19">
        <f>IFERROR(VLOOKUP(A441,[2]REPUESTOS!$A:$S,19,FALSE),"SIN ANÁLISIS")</f>
        <v>-6.3205901828932778E-2</v>
      </c>
      <c r="I441" s="19">
        <f t="shared" si="23"/>
        <v>1.2379470275464266E-5</v>
      </c>
      <c r="J441" s="10" t="str">
        <f>VLOOKUP(A441,[4]REPUESTOS!$B:$FY,180,FALSE)</f>
        <v>Si</v>
      </c>
    </row>
    <row r="442" spans="1:10" x14ac:dyDescent="0.3">
      <c r="A442" s="10" t="s">
        <v>876</v>
      </c>
      <c r="B442" s="10" t="s">
        <v>875</v>
      </c>
      <c r="C442" s="17">
        <f>IFERROR(VLOOKUP(A442,[1]REPUESTOS!$A:$D,4,FALSE),"")</f>
        <v>25539</v>
      </c>
      <c r="D442" s="18">
        <f>IFERROR(VLOOKUP(A442,[2]REPUESTOS!$A:$R,18,FALSE),C442)</f>
        <v>23924.807651225266</v>
      </c>
      <c r="E442" s="19">
        <f t="shared" si="21"/>
        <v>-6.3204994274432574E-2</v>
      </c>
      <c r="F442" s="10" t="str">
        <f>VLOOKUP(A442,[3]data!$W:$Z,4,FALSE)</f>
        <v>Si</v>
      </c>
      <c r="G442" s="10" t="str">
        <f t="shared" si="22"/>
        <v>ASTA SUPERIOR E INFERIOR ASPIRADO</v>
      </c>
      <c r="H442" s="19">
        <f>IFERROR(VLOOKUP(A442,[2]REPUESTOS!$A:$S,19,FALSE),"SIN ANÁLISIS")</f>
        <v>-6.3205901828932778E-2</v>
      </c>
      <c r="I442" s="19">
        <f t="shared" si="23"/>
        <v>-9.0755450020407746E-7</v>
      </c>
      <c r="J442" s="10" t="str">
        <f>VLOOKUP(A442,[4]REPUESTOS!$B:$FY,180,FALSE)</f>
        <v>Si</v>
      </c>
    </row>
    <row r="443" spans="1:10" x14ac:dyDescent="0.3">
      <c r="A443" s="10" t="s">
        <v>878</v>
      </c>
      <c r="B443" s="10" t="s">
        <v>877</v>
      </c>
      <c r="C443" s="17">
        <f>IFERROR(VLOOKUP(A443,[1]REPUESTOS!$A:$D,4,FALSE),"")</f>
        <v>1253</v>
      </c>
      <c r="D443" s="18">
        <f>IFERROR(VLOOKUP(A443,[2]REPUESTOS!$A:$R,18,FALSE),C443)</f>
        <v>1174.1944765338833</v>
      </c>
      <c r="E443" s="19">
        <f t="shared" si="21"/>
        <v>-6.2893474434251168E-2</v>
      </c>
      <c r="F443" s="10" t="str">
        <f>VLOOKUP(A443,[3]data!$W:$Z,4,FALSE)</f>
        <v>Si</v>
      </c>
      <c r="G443" s="10" t="str">
        <f t="shared" si="22"/>
        <v>STIKER PARADA EMERGENCIA ASPIRADO</v>
      </c>
      <c r="H443" s="19">
        <f>IFERROR(VLOOKUP(A443,[2]REPUESTOS!$A:$S,19,FALSE),"SIN ANÁLISIS")</f>
        <v>-6.3205901828932792E-2</v>
      </c>
      <c r="I443" s="19">
        <f t="shared" si="23"/>
        <v>-3.1242739468162473E-4</v>
      </c>
      <c r="J443" s="10" t="str">
        <f>VLOOKUP(A443,[4]REPUESTOS!$B:$FY,180,FALSE)</f>
        <v>Si</v>
      </c>
    </row>
    <row r="444" spans="1:10" x14ac:dyDescent="0.3">
      <c r="A444" s="10" t="s">
        <v>880</v>
      </c>
      <c r="B444" s="10" t="s">
        <v>879</v>
      </c>
      <c r="C444" s="17">
        <f>IFERROR(VLOOKUP(A444,[1]REPUESTOS!$A:$D,4,FALSE),"")</f>
        <v>26750</v>
      </c>
      <c r="D444" s="18">
        <f>IFERROR(VLOOKUP(A444,[2]REPUESTOS!$A:$R,18,FALSE),C444)</f>
        <v>26750</v>
      </c>
      <c r="E444" s="19">
        <f t="shared" si="21"/>
        <v>0</v>
      </c>
      <c r="F444" s="10" t="str">
        <f>VLOOKUP(A444,[3]data!$W:$Z,4,FALSE)</f>
        <v>Si</v>
      </c>
      <c r="G444" s="10" t="str">
        <f t="shared" si="22"/>
        <v>FICHERO ELECTRONICO SHELL</v>
      </c>
      <c r="H444" s="19">
        <f>IFERROR(VLOOKUP(A444,[2]REPUESTOS!$A:$S,19,FALSE),"SIN ANÁLISIS")</f>
        <v>0</v>
      </c>
      <c r="I444" s="19">
        <f t="shared" si="23"/>
        <v>0</v>
      </c>
      <c r="J444" s="10" t="str">
        <f>VLOOKUP(A444,[4]REPUESTOS!$B:$FY,180,FALSE)</f>
        <v>Si</v>
      </c>
    </row>
    <row r="445" spans="1:10" x14ac:dyDescent="0.3">
      <c r="A445" s="10" t="s">
        <v>882</v>
      </c>
      <c r="B445" s="10" t="s">
        <v>881</v>
      </c>
      <c r="C445" s="17">
        <f>IFERROR(VLOOKUP(A445,[1]REPUESTOS!$A:$D,4,FALSE),"")</f>
        <v>961</v>
      </c>
      <c r="D445" s="18">
        <f>IFERROR(VLOOKUP(A445,[2]REPUESTOS!$A:$R,18,FALSE),C445)</f>
        <v>961</v>
      </c>
      <c r="E445" s="19">
        <f t="shared" si="21"/>
        <v>0</v>
      </c>
      <c r="F445" s="10" t="str">
        <f>VLOOKUP(A445,[3]data!$W:$Z,4,FALSE)</f>
        <v>Si</v>
      </c>
      <c r="G445" s="10" t="str">
        <f t="shared" si="22"/>
        <v>CAPUCHA SILICONA PULSADOR 22MM</v>
      </c>
      <c r="H445" s="19">
        <f>IFERROR(VLOOKUP(A445,[2]REPUESTOS!$A:$S,19,FALSE),"SIN ANÁLISIS")</f>
        <v>0</v>
      </c>
      <c r="I445" s="19">
        <f t="shared" si="23"/>
        <v>0</v>
      </c>
      <c r="J445" s="10" t="str">
        <f>VLOOKUP(A445,[4]REPUESTOS!$B:$FY,180,FALSE)</f>
        <v>Si</v>
      </c>
    </row>
    <row r="446" spans="1:10" x14ac:dyDescent="0.3">
      <c r="A446" s="10" t="s">
        <v>884</v>
      </c>
      <c r="B446" s="10" t="s">
        <v>883</v>
      </c>
      <c r="C446" s="17">
        <f>IFERROR(VLOOKUP(A446,[1]REPUESTOS!$A:$D,4,FALSE),"")</f>
        <v>56</v>
      </c>
      <c r="D446" s="18">
        <f>IFERROR(VLOOKUP(A446,[2]REPUESTOS!$A:$R,18,FALSE),C446)</f>
        <v>56</v>
      </c>
      <c r="E446" s="19">
        <f t="shared" si="21"/>
        <v>0</v>
      </c>
      <c r="F446" s="10" t="str">
        <f>VLOOKUP(A446,[3]data!$W:$Z,4,FALSE)</f>
        <v>Si</v>
      </c>
      <c r="G446" s="10" t="str">
        <f t="shared" si="22"/>
        <v>TAPA PULSADORES 22 MM</v>
      </c>
      <c r="H446" s="19">
        <f>IFERROR(VLOOKUP(A446,[2]REPUESTOS!$A:$S,19,FALSE),"SIN ANÁLISIS")</f>
        <v>0</v>
      </c>
      <c r="I446" s="19">
        <f t="shared" si="23"/>
        <v>0</v>
      </c>
      <c r="J446" s="10" t="str">
        <f>VLOOKUP(A446,[4]REPUESTOS!$B:$FY,180,FALSE)</f>
        <v>Si</v>
      </c>
    </row>
    <row r="447" spans="1:10" x14ac:dyDescent="0.3">
      <c r="A447" s="10" t="s">
        <v>886</v>
      </c>
      <c r="B447" s="10" t="s">
        <v>885</v>
      </c>
      <c r="C447" s="17">
        <f>IFERROR(VLOOKUP(A447,[1]REPUESTOS!$A:$D,4,FALSE),"")</f>
        <v>147000</v>
      </c>
      <c r="D447" s="18">
        <f>IFERROR(VLOOKUP(A447,[2]REPUESTOS!$A:$R,18,FALSE),C447)</f>
        <v>147000</v>
      </c>
      <c r="E447" s="19">
        <f t="shared" si="21"/>
        <v>0</v>
      </c>
      <c r="F447" s="10" t="str">
        <f>VLOOKUP(A447,[3]data!$W:$Z,4,FALSE)</f>
        <v>Si</v>
      </c>
      <c r="G447" s="10" t="str">
        <f t="shared" si="22"/>
        <v>VALVULA PULSAR BYPASS INCLUIDO</v>
      </c>
      <c r="H447" s="19">
        <f>IFERROR(VLOOKUP(A447,[2]REPUESTOS!$A:$S,19,FALSE),"SIN ANÁLISIS")</f>
        <v>0</v>
      </c>
      <c r="I447" s="19">
        <f t="shared" si="23"/>
        <v>0</v>
      </c>
      <c r="J447" s="10" t="str">
        <f>VLOOKUP(A447,[4]REPUESTOS!$B:$FY,180,FALSE)</f>
        <v>Si</v>
      </c>
    </row>
    <row r="448" spans="1:10" x14ac:dyDescent="0.3">
      <c r="A448" s="10" t="s">
        <v>888</v>
      </c>
      <c r="B448" s="10" t="s">
        <v>887</v>
      </c>
      <c r="C448" s="17">
        <f>IFERROR(VLOOKUP(A448,[1]REPUESTOS!$A:$D,4,FALSE),"")</f>
        <v>2626</v>
      </c>
      <c r="D448" s="18">
        <f>IFERROR(VLOOKUP(A448,[2]REPUESTOS!$A:$R,18,FALSE),C448)</f>
        <v>2626</v>
      </c>
      <c r="E448" s="19">
        <f t="shared" si="21"/>
        <v>0</v>
      </c>
      <c r="F448" s="10" t="str">
        <f>VLOOKUP(A448,[3]data!$W:$Z,4,FALSE)</f>
        <v>Si</v>
      </c>
      <c r="G448" s="10" t="str">
        <f t="shared" si="22"/>
        <v>NIPLE RECTO 3/8 3/8 BRONCE</v>
      </c>
      <c r="H448" s="19">
        <f>IFERROR(VLOOKUP(A448,[2]REPUESTOS!$A:$S,19,FALSE),"SIN ANÁLISIS")</f>
        <v>0</v>
      </c>
      <c r="I448" s="19">
        <f t="shared" si="23"/>
        <v>0</v>
      </c>
      <c r="J448" s="10" t="str">
        <f>VLOOKUP(A448,[4]REPUESTOS!$B:$FY,180,FALSE)</f>
        <v>Si</v>
      </c>
    </row>
    <row r="449" spans="1:10" x14ac:dyDescent="0.3">
      <c r="A449" s="10" t="s">
        <v>890</v>
      </c>
      <c r="B449" s="10" t="s">
        <v>889</v>
      </c>
      <c r="C449" s="17">
        <f>IFERROR(VLOOKUP(A449,[1]REPUESTOS!$A:$D,4,FALSE),"")</f>
        <v>484</v>
      </c>
      <c r="D449" s="18">
        <f>IFERROR(VLOOKUP(A449,[2]REPUESTOS!$A:$R,18,FALSE),C449)</f>
        <v>551</v>
      </c>
      <c r="E449" s="19">
        <f t="shared" si="21"/>
        <v>0.13842975206611571</v>
      </c>
      <c r="F449" s="10" t="str">
        <f>VLOOKUP(A449,[3]data!$W:$Z,4,FALSE)</f>
        <v>Si</v>
      </c>
      <c r="G449" s="10" t="str">
        <f t="shared" si="22"/>
        <v>FICHA DORADA LAVADO SHELL</v>
      </c>
      <c r="H449" s="19">
        <f>IFERROR(VLOOKUP(A449,[2]REPUESTOS!$A:$S,19,FALSE),"SIN ANÁLISIS")</f>
        <v>0.13794433934243822</v>
      </c>
      <c r="I449" s="19">
        <f t="shared" si="23"/>
        <v>-4.8541272367749744E-4</v>
      </c>
      <c r="J449" s="10" t="str">
        <f>VLOOKUP(A449,[4]REPUESTOS!$B:$FY,180,FALSE)</f>
        <v>Si</v>
      </c>
    </row>
    <row r="450" spans="1:10" x14ac:dyDescent="0.3">
      <c r="A450" s="10" t="s">
        <v>892</v>
      </c>
      <c r="B450" s="10" t="s">
        <v>891</v>
      </c>
      <c r="C450" s="17">
        <f>IFERROR(VLOOKUP(A450,[1]REPUESTOS!$A:$D,4,FALSE),"")</f>
        <v>563</v>
      </c>
      <c r="D450" s="18">
        <f>IFERROR(VLOOKUP(A450,[2]REPUESTOS!$A:$R,18,FALSE),C450)</f>
        <v>602</v>
      </c>
      <c r="E450" s="19">
        <f t="shared" si="21"/>
        <v>6.9271758436944941E-2</v>
      </c>
      <c r="F450" s="10" t="str">
        <f>VLOOKUP(A450,[3]data!$W:$Z,4,FALSE)</f>
        <v>Si</v>
      </c>
      <c r="G450" s="10" t="str">
        <f t="shared" si="22"/>
        <v>FICHA DE ASPIRADO SHELL</v>
      </c>
      <c r="H450" s="19">
        <f>IFERROR(VLOOKUP(A450,[2]REPUESTOS!$A:$S,19,FALSE),"SIN ANÁLISIS")</f>
        <v>6.8777091792378786E-2</v>
      </c>
      <c r="I450" s="19">
        <f t="shared" si="23"/>
        <v>-4.9466664456615517E-4</v>
      </c>
      <c r="J450" s="10" t="str">
        <f>VLOOKUP(A450,[4]REPUESTOS!$B:$FY,180,FALSE)</f>
        <v>Si</v>
      </c>
    </row>
    <row r="451" spans="1:10" x14ac:dyDescent="0.3">
      <c r="A451" s="10" t="s">
        <v>894</v>
      </c>
      <c r="B451" s="10" t="s">
        <v>893</v>
      </c>
      <c r="C451" s="17">
        <f>IFERROR(VLOOKUP(A451,[1]REPUESTOS!$A:$D,4,FALSE),"")</f>
        <v>56583</v>
      </c>
      <c r="D451" s="18">
        <f>IFERROR(VLOOKUP(A451,[2]REPUESTOS!$A:$R,18,FALSE),C451)</f>
        <v>56583</v>
      </c>
      <c r="E451" s="19">
        <f t="shared" si="21"/>
        <v>0</v>
      </c>
      <c r="F451" s="10" t="str">
        <f>VLOOKUP(A451,[3]data!$W:$Z,4,FALSE)</f>
        <v>Si</v>
      </c>
      <c r="G451" s="10" t="str">
        <f t="shared" si="22"/>
        <v>FICHERO COMPARACION PUNTO ROJO</v>
      </c>
      <c r="H451" s="19">
        <f>IFERROR(VLOOKUP(A451,[2]REPUESTOS!$A:$S,19,FALSE),"SIN ANÁLISIS")</f>
        <v>0</v>
      </c>
      <c r="I451" s="19">
        <f t="shared" si="23"/>
        <v>0</v>
      </c>
      <c r="J451" s="10" t="str">
        <f>VLOOKUP(A451,[4]REPUESTOS!$B:$FY,180,FALSE)</f>
        <v>Si</v>
      </c>
    </row>
    <row r="452" spans="1:10" x14ac:dyDescent="0.3">
      <c r="A452" s="10" t="s">
        <v>896</v>
      </c>
      <c r="B452" s="10" t="s">
        <v>895</v>
      </c>
      <c r="C452" s="17">
        <f>IFERROR(VLOOKUP(A452,[1]REPUESTOS!$A:$D,4,FALSE),"")</f>
        <v>32000</v>
      </c>
      <c r="D452" s="18">
        <f>IFERROR(VLOOKUP(A452,[2]REPUESTOS!$A:$R,18,FALSE),C452)</f>
        <v>32000</v>
      </c>
      <c r="E452" s="19">
        <f t="shared" si="21"/>
        <v>0</v>
      </c>
      <c r="F452" s="10" t="str">
        <f>VLOOKUP(A452,[3]data!$W:$Z,4,FALSE)</f>
        <v>Si</v>
      </c>
      <c r="G452" s="10" t="str">
        <f t="shared" si="22"/>
        <v>FILTRO ASPIRADORA SHELL</v>
      </c>
      <c r="H452" s="19">
        <f>IFERROR(VLOOKUP(A452,[2]REPUESTOS!$A:$S,19,FALSE),"SIN ANÁLISIS")</f>
        <v>0</v>
      </c>
      <c r="I452" s="19">
        <f t="shared" si="23"/>
        <v>0</v>
      </c>
      <c r="J452" s="10" t="str">
        <f>VLOOKUP(A452,[4]REPUESTOS!$B:$FY,180,FALSE)</f>
        <v>Si</v>
      </c>
    </row>
    <row r="453" spans="1:10" x14ac:dyDescent="0.3">
      <c r="A453" s="10" t="s">
        <v>898</v>
      </c>
      <c r="B453" s="10" t="s">
        <v>897</v>
      </c>
      <c r="C453" s="17">
        <f>IFERROR(VLOOKUP(A453,[1]REPUESTOS!$A:$D,4,FALSE),"")</f>
        <v>820000</v>
      </c>
      <c r="D453" s="18">
        <f>IFERROR(VLOOKUP(A453,[2]REPUESTOS!$A:$R,18,FALSE),C453)</f>
        <v>820000</v>
      </c>
      <c r="E453" s="19">
        <f t="shared" ref="E453:E516" si="24">IFERROR((D453-C453)/C453,0)</f>
        <v>0</v>
      </c>
      <c r="F453" s="10" t="str">
        <f>VLOOKUP(A453,[3]data!$W:$Z,4,FALSE)</f>
        <v>Si</v>
      </c>
      <c r="G453" s="10" t="str">
        <f t="shared" ref="G453:G460" si="25">MID(B453,15,100)</f>
        <v>Ablandador completo 13x54" (cabezal clack estanques e insumos)</v>
      </c>
      <c r="H453" s="19" t="str">
        <f>IFERROR(VLOOKUP(A453,[2]REPUESTOS!$A:$S,19,FALSE),"SIN ANÁLISIS")</f>
        <v>SIN ANÁLISIS</v>
      </c>
      <c r="I453" s="19">
        <f t="shared" si="23"/>
        <v>0</v>
      </c>
      <c r="J453" s="10" t="str">
        <f>VLOOKUP(A453,[4]REPUESTOS!$B:$FY,180,FALSE)</f>
        <v>Si</v>
      </c>
    </row>
    <row r="454" spans="1:10" x14ac:dyDescent="0.3">
      <c r="A454" s="10" t="s">
        <v>900</v>
      </c>
      <c r="B454" s="10" t="s">
        <v>899</v>
      </c>
      <c r="C454" s="17">
        <f>IFERROR(VLOOKUP(A454,[1]REPUESTOS!$A:$D,4,FALSE),"")</f>
        <v>2121</v>
      </c>
      <c r="D454" s="18">
        <f>IFERROR(VLOOKUP(A454,[2]REPUESTOS!$A:$R,18,FALSE),C454)</f>
        <v>2121</v>
      </c>
      <c r="E454" s="19">
        <f t="shared" si="24"/>
        <v>0</v>
      </c>
      <c r="F454" s="10" t="str">
        <f>VLOOKUP(A454,[3]data!$W:$Z,4,FALSE)</f>
        <v>Si</v>
      </c>
      <c r="G454" s="10" t="str">
        <f t="shared" si="25"/>
        <v>Numeral (nacional)</v>
      </c>
      <c r="H454" s="19" t="str">
        <f>IFERROR(VLOOKUP(A454,[2]REPUESTOS!$A:$S,19,FALSE),"SIN ANÁLISIS")</f>
        <v>SIN ANÁLISIS</v>
      </c>
      <c r="I454" s="19">
        <f t="shared" ref="I454:I517" si="26">IFERROR(H454-E454,0)</f>
        <v>0</v>
      </c>
      <c r="J454" s="10" t="str">
        <f>VLOOKUP(A454,[4]REPUESTOS!$B:$FY,180,FALSE)</f>
        <v>Si</v>
      </c>
    </row>
    <row r="455" spans="1:10" x14ac:dyDescent="0.3">
      <c r="A455" s="10" t="s">
        <v>902</v>
      </c>
      <c r="B455" s="10" t="s">
        <v>901</v>
      </c>
      <c r="C455" s="17">
        <f>IFERROR(VLOOKUP(A455,[1]REPUESTOS!$A:$D,4,FALSE),"")</f>
        <v>7878</v>
      </c>
      <c r="D455" s="18">
        <f>IFERROR(VLOOKUP(A455,[2]REPUESTOS!$A:$R,18,FALSE),C455)</f>
        <v>7878</v>
      </c>
      <c r="E455" s="19">
        <f t="shared" si="24"/>
        <v>0</v>
      </c>
      <c r="F455" s="10" t="str">
        <f>VLOOKUP(A455,[3]data!$W:$Z,4,FALSE)</f>
        <v>Si</v>
      </c>
      <c r="G455" s="10" t="str">
        <f t="shared" si="25"/>
        <v>Tee 3/8 HE X 3/8 HE X 3/8 HI</v>
      </c>
      <c r="H455" s="19" t="str">
        <f>IFERROR(VLOOKUP(A455,[2]REPUESTOS!$A:$S,19,FALSE),"SIN ANÁLISIS")</f>
        <v>SIN ANÁLISIS</v>
      </c>
      <c r="I455" s="19">
        <f t="shared" si="26"/>
        <v>0</v>
      </c>
      <c r="J455" s="10" t="str">
        <f>VLOOKUP(A455,[4]REPUESTOS!$B:$FY,180,FALSE)</f>
        <v>Si</v>
      </c>
    </row>
    <row r="456" spans="1:10" x14ac:dyDescent="0.3">
      <c r="A456" s="10" t="s">
        <v>904</v>
      </c>
      <c r="B456" s="10" t="s">
        <v>903</v>
      </c>
      <c r="C456" s="17">
        <f>IFERROR(VLOOKUP(A456,[1]REPUESTOS!$A:$D,4,FALSE),"")</f>
        <v>36239</v>
      </c>
      <c r="D456" s="18">
        <f>IFERROR(VLOOKUP(A456,[2]REPUESTOS!$A:$R,18,FALSE),C456)</f>
        <v>36239</v>
      </c>
      <c r="E456" s="19">
        <f t="shared" si="24"/>
        <v>0</v>
      </c>
      <c r="F456" s="10" t="str">
        <f>VLOOKUP(A456,[3]data!$W:$Z,4,FALSE)</f>
        <v>Si</v>
      </c>
      <c r="G456" s="10" t="str">
        <f t="shared" si="25"/>
        <v>Junta nacional inter</v>
      </c>
      <c r="H456" s="19" t="str">
        <f>IFERROR(VLOOKUP(A456,[2]REPUESTOS!$A:$S,19,FALSE),"SIN ANÁLISIS")</f>
        <v>SIN ANÁLISIS</v>
      </c>
      <c r="I456" s="19">
        <f t="shared" si="26"/>
        <v>0</v>
      </c>
      <c r="J456" s="10" t="str">
        <f>VLOOKUP(A456,[4]REPUESTOS!$B:$FY,180,FALSE)</f>
        <v>Si</v>
      </c>
    </row>
    <row r="457" spans="1:10" x14ac:dyDescent="0.3">
      <c r="A457" s="10" t="s">
        <v>906</v>
      </c>
      <c r="B457" s="10" t="s">
        <v>905</v>
      </c>
      <c r="C457" s="17">
        <f>IFERROR(VLOOKUP(A457,[1]REPUESTOS!$A:$D,4,FALSE),"")</f>
        <v>6025</v>
      </c>
      <c r="D457" s="18">
        <f>IFERROR(VLOOKUP(A457,[2]REPUESTOS!$A:$R,18,FALSE),C457)</f>
        <v>6025</v>
      </c>
      <c r="E457" s="19">
        <f t="shared" si="24"/>
        <v>0</v>
      </c>
      <c r="F457" s="10" t="str">
        <f>VLOOKUP(A457,[3]data!$W:$Z,4,FALSE)</f>
        <v>Si</v>
      </c>
      <c r="G457" s="10" t="str">
        <f t="shared" si="25"/>
        <v>Union tipo Y 14 MM</v>
      </c>
      <c r="H457" s="19" t="str">
        <f>IFERROR(VLOOKUP(A457,[2]REPUESTOS!$A:$S,19,FALSE),"SIN ANÁLISIS")</f>
        <v>SIN ANÁLISIS</v>
      </c>
      <c r="I457" s="19">
        <f t="shared" si="26"/>
        <v>0</v>
      </c>
      <c r="J457" s="10" t="str">
        <f>VLOOKUP(A457,[4]REPUESTOS!$B:$FY,180,FALSE)</f>
        <v>Si</v>
      </c>
    </row>
    <row r="458" spans="1:10" x14ac:dyDescent="0.3">
      <c r="A458" s="10" t="s">
        <v>908</v>
      </c>
      <c r="B458" s="10" t="s">
        <v>907</v>
      </c>
      <c r="C458" s="17">
        <f>IFERROR(VLOOKUP(A458,[1]REPUESTOS!$A:$D,4,FALSE),"")</f>
        <v>2801</v>
      </c>
      <c r="D458" s="18">
        <f>IFERROR(VLOOKUP(A458,[2]REPUESTOS!$A:$R,18,FALSE),C458)</f>
        <v>2801</v>
      </c>
      <c r="E458" s="19">
        <f t="shared" si="24"/>
        <v>0</v>
      </c>
      <c r="F458" s="10" t="str">
        <f>VLOOKUP(A458,[3]data!$W:$Z,4,FALSE)</f>
        <v>Si</v>
      </c>
      <c r="G458" s="10" t="str">
        <f t="shared" si="25"/>
        <v>Reduccion 1/2x3/8</v>
      </c>
      <c r="H458" s="19" t="str">
        <f>IFERROR(VLOOKUP(A458,[2]REPUESTOS!$A:$S,19,FALSE),"SIN ANÁLISIS")</f>
        <v>SIN ANÁLISIS</v>
      </c>
      <c r="I458" s="19">
        <f t="shared" si="26"/>
        <v>0</v>
      </c>
      <c r="J458" s="10" t="str">
        <f>VLOOKUP(A458,[4]REPUESTOS!$B:$FY,180,FALSE)</f>
        <v>Si</v>
      </c>
    </row>
    <row r="459" spans="1:10" x14ac:dyDescent="0.3">
      <c r="A459" s="10" t="s">
        <v>910</v>
      </c>
      <c r="B459" s="10" t="s">
        <v>909</v>
      </c>
      <c r="C459" s="17">
        <f>IFERROR(VLOOKUP(A459,[1]REPUESTOS!$A:$D,4,FALSE),"")</f>
        <v>4905</v>
      </c>
      <c r="D459" s="18">
        <f>IFERROR(VLOOKUP(A459,[2]REPUESTOS!$A:$R,18,FALSE),C459)</f>
        <v>4905</v>
      </c>
      <c r="E459" s="19">
        <f t="shared" si="24"/>
        <v>0</v>
      </c>
      <c r="F459" s="10" t="str">
        <f>VLOOKUP(A459,[3]data!$W:$Z,4,FALSE)</f>
        <v>Si</v>
      </c>
      <c r="G459" s="10" t="str">
        <f t="shared" si="25"/>
        <v>Niple conexion rapida 14MM</v>
      </c>
      <c r="H459" s="19" t="str">
        <f>IFERROR(VLOOKUP(A459,[2]REPUESTOS!$A:$S,19,FALSE),"SIN ANÁLISIS")</f>
        <v>SIN ANÁLISIS</v>
      </c>
      <c r="I459" s="19">
        <f t="shared" si="26"/>
        <v>0</v>
      </c>
      <c r="J459" s="10" t="str">
        <f>VLOOKUP(A459,[4]REPUESTOS!$B:$FY,180,FALSE)</f>
        <v>Si</v>
      </c>
    </row>
    <row r="460" spans="1:10" x14ac:dyDescent="0.3">
      <c r="A460" s="10" t="s">
        <v>912</v>
      </c>
      <c r="B460" s="10" t="s">
        <v>911</v>
      </c>
      <c r="C460" s="17">
        <f>IFERROR(VLOOKUP(A460,[1]REPUESTOS!$A:$D,4,FALSE),"")</f>
        <v>35000</v>
      </c>
      <c r="D460" s="18">
        <f>IFERROR(VLOOKUP(A460,[2]REPUESTOS!$A:$R,18,FALSE),C460)</f>
        <v>35000</v>
      </c>
      <c r="E460" s="19">
        <f t="shared" si="24"/>
        <v>0</v>
      </c>
      <c r="F460" s="10" t="str">
        <f>VLOOKUP(A460,[3]data!$W:$Z,4,FALSE)</f>
        <v>Si</v>
      </c>
      <c r="G460" s="10" t="str">
        <f t="shared" si="25"/>
        <v>Kit porta fichero N</v>
      </c>
      <c r="H460" s="19" t="str">
        <f>IFERROR(VLOOKUP(A460,[2]REPUESTOS!$A:$S,19,FALSE),"SIN ANÁLISIS")</f>
        <v>SIN ANÁLISIS</v>
      </c>
      <c r="I460" s="19">
        <f t="shared" si="26"/>
        <v>0</v>
      </c>
      <c r="J460" s="10" t="str">
        <f>VLOOKUP(A460,[4]REPUESTOS!$B:$FY,180,FALSE)</f>
        <v>Si</v>
      </c>
    </row>
    <row r="461" spans="1:10" x14ac:dyDescent="0.3">
      <c r="A461" s="10" t="s">
        <v>915</v>
      </c>
      <c r="B461" s="10" t="s">
        <v>982</v>
      </c>
      <c r="C461" s="17">
        <f>IFERROR(VLOOKUP(A461,[1]REPUESTOS!$A:$D,4,FALSE),"")</f>
        <v>8738</v>
      </c>
      <c r="D461" s="18">
        <f>IFERROR(VLOOKUP(A461,[2]REPUESTOS!$A:$R,18,FALSE),C461)</f>
        <v>8738</v>
      </c>
      <c r="E461" s="19">
        <f t="shared" si="24"/>
        <v>0</v>
      </c>
      <c r="F461" s="10" t="str">
        <f>VLOOKUP(A461,[3]data!$W:$Z,4,FALSE)</f>
        <v>Si</v>
      </c>
      <c r="G461" s="10" t="str">
        <f t="shared" ref="G461" si="27">MID(B461,15,100)</f>
        <v>Pulsador 22 mm luz azul</v>
      </c>
      <c r="H461" s="19" t="str">
        <f>IFERROR(VLOOKUP(A461,[2]REPUESTOS!$A:$S,19,FALSE),"SIN ANÁLISIS")</f>
        <v>SIN ANÁLISIS</v>
      </c>
      <c r="I461" s="19">
        <f t="shared" si="26"/>
        <v>0</v>
      </c>
      <c r="J461" s="10" t="str">
        <f>VLOOKUP(A461,[4]REPUESTOS!$B:$FY,180,FALSE)</f>
        <v>Si</v>
      </c>
    </row>
    <row r="462" spans="1:10" x14ac:dyDescent="0.3">
      <c r="A462" s="10" t="s">
        <v>916</v>
      </c>
      <c r="B462" s="10" t="s">
        <v>983</v>
      </c>
      <c r="C462" s="17">
        <f>IFERROR(VLOOKUP(A462,[1]REPUESTOS!$A:$D,4,FALSE),"")</f>
        <v>2488</v>
      </c>
      <c r="D462" s="18">
        <f>IFERROR(VLOOKUP(A462,[2]REPUESTOS!$A:$R,18,FALSE),C462)</f>
        <v>2488</v>
      </c>
      <c r="E462" s="19">
        <f t="shared" si="24"/>
        <v>0</v>
      </c>
      <c r="F462" s="10" t="str">
        <f>VLOOKUP(A462,[3]data!$W:$Z,4,FALSE)</f>
        <v>Si</v>
      </c>
      <c r="G462" s="10" t="str">
        <f t="shared" ref="G462:G525" si="28">MID(B462,15,100)</f>
        <v>Zocalo 5 pines pulsador 22</v>
      </c>
      <c r="H462" s="19" t="str">
        <f>IFERROR(VLOOKUP(A462,[2]REPUESTOS!$A:$S,19,FALSE),"SIN ANÁLISIS")</f>
        <v>SIN ANÁLISIS</v>
      </c>
      <c r="I462" s="19">
        <f t="shared" si="26"/>
        <v>0</v>
      </c>
      <c r="J462" s="10" t="str">
        <f>VLOOKUP(A462,[4]REPUESTOS!$B:$FY,180,FALSE)</f>
        <v>Si</v>
      </c>
    </row>
    <row r="463" spans="1:10" x14ac:dyDescent="0.3">
      <c r="A463" s="10" t="s">
        <v>917</v>
      </c>
      <c r="B463" s="10" t="s">
        <v>984</v>
      </c>
      <c r="C463" s="17">
        <f>IFERROR(VLOOKUP(A463,[1]REPUESTOS!$A:$D,4,FALSE),"")</f>
        <v>2225136</v>
      </c>
      <c r="D463" s="18">
        <f>IFERROR(VLOOKUP(A463,[2]REPUESTOS!$A:$R,18,FALSE),C463)</f>
        <v>2225136</v>
      </c>
      <c r="E463" s="19">
        <f t="shared" si="24"/>
        <v>0</v>
      </c>
      <c r="F463" s="10" t="str">
        <f>VLOOKUP(A463,[3]data!$W:$Z,4,FALSE)</f>
        <v>Si</v>
      </c>
      <c r="G463" s="10" t="str">
        <f t="shared" si="28"/>
        <v>Brazo doble MTM</v>
      </c>
      <c r="H463" s="19" t="str">
        <f>IFERROR(VLOOKUP(A463,[2]REPUESTOS!$A:$S,19,FALSE),"SIN ANÁLISIS")</f>
        <v>SIN ANÁLISIS</v>
      </c>
      <c r="I463" s="19">
        <f t="shared" si="26"/>
        <v>0</v>
      </c>
      <c r="J463" s="10" t="str">
        <f>VLOOKUP(A463,[4]REPUESTOS!$B:$FY,180,FALSE)</f>
        <v>Si</v>
      </c>
    </row>
    <row r="464" spans="1:10" x14ac:dyDescent="0.3">
      <c r="A464" s="10" t="s">
        <v>918</v>
      </c>
      <c r="B464" s="10" t="s">
        <v>985</v>
      </c>
      <c r="C464" s="17">
        <f>IFERROR(VLOOKUP(A464,[1]REPUESTOS!$A:$D,4,FALSE),"")</f>
        <v>953030</v>
      </c>
      <c r="D464" s="18">
        <f>IFERROR(VLOOKUP(A464,[2]REPUESTOS!$A:$R,18,FALSE),C464)</f>
        <v>953030</v>
      </c>
      <c r="E464" s="19">
        <f t="shared" si="24"/>
        <v>0</v>
      </c>
      <c r="F464" s="10" t="str">
        <f>VLOOKUP(A464,[3]data!$W:$Z,4,FALSE)</f>
        <v>Si</v>
      </c>
      <c r="G464" s="10" t="str">
        <f t="shared" si="28"/>
        <v>Brazo giratorio tipo Z</v>
      </c>
      <c r="H464" s="19" t="str">
        <f>IFERROR(VLOOKUP(A464,[2]REPUESTOS!$A:$S,19,FALSE),"SIN ANÁLISIS")</f>
        <v>SIN ANÁLISIS</v>
      </c>
      <c r="I464" s="19">
        <f t="shared" si="26"/>
        <v>0</v>
      </c>
      <c r="J464" s="10" t="str">
        <f>VLOOKUP(A464,[4]REPUESTOS!$B:$FY,180,FALSE)</f>
        <v>Si</v>
      </c>
    </row>
    <row r="465" spans="1:10" x14ac:dyDescent="0.3">
      <c r="A465" s="10" t="s">
        <v>919</v>
      </c>
      <c r="B465" s="10" t="s">
        <v>986</v>
      </c>
      <c r="C465" s="17">
        <f>IFERROR(VLOOKUP(A465,[1]REPUESTOS!$A:$D,4,FALSE),"")</f>
        <v>36250</v>
      </c>
      <c r="D465" s="18">
        <f>IFERROR(VLOOKUP(A465,[2]REPUESTOS!$A:$R,18,FALSE),C465)</f>
        <v>36250</v>
      </c>
      <c r="E465" s="19">
        <f t="shared" si="24"/>
        <v>0</v>
      </c>
      <c r="F465" s="10" t="str">
        <f>VLOOKUP(A465,[3]data!$W:$Z,4,FALSE)</f>
        <v>Si</v>
      </c>
      <c r="G465" s="10" t="str">
        <f t="shared" si="28"/>
        <v>Controlador de agua</v>
      </c>
      <c r="H465" s="19" t="str">
        <f>IFERROR(VLOOKUP(A465,[2]REPUESTOS!$A:$S,19,FALSE),"SIN ANÁLISIS")</f>
        <v>SIN ANÁLISIS</v>
      </c>
      <c r="I465" s="19">
        <f t="shared" si="26"/>
        <v>0</v>
      </c>
      <c r="J465" s="10" t="str">
        <f>VLOOKUP(A465,[4]REPUESTOS!$B:$FY,180,FALSE)</f>
        <v>Si</v>
      </c>
    </row>
    <row r="466" spans="1:10" x14ac:dyDescent="0.3">
      <c r="A466" s="10" t="s">
        <v>920</v>
      </c>
      <c r="B466" s="10" t="s">
        <v>987</v>
      </c>
      <c r="C466" s="17">
        <f>IFERROR(VLOOKUP(A466,[1]REPUESTOS!$A:$D,4,FALSE),"")</f>
        <v>350958</v>
      </c>
      <c r="D466" s="18">
        <f>IFERROR(VLOOKUP(A466,[2]REPUESTOS!$A:$R,18,FALSE),C466)</f>
        <v>350958</v>
      </c>
      <c r="E466" s="19">
        <f t="shared" si="24"/>
        <v>0</v>
      </c>
      <c r="F466" s="10" t="str">
        <f>VLOOKUP(A466,[3]data!$W:$Z,4,FALSE)</f>
        <v>Si</v>
      </c>
      <c r="G466" s="10" t="str">
        <f t="shared" si="28"/>
        <v>Sistema kit invierno</v>
      </c>
      <c r="H466" s="19" t="str">
        <f>IFERROR(VLOOKUP(A466,[2]REPUESTOS!$A:$S,19,FALSE),"SIN ANÁLISIS")</f>
        <v>SIN ANÁLISIS</v>
      </c>
      <c r="I466" s="19">
        <f t="shared" si="26"/>
        <v>0</v>
      </c>
      <c r="J466" s="10" t="str">
        <f>VLOOKUP(A466,[4]REPUESTOS!$B:$FY,180,FALSE)</f>
        <v>Si</v>
      </c>
    </row>
    <row r="467" spans="1:10" x14ac:dyDescent="0.3">
      <c r="A467" s="10" t="s">
        <v>921</v>
      </c>
      <c r="B467" s="10" t="s">
        <v>988</v>
      </c>
      <c r="C467" s="17">
        <f>IFERROR(VLOOKUP(A467,[1]REPUESTOS!$A:$D,4,FALSE),"")</f>
        <v>14403</v>
      </c>
      <c r="D467" s="18">
        <f>IFERROR(VLOOKUP(A467,[2]REPUESTOS!$A:$R,18,FALSE),C467)</f>
        <v>14403</v>
      </c>
      <c r="E467" s="19">
        <f t="shared" si="24"/>
        <v>0</v>
      </c>
      <c r="F467" s="10" t="str">
        <f>VLOOKUP(A467,[3]data!$W:$Z,4,FALSE)</f>
        <v>Si</v>
      </c>
      <c r="G467" s="10" t="str">
        <f t="shared" si="28"/>
        <v>Boquilla lanza shell 1/8</v>
      </c>
      <c r="H467" s="19" t="str">
        <f>IFERROR(VLOOKUP(A467,[2]REPUESTOS!$A:$S,19,FALSE),"SIN ANÁLISIS")</f>
        <v>SIN ANÁLISIS</v>
      </c>
      <c r="I467" s="19">
        <f t="shared" si="26"/>
        <v>0</v>
      </c>
      <c r="J467" s="10" t="str">
        <f>VLOOKUP(A467,[4]REPUESTOS!$B:$FY,180,FALSE)</f>
        <v>Si</v>
      </c>
    </row>
    <row r="468" spans="1:10" x14ac:dyDescent="0.3">
      <c r="A468" s="10" t="s">
        <v>922</v>
      </c>
      <c r="B468" s="10" t="s">
        <v>989</v>
      </c>
      <c r="C468" s="17">
        <f>IFERROR(VLOOKUP(A468,[1]REPUESTOS!$A:$D,4,FALSE),"")</f>
        <v>24525</v>
      </c>
      <c r="D468" s="18">
        <f>IFERROR(VLOOKUP(A468,[2]REPUESTOS!$A:$R,18,FALSE),C468)</f>
        <v>24525</v>
      </c>
      <c r="E468" s="19">
        <f t="shared" si="24"/>
        <v>0</v>
      </c>
      <c r="F468" s="10" t="str">
        <f>VLOOKUP(A468,[3]data!$W:$Z,4,FALSE)</f>
        <v>Si</v>
      </c>
      <c r="G468" s="10" t="str">
        <f t="shared" si="28"/>
        <v>Manguera 1.63 hehe 1/4 recta y codo 90° brazo doble</v>
      </c>
      <c r="H468" s="19" t="str">
        <f>IFERROR(VLOOKUP(A468,[2]REPUESTOS!$A:$S,19,FALSE),"SIN ANÁLISIS")</f>
        <v>SIN ANÁLISIS</v>
      </c>
      <c r="I468" s="19">
        <f t="shared" si="26"/>
        <v>0</v>
      </c>
      <c r="J468" s="10" t="str">
        <f>VLOOKUP(A468,[4]REPUESTOS!$B:$FY,180,FALSE)</f>
        <v>Si</v>
      </c>
    </row>
    <row r="469" spans="1:10" x14ac:dyDescent="0.3">
      <c r="A469" s="10" t="s">
        <v>923</v>
      </c>
      <c r="B469" s="10" t="s">
        <v>990</v>
      </c>
      <c r="C469" s="17">
        <f>IFERROR(VLOOKUP(A469,[1]REPUESTOS!$A:$D,4,FALSE),"")</f>
        <v>25583</v>
      </c>
      <c r="D469" s="18">
        <f>IFERROR(VLOOKUP(A469,[2]REPUESTOS!$A:$R,18,FALSE),C469)</f>
        <v>25583</v>
      </c>
      <c r="E469" s="19">
        <f t="shared" si="24"/>
        <v>0</v>
      </c>
      <c r="F469" s="10" t="str">
        <f>VLOOKUP(A469,[3]data!$W:$Z,4,FALSE)</f>
        <v>Si</v>
      </c>
      <c r="G469" s="10" t="str">
        <f t="shared" si="28"/>
        <v>Manguera 1.77 hehe 1/4 recta y codo 90° brazo doble</v>
      </c>
      <c r="H469" s="19" t="str">
        <f>IFERROR(VLOOKUP(A469,[2]REPUESTOS!$A:$S,19,FALSE),"SIN ANÁLISIS")</f>
        <v>SIN ANÁLISIS</v>
      </c>
      <c r="I469" s="19">
        <f t="shared" si="26"/>
        <v>0</v>
      </c>
      <c r="J469" s="10" t="str">
        <f>VLOOKUP(A469,[4]REPUESTOS!$B:$FY,180,FALSE)</f>
        <v>Si</v>
      </c>
    </row>
    <row r="470" spans="1:10" x14ac:dyDescent="0.3">
      <c r="A470" s="10" t="s">
        <v>924</v>
      </c>
      <c r="B470" s="10" t="s">
        <v>991</v>
      </c>
      <c r="C470" s="17">
        <f>IFERROR(VLOOKUP(A470,[1]REPUESTOS!$A:$D,4,FALSE),"")</f>
        <v>289900</v>
      </c>
      <c r="D470" s="18">
        <f>IFERROR(VLOOKUP(A470,[2]REPUESTOS!$A:$R,18,FALSE),C470)</f>
        <v>289900</v>
      </c>
      <c r="E470" s="19">
        <f t="shared" si="24"/>
        <v>0</v>
      </c>
      <c r="F470" s="10" t="str">
        <f>VLOOKUP(A470,[3]data!$W:$Z,4,FALSE)</f>
        <v>Si</v>
      </c>
      <c r="G470" s="10" t="str">
        <f t="shared" si="28"/>
        <v>Aspiradora Luster</v>
      </c>
      <c r="H470" s="19" t="str">
        <f>IFERROR(VLOOKUP(A470,[2]REPUESTOS!$A:$S,19,FALSE),"SIN ANÁLISIS")</f>
        <v>SIN ANÁLISIS</v>
      </c>
      <c r="I470" s="19">
        <f t="shared" si="26"/>
        <v>0</v>
      </c>
      <c r="J470" s="10" t="str">
        <f>VLOOKUP(A470,[4]REPUESTOS!$B:$FY,180,FALSE)</f>
        <v>Si</v>
      </c>
    </row>
    <row r="471" spans="1:10" x14ac:dyDescent="0.3">
      <c r="A471" s="10" t="s">
        <v>925</v>
      </c>
      <c r="B471" s="10" t="s">
        <v>992</v>
      </c>
      <c r="C471" s="17">
        <f>IFERROR(VLOOKUP(A471,[1]REPUESTOS!$A:$D,4,FALSE),"")</f>
        <v>560000</v>
      </c>
      <c r="D471" s="18">
        <f>IFERROR(VLOOKUP(A471,[2]REPUESTOS!$A:$R,18,FALSE),C471)</f>
        <v>560000</v>
      </c>
      <c r="E471" s="19">
        <f t="shared" si="24"/>
        <v>0</v>
      </c>
      <c r="F471" s="10" t="str">
        <f>VLOOKUP(A471,[3]data!$W:$Z,4,FALSE)</f>
        <v>Si</v>
      </c>
      <c r="G471" s="10" t="str">
        <f t="shared" si="28"/>
        <v>Motor 5.5 hp 1450rpm</v>
      </c>
      <c r="H471" s="19" t="str">
        <f>IFERROR(VLOOKUP(A471,[2]REPUESTOS!$A:$S,19,FALSE),"SIN ANÁLISIS")</f>
        <v>SIN ANÁLISIS</v>
      </c>
      <c r="I471" s="19">
        <f t="shared" si="26"/>
        <v>0</v>
      </c>
      <c r="J471" s="10" t="str">
        <f>VLOOKUP(A471,[4]REPUESTOS!$B:$FY,180,FALSE)</f>
        <v>Si</v>
      </c>
    </row>
    <row r="472" spans="1:10" x14ac:dyDescent="0.3">
      <c r="A472" s="10" t="s">
        <v>926</v>
      </c>
      <c r="B472" s="10" t="s">
        <v>1150</v>
      </c>
      <c r="C472" s="17">
        <f>IFERROR(VLOOKUP(A472,[1]REPUESTOS!$A:$D,4,FALSE),"")</f>
        <v>69875</v>
      </c>
      <c r="D472" s="18">
        <f>IFERROR(VLOOKUP(A472,[2]REPUESTOS!$A:$R,18,FALSE),C472)</f>
        <v>69875</v>
      </c>
      <c r="E472" s="19">
        <f t="shared" si="24"/>
        <v>0</v>
      </c>
      <c r="F472" s="10" t="str">
        <f>VLOOKUP(A472,[3]data!$W:$Z,4,FALSE)</f>
        <v>Si</v>
      </c>
      <c r="G472" s="10" t="str">
        <f t="shared" si="28"/>
        <v>Motor aspiración agua y polvo</v>
      </c>
      <c r="H472" s="19" t="str">
        <f>IFERROR(VLOOKUP(A472,[2]REPUESTOS!$A:$S,19,FALSE),"SIN ANÁLISIS")</f>
        <v>SIN ANÁLISIS</v>
      </c>
      <c r="I472" s="19">
        <f t="shared" si="26"/>
        <v>0</v>
      </c>
      <c r="J472" s="10" t="str">
        <f>VLOOKUP(A472,[4]REPUESTOS!$B:$FY,180,FALSE)</f>
        <v>Si</v>
      </c>
    </row>
    <row r="473" spans="1:10" x14ac:dyDescent="0.3">
      <c r="A473" s="10" t="s">
        <v>927</v>
      </c>
      <c r="B473" s="10" t="s">
        <v>993</v>
      </c>
      <c r="C473" s="17">
        <f>IFERROR(VLOOKUP(A473,[1]REPUESTOS!$A:$D,4,FALSE),"")</f>
        <v>169029</v>
      </c>
      <c r="D473" s="18">
        <f>IFERROR(VLOOKUP(A473,[2]REPUESTOS!$A:$R,18,FALSE),C473)</f>
        <v>158345.68188445672</v>
      </c>
      <c r="E473" s="19">
        <f t="shared" si="24"/>
        <v>-6.3204054425828007E-2</v>
      </c>
      <c r="F473" s="10" t="str">
        <f>VLOOKUP(A473,[3]data!$W:$Z,4,FALSE)</f>
        <v>Si</v>
      </c>
      <c r="G473" s="10" t="str">
        <f t="shared" si="28"/>
        <v>Fuente de alimentacion 220 ac/24dc puente lavado</v>
      </c>
      <c r="H473" s="19">
        <f>IFERROR(VLOOKUP(A473,[2]REPUESTOS!$A:$S,19,FALSE),"SIN ANÁLISIS")</f>
        <v>-6.3205901828932806E-2</v>
      </c>
      <c r="I473" s="19">
        <f t="shared" si="26"/>
        <v>-1.847403104798806E-6</v>
      </c>
      <c r="J473" s="10" t="str">
        <f>VLOOKUP(A473,[4]REPUESTOS!$B:$FY,180,FALSE)</f>
        <v>Si</v>
      </c>
    </row>
    <row r="474" spans="1:10" x14ac:dyDescent="0.3">
      <c r="A474" s="10" t="s">
        <v>928</v>
      </c>
      <c r="B474" s="10" t="s">
        <v>994</v>
      </c>
      <c r="C474" s="17">
        <f>IFERROR(VLOOKUP(A474,[1]REPUESTOS!$A:$D,4,FALSE),"")</f>
        <v>205541</v>
      </c>
      <c r="D474" s="18">
        <f>IFERROR(VLOOKUP(A474,[2]REPUESTOS!$A:$R,18,FALSE),C474)</f>
        <v>192549.90799687873</v>
      </c>
      <c r="E474" s="19">
        <f t="shared" si="24"/>
        <v>-6.3204382595790004E-2</v>
      </c>
      <c r="F474" s="10" t="str">
        <f>VLOOKUP(A474,[3]data!$W:$Z,4,FALSE)</f>
        <v>Si</v>
      </c>
      <c r="G474" s="10" t="str">
        <f t="shared" si="28"/>
        <v>Reductor de traslacion cepillo vertical puente lavado</v>
      </c>
      <c r="H474" s="19">
        <f>IFERROR(VLOOKUP(A474,[2]REPUESTOS!$A:$S,19,FALSE),"SIN ANÁLISIS")</f>
        <v>-6.3205901828932778E-2</v>
      </c>
      <c r="I474" s="19">
        <f t="shared" si="26"/>
        <v>-1.5192331427743566E-6</v>
      </c>
      <c r="J474" s="10" t="str">
        <f>VLOOKUP(A474,[4]REPUESTOS!$B:$FY,180,FALSE)</f>
        <v>Si</v>
      </c>
    </row>
    <row r="475" spans="1:10" x14ac:dyDescent="0.3">
      <c r="A475" s="10" t="s">
        <v>929</v>
      </c>
      <c r="B475" s="10" t="s">
        <v>995</v>
      </c>
      <c r="C475" s="17">
        <f>IFERROR(VLOOKUP(A475,[1]REPUESTOS!$A:$D,4,FALSE),"")</f>
        <v>695625</v>
      </c>
      <c r="D475" s="18">
        <f>IFERROR(VLOOKUP(A475,[2]REPUESTOS!$A:$R,18,FALSE),C475)</f>
        <v>651657.70680494804</v>
      </c>
      <c r="E475" s="19">
        <f t="shared" si="24"/>
        <v>-6.3205452930892303E-2</v>
      </c>
      <c r="F475" s="10" t="str">
        <f>VLOOKUP(A475,[3]data!$W:$Z,4,FALSE)</f>
        <v>Si</v>
      </c>
      <c r="G475" s="10" t="str">
        <f t="shared" si="28"/>
        <v>Inversor 1, 1KW-230V 1ph schneider puente lavado</v>
      </c>
      <c r="H475" s="19">
        <f>IFERROR(VLOOKUP(A475,[2]REPUESTOS!$A:$S,19,FALSE),"SIN ANÁLISIS")</f>
        <v>-6.3205901828932806E-2</v>
      </c>
      <c r="I475" s="19">
        <f t="shared" si="26"/>
        <v>-4.4889804050318727E-7</v>
      </c>
      <c r="J475" s="10" t="str">
        <f>VLOOKUP(A475,[4]REPUESTOS!$B:$FY,180,FALSE)</f>
        <v>Si</v>
      </c>
    </row>
    <row r="476" spans="1:10" x14ac:dyDescent="0.3">
      <c r="A476" s="10" t="s">
        <v>930</v>
      </c>
      <c r="B476" s="10" t="s">
        <v>996</v>
      </c>
      <c r="C476" s="17">
        <f>IFERROR(VLOOKUP(A476,[1]REPUESTOS!$A:$D,4,FALSE),"")</f>
        <v>358295</v>
      </c>
      <c r="D476" s="18">
        <f>IFERROR(VLOOKUP(A476,[2]REPUESTOS!$A:$R,18,FALSE),C476)</f>
        <v>335648.32913950318</v>
      </c>
      <c r="E476" s="19">
        <f t="shared" si="24"/>
        <v>-6.3206773358536444E-2</v>
      </c>
      <c r="F476" s="10" t="str">
        <f>VLOOKUP(A476,[3]data!$W:$Z,4,FALSE)</f>
        <v>Si</v>
      </c>
      <c r="G476" s="10" t="str">
        <f t="shared" si="28"/>
        <v>Motor de cepillo horizontal KW0.5 puente lavado</v>
      </c>
      <c r="H476" s="19">
        <f>IFERROR(VLOOKUP(A476,[2]REPUESTOS!$A:$S,19,FALSE),"SIN ANÁLISIS")</f>
        <v>-6.3205901828932709E-2</v>
      </c>
      <c r="I476" s="19">
        <f t="shared" si="26"/>
        <v>8.7152960373537702E-7</v>
      </c>
      <c r="J476" s="10" t="str">
        <f>VLOOKUP(A476,[4]REPUESTOS!$B:$FY,180,FALSE)</f>
        <v>Si</v>
      </c>
    </row>
    <row r="477" spans="1:10" x14ac:dyDescent="0.3">
      <c r="A477" s="10" t="s">
        <v>931</v>
      </c>
      <c r="B477" s="10" t="s">
        <v>997</v>
      </c>
      <c r="C477" s="17">
        <f>IFERROR(VLOOKUP(A477,[1]REPUESTOS!$A:$D,4,FALSE),"")</f>
        <v>305443</v>
      </c>
      <c r="D477" s="18">
        <f>IFERROR(VLOOKUP(A477,[2]REPUESTOS!$A:$R,18,FALSE),C477)</f>
        <v>286136.88746296591</v>
      </c>
      <c r="E477" s="19">
        <f t="shared" si="24"/>
        <v>-6.320692416272132E-2</v>
      </c>
      <c r="F477" s="10" t="str">
        <f>VLOOKUP(A477,[3]data!$W:$Z,4,FALSE)</f>
        <v>Si</v>
      </c>
      <c r="G477" s="10" t="str">
        <f t="shared" si="28"/>
        <v>Motor de giro lavallantas puente lavado</v>
      </c>
      <c r="H477" s="19">
        <f>IFERROR(VLOOKUP(A477,[2]REPUESTOS!$A:$S,19,FALSE),"SIN ANÁLISIS")</f>
        <v>-6.3205901828932778E-2</v>
      </c>
      <c r="I477" s="19">
        <f t="shared" si="26"/>
        <v>1.0223337885417738E-6</v>
      </c>
      <c r="J477" s="10" t="str">
        <f>VLOOKUP(A477,[4]REPUESTOS!$B:$FY,180,FALSE)</f>
        <v>Si</v>
      </c>
    </row>
    <row r="478" spans="1:10" x14ac:dyDescent="0.3">
      <c r="A478" s="10" t="s">
        <v>932</v>
      </c>
      <c r="B478" s="10" t="s">
        <v>998</v>
      </c>
      <c r="C478" s="17">
        <f>IFERROR(VLOOKUP(A478,[1]REPUESTOS!$A:$D,4,FALSE),"")</f>
        <v>267703</v>
      </c>
      <c r="D478" s="18">
        <f>IFERROR(VLOOKUP(A478,[2]REPUESTOS!$A:$R,18,FALSE),C478)</f>
        <v>250782.27819798986</v>
      </c>
      <c r="E478" s="19">
        <f t="shared" si="24"/>
        <v>-6.3207068288402238E-2</v>
      </c>
      <c r="F478" s="10" t="str">
        <f>VLOOKUP(A478,[3]data!$W:$Z,4,FALSE)</f>
        <v>Si</v>
      </c>
      <c r="G478" s="10" t="str">
        <f t="shared" si="28"/>
        <v>Motor de traslacion cepillo vertical puente lavado</v>
      </c>
      <c r="H478" s="19">
        <f>IFERROR(VLOOKUP(A478,[2]REPUESTOS!$A:$S,19,FALSE),"SIN ANÁLISIS")</f>
        <v>-6.3205901828932695E-2</v>
      </c>
      <c r="I478" s="19">
        <f t="shared" si="26"/>
        <v>1.1664594695426356E-6</v>
      </c>
      <c r="J478" s="10" t="str">
        <f>VLOOKUP(A478,[4]REPUESTOS!$B:$FY,180,FALSE)</f>
        <v>Si</v>
      </c>
    </row>
    <row r="479" spans="1:10" x14ac:dyDescent="0.3">
      <c r="A479" s="10" t="s">
        <v>933</v>
      </c>
      <c r="B479" s="10" t="s">
        <v>999</v>
      </c>
      <c r="C479" s="17">
        <f>IFERROR(VLOOKUP(A479,[1]REPUESTOS!$A:$D,4,FALSE),"")</f>
        <v>626740</v>
      </c>
      <c r="D479" s="18">
        <f>IFERROR(VLOOKUP(A479,[2]REPUESTOS!$A:$R,18,FALSE),C479)</f>
        <v>587126.33308773465</v>
      </c>
      <c r="E479" s="19">
        <f t="shared" si="24"/>
        <v>-6.320590182893282E-2</v>
      </c>
      <c r="F479" s="10" t="str">
        <f>VLOOKUP(A479,[3]data!$W:$Z,4,FALSE)</f>
        <v>Si</v>
      </c>
      <c r="G479" s="10" t="str">
        <f t="shared" si="28"/>
        <v>Eletrobomba de acero inoxidable je 120T 0.9KW puente lavado</v>
      </c>
      <c r="H479" s="19">
        <f>IFERROR(VLOOKUP(A479,[2]REPUESTOS!$A:$S,19,FALSE),"SIN ANÁLISIS")</f>
        <v>-6.320590182893282E-2</v>
      </c>
      <c r="I479" s="19">
        <f t="shared" si="26"/>
        <v>0</v>
      </c>
      <c r="J479" s="10" t="str">
        <f>VLOOKUP(A479,[4]REPUESTOS!$B:$FY,180,FALSE)</f>
        <v>Si</v>
      </c>
    </row>
    <row r="480" spans="1:10" x14ac:dyDescent="0.3">
      <c r="A480" s="10" t="s">
        <v>934</v>
      </c>
      <c r="B480" s="10" t="s">
        <v>1000</v>
      </c>
      <c r="C480" s="17">
        <f>IFERROR(VLOOKUP(A480,[1]REPUESTOS!$A:$D,4,FALSE),"")</f>
        <v>14373</v>
      </c>
      <c r="D480" s="18">
        <f>IFERROR(VLOOKUP(A480,[2]REPUESTOS!$A:$R,18,FALSE),C480)</f>
        <v>13464.85383771214</v>
      </c>
      <c r="E480" s="19">
        <f t="shared" si="24"/>
        <v>-6.3184176044518162E-2</v>
      </c>
      <c r="F480" s="10" t="str">
        <f>VLOOKUP(A480,[3]data!$W:$Z,4,FALSE)</f>
        <v>Si</v>
      </c>
      <c r="G480" s="10" t="str">
        <f t="shared" si="28"/>
        <v>Correa cinta pes azul 25mm puente lavado</v>
      </c>
      <c r="H480" s="19">
        <f>IFERROR(VLOOKUP(A480,[2]REPUESTOS!$A:$S,19,FALSE),"SIN ANÁLISIS")</f>
        <v>-6.3205901828932765E-2</v>
      </c>
      <c r="I480" s="19">
        <f t="shared" si="26"/>
        <v>-2.1725784414602933E-5</v>
      </c>
      <c r="J480" s="10" t="str">
        <f>VLOOKUP(A480,[4]REPUESTOS!$B:$FY,180,FALSE)</f>
        <v>Si</v>
      </c>
    </row>
    <row r="481" spans="1:10" x14ac:dyDescent="0.3">
      <c r="A481" s="10" t="s">
        <v>935</v>
      </c>
      <c r="B481" s="10" t="s">
        <v>1001</v>
      </c>
      <c r="C481" s="17">
        <f>IFERROR(VLOOKUP(A481,[1]REPUESTOS!$A:$D,4,FALSE),"")</f>
        <v>675552</v>
      </c>
      <c r="D481" s="18">
        <f>IFERROR(VLOOKUP(A481,[2]REPUESTOS!$A:$R,18,FALSE),C481)</f>
        <v>632853.12660766079</v>
      </c>
      <c r="E481" s="19">
        <f t="shared" si="24"/>
        <v>-6.3205901828932806E-2</v>
      </c>
      <c r="F481" s="10" t="str">
        <f>VLOOKUP(A481,[3]data!$W:$Z,4,FALSE)</f>
        <v>Si</v>
      </c>
      <c r="G481" s="10" t="str">
        <f t="shared" si="28"/>
        <v>Reductor de traslacion puente derecho puente lavado</v>
      </c>
      <c r="H481" s="19">
        <f>IFERROR(VLOOKUP(A481,[2]REPUESTOS!$A:$S,19,FALSE),"SIN ANÁLISIS")</f>
        <v>-6.3205901828932806E-2</v>
      </c>
      <c r="I481" s="19">
        <f t="shared" si="26"/>
        <v>0</v>
      </c>
      <c r="J481" s="10" t="str">
        <f>VLOOKUP(A481,[4]REPUESTOS!$B:$FY,180,FALSE)</f>
        <v>Si</v>
      </c>
    </row>
    <row r="482" spans="1:10" x14ac:dyDescent="0.3">
      <c r="A482" s="10" t="s">
        <v>936</v>
      </c>
      <c r="B482" s="10" t="s">
        <v>1002</v>
      </c>
      <c r="C482" s="17">
        <f>IFERROR(VLOOKUP(A482,[1]REPUESTOS!$A:$D,4,FALSE),"")</f>
        <v>698455</v>
      </c>
      <c r="D482" s="18">
        <f>IFERROR(VLOOKUP(A482,[2]REPUESTOS!$A:$R,18,FALSE),C482)</f>
        <v>654308.20957337331</v>
      </c>
      <c r="E482" s="19">
        <f t="shared" si="24"/>
        <v>-6.3206348908128207E-2</v>
      </c>
      <c r="F482" s="10" t="str">
        <f>VLOOKUP(A482,[3]data!$W:$Z,4,FALSE)</f>
        <v>Si</v>
      </c>
      <c r="G482" s="10" t="str">
        <f t="shared" si="28"/>
        <v>Indicador luminoso led diamante izquierda L puente lavado</v>
      </c>
      <c r="H482" s="19">
        <f>IFERROR(VLOOKUP(A482,[2]REPUESTOS!$A:$S,19,FALSE),"SIN ANÁLISIS")</f>
        <v>-6.3205901828932806E-2</v>
      </c>
      <c r="I482" s="19">
        <f t="shared" si="26"/>
        <v>4.4707919540087904E-7</v>
      </c>
      <c r="J482" s="10" t="str">
        <f>VLOOKUP(A482,[4]REPUESTOS!$B:$FY,180,FALSE)</f>
        <v>Si</v>
      </c>
    </row>
    <row r="483" spans="1:10" x14ac:dyDescent="0.3">
      <c r="A483" s="10" t="s">
        <v>937</v>
      </c>
      <c r="B483" s="10" t="s">
        <v>1003</v>
      </c>
      <c r="C483" s="17">
        <f>IFERROR(VLOOKUP(A483,[1]REPUESTOS!$A:$D,4,FALSE),"")</f>
        <v>195843</v>
      </c>
      <c r="D483" s="18">
        <f>IFERROR(VLOOKUP(A483,[2]REPUESTOS!$A:$R,18,FALSE),C483)</f>
        <v>183464.25430341694</v>
      </c>
      <c r="E483" s="19">
        <f t="shared" si="24"/>
        <v>-6.3207496293373078E-2</v>
      </c>
      <c r="F483" s="10" t="str">
        <f>VLOOKUP(A483,[3]data!$W:$Z,4,FALSE)</f>
        <v>Si</v>
      </c>
      <c r="G483" s="10" t="str">
        <f t="shared" si="28"/>
        <v>Bomba dosificadora champu/llantas puente lavado</v>
      </c>
      <c r="H483" s="19">
        <f>IFERROR(VLOOKUP(A483,[2]REPUESTOS!$A:$S,19,FALSE),"SIN ANÁLISIS")</f>
        <v>-6.3205901828932695E-2</v>
      </c>
      <c r="I483" s="19">
        <f t="shared" si="26"/>
        <v>1.5944644403825814E-6</v>
      </c>
      <c r="J483" s="10" t="str">
        <f>VLOOKUP(A483,[4]REPUESTOS!$B:$FY,180,FALSE)</f>
        <v>Si</v>
      </c>
    </row>
    <row r="484" spans="1:10" x14ac:dyDescent="0.3">
      <c r="A484" s="10" t="s">
        <v>938</v>
      </c>
      <c r="B484" s="10" t="s">
        <v>1004</v>
      </c>
      <c r="C484" s="17">
        <f>IFERROR(VLOOKUP(A484,[1]REPUESTOS!$A:$D,4,FALSE),"")</f>
        <v>192239</v>
      </c>
      <c r="D484" s="18">
        <f>IFERROR(VLOOKUP(A484,[2]REPUESTOS!$A:$R,18,FALSE),C484)</f>
        <v>180088.04837360838</v>
      </c>
      <c r="E484" s="19">
        <f t="shared" si="24"/>
        <v>-6.3207526185589891E-2</v>
      </c>
      <c r="F484" s="10" t="str">
        <f>VLOOKUP(A484,[3]data!$W:$Z,4,FALSE)</f>
        <v>Si</v>
      </c>
      <c r="G484" s="10" t="str">
        <f t="shared" si="28"/>
        <v>Bomba dosificadora WAX 3L/H cera puente lavado</v>
      </c>
      <c r="H484" s="19">
        <f>IFERROR(VLOOKUP(A484,[2]REPUESTOS!$A:$S,19,FALSE),"SIN ANÁLISIS")</f>
        <v>-6.320590182893282E-2</v>
      </c>
      <c r="I484" s="19">
        <f t="shared" si="26"/>
        <v>1.6243566570706136E-6</v>
      </c>
      <c r="J484" s="10" t="str">
        <f>VLOOKUP(A484,[4]REPUESTOS!$B:$FY,180,FALSE)</f>
        <v>Si</v>
      </c>
    </row>
    <row r="485" spans="1:10" x14ac:dyDescent="0.3">
      <c r="A485" s="10" t="s">
        <v>939</v>
      </c>
      <c r="B485" s="10" t="s">
        <v>1005</v>
      </c>
      <c r="C485" s="17">
        <f>IFERROR(VLOOKUP(A485,[1]REPUESTOS!$A:$D,4,FALSE),"")</f>
        <v>93921</v>
      </c>
      <c r="D485" s="18">
        <f>IFERROR(VLOOKUP(A485,[2]REPUESTOS!$A:$R,18,FALSE),C485)</f>
        <v>87984.950759024199</v>
      </c>
      <c r="E485" s="19">
        <f t="shared" si="24"/>
        <v>-6.3202577069833163E-2</v>
      </c>
      <c r="F485" s="10" t="str">
        <f>VLOOKUP(A485,[3]data!$W:$Z,4,FALSE)</f>
        <v>Si</v>
      </c>
      <c r="G485" s="10" t="str">
        <f t="shared" si="28"/>
        <v>Boquilla de espuma 1.2 1/4F puente lavado</v>
      </c>
      <c r="H485" s="19">
        <f>IFERROR(VLOOKUP(A485,[2]REPUESTOS!$A:$S,19,FALSE),"SIN ANÁLISIS")</f>
        <v>-6.3205901828932681E-2</v>
      </c>
      <c r="I485" s="19">
        <f t="shared" si="26"/>
        <v>-3.3247590995183485E-6</v>
      </c>
      <c r="J485" s="10" t="str">
        <f>VLOOKUP(A485,[4]REPUESTOS!$B:$FY,180,FALSE)</f>
        <v>Si</v>
      </c>
    </row>
    <row r="486" spans="1:10" x14ac:dyDescent="0.3">
      <c r="A486" s="10" t="s">
        <v>940</v>
      </c>
      <c r="B486" s="10" t="s">
        <v>1006</v>
      </c>
      <c r="C486" s="17">
        <f>IFERROR(VLOOKUP(A486,[1]REPUESTOS!$A:$D,4,FALSE),"")</f>
        <v>195843</v>
      </c>
      <c r="D486" s="18">
        <f>IFERROR(VLOOKUP(A486,[2]REPUESTOS!$A:$R,18,FALSE),C486)</f>
        <v>183464.25430341694</v>
      </c>
      <c r="E486" s="19">
        <f t="shared" si="24"/>
        <v>-6.3207496293373078E-2</v>
      </c>
      <c r="F486" s="10" t="str">
        <f>VLOOKUP(A486,[3]data!$W:$Z,4,FALSE)</f>
        <v>Si</v>
      </c>
      <c r="G486" s="10" t="str">
        <f t="shared" si="28"/>
        <v>Bomba dosificadora EPDM 12L/H puente lavado</v>
      </c>
      <c r="H486" s="19">
        <f>IFERROR(VLOOKUP(A486,[2]REPUESTOS!$A:$S,19,FALSE),"SIN ANÁLISIS")</f>
        <v>-6.3205901828932695E-2</v>
      </c>
      <c r="I486" s="19">
        <f t="shared" si="26"/>
        <v>1.5944644403825814E-6</v>
      </c>
      <c r="J486" s="10" t="str">
        <f>VLOOKUP(A486,[4]REPUESTOS!$B:$FY,180,FALSE)</f>
        <v>Si</v>
      </c>
    </row>
    <row r="487" spans="1:10" x14ac:dyDescent="0.3">
      <c r="A487" s="10" t="s">
        <v>941</v>
      </c>
      <c r="B487" s="10" t="s">
        <v>1007</v>
      </c>
      <c r="C487" s="17">
        <f>IFERROR(VLOOKUP(A487,[1]REPUESTOS!$A:$D,4,FALSE),"")</f>
        <v>152753</v>
      </c>
      <c r="D487" s="18">
        <f>IFERROR(VLOOKUP(A487,[2]REPUESTOS!$A:$R,18,FALSE),C487)</f>
        <v>152753</v>
      </c>
      <c r="E487" s="19">
        <f t="shared" si="24"/>
        <v>0</v>
      </c>
      <c r="F487" s="10" t="str">
        <f>VLOOKUP(A487,[3]data!$W:$Z,4,FALSE)</f>
        <v>Si</v>
      </c>
      <c r="G487" s="10" t="str">
        <f t="shared" si="28"/>
        <v>Electrovalvula 90 de agua puente lavado</v>
      </c>
      <c r="H487" s="19" t="str">
        <f>IFERROR(VLOOKUP(A487,[2]REPUESTOS!$A:$S,19,FALSE),"SIN ANÁLISIS")</f>
        <v>SIN ANÁLISIS</v>
      </c>
      <c r="I487" s="19">
        <f t="shared" si="26"/>
        <v>0</v>
      </c>
      <c r="J487" s="10" t="str">
        <f>VLOOKUP(A487,[4]REPUESTOS!$B:$FY,180,FALSE)</f>
        <v>Si</v>
      </c>
    </row>
    <row r="488" spans="1:10" x14ac:dyDescent="0.3">
      <c r="A488" s="10" t="s">
        <v>942</v>
      </c>
      <c r="B488" s="10" t="s">
        <v>1008</v>
      </c>
      <c r="C488" s="17">
        <f>IFERROR(VLOOKUP(A488,[1]REPUESTOS!$A:$D,4,FALSE),"")</f>
        <v>12284</v>
      </c>
      <c r="D488" s="18">
        <f>IFERROR(VLOOKUP(A488,[2]REPUESTOS!$A:$R,18,FALSE),C488)</f>
        <v>11507.578701933389</v>
      </c>
      <c r="E488" s="19">
        <f t="shared" si="24"/>
        <v>-6.320590182893282E-2</v>
      </c>
      <c r="F488" s="10" t="str">
        <f>VLOOKUP(A488,[3]data!$W:$Z,4,FALSE)</f>
        <v>Si</v>
      </c>
      <c r="G488" s="10" t="str">
        <f t="shared" si="28"/>
        <v>Base modular plana para EV de aire puente lavado</v>
      </c>
      <c r="H488" s="19">
        <f>IFERROR(VLOOKUP(A488,[2]REPUESTOS!$A:$S,19,FALSE),"SIN ANÁLISIS")</f>
        <v>-6.320590182893282E-2</v>
      </c>
      <c r="I488" s="19">
        <f t="shared" si="26"/>
        <v>0</v>
      </c>
      <c r="J488" s="10" t="str">
        <f>VLOOKUP(A488,[4]REPUESTOS!$B:$FY,180,FALSE)</f>
        <v>Si</v>
      </c>
    </row>
    <row r="489" spans="1:10" x14ac:dyDescent="0.3">
      <c r="A489" s="10" t="s">
        <v>943</v>
      </c>
      <c r="B489" s="10" t="s">
        <v>1009</v>
      </c>
      <c r="C489" s="17">
        <f>IFERROR(VLOOKUP(A489,[1]REPUESTOS!$A:$D,4,FALSE),"")</f>
        <v>849479</v>
      </c>
      <c r="D489" s="18">
        <f>IFERROR(VLOOKUP(A489,[2]REPUESTOS!$A:$R,18,FALSE),C489)</f>
        <v>795786.60145556065</v>
      </c>
      <c r="E489" s="19">
        <f t="shared" si="24"/>
        <v>-6.3206269424481765E-2</v>
      </c>
      <c r="F489" s="10" t="str">
        <f>VLOOKUP(A489,[3]data!$W:$Z,4,FALSE)</f>
        <v>Si</v>
      </c>
      <c r="G489" s="10" t="str">
        <f t="shared" si="28"/>
        <v>Modulo de absorcion de cepillos puente lavado</v>
      </c>
      <c r="H489" s="19">
        <f>IFERROR(VLOOKUP(A489,[2]REPUESTOS!$A:$S,19,FALSE),"SIN ANÁLISIS")</f>
        <v>-6.3205901828932695E-2</v>
      </c>
      <c r="I489" s="19">
        <f t="shared" si="26"/>
        <v>3.6759554906951042E-7</v>
      </c>
      <c r="J489" s="10" t="str">
        <f>VLOOKUP(A489,[4]REPUESTOS!$B:$FY,180,FALSE)</f>
        <v>Si</v>
      </c>
    </row>
    <row r="490" spans="1:10" x14ac:dyDescent="0.3">
      <c r="A490" s="10" t="s">
        <v>944</v>
      </c>
      <c r="B490" s="10" t="s">
        <v>1010</v>
      </c>
      <c r="C490" s="17">
        <f>IFERROR(VLOOKUP(A490,[1]REPUESTOS!$A:$D,4,FALSE),"")</f>
        <v>605115</v>
      </c>
      <c r="D490" s="18">
        <f>IFERROR(VLOOKUP(A490,[2]REPUESTOS!$A:$R,18,FALSE),C490)</f>
        <v>566867.84845008596</v>
      </c>
      <c r="E490" s="19">
        <f t="shared" si="24"/>
        <v>-6.3206417870841136E-2</v>
      </c>
      <c r="F490" s="10" t="str">
        <f>VLOOKUP(A490,[3]data!$W:$Z,4,FALSE)</f>
        <v>Si</v>
      </c>
      <c r="G490" s="10" t="str">
        <f t="shared" si="28"/>
        <v>Inversor schneider de 0.75KW-230V 1PH puente lavado</v>
      </c>
      <c r="H490" s="19">
        <f>IFERROR(VLOOKUP(A490,[2]REPUESTOS!$A:$S,19,FALSE),"SIN ANÁLISIS")</f>
        <v>-6.3205901828932695E-2</v>
      </c>
      <c r="I490" s="19">
        <f t="shared" si="26"/>
        <v>5.1604190844101172E-7</v>
      </c>
      <c r="J490" s="10" t="str">
        <f>VLOOKUP(A490,[4]REPUESTOS!$B:$FY,180,FALSE)</f>
        <v>Si</v>
      </c>
    </row>
    <row r="491" spans="1:10" x14ac:dyDescent="0.3">
      <c r="A491" s="10" t="s">
        <v>945</v>
      </c>
      <c r="B491" s="10" t="s">
        <v>1011</v>
      </c>
      <c r="C491" s="17">
        <f>IFERROR(VLOOKUP(A491,[1]REPUESTOS!$A:$D,4,FALSE),"")</f>
        <v>281360</v>
      </c>
      <c r="D491" s="18">
        <f>IFERROR(VLOOKUP(A491,[2]REPUESTOS!$A:$R,18,FALSE),C491)</f>
        <v>263576.38746141148</v>
      </c>
      <c r="E491" s="19">
        <f t="shared" si="24"/>
        <v>-6.3205901828932765E-2</v>
      </c>
      <c r="F491" s="10" t="str">
        <f>VLOOKUP(A491,[3]data!$W:$Z,4,FALSE)</f>
        <v>Si</v>
      </c>
      <c r="G491" s="10" t="str">
        <f t="shared" si="28"/>
        <v>Cilindro de inclinacion cepillo vertical puente lavado</v>
      </c>
      <c r="H491" s="19">
        <f>IFERROR(VLOOKUP(A491,[2]REPUESTOS!$A:$S,19,FALSE),"SIN ANÁLISIS")</f>
        <v>-6.3205901828932765E-2</v>
      </c>
      <c r="I491" s="19">
        <f t="shared" si="26"/>
        <v>0</v>
      </c>
      <c r="J491" s="10" t="str">
        <f>VLOOKUP(A491,[4]REPUESTOS!$B:$FY,180,FALSE)</f>
        <v>Si</v>
      </c>
    </row>
    <row r="492" spans="1:10" x14ac:dyDescent="0.3">
      <c r="A492" s="10" t="s">
        <v>946</v>
      </c>
      <c r="B492" s="10" t="s">
        <v>1012</v>
      </c>
      <c r="C492" s="17">
        <f>IFERROR(VLOOKUP(A492,[1]REPUESTOS!$A:$D,4,FALSE),"")</f>
        <v>391169</v>
      </c>
      <c r="D492" s="18">
        <f>IFERROR(VLOOKUP(A492,[2]REPUESTOS!$A:$R,18,FALSE),C492)</f>
        <v>366445.12285217759</v>
      </c>
      <c r="E492" s="19">
        <f t="shared" si="24"/>
        <v>-6.3205103543027205E-2</v>
      </c>
      <c r="F492" s="10" t="str">
        <f>VLOOKUP(A492,[3]data!$W:$Z,4,FALSE)</f>
        <v>Si</v>
      </c>
      <c r="G492" s="10" t="str">
        <f t="shared" si="28"/>
        <v>Expansion PL schneider 16 puente lavado</v>
      </c>
      <c r="H492" s="19">
        <f>IFERROR(VLOOKUP(A492,[2]REPUESTOS!$A:$S,19,FALSE),"SIN ANÁLISIS")</f>
        <v>-6.3205901828932709E-2</v>
      </c>
      <c r="I492" s="19">
        <f t="shared" si="26"/>
        <v>-7.9828590550390377E-7</v>
      </c>
      <c r="J492" s="10" t="str">
        <f>VLOOKUP(A492,[4]REPUESTOS!$B:$FY,180,FALSE)</f>
        <v>Si</v>
      </c>
    </row>
    <row r="493" spans="1:10" x14ac:dyDescent="0.3">
      <c r="A493" s="10" t="s">
        <v>947</v>
      </c>
      <c r="B493" s="10" t="s">
        <v>1013</v>
      </c>
      <c r="C493" s="17">
        <f>IFERROR(VLOOKUP(A493,[1]REPUESTOS!$A:$D,4,FALSE),"")</f>
        <v>988171</v>
      </c>
      <c r="D493" s="18">
        <f>IFERROR(VLOOKUP(A493,[2]REPUESTOS!$A:$R,18,FALSE),C493)</f>
        <v>925712.4485191023</v>
      </c>
      <c r="E493" s="19">
        <f t="shared" si="24"/>
        <v>-6.3206217831628025E-2</v>
      </c>
      <c r="F493" s="10" t="str">
        <f>VLOOKUP(A493,[3]data!$W:$Z,4,FALSE)</f>
        <v>Si</v>
      </c>
      <c r="G493" s="10" t="str">
        <f t="shared" si="28"/>
        <v>Motor del reductor de traslacion 0.75KW puente lavado</v>
      </c>
      <c r="H493" s="19">
        <f>IFERROR(VLOOKUP(A493,[2]REPUESTOS!$A:$S,19,FALSE),"SIN ANÁLISIS")</f>
        <v>-6.3205901828932723E-2</v>
      </c>
      <c r="I493" s="19">
        <f t="shared" si="26"/>
        <v>3.1600269530251968E-7</v>
      </c>
      <c r="J493" s="10" t="str">
        <f>VLOOKUP(A493,[4]REPUESTOS!$B:$FY,180,FALSE)</f>
        <v>Si</v>
      </c>
    </row>
    <row r="494" spans="1:10" x14ac:dyDescent="0.3">
      <c r="A494" s="10" t="s">
        <v>948</v>
      </c>
      <c r="B494" s="10" t="s">
        <v>1014</v>
      </c>
      <c r="C494" s="17">
        <f>IFERROR(VLOOKUP(A494,[1]REPUESTOS!$A:$D,4,FALSE),"")</f>
        <v>675552</v>
      </c>
      <c r="D494" s="18">
        <f>IFERROR(VLOOKUP(A494,[2]REPUESTOS!$A:$R,18,FALSE),C494)</f>
        <v>632853.12660766079</v>
      </c>
      <c r="E494" s="19">
        <f t="shared" si="24"/>
        <v>-6.3205901828932806E-2</v>
      </c>
      <c r="F494" s="10" t="str">
        <f>VLOOKUP(A494,[3]data!$W:$Z,4,FALSE)</f>
        <v>Si</v>
      </c>
      <c r="G494" s="10" t="str">
        <f t="shared" si="28"/>
        <v>Reductor de traslacion puente de lavado izquierdo puente lavado</v>
      </c>
      <c r="H494" s="19">
        <f>IFERROR(VLOOKUP(A494,[2]REPUESTOS!$A:$S,19,FALSE),"SIN ANÁLISIS")</f>
        <v>-6.3205901828932806E-2</v>
      </c>
      <c r="I494" s="19">
        <f t="shared" si="26"/>
        <v>0</v>
      </c>
      <c r="J494" s="10" t="str">
        <f>VLOOKUP(A494,[4]REPUESTOS!$B:$FY,180,FALSE)</f>
        <v>Si</v>
      </c>
    </row>
    <row r="495" spans="1:10" x14ac:dyDescent="0.3">
      <c r="A495" s="10" t="s">
        <v>949</v>
      </c>
      <c r="B495" s="10" t="s">
        <v>1015</v>
      </c>
      <c r="C495" s="17">
        <f>IFERROR(VLOOKUP(A495,[1]REPUESTOS!$A:$D,4,FALSE),"")</f>
        <v>808505</v>
      </c>
      <c r="D495" s="18">
        <f>IFERROR(VLOOKUP(A495,[2]REPUESTOS!$A:$R,18,FALSE),C495)</f>
        <v>757403.02460649819</v>
      </c>
      <c r="E495" s="19">
        <f t="shared" si="24"/>
        <v>-6.3205515604111057E-2</v>
      </c>
      <c r="F495" s="10" t="str">
        <f>VLOOKUP(A495,[3]data!$W:$Z,4,FALSE)</f>
        <v>Si</v>
      </c>
      <c r="G495" s="10" t="str">
        <f t="shared" si="28"/>
        <v>Reductor para lavallantas puente lavado</v>
      </c>
      <c r="H495" s="19">
        <f>IFERROR(VLOOKUP(A495,[2]REPUESTOS!$A:$S,19,FALSE),"SIN ANÁLISIS")</f>
        <v>-6.3205901828932709E-2</v>
      </c>
      <c r="I495" s="19">
        <f t="shared" si="26"/>
        <v>-3.8622482165240335E-7</v>
      </c>
      <c r="J495" s="10" t="str">
        <f>VLOOKUP(A495,[4]REPUESTOS!$B:$FY,180,FALSE)</f>
        <v>Si</v>
      </c>
    </row>
    <row r="496" spans="1:10" x14ac:dyDescent="0.3">
      <c r="A496" s="10" t="s">
        <v>950</v>
      </c>
      <c r="B496" s="10" t="s">
        <v>1016</v>
      </c>
      <c r="C496" s="17">
        <f>IFERROR(VLOOKUP(A496,[1]REPUESTOS!$A:$D,4,FALSE),"")</f>
        <v>1137529</v>
      </c>
      <c r="D496" s="18">
        <f>IFERROR(VLOOKUP(A496,[2]REPUESTOS!$A:$R,18,FALSE),C496)</f>
        <v>1065630.7659631353</v>
      </c>
      <c r="E496" s="19">
        <f t="shared" si="24"/>
        <v>-6.3205627317514293E-2</v>
      </c>
      <c r="F496" s="10" t="str">
        <f>VLOOKUP(A496,[3]data!$W:$Z,4,FALSE)</f>
        <v>Si</v>
      </c>
      <c r="G496" s="10" t="str">
        <f t="shared" si="28"/>
        <v>Bomba de alta presion puente lavado</v>
      </c>
      <c r="H496" s="19">
        <f>IFERROR(VLOOKUP(A496,[2]REPUESTOS!$A:$S,19,FALSE),"SIN ANÁLISIS")</f>
        <v>-6.3205901828932737E-2</v>
      </c>
      <c r="I496" s="19">
        <f t="shared" si="26"/>
        <v>-2.7451141844381244E-7</v>
      </c>
      <c r="J496" s="10" t="str">
        <f>VLOOKUP(A496,[4]REPUESTOS!$B:$FY,180,FALSE)</f>
        <v>Si</v>
      </c>
    </row>
    <row r="497" spans="1:11" x14ac:dyDescent="0.3">
      <c r="A497" s="10" t="s">
        <v>951</v>
      </c>
      <c r="B497" s="10" t="s">
        <v>1017</v>
      </c>
      <c r="C497" s="17">
        <f>IFERROR(VLOOKUP(A497,[1]REPUESTOS!$A:$D,4,FALSE),"")</f>
        <v>304957</v>
      </c>
      <c r="D497" s="18">
        <f>IFERROR(VLOOKUP(A497,[2]REPUESTOS!$A:$R,18,FALSE),C497)</f>
        <v>285682.23006065353</v>
      </c>
      <c r="E497" s="19">
        <f t="shared" si="24"/>
        <v>-6.3204877865884274E-2</v>
      </c>
      <c r="F497" s="10" t="str">
        <f>VLOOKUP(A497,[3]data!$W:$Z,4,FALSE)</f>
        <v>Si</v>
      </c>
      <c r="G497" s="10" t="str">
        <f t="shared" si="28"/>
        <v>Motor KW0. 37 puente lavado</v>
      </c>
      <c r="H497" s="19">
        <f>IFERROR(VLOOKUP(A497,[2]REPUESTOS!$A:$S,19,FALSE),"SIN ANÁLISIS")</f>
        <v>-6.3205901828932751E-2</v>
      </c>
      <c r="I497" s="19">
        <f t="shared" si="26"/>
        <v>-1.0239630484770723E-6</v>
      </c>
      <c r="J497" s="10" t="str">
        <f>VLOOKUP(A497,[4]REPUESTOS!$B:$FY,180,FALSE)</f>
        <v>Si</v>
      </c>
    </row>
    <row r="498" spans="1:11" x14ac:dyDescent="0.3">
      <c r="A498" s="10" t="s">
        <v>952</v>
      </c>
      <c r="B498" s="10" t="s">
        <v>1018</v>
      </c>
      <c r="C498" s="17">
        <f>IFERROR(VLOOKUP(A498,[1]REPUESTOS!$A:$D,4,FALSE),"")</f>
        <v>744535</v>
      </c>
      <c r="D498" s="18">
        <f>IFERROR(VLOOKUP(A498,[2]REPUESTOS!$A:$R,18,FALSE),C498)</f>
        <v>697475.68161709607</v>
      </c>
      <c r="E498" s="19">
        <f t="shared" si="24"/>
        <v>-6.3206321237959176E-2</v>
      </c>
      <c r="F498" s="10" t="str">
        <f>VLOOKUP(A498,[3]data!$W:$Z,4,FALSE)</f>
        <v>Si</v>
      </c>
      <c r="G498" s="10" t="str">
        <f t="shared" si="28"/>
        <v>Motor de secado con ventilacion trasera puente lavado</v>
      </c>
      <c r="H498" s="19">
        <f>IFERROR(VLOOKUP(A498,[2]REPUESTOS!$A:$S,19,FALSE),"SIN ANÁLISIS")</f>
        <v>-6.3205901828932834E-2</v>
      </c>
      <c r="I498" s="19">
        <f t="shared" si="26"/>
        <v>4.1940902634207688E-7</v>
      </c>
      <c r="J498" s="10" t="str">
        <f>VLOOKUP(A498,[4]REPUESTOS!$B:$FY,180,FALSE)</f>
        <v>Si</v>
      </c>
    </row>
    <row r="499" spans="1:11" x14ac:dyDescent="0.3">
      <c r="A499" s="10" t="s">
        <v>953</v>
      </c>
      <c r="B499" s="10" t="s">
        <v>1019</v>
      </c>
      <c r="C499" s="17">
        <f>IFERROR(VLOOKUP(A499,[1]REPUESTOS!$A:$D,4,FALSE),"")</f>
        <v>871751</v>
      </c>
      <c r="D499" s="18">
        <f>IFERROR(VLOOKUP(A499,[2]REPUESTOS!$A:$R,18,FALSE),C499)</f>
        <v>816650.8796100266</v>
      </c>
      <c r="E499" s="19">
        <f t="shared" si="24"/>
        <v>-6.3206260032937611E-2</v>
      </c>
      <c r="F499" s="10" t="str">
        <f>VLOOKUP(A499,[3]data!$W:$Z,4,FALSE)</f>
        <v>Si</v>
      </c>
      <c r="G499" s="10" t="str">
        <f t="shared" si="28"/>
        <v>Motor trifasico bomba de AP 8.5HP 4P 400/230 eje hueco puente lavado</v>
      </c>
      <c r="H499" s="19">
        <f>IFERROR(VLOOKUP(A499,[2]REPUESTOS!$A:$S,19,FALSE),"SIN ANÁLISIS")</f>
        <v>-6.3205901828932765E-2</v>
      </c>
      <c r="I499" s="19">
        <f t="shared" si="26"/>
        <v>3.5820400484665171E-7</v>
      </c>
      <c r="J499" s="10" t="str">
        <f>VLOOKUP(A499,[4]REPUESTOS!$B:$FY,180,FALSE)</f>
        <v>Si</v>
      </c>
    </row>
    <row r="500" spans="1:11" x14ac:dyDescent="0.3">
      <c r="A500" s="10" t="s">
        <v>954</v>
      </c>
      <c r="B500" s="10" t="s">
        <v>1020</v>
      </c>
      <c r="C500" s="17">
        <f>IFERROR(VLOOKUP(A500,[1]REPUESTOS!$A:$D,4,FALSE),"")</f>
        <v>624527</v>
      </c>
      <c r="D500" s="18">
        <f>IFERROR(VLOOKUP(A500,[2]REPUESTOS!$A:$R,18,FALSE),C500)</f>
        <v>585052.89548378275</v>
      </c>
      <c r="E500" s="19">
        <f t="shared" si="24"/>
        <v>-6.3206401830853187E-2</v>
      </c>
      <c r="F500" s="10" t="str">
        <f>VLOOKUP(A500,[3]data!$W:$Z,4,FALSE)</f>
        <v>Si</v>
      </c>
      <c r="G500" s="10" t="str">
        <f t="shared" si="28"/>
        <v>Motor secado horizontal puente lavado</v>
      </c>
      <c r="H500" s="19">
        <f>IFERROR(VLOOKUP(A500,[2]REPUESTOS!$A:$S,19,FALSE),"SIN ANÁLISIS")</f>
        <v>-6.3205901828932654E-2</v>
      </c>
      <c r="I500" s="19">
        <f t="shared" si="26"/>
        <v>5.0000192053367698E-7</v>
      </c>
      <c r="J500" s="10" t="str">
        <f>VLOOKUP(A500,[4]REPUESTOS!$B:$FY,180,FALSE)</f>
        <v>Si</v>
      </c>
    </row>
    <row r="501" spans="1:11" x14ac:dyDescent="0.3">
      <c r="A501" s="10" t="s">
        <v>955</v>
      </c>
      <c r="B501" s="10" t="s">
        <v>1021</v>
      </c>
      <c r="C501" s="17">
        <f>IFERROR(VLOOKUP(A501,[1]REPUESTOS!$A:$D,4,FALSE),"")</f>
        <v>377301</v>
      </c>
      <c r="D501" s="18">
        <f>IFERROR(VLOOKUP(A501,[2]REPUESTOS!$A:$R,18,FALSE),C501)</f>
        <v>353453.66229874123</v>
      </c>
      <c r="E501" s="19">
        <f t="shared" si="24"/>
        <v>-6.3205074201390335E-2</v>
      </c>
      <c r="F501" s="10" t="str">
        <f>VLOOKUP(A501,[3]data!$W:$Z,4,FALSE)</f>
        <v>Si</v>
      </c>
      <c r="G501" s="10" t="str">
        <f t="shared" si="28"/>
        <v>Caudalimetro pulsador de 1" 53IMP/L puente lavado</v>
      </c>
      <c r="H501" s="19">
        <f>IFERROR(VLOOKUP(A501,[2]REPUESTOS!$A:$S,19,FALSE),"SIN ANÁLISIS")</f>
        <v>-6.3205901828932723E-2</v>
      </c>
      <c r="I501" s="19">
        <f t="shared" si="26"/>
        <v>-8.2762754238796532E-7</v>
      </c>
      <c r="J501" s="10" t="str">
        <f>VLOOKUP(A501,[4]REPUESTOS!$B:$FY,180,FALSE)</f>
        <v>Si</v>
      </c>
    </row>
    <row r="502" spans="1:11" x14ac:dyDescent="0.3">
      <c r="A502" s="10" t="s">
        <v>956</v>
      </c>
      <c r="B502" s="10" t="s">
        <v>1194</v>
      </c>
      <c r="C502" s="17">
        <f>IFERROR(VLOOKUP(A502,[1]REPUESTOS!$A:$D,4,FALSE),"")</f>
        <v>19067</v>
      </c>
      <c r="D502" s="18">
        <f>IFERROR(VLOOKUP(A502,[2]REPUESTOS!$A:$R,18,FALSE),C502)</f>
        <v>70773.066932874775</v>
      </c>
      <c r="E502" s="19">
        <f t="shared" si="24"/>
        <v>2.7118092480660185</v>
      </c>
      <c r="F502" s="10" t="str">
        <f>VLOOKUP(A502,[3]data!$W:$Z,4,FALSE)</f>
        <v>Si</v>
      </c>
      <c r="G502" s="10" t="str">
        <f t="shared" si="28"/>
        <v>Correa dentada de kevlar para cepillo horizontal puente lavado 5 mt</v>
      </c>
      <c r="H502" s="19">
        <f>IFERROR(VLOOKUP(A502,[2]REPUESTOS!$A:$S,19,FALSE),"SIN ANÁLISIS")</f>
        <v>36.118741398360889</v>
      </c>
      <c r="I502" s="19">
        <f t="shared" si="26"/>
        <v>33.406932150294871</v>
      </c>
      <c r="J502" s="10" t="str">
        <f>VLOOKUP(A502,[4]REPUESTOS!$B:$FY,180,FALSE)</f>
        <v>Si</v>
      </c>
      <c r="K502" s="16" t="s">
        <v>1195</v>
      </c>
    </row>
    <row r="503" spans="1:11" x14ac:dyDescent="0.3">
      <c r="A503" s="10" t="s">
        <v>957</v>
      </c>
      <c r="B503" s="10" t="s">
        <v>1022</v>
      </c>
      <c r="C503" s="17">
        <f>IFERROR(VLOOKUP(A503,[1]REPUESTOS!$A:$D,4,FALSE),"")</f>
        <v>440837</v>
      </c>
      <c r="D503" s="18">
        <f>IFERROR(VLOOKUP(A503,[2]REPUESTOS!$A:$R,18,FALSE),C503)</f>
        <v>412973.81212013814</v>
      </c>
      <c r="E503" s="19">
        <f t="shared" si="24"/>
        <v>-6.3205193483899622E-2</v>
      </c>
      <c r="F503" s="10" t="str">
        <f>VLOOKUP(A503,[3]data!$W:$Z,4,FALSE)</f>
        <v>Si</v>
      </c>
      <c r="G503" s="10" t="str">
        <f t="shared" si="28"/>
        <v>Colector EV de agua puente lavado</v>
      </c>
      <c r="H503" s="19">
        <f>IFERROR(VLOOKUP(A503,[2]REPUESTOS!$A:$S,19,FALSE),"SIN ANÁLISIS")</f>
        <v>-6.3205901828932751E-2</v>
      </c>
      <c r="I503" s="19">
        <f t="shared" si="26"/>
        <v>-7.0834503312910968E-7</v>
      </c>
      <c r="J503" s="10" t="str">
        <f>VLOOKUP(A503,[4]REPUESTOS!$B:$FY,180,FALSE)</f>
        <v>Si</v>
      </c>
    </row>
    <row r="504" spans="1:11" x14ac:dyDescent="0.3">
      <c r="A504" s="10" t="s">
        <v>958</v>
      </c>
      <c r="B504" s="10" t="s">
        <v>1023</v>
      </c>
      <c r="C504" s="17">
        <f>IFERROR(VLOOKUP(A504,[1]REPUESTOS!$A:$D,4,FALSE),"")</f>
        <v>175672</v>
      </c>
      <c r="D504" s="18">
        <f>IFERROR(VLOOKUP(A504,[2]REPUESTOS!$A:$R,18,FALSE),C504)</f>
        <v>164568.49281390774</v>
      </c>
      <c r="E504" s="19">
        <f t="shared" si="24"/>
        <v>-6.3205901828932681E-2</v>
      </c>
      <c r="F504" s="10" t="str">
        <f>VLOOKUP(A504,[3]data!$W:$Z,4,FALSE)</f>
        <v>Si</v>
      </c>
      <c r="G504" s="10" t="str">
        <f t="shared" si="28"/>
        <v>Conexion RJ45 CAN-OPEN puente lavado</v>
      </c>
      <c r="H504" s="19">
        <f>IFERROR(VLOOKUP(A504,[2]REPUESTOS!$A:$S,19,FALSE),"SIN ANÁLISIS")</f>
        <v>-6.3205901828932681E-2</v>
      </c>
      <c r="I504" s="19">
        <f t="shared" si="26"/>
        <v>0</v>
      </c>
      <c r="J504" s="10" t="str">
        <f>VLOOKUP(A504,[4]REPUESTOS!$B:$FY,180,FALSE)</f>
        <v>Si</v>
      </c>
    </row>
    <row r="505" spans="1:11" x14ac:dyDescent="0.3">
      <c r="A505" s="10" t="s">
        <v>959</v>
      </c>
      <c r="B505" s="10" t="s">
        <v>1024</v>
      </c>
      <c r="C505" s="17">
        <f>IFERROR(VLOOKUP(A505,[1]REPUESTOS!$A:$D,4,FALSE),"")</f>
        <v>55988</v>
      </c>
      <c r="D505" s="18">
        <f>IFERROR(VLOOKUP(A505,[2]REPUESTOS!$A:$R,18,FALSE),C505)</f>
        <v>52449.227968401712</v>
      </c>
      <c r="E505" s="19">
        <f t="shared" si="24"/>
        <v>-6.3205901828932765E-2</v>
      </c>
      <c r="F505" s="10" t="str">
        <f>VLOOKUP(A505,[3]data!$W:$Z,4,FALSE)</f>
        <v>Si</v>
      </c>
      <c r="G505" s="10" t="str">
        <f t="shared" si="28"/>
        <v>Regulador de presion 1/4 tuerca anular con monom puente lavado</v>
      </c>
      <c r="H505" s="19">
        <f>IFERROR(VLOOKUP(A505,[2]REPUESTOS!$A:$S,19,FALSE),"SIN ANÁLISIS")</f>
        <v>-6.3205901828932765E-2</v>
      </c>
      <c r="I505" s="19">
        <f t="shared" si="26"/>
        <v>0</v>
      </c>
      <c r="J505" s="10" t="str">
        <f>VLOOKUP(A505,[4]REPUESTOS!$B:$FY,180,FALSE)</f>
        <v>Si</v>
      </c>
    </row>
    <row r="506" spans="1:11" x14ac:dyDescent="0.3">
      <c r="A506" s="10" t="s">
        <v>960</v>
      </c>
      <c r="B506" s="10" t="s">
        <v>1025</v>
      </c>
      <c r="C506" s="17">
        <f>IFERROR(VLOOKUP(A506,[1]REPUESTOS!$A:$D,4,FALSE),"")</f>
        <v>15597</v>
      </c>
      <c r="D506" s="18">
        <f>IFERROR(VLOOKUP(A506,[2]REPUESTOS!$A:$R,18,FALSE),C506)</f>
        <v>14611.489813873526</v>
      </c>
      <c r="E506" s="19">
        <f t="shared" si="24"/>
        <v>-6.3185881010865794E-2</v>
      </c>
      <c r="F506" s="10" t="str">
        <f>VLOOKUP(A506,[3]data!$W:$Z,4,FALSE)</f>
        <v>Si</v>
      </c>
      <c r="G506" s="10" t="str">
        <f t="shared" si="28"/>
        <v>Admision de aire 1/4 puente lavado</v>
      </c>
      <c r="H506" s="19">
        <f>IFERROR(VLOOKUP(A506,[2]REPUESTOS!$A:$S,19,FALSE),"SIN ANÁLISIS")</f>
        <v>-6.3205901828932792E-2</v>
      </c>
      <c r="I506" s="19">
        <f t="shared" si="26"/>
        <v>-2.0020818066998625E-5</v>
      </c>
      <c r="J506" s="10" t="str">
        <f>VLOOKUP(A506,[4]REPUESTOS!$B:$FY,180,FALSE)</f>
        <v>Si</v>
      </c>
    </row>
    <row r="507" spans="1:11" x14ac:dyDescent="0.3">
      <c r="A507" s="10" t="s">
        <v>961</v>
      </c>
      <c r="B507" s="10" t="s">
        <v>1026</v>
      </c>
      <c r="C507" s="17">
        <f>IFERROR(VLOOKUP(A507,[1]REPUESTOS!$A:$D,4,FALSE),"")</f>
        <v>84984</v>
      </c>
      <c r="D507" s="18">
        <f>IFERROR(VLOOKUP(A507,[2]REPUESTOS!$A:$R,18,FALSE),C507)</f>
        <v>79612.509638969976</v>
      </c>
      <c r="E507" s="19">
        <f t="shared" si="24"/>
        <v>-6.3205901828932792E-2</v>
      </c>
      <c r="F507" s="10" t="str">
        <f>VLOOKUP(A507,[3]data!$W:$Z,4,FALSE)</f>
        <v>Si</v>
      </c>
      <c r="G507" s="10" t="str">
        <f t="shared" si="28"/>
        <v>Unidad de filtro de aire manometro1/4 fil. librar puente lavado</v>
      </c>
      <c r="H507" s="19">
        <f>IFERROR(VLOOKUP(A507,[2]REPUESTOS!$A:$S,19,FALSE),"SIN ANÁLISIS")</f>
        <v>-6.3205901828932792E-2</v>
      </c>
      <c r="I507" s="19">
        <f t="shared" si="26"/>
        <v>0</v>
      </c>
      <c r="J507" s="10" t="str">
        <f>VLOOKUP(A507,[4]REPUESTOS!$B:$FY,180,FALSE)</f>
        <v>Si</v>
      </c>
    </row>
    <row r="508" spans="1:11" x14ac:dyDescent="0.3">
      <c r="A508" s="10" t="s">
        <v>962</v>
      </c>
      <c r="B508" s="10" t="s">
        <v>1027</v>
      </c>
      <c r="C508" s="17">
        <f>IFERROR(VLOOKUP(A508,[1]REPUESTOS!$A:$D,4,FALSE),"")</f>
        <v>625140</v>
      </c>
      <c r="D508" s="18">
        <f>IFERROR(VLOOKUP(A508,[2]REPUESTOS!$A:$R,18,FALSE),C508)</f>
        <v>585627.46253066103</v>
      </c>
      <c r="E508" s="19">
        <f t="shared" si="24"/>
        <v>-6.3205901828932681E-2</v>
      </c>
      <c r="F508" s="10" t="str">
        <f>VLOOKUP(A508,[3]data!$W:$Z,4,FALSE)</f>
        <v>Si</v>
      </c>
      <c r="G508" s="10" t="str">
        <f t="shared" si="28"/>
        <v>Modulo de seguridad 8DI puente lavado</v>
      </c>
      <c r="H508" s="19">
        <f>IFERROR(VLOOKUP(A508,[2]REPUESTOS!$A:$S,19,FALSE),"SIN ANÁLISIS")</f>
        <v>-6.3205901828932681E-2</v>
      </c>
      <c r="I508" s="19">
        <f t="shared" si="26"/>
        <v>0</v>
      </c>
      <c r="J508" s="10" t="str">
        <f>VLOOKUP(A508,[4]REPUESTOS!$B:$FY,180,FALSE)</f>
        <v>Si</v>
      </c>
    </row>
    <row r="509" spans="1:11" x14ac:dyDescent="0.3">
      <c r="A509" s="10" t="s">
        <v>963</v>
      </c>
      <c r="B509" s="10" t="s">
        <v>1028</v>
      </c>
      <c r="C509" s="17">
        <f>IFERROR(VLOOKUP(A509,[1]REPUESTOS!$A:$D,4,FALSE),"")</f>
        <v>124324</v>
      </c>
      <c r="D509" s="18">
        <f>IFERROR(VLOOKUP(A509,[2]REPUESTOS!$A:$R,18,FALSE),C509)</f>
        <v>116465.98946101977</v>
      </c>
      <c r="E509" s="19">
        <f t="shared" si="24"/>
        <v>-6.3205901828932737E-2</v>
      </c>
      <c r="F509" s="10" t="str">
        <f>VLOOKUP(A509,[3]data!$W:$Z,4,FALSE)</f>
        <v>Si</v>
      </c>
      <c r="G509" s="10" t="str">
        <f t="shared" si="28"/>
        <v>Valvula pulsar para interpmps VBX puente lavado</v>
      </c>
      <c r="H509" s="19">
        <f>IFERROR(VLOOKUP(A509,[2]REPUESTOS!$A:$S,19,FALSE),"SIN ANÁLISIS")</f>
        <v>-6.3205901828932737E-2</v>
      </c>
      <c r="I509" s="19">
        <f t="shared" si="26"/>
        <v>0</v>
      </c>
      <c r="J509" s="10" t="str">
        <f>VLOOKUP(A509,[4]REPUESTOS!$B:$FY,180,FALSE)</f>
        <v>Si</v>
      </c>
    </row>
    <row r="510" spans="1:11" x14ac:dyDescent="0.3">
      <c r="A510" s="10" t="s">
        <v>964</v>
      </c>
      <c r="B510" s="10" t="s">
        <v>1029</v>
      </c>
      <c r="C510" s="17">
        <f>IFERROR(VLOOKUP(A510,[1]REPUESTOS!$A:$D,4,FALSE),"")</f>
        <v>82511</v>
      </c>
      <c r="D510" s="18">
        <f>IFERROR(VLOOKUP(A510,[2]REPUESTOS!$A:$R,18,FALSE),C510)</f>
        <v>77295.505569493544</v>
      </c>
      <c r="E510" s="19">
        <f t="shared" si="24"/>
        <v>-6.3209686350989031E-2</v>
      </c>
      <c r="F510" s="10" t="str">
        <f>VLOOKUP(A510,[3]data!$W:$Z,4,FALSE)</f>
        <v>Si</v>
      </c>
      <c r="G510" s="10" t="str">
        <f t="shared" si="28"/>
        <v>Electrovalvula plano 5/2 puente lavado</v>
      </c>
      <c r="H510" s="19">
        <f>IFERROR(VLOOKUP(A510,[2]REPUESTOS!$A:$S,19,FALSE),"SIN ANÁLISIS")</f>
        <v>-6.3205901828932751E-2</v>
      </c>
      <c r="I510" s="19">
        <f t="shared" si="26"/>
        <v>3.784522056279882E-6</v>
      </c>
      <c r="J510" s="10" t="str">
        <f>VLOOKUP(A510,[4]REPUESTOS!$B:$FY,180,FALSE)</f>
        <v>Si</v>
      </c>
    </row>
    <row r="511" spans="1:11" x14ac:dyDescent="0.3">
      <c r="A511" s="10" t="s">
        <v>965</v>
      </c>
      <c r="B511" s="10" t="s">
        <v>1030</v>
      </c>
      <c r="C511" s="17">
        <f>IFERROR(VLOOKUP(A511,[1]REPUESTOS!$A:$D,4,FALSE),"")</f>
        <v>141245</v>
      </c>
      <c r="D511" s="18">
        <f>IFERROR(VLOOKUP(A511,[2]REPUESTOS!$A:$R,18,FALSE),C511)</f>
        <v>132317.79466087179</v>
      </c>
      <c r="E511" s="19">
        <f t="shared" si="24"/>
        <v>-6.3203691027138728E-2</v>
      </c>
      <c r="F511" s="10" t="str">
        <f>VLOOKUP(A511,[3]data!$W:$Z,4,FALSE)</f>
        <v>Si</v>
      </c>
      <c r="G511" s="10" t="str">
        <f t="shared" si="28"/>
        <v>Electrovalvula flat 5/3 1/4 casol puente lavado</v>
      </c>
      <c r="H511" s="19">
        <f>IFERROR(VLOOKUP(A511,[2]REPUESTOS!$A:$S,19,FALSE),"SIN ANÁLISIS")</f>
        <v>-6.3205901828932765E-2</v>
      </c>
      <c r="I511" s="19">
        <f t="shared" si="26"/>
        <v>-2.2108017940364322E-6</v>
      </c>
      <c r="J511" s="10" t="str">
        <f>VLOOKUP(A511,[4]REPUESTOS!$B:$FY,180,FALSE)</f>
        <v>Si</v>
      </c>
    </row>
    <row r="512" spans="1:11" x14ac:dyDescent="0.3">
      <c r="A512" s="10" t="s">
        <v>966</v>
      </c>
      <c r="B512" s="10" t="s">
        <v>1031</v>
      </c>
      <c r="C512" s="17">
        <f>IFERROR(VLOOKUP(A512,[1]REPUESTOS!$A:$D,4,FALSE),"")</f>
        <v>1287132</v>
      </c>
      <c r="D512" s="18">
        <f>IFERROR(VLOOKUP(A512,[2]REPUESTOS!$A:$R,18,FALSE),C512)</f>
        <v>1205777.6611671222</v>
      </c>
      <c r="E512" s="19">
        <f t="shared" si="24"/>
        <v>-6.3205901828932709E-2</v>
      </c>
      <c r="F512" s="10" t="str">
        <f>VLOOKUP(A512,[3]data!$W:$Z,4,FALSE)</f>
        <v>Si</v>
      </c>
      <c r="G512" s="10" t="str">
        <f t="shared" si="28"/>
        <v>PLC schneirder TMC241CECT 24R puente lavado</v>
      </c>
      <c r="H512" s="19">
        <f>IFERROR(VLOOKUP(A512,[2]REPUESTOS!$A:$S,19,FALSE),"SIN ANÁLISIS")</f>
        <v>-6.3205901828932709E-2</v>
      </c>
      <c r="I512" s="19">
        <f t="shared" si="26"/>
        <v>0</v>
      </c>
      <c r="J512" s="10" t="str">
        <f>VLOOKUP(A512,[4]REPUESTOS!$B:$FY,180,FALSE)</f>
        <v>Si</v>
      </c>
    </row>
    <row r="513" spans="1:10" x14ac:dyDescent="0.3">
      <c r="A513" s="10" t="s">
        <v>967</v>
      </c>
      <c r="B513" s="10" t="s">
        <v>1032</v>
      </c>
      <c r="C513" s="17">
        <f>IFERROR(VLOOKUP(A513,[1]REPUESTOS!$A:$D,4,FALSE),"")</f>
        <v>9343</v>
      </c>
      <c r="D513" s="18">
        <f>IFERROR(VLOOKUP(A513,[2]REPUESTOS!$A:$R,18,FALSE),C513)</f>
        <v>8752.15499451289</v>
      </c>
      <c r="E513" s="19">
        <f t="shared" si="24"/>
        <v>-6.3239324145040146E-2</v>
      </c>
      <c r="F513" s="10" t="str">
        <f>VLOOKUP(A513,[3]data!$W:$Z,4,FALSE)</f>
        <v>Si</v>
      </c>
      <c r="G513" s="10" t="str">
        <f t="shared" si="28"/>
        <v>Soporte de boquilla giratoria fil. 3/8 sin tuerca anular puente lavado</v>
      </c>
      <c r="H513" s="19">
        <f>IFERROR(VLOOKUP(A513,[2]REPUESTOS!$A:$S,19,FALSE),"SIN ANÁLISIS")</f>
        <v>-6.3205901828932792E-2</v>
      </c>
      <c r="I513" s="19">
        <f t="shared" si="26"/>
        <v>3.34223161073538E-5</v>
      </c>
      <c r="J513" s="10" t="str">
        <f>VLOOKUP(A513,[4]REPUESTOS!$B:$FY,180,FALSE)</f>
        <v>Si</v>
      </c>
    </row>
    <row r="514" spans="1:10" x14ac:dyDescent="0.3">
      <c r="A514" s="10" t="s">
        <v>968</v>
      </c>
      <c r="B514" s="10" t="s">
        <v>1033</v>
      </c>
      <c r="C514" s="17">
        <f>IFERROR(VLOOKUP(A514,[1]REPUESTOS!$A:$D,4,FALSE),"")</f>
        <v>582907</v>
      </c>
      <c r="D514" s="18">
        <f>IFERROR(VLOOKUP(A514,[2]REPUESTOS!$A:$R,18,FALSE),C514)</f>
        <v>546063.5251179029</v>
      </c>
      <c r="E514" s="19">
        <f t="shared" si="24"/>
        <v>-6.3206437531367954E-2</v>
      </c>
      <c r="F514" s="10" t="str">
        <f>VLOOKUP(A514,[3]data!$W:$Z,4,FALSE)</f>
        <v>Si</v>
      </c>
      <c r="G514" s="10" t="str">
        <f t="shared" si="28"/>
        <v>Expansion de PLC sche 16DO puente lavado</v>
      </c>
      <c r="H514" s="19">
        <f>IFERROR(VLOOKUP(A514,[2]REPUESTOS!$A:$S,19,FALSE),"SIN ANÁLISIS")</f>
        <v>-6.3205901828932695E-2</v>
      </c>
      <c r="I514" s="19">
        <f t="shared" si="26"/>
        <v>5.3570243525868921E-7</v>
      </c>
      <c r="J514" s="10" t="str">
        <f>VLOOKUP(A514,[4]REPUESTOS!$B:$FY,180,FALSE)</f>
        <v>Si</v>
      </c>
    </row>
    <row r="515" spans="1:10" x14ac:dyDescent="0.3">
      <c r="A515" s="10" t="s">
        <v>969</v>
      </c>
      <c r="B515" s="10" t="s">
        <v>1034</v>
      </c>
      <c r="C515" s="17">
        <f>IFERROR(VLOOKUP(A515,[1]REPUESTOS!$A:$D,4,FALSE),"")</f>
        <v>4121</v>
      </c>
      <c r="D515" s="18">
        <f>IFERROR(VLOOKUP(A515,[2]REPUESTOS!$A:$R,18,FALSE),C515)</f>
        <v>3860.840743262358</v>
      </c>
      <c r="E515" s="19">
        <f t="shared" si="24"/>
        <v>-6.3130127817918449E-2</v>
      </c>
      <c r="F515" s="10" t="str">
        <f>VLOOKUP(A515,[3]data!$W:$Z,4,FALSE)</f>
        <v>Si</v>
      </c>
      <c r="G515" s="10" t="str">
        <f t="shared" si="28"/>
        <v>Boquilla metalica para tuercas rojas puente lavado</v>
      </c>
      <c r="H515" s="19">
        <f>IFERROR(VLOOKUP(A515,[2]REPUESTOS!$A:$S,19,FALSE),"SIN ANÁLISIS")</f>
        <v>-6.3205901828932792E-2</v>
      </c>
      <c r="I515" s="19">
        <f t="shared" si="26"/>
        <v>-7.577401101434289E-5</v>
      </c>
      <c r="J515" s="10" t="str">
        <f>VLOOKUP(A515,[4]REPUESTOS!$B:$FY,180,FALSE)</f>
        <v>Si</v>
      </c>
    </row>
    <row r="516" spans="1:10" x14ac:dyDescent="0.3">
      <c r="A516" s="10" t="s">
        <v>970</v>
      </c>
      <c r="B516" s="10" t="s">
        <v>1035</v>
      </c>
      <c r="C516" s="17">
        <f>IFERROR(VLOOKUP(A516,[1]REPUESTOS!$A:$D,4,FALSE),"")</f>
        <v>4121</v>
      </c>
      <c r="D516" s="18">
        <f>IFERROR(VLOOKUP(A516,[2]REPUESTOS!$A:$R,18,FALSE),C516)</f>
        <v>3860.840743262358</v>
      </c>
      <c r="E516" s="19">
        <f t="shared" si="24"/>
        <v>-6.3130127817918449E-2</v>
      </c>
      <c r="F516" s="10" t="str">
        <f>VLOOKUP(A516,[3]data!$W:$Z,4,FALSE)</f>
        <v>Si</v>
      </c>
      <c r="G516" s="10" t="str">
        <f t="shared" si="28"/>
        <v>Porta boquillas de emoliente puente lavado</v>
      </c>
      <c r="H516" s="19">
        <f>IFERROR(VLOOKUP(A516,[2]REPUESTOS!$A:$S,19,FALSE),"SIN ANÁLISIS")</f>
        <v>-6.3205901828932792E-2</v>
      </c>
      <c r="I516" s="19">
        <f t="shared" si="26"/>
        <v>-7.577401101434289E-5</v>
      </c>
      <c r="J516" s="10" t="str">
        <f>VLOOKUP(A516,[4]REPUESTOS!$B:$FY,180,FALSE)</f>
        <v>Si</v>
      </c>
    </row>
    <row r="517" spans="1:10" x14ac:dyDescent="0.3">
      <c r="A517" s="10" t="s">
        <v>971</v>
      </c>
      <c r="B517" s="10" t="s">
        <v>1036</v>
      </c>
      <c r="C517" s="17">
        <f>IFERROR(VLOOKUP(A517,[1]REPUESTOS!$A:$D,4,FALSE),"")</f>
        <v>63988</v>
      </c>
      <c r="D517" s="18">
        <f>IFERROR(VLOOKUP(A517,[2]REPUESTOS!$A:$R,18,FALSE),C517)</f>
        <v>59943.580753770249</v>
      </c>
      <c r="E517" s="19">
        <f t="shared" ref="E517:E527" si="29">IFERROR((D517-C517)/C517,0)</f>
        <v>-6.3205901828932778E-2</v>
      </c>
      <c r="F517" s="10" t="str">
        <f>VLOOKUP(A517,[3]data!$W:$Z,4,FALSE)</f>
        <v>Si</v>
      </c>
      <c r="G517" s="10" t="str">
        <f t="shared" si="28"/>
        <v>Adaptador de tarjeta rj45 de apertura de lata puente lavado</v>
      </c>
      <c r="H517" s="19">
        <f>IFERROR(VLOOKUP(A517,[2]REPUESTOS!$A:$S,19,FALSE),"SIN ANÁLISIS")</f>
        <v>-6.3205901828932778E-2</v>
      </c>
      <c r="I517" s="19">
        <f t="shared" si="26"/>
        <v>0</v>
      </c>
      <c r="J517" s="10" t="str">
        <f>VLOOKUP(A517,[4]REPUESTOS!$B:$FY,180,FALSE)</f>
        <v>Si</v>
      </c>
    </row>
    <row r="518" spans="1:10" x14ac:dyDescent="0.3">
      <c r="A518" s="10" t="s">
        <v>972</v>
      </c>
      <c r="B518" s="10" t="s">
        <v>1037</v>
      </c>
      <c r="C518" s="17">
        <f>IFERROR(VLOOKUP(A518,[1]REPUESTOS!$A:$D,4,FALSE),"")</f>
        <v>10684</v>
      </c>
      <c r="D518" s="18">
        <f>IFERROR(VLOOKUP(A518,[2]REPUESTOS!$A:$R,18,FALSE),C518)</f>
        <v>10008.708144859682</v>
      </c>
      <c r="E518" s="19">
        <f t="shared" si="29"/>
        <v>-6.3205901828932806E-2</v>
      </c>
      <c r="F518" s="10" t="str">
        <f>VLOOKUP(A518,[3]data!$W:$Z,4,FALSE)</f>
        <v>Si</v>
      </c>
      <c r="G518" s="10" t="str">
        <f t="shared" si="28"/>
        <v>Mnguera de conexon estanque cumulador de bombas de alta presion puente lavado</v>
      </c>
      <c r="H518" s="19">
        <f>IFERROR(VLOOKUP(A518,[2]REPUESTOS!$A:$S,19,FALSE),"SIN ANÁLISIS")</f>
        <v>-6.3205901828932806E-2</v>
      </c>
      <c r="I518" s="19">
        <f t="shared" ref="I518:I547" si="30">IFERROR(H518-E518,0)</f>
        <v>0</v>
      </c>
      <c r="J518" s="10" t="str">
        <f>VLOOKUP(A518,[4]REPUESTOS!$B:$FY,180,FALSE)</f>
        <v>Si</v>
      </c>
    </row>
    <row r="519" spans="1:10" x14ac:dyDescent="0.3">
      <c r="A519" s="10" t="s">
        <v>973</v>
      </c>
      <c r="B519" s="10" t="s">
        <v>1038</v>
      </c>
      <c r="C519" s="17">
        <f>IFERROR(VLOOKUP(A519,[1]REPUESTOS!$A:$D,4,FALSE),"")</f>
        <v>30224</v>
      </c>
      <c r="D519" s="18">
        <f>IFERROR(VLOOKUP(A519,[2]REPUESTOS!$A:$R,18,FALSE),C519)</f>
        <v>28313.664823122337</v>
      </c>
      <c r="E519" s="19">
        <f t="shared" si="29"/>
        <v>-6.3205901828932737E-2</v>
      </c>
      <c r="F519" s="10" t="str">
        <f>VLOOKUP(A519,[3]data!$W:$Z,4,FALSE)</f>
        <v>Si</v>
      </c>
      <c r="G519" s="10" t="str">
        <f t="shared" si="28"/>
        <v>Electrovalvula de aire 2 vias 1/8 NC 24VDC puente lavado</v>
      </c>
      <c r="H519" s="19">
        <f>IFERROR(VLOOKUP(A519,[2]REPUESTOS!$A:$S,19,FALSE),"SIN ANÁLISIS")</f>
        <v>-6.3205901828932737E-2</v>
      </c>
      <c r="I519" s="19">
        <f t="shared" si="30"/>
        <v>0</v>
      </c>
      <c r="J519" s="10" t="str">
        <f>VLOOKUP(A519,[4]REPUESTOS!$B:$FY,180,FALSE)</f>
        <v>Si</v>
      </c>
    </row>
    <row r="520" spans="1:10" x14ac:dyDescent="0.3">
      <c r="A520" s="10" t="s">
        <v>974</v>
      </c>
      <c r="B520" s="10" t="s">
        <v>1039</v>
      </c>
      <c r="C520" s="17">
        <f>IFERROR(VLOOKUP(A520,[1]REPUESTOS!$A:$D,4,FALSE),"")</f>
        <v>5964</v>
      </c>
      <c r="D520" s="18">
        <f>IFERROR(VLOOKUP(A520,[2]REPUESTOS!$A:$R,18,FALSE),C520)</f>
        <v>5587.0400014922452</v>
      </c>
      <c r="E520" s="19">
        <f t="shared" si="29"/>
        <v>-6.3205901828932723E-2</v>
      </c>
      <c r="F520" s="10" t="str">
        <f>VLOOKUP(A520,[3]data!$W:$Z,4,FALSE)</f>
        <v>Si</v>
      </c>
      <c r="G520" s="10" t="str">
        <f t="shared" si="28"/>
        <v>Horquilla cilindro nuematico puente lavado</v>
      </c>
      <c r="H520" s="19">
        <f>IFERROR(VLOOKUP(A520,[2]REPUESTOS!$A:$S,19,FALSE),"SIN ANÁLISIS")</f>
        <v>-6.3205901828932723E-2</v>
      </c>
      <c r="I520" s="19">
        <f t="shared" si="30"/>
        <v>0</v>
      </c>
      <c r="J520" s="10" t="str">
        <f>VLOOKUP(A520,[4]REPUESTOS!$B:$FY,180,FALSE)</f>
        <v>Si</v>
      </c>
    </row>
    <row r="521" spans="1:10" x14ac:dyDescent="0.3">
      <c r="A521" s="10" t="s">
        <v>975</v>
      </c>
      <c r="B521" s="10" t="s">
        <v>1040</v>
      </c>
      <c r="C521" s="17">
        <f>IFERROR(VLOOKUP(A521,[1]REPUESTOS!$A:$D,4,FALSE),"")</f>
        <v>40600</v>
      </c>
      <c r="D521" s="18">
        <f>IFERROR(VLOOKUP(A521,[2]REPUESTOS!$A:$R,18,FALSE),C521)</f>
        <v>38033.84038574533</v>
      </c>
      <c r="E521" s="19">
        <f t="shared" si="29"/>
        <v>-6.3205901828932751E-2</v>
      </c>
      <c r="F521" s="10" t="str">
        <f>VLOOKUP(A521,[3]data!$W:$Z,4,FALSE)</f>
        <v>Si</v>
      </c>
      <c r="G521" s="10" t="str">
        <f t="shared" si="28"/>
        <v>Rueda de percha 80x25 puente lavado</v>
      </c>
      <c r="H521" s="19">
        <f>IFERROR(VLOOKUP(A521,[2]REPUESTOS!$A:$S,19,FALSE),"SIN ANÁLISIS")</f>
        <v>-6.3205901828932751E-2</v>
      </c>
      <c r="I521" s="19">
        <f t="shared" si="30"/>
        <v>0</v>
      </c>
      <c r="J521" s="10" t="str">
        <f>VLOOKUP(A521,[4]REPUESTOS!$B:$FY,180,FALSE)</f>
        <v>Si</v>
      </c>
    </row>
    <row r="522" spans="1:10" x14ac:dyDescent="0.3">
      <c r="A522" s="10" t="s">
        <v>976</v>
      </c>
      <c r="B522" s="10" t="s">
        <v>1041</v>
      </c>
      <c r="C522" s="17">
        <f>IFERROR(VLOOKUP(A522,[1]REPUESTOS!$A:$D,4,FALSE),"")</f>
        <v>6837</v>
      </c>
      <c r="D522" s="18">
        <f>IFERROR(VLOOKUP(A522,[2]REPUESTOS!$A:$R,18,FALSE),C522)</f>
        <v>6405.1735138949771</v>
      </c>
      <c r="E522" s="19">
        <f t="shared" si="29"/>
        <v>-6.3160229063188966E-2</v>
      </c>
      <c r="F522" s="10" t="str">
        <f>VLOOKUP(A522,[3]data!$W:$Z,4,FALSE)</f>
        <v>Si</v>
      </c>
      <c r="G522" s="10" t="str">
        <f t="shared" si="28"/>
        <v>Boquilla fbl 686 1/4 4003 acero inox  puente lavado</v>
      </c>
      <c r="H522" s="19">
        <f>IFERROR(VLOOKUP(A522,[2]REPUESTOS!$A:$S,19,FALSE),"SIN ANÁLISIS")</f>
        <v>-6.3205901828932723E-2</v>
      </c>
      <c r="I522" s="19">
        <f t="shared" si="30"/>
        <v>-4.5672765743756671E-5</v>
      </c>
      <c r="J522" s="10" t="str">
        <f>VLOOKUP(A522,[4]REPUESTOS!$B:$FY,180,FALSE)</f>
        <v>Si</v>
      </c>
    </row>
    <row r="523" spans="1:10" x14ac:dyDescent="0.3">
      <c r="A523" s="10" t="s">
        <v>977</v>
      </c>
      <c r="B523" s="10" t="s">
        <v>1042</v>
      </c>
      <c r="C523" s="17">
        <f>IFERROR(VLOOKUP(A523,[1]REPUESTOS!$A:$D,4,FALSE),"")</f>
        <v>48795</v>
      </c>
      <c r="D523" s="18">
        <f>IFERROR(VLOOKUP(A523,[2]REPUESTOS!$A:$R,18,FALSE),C523)</f>
        <v>45710.555755557834</v>
      </c>
      <c r="E523" s="19">
        <f t="shared" si="29"/>
        <v>-6.3212301351412356E-2</v>
      </c>
      <c r="F523" s="10" t="str">
        <f>VLOOKUP(A523,[3]data!$W:$Z,4,FALSE)</f>
        <v>Si</v>
      </c>
      <c r="G523" s="10" t="str">
        <f t="shared" si="28"/>
        <v>Clindro neumatico para inclinacion de lavaruedas y deflector puente lavado</v>
      </c>
      <c r="H523" s="19">
        <f>IFERROR(VLOOKUP(A523,[2]REPUESTOS!$A:$S,19,FALSE),"SIN ANÁLISIS")</f>
        <v>-6.3205901828932737E-2</v>
      </c>
      <c r="I523" s="19">
        <f t="shared" si="30"/>
        <v>6.3995224796192796E-6</v>
      </c>
      <c r="J523" s="10" t="str">
        <f>VLOOKUP(A523,[4]REPUESTOS!$B:$FY,180,FALSE)</f>
        <v>Si</v>
      </c>
    </row>
    <row r="524" spans="1:10" x14ac:dyDescent="0.3">
      <c r="A524" s="10" t="s">
        <v>978</v>
      </c>
      <c r="B524" s="10" t="s">
        <v>1043</v>
      </c>
      <c r="C524" s="17">
        <f>IFERROR(VLOOKUP(A524,[1]REPUESTOS!$A:$D,4,FALSE),"")</f>
        <v>36188</v>
      </c>
      <c r="D524" s="18">
        <f>IFERROR(VLOOKUP(A524,[2]REPUESTOS!$A:$R,18,FALSE),C524)</f>
        <v>33900.704824614579</v>
      </c>
      <c r="E524" s="19">
        <f t="shared" si="29"/>
        <v>-6.3205901828932834E-2</v>
      </c>
      <c r="F524" s="10" t="str">
        <f>VLOOKUP(A524,[3]data!$W:$Z,4,FALSE)</f>
        <v>Si</v>
      </c>
      <c r="G524" s="10" t="str">
        <f t="shared" si="28"/>
        <v>Interrptor remoto proximidad D18-5M-NO puente lavado</v>
      </c>
      <c r="H524" s="19">
        <f>IFERROR(VLOOKUP(A524,[2]REPUESTOS!$A:$S,19,FALSE),"SIN ANÁLISIS")</f>
        <v>-6.3205901828932834E-2</v>
      </c>
      <c r="I524" s="19">
        <f t="shared" si="30"/>
        <v>0</v>
      </c>
      <c r="J524" s="10" t="str">
        <f>VLOOKUP(A524,[4]REPUESTOS!$B:$FY,180,FALSE)</f>
        <v>Si</v>
      </c>
    </row>
    <row r="525" spans="1:10" x14ac:dyDescent="0.3">
      <c r="A525" s="10" t="s">
        <v>979</v>
      </c>
      <c r="B525" s="10" t="s">
        <v>1044</v>
      </c>
      <c r="C525" s="17">
        <f>IFERROR(VLOOKUP(A525,[1]REPUESTOS!$A:$D,4,FALSE),"")</f>
        <v>42589</v>
      </c>
      <c r="D525" s="18">
        <f>IFERROR(VLOOKUP(A525,[2]REPUESTOS!$A:$R,18,FALSE),C525)</f>
        <v>39897.436111706978</v>
      </c>
      <c r="E525" s="19">
        <f t="shared" si="29"/>
        <v>-6.3198569778417465E-2</v>
      </c>
      <c r="F525" s="10" t="str">
        <f>VLOOKUP(A525,[3]data!$W:$Z,4,FALSE)</f>
        <v>Si</v>
      </c>
      <c r="G525" s="10" t="str">
        <f t="shared" si="28"/>
        <v>Interruptor remoto proximidad omron 5mt-no puente lavado</v>
      </c>
      <c r="H525" s="19">
        <f>IFERROR(VLOOKUP(A525,[2]REPUESTOS!$A:$S,19,FALSE),"SIN ANÁLISIS")</f>
        <v>-6.3205901828932681E-2</v>
      </c>
      <c r="I525" s="19">
        <f t="shared" si="30"/>
        <v>-7.3320505152157933E-6</v>
      </c>
      <c r="J525" s="10" t="str">
        <f>VLOOKUP(A525,[4]REPUESTOS!$B:$FY,180,FALSE)</f>
        <v>Si</v>
      </c>
    </row>
    <row r="526" spans="1:10" x14ac:dyDescent="0.3">
      <c r="A526" s="10" t="s">
        <v>980</v>
      </c>
      <c r="B526" s="10" t="s">
        <v>1045</v>
      </c>
      <c r="C526" s="17">
        <f>IFERROR(VLOOKUP(A526,[1]REPUESTOS!$A:$D,4,FALSE),"")</f>
        <v>86244</v>
      </c>
      <c r="D526" s="18">
        <f>IFERROR(VLOOKUP(A526,[2]REPUESTOS!$A:$R,18,FALSE),C526)</f>
        <v>80792.870202665523</v>
      </c>
      <c r="E526" s="19">
        <f t="shared" si="29"/>
        <v>-6.3205901828932765E-2</v>
      </c>
      <c r="F526" s="10" t="str">
        <f>VLOOKUP(A526,[3]data!$W:$Z,4,FALSE)</f>
        <v>Si</v>
      </c>
      <c r="G526" s="10" t="str">
        <f t="shared" ref="G526:G527" si="31">MID(B526,15,100)</f>
        <v>Boquilla giratoria 1/4-030-26° puente lavado</v>
      </c>
      <c r="H526" s="19">
        <f>IFERROR(VLOOKUP(A526,[2]REPUESTOS!$A:$S,19,FALSE),"SIN ANÁLISIS")</f>
        <v>-6.3205901828932765E-2</v>
      </c>
      <c r="I526" s="19">
        <f t="shared" si="30"/>
        <v>0</v>
      </c>
      <c r="J526" s="10" t="str">
        <f>VLOOKUP(A526,[4]REPUESTOS!$B:$FY,180,FALSE)</f>
        <v>Si</v>
      </c>
    </row>
    <row r="527" spans="1:10" x14ac:dyDescent="0.3">
      <c r="A527" s="10" t="s">
        <v>981</v>
      </c>
      <c r="B527" s="10" t="s">
        <v>1046</v>
      </c>
      <c r="C527" s="17">
        <f>IFERROR(VLOOKUP(A527,[1]REPUESTOS!$A:$D,4,FALSE),"")</f>
        <v>134425</v>
      </c>
      <c r="D527" s="18">
        <f>IFERROR(VLOOKUP(A527,[2]REPUESTOS!$A:$R,18,FALSE),C527)</f>
        <v>125928.85891134512</v>
      </c>
      <c r="E527" s="19">
        <f t="shared" si="29"/>
        <v>-6.3203578862971052E-2</v>
      </c>
      <c r="F527" s="10" t="str">
        <f>VLOOKUP(A527,[3]data!$W:$Z,4,FALSE)</f>
        <v>Si</v>
      </c>
      <c r="G527" s="10" t="str">
        <f t="shared" si="31"/>
        <v>Receptor de fotocelula md mt 30 puente lavado</v>
      </c>
      <c r="H527" s="19">
        <f>IFERROR(VLOOKUP(A527,[2]REPUESTOS!$A:$S,19,FALSE),"SIN ANÁLISIS")</f>
        <v>-6.3205901828932737E-2</v>
      </c>
      <c r="I527" s="19">
        <f t="shared" si="30"/>
        <v>-2.3229659616846865E-6</v>
      </c>
      <c r="J527" s="10" t="str">
        <f>VLOOKUP(A527,[4]REPUESTOS!$B:$FY,180,FALSE)</f>
        <v>Si</v>
      </c>
    </row>
    <row r="528" spans="1:10" x14ac:dyDescent="0.3">
      <c r="A528" s="10" t="s">
        <v>1153</v>
      </c>
      <c r="B528" s="10" t="s">
        <v>1154</v>
      </c>
      <c r="C528" s="17">
        <f>IFERROR(VLOOKUP(A528,[1]REPUESTOS!$A:$D,4,FALSE),"")</f>
        <v>54605</v>
      </c>
      <c r="D528" s="18">
        <f>IFERROR(VLOOKUP(A528,[2]REPUESTOS!$A:$R,18,FALSE),C528)</f>
        <v>54605</v>
      </c>
      <c r="E528" s="19">
        <f t="shared" ref="E528:E547" si="32">IFERROR((D528-C528)/C528,0)</f>
        <v>0</v>
      </c>
      <c r="F528" s="10" t="e">
        <f>VLOOKUP(A528,[3]data!$W:$Z,4,FALSE)</f>
        <v>#N/A</v>
      </c>
      <c r="G528" s="10" t="str">
        <f t="shared" ref="G528:G547" si="33">MID(B528,15,100)</f>
        <v>Kit instalacion manómetros</v>
      </c>
      <c r="H528" s="19" t="str">
        <f>IFERROR(VLOOKUP(A528,[2]REPUESTOS!$A:$S,19,FALSE),"SIN ANÁLISIS")</f>
        <v>SIN ANÁLISIS</v>
      </c>
      <c r="I528" s="19">
        <f t="shared" si="30"/>
        <v>0</v>
      </c>
      <c r="J528" s="10" t="str">
        <f>VLOOKUP(A528,[4]REPUESTOS!$B:$FY,180,FALSE)</f>
        <v>Si</v>
      </c>
    </row>
    <row r="529" spans="1:10" x14ac:dyDescent="0.3">
      <c r="A529" s="10" t="s">
        <v>1155</v>
      </c>
      <c r="B529" s="10" t="s">
        <v>1156</v>
      </c>
      <c r="C529" s="17">
        <f>IFERROR(VLOOKUP(A529,[1]REPUESTOS!$A:$D,4,FALSE),"")</f>
        <v>55298</v>
      </c>
      <c r="D529" s="18">
        <f>IFERROR(VLOOKUP(A529,[2]REPUESTOS!$A:$R,18,FALSE),C529)</f>
        <v>55298</v>
      </c>
      <c r="E529" s="19">
        <f t="shared" si="32"/>
        <v>0</v>
      </c>
      <c r="F529" s="10" t="e">
        <f>VLOOKUP(A529,[3]data!$W:$Z,4,FALSE)</f>
        <v>#N/A</v>
      </c>
      <c r="G529" s="10" t="str">
        <f t="shared" si="33"/>
        <v>Presostato 1/4 puente lavado</v>
      </c>
      <c r="H529" s="19" t="str">
        <f>IFERROR(VLOOKUP(A529,[2]REPUESTOS!$A:$S,19,FALSE),"SIN ANÁLISIS")</f>
        <v>SIN ANÁLISIS</v>
      </c>
      <c r="I529" s="19">
        <f t="shared" si="30"/>
        <v>0</v>
      </c>
      <c r="J529" s="10" t="str">
        <f>VLOOKUP(A529,[4]REPUESTOS!$B:$FY,180,FALSE)</f>
        <v>Si</v>
      </c>
    </row>
    <row r="530" spans="1:10" x14ac:dyDescent="0.3">
      <c r="A530" s="10" t="s">
        <v>1157</v>
      </c>
      <c r="B530" s="10" t="s">
        <v>1158</v>
      </c>
      <c r="C530" s="17">
        <f>IFERROR(VLOOKUP(A530,[1]REPUESTOS!$A:$D,4,FALSE),"")</f>
        <v>52997</v>
      </c>
      <c r="D530" s="18">
        <f>IFERROR(VLOOKUP(A530,[2]REPUESTOS!$A:$R,18,FALSE),C530)</f>
        <v>52997</v>
      </c>
      <c r="E530" s="19">
        <f t="shared" si="32"/>
        <v>0</v>
      </c>
      <c r="F530" s="10" t="e">
        <f>VLOOKUP(A530,[3]data!$W:$Z,4,FALSE)</f>
        <v>#N/A</v>
      </c>
      <c r="G530" s="10" t="str">
        <f t="shared" si="33"/>
        <v>Presostato 1/8 puente lavado</v>
      </c>
      <c r="H530" s="19" t="str">
        <f>IFERROR(VLOOKUP(A530,[2]REPUESTOS!$A:$S,19,FALSE),"SIN ANÁLISIS")</f>
        <v>SIN ANÁLISIS</v>
      </c>
      <c r="I530" s="19">
        <f t="shared" si="30"/>
        <v>0</v>
      </c>
      <c r="J530" s="10" t="str">
        <f>VLOOKUP(A530,[4]REPUESTOS!$B:$FY,180,FALSE)</f>
        <v>Si</v>
      </c>
    </row>
    <row r="531" spans="1:10" x14ac:dyDescent="0.3">
      <c r="A531" s="10" t="s">
        <v>1159</v>
      </c>
      <c r="B531" s="10" t="s">
        <v>1160</v>
      </c>
      <c r="C531" s="17">
        <f>IFERROR(VLOOKUP(A531,[1]REPUESTOS!$A:$D,4,FALSE),"")</f>
        <v>279200</v>
      </c>
      <c r="D531" s="18">
        <f>IFERROR(VLOOKUP(A531,[2]REPUESTOS!$A:$R,18,FALSE),C531)</f>
        <v>279200</v>
      </c>
      <c r="E531" s="19">
        <f t="shared" si="32"/>
        <v>0</v>
      </c>
      <c r="F531" s="10" t="e">
        <f>VLOOKUP(A531,[3]data!$W:$Z,4,FALSE)</f>
        <v>#N/A</v>
      </c>
      <c r="G531" s="10" t="str">
        <f t="shared" si="33"/>
        <v>Cilindro neumatico de inclinacion de cepillos puente lavado</v>
      </c>
      <c r="H531" s="19" t="str">
        <f>IFERROR(VLOOKUP(A531,[2]REPUESTOS!$A:$S,19,FALSE),"SIN ANÁLISIS")</f>
        <v>SIN ANÁLISIS</v>
      </c>
      <c r="I531" s="19">
        <f t="shared" si="30"/>
        <v>0</v>
      </c>
      <c r="J531" s="10" t="str">
        <f>VLOOKUP(A531,[4]REPUESTOS!$B:$FY,180,FALSE)</f>
        <v>Si</v>
      </c>
    </row>
    <row r="532" spans="1:10" x14ac:dyDescent="0.3">
      <c r="A532" s="10" t="s">
        <v>1161</v>
      </c>
      <c r="B532" s="10" t="s">
        <v>1162</v>
      </c>
      <c r="C532" s="17">
        <f>IFERROR(VLOOKUP(A532,[1]REPUESTOS!$A:$D,4,FALSE),"")</f>
        <v>38047</v>
      </c>
      <c r="D532" s="18">
        <f>IFERROR(VLOOKUP(A532,[2]REPUESTOS!$A:$R,18,FALSE),C532)</f>
        <v>38047</v>
      </c>
      <c r="E532" s="19">
        <f t="shared" si="32"/>
        <v>0</v>
      </c>
      <c r="F532" s="10" t="e">
        <f>VLOOKUP(A532,[3]data!$W:$Z,4,FALSE)</f>
        <v>#N/A</v>
      </c>
      <c r="G532" s="10" t="str">
        <f t="shared" si="33"/>
        <v>Espaciador para rueda de soporte para cepillos verticales PUENTE LAVADO</v>
      </c>
      <c r="H532" s="19" t="str">
        <f>IFERROR(VLOOKUP(A532,[2]REPUESTOS!$A:$S,19,FALSE),"SIN ANÁLISIS")</f>
        <v>SIN ANÁLISIS</v>
      </c>
      <c r="I532" s="19">
        <f t="shared" si="30"/>
        <v>0</v>
      </c>
      <c r="J532" s="10" t="str">
        <f>VLOOKUP(A532,[4]REPUESTOS!$B:$FY,180,FALSE)</f>
        <v>Si</v>
      </c>
    </row>
    <row r="533" spans="1:10" x14ac:dyDescent="0.3">
      <c r="A533" s="10" t="s">
        <v>1163</v>
      </c>
      <c r="B533" s="10" t="s">
        <v>1164</v>
      </c>
      <c r="C533" s="17">
        <f>IFERROR(VLOOKUP(A533,[1]REPUESTOS!$A:$D,4,FALSE),"")</f>
        <v>2856</v>
      </c>
      <c r="D533" s="18">
        <f>IFERROR(VLOOKUP(A533,[2]REPUESTOS!$A:$R,18,FALSE),C533)</f>
        <v>2856</v>
      </c>
      <c r="E533" s="19">
        <f t="shared" si="32"/>
        <v>0</v>
      </c>
      <c r="F533" s="10" t="e">
        <f>VLOOKUP(A533,[3]data!$W:$Z,4,FALSE)</f>
        <v>#N/A</v>
      </c>
      <c r="G533" s="10" t="str">
        <f t="shared" si="33"/>
        <v>Rueda de soporte para cepillos verticales puente lavado</v>
      </c>
      <c r="H533" s="19" t="str">
        <f>IFERROR(VLOOKUP(A533,[2]REPUESTOS!$A:$S,19,FALSE),"SIN ANÁLISIS")</f>
        <v>SIN ANÁLISIS</v>
      </c>
      <c r="I533" s="19">
        <f t="shared" si="30"/>
        <v>0</v>
      </c>
      <c r="J533" s="10" t="str">
        <f>VLOOKUP(A533,[4]REPUESTOS!$B:$FY,180,FALSE)</f>
        <v>Si</v>
      </c>
    </row>
    <row r="534" spans="1:10" x14ac:dyDescent="0.3">
      <c r="A534" s="10" t="s">
        <v>1165</v>
      </c>
      <c r="B534" s="10" t="s">
        <v>1166</v>
      </c>
      <c r="C534" s="17">
        <f>IFERROR(VLOOKUP(A534,[1]REPUESTOS!$A:$D,4,FALSE),"")</f>
        <v>16755</v>
      </c>
      <c r="D534" s="18">
        <f>IFERROR(VLOOKUP(A534,[2]REPUESTOS!$A:$R,18,FALSE),C534)</f>
        <v>16755</v>
      </c>
      <c r="E534" s="19">
        <f t="shared" si="32"/>
        <v>0</v>
      </c>
      <c r="F534" s="10" t="e">
        <f>VLOOKUP(A534,[3]data!$W:$Z,4,FALSE)</f>
        <v>#N/A</v>
      </c>
      <c r="G534" s="10" t="str">
        <f t="shared" si="33"/>
        <v>Rótula externa rueda de soporte para cepillos verticales puente lavado</v>
      </c>
      <c r="H534" s="19" t="str">
        <f>IFERROR(VLOOKUP(A534,[2]REPUESTOS!$A:$S,19,FALSE),"SIN ANÁLISIS")</f>
        <v>SIN ANÁLISIS</v>
      </c>
      <c r="I534" s="19">
        <f t="shared" si="30"/>
        <v>0</v>
      </c>
      <c r="J534" s="10" t="str">
        <f>VLOOKUP(A534,[4]REPUESTOS!$B:$FY,180,FALSE)</f>
        <v>Si</v>
      </c>
    </row>
    <row r="535" spans="1:10" x14ac:dyDescent="0.3">
      <c r="A535" s="10" t="s">
        <v>1167</v>
      </c>
      <c r="B535" s="10" t="s">
        <v>1168</v>
      </c>
      <c r="C535" s="17">
        <f>IFERROR(VLOOKUP(A535,[1]REPUESTOS!$A:$D,4,FALSE),"")</f>
        <v>4601</v>
      </c>
      <c r="D535" s="18">
        <f>IFERROR(VLOOKUP(A535,[2]REPUESTOS!$A:$R,18,FALSE),C535)</f>
        <v>4601</v>
      </c>
      <c r="E535" s="19">
        <f t="shared" si="32"/>
        <v>0</v>
      </c>
      <c r="F535" s="10" t="e">
        <f>VLOOKUP(A535,[3]data!$W:$Z,4,FALSE)</f>
        <v>#N/A</v>
      </c>
      <c r="G535" s="10" t="str">
        <f t="shared" si="33"/>
        <v>Perno superior para Rueda de Soporte excéntrica para cepillos verticales PUENTE AVADO</v>
      </c>
      <c r="H535" s="19" t="str">
        <f>IFERROR(VLOOKUP(A535,[2]REPUESTOS!$A:$S,19,FALSE),"SIN ANÁLISIS")</f>
        <v>SIN ANÁLISIS</v>
      </c>
      <c r="I535" s="19">
        <f t="shared" si="30"/>
        <v>0</v>
      </c>
      <c r="J535" s="10" t="str">
        <f>VLOOKUP(A535,[4]REPUESTOS!$B:$FY,180,FALSE)</f>
        <v>Si</v>
      </c>
    </row>
    <row r="536" spans="1:10" x14ac:dyDescent="0.3">
      <c r="A536" s="10" t="s">
        <v>1169</v>
      </c>
      <c r="B536" s="10" t="s">
        <v>1170</v>
      </c>
      <c r="C536" s="17">
        <f>IFERROR(VLOOKUP(A536,[1]REPUESTOS!$A:$D,4,FALSE),"")</f>
        <v>27919</v>
      </c>
      <c r="D536" s="18">
        <f>IFERROR(VLOOKUP(A536,[2]REPUESTOS!$A:$R,18,FALSE),C536)</f>
        <v>27919</v>
      </c>
      <c r="E536" s="19">
        <f t="shared" si="32"/>
        <v>0</v>
      </c>
      <c r="F536" s="10" t="e">
        <f>VLOOKUP(A536,[3]data!$W:$Z,4,FALSE)</f>
        <v>#N/A</v>
      </c>
      <c r="G536" s="10" t="str">
        <f t="shared" si="33"/>
        <v>Espaciador para rueda de soporte excentrica para cepillos verticales</v>
      </c>
      <c r="H536" s="19" t="str">
        <f>IFERROR(VLOOKUP(A536,[2]REPUESTOS!$A:$S,19,FALSE),"SIN ANÁLISIS")</f>
        <v>SIN ANÁLISIS</v>
      </c>
      <c r="I536" s="19">
        <f t="shared" si="30"/>
        <v>0</v>
      </c>
      <c r="J536" s="10" t="str">
        <f>VLOOKUP(A536,[4]REPUESTOS!$B:$FY,180,FALSE)</f>
        <v>Si</v>
      </c>
    </row>
    <row r="537" spans="1:10" x14ac:dyDescent="0.3">
      <c r="A537" s="10" t="s">
        <v>1171</v>
      </c>
      <c r="B537" s="10" t="s">
        <v>1172</v>
      </c>
      <c r="C537" s="17">
        <f>IFERROR(VLOOKUP(A537,[1]REPUESTOS!$A:$D,4,FALSE),"")</f>
        <v>2856</v>
      </c>
      <c r="D537" s="18">
        <f>IFERROR(VLOOKUP(A537,[2]REPUESTOS!$A:$R,18,FALSE),C537)</f>
        <v>2856</v>
      </c>
      <c r="E537" s="19">
        <f t="shared" si="32"/>
        <v>0</v>
      </c>
      <c r="F537" s="10" t="e">
        <f>VLOOKUP(A537,[3]data!$W:$Z,4,FALSE)</f>
        <v>#N/A</v>
      </c>
      <c r="G537" s="10" t="str">
        <f t="shared" si="33"/>
        <v>Rueda de soporte excéntrica para cepillos verticales</v>
      </c>
      <c r="H537" s="19" t="str">
        <f>IFERROR(VLOOKUP(A537,[2]REPUESTOS!$A:$S,19,FALSE),"SIN ANÁLISIS")</f>
        <v>SIN ANÁLISIS</v>
      </c>
      <c r="I537" s="19">
        <f t="shared" si="30"/>
        <v>0</v>
      </c>
      <c r="J537" s="10" t="str">
        <f>VLOOKUP(A537,[4]REPUESTOS!$B:$FY,180,FALSE)</f>
        <v>Si</v>
      </c>
    </row>
    <row r="538" spans="1:10" x14ac:dyDescent="0.3">
      <c r="A538" s="10" t="s">
        <v>1173</v>
      </c>
      <c r="B538" s="10" t="s">
        <v>1174</v>
      </c>
      <c r="C538" s="17">
        <f>IFERROR(VLOOKUP(A538,[1]REPUESTOS!$A:$D,4,FALSE),"")</f>
        <v>16755</v>
      </c>
      <c r="D538" s="18">
        <f>IFERROR(VLOOKUP(A538,[2]REPUESTOS!$A:$R,18,FALSE),C538)</f>
        <v>16755</v>
      </c>
      <c r="E538" s="19">
        <f t="shared" si="32"/>
        <v>0</v>
      </c>
      <c r="F538" s="10" t="e">
        <f>VLOOKUP(A538,[3]data!$W:$Z,4,FALSE)</f>
        <v>#N/A</v>
      </c>
      <c r="G538" s="10" t="str">
        <f t="shared" si="33"/>
        <v>Rótula externa rueda de soporte excéntrica para cepillos verticales</v>
      </c>
      <c r="H538" s="19" t="str">
        <f>IFERROR(VLOOKUP(A538,[2]REPUESTOS!$A:$S,19,FALSE),"SIN ANÁLISIS")</f>
        <v>SIN ANÁLISIS</v>
      </c>
      <c r="I538" s="19">
        <f t="shared" si="30"/>
        <v>0</v>
      </c>
      <c r="J538" s="10" t="str">
        <f>VLOOKUP(A538,[4]REPUESTOS!$B:$FY,180,FALSE)</f>
        <v>Si</v>
      </c>
    </row>
    <row r="539" spans="1:10" x14ac:dyDescent="0.3">
      <c r="A539" s="10" t="s">
        <v>1175</v>
      </c>
      <c r="B539" s="10" t="s">
        <v>1176</v>
      </c>
      <c r="C539" s="17">
        <f>IFERROR(VLOOKUP(A539,[1]REPUESTOS!$A:$D,4,FALSE),"")</f>
        <v>4601</v>
      </c>
      <c r="D539" s="18">
        <f>IFERROR(VLOOKUP(A539,[2]REPUESTOS!$A:$R,18,FALSE),C539)</f>
        <v>4601</v>
      </c>
      <c r="E539" s="19">
        <f t="shared" si="32"/>
        <v>0</v>
      </c>
      <c r="F539" s="10" t="e">
        <f>VLOOKUP(A539,[3]data!$W:$Z,4,FALSE)</f>
        <v>#N/A</v>
      </c>
      <c r="G539" s="10" t="str">
        <f t="shared" si="33"/>
        <v>Guía plástica de anillos de seguridad</v>
      </c>
      <c r="H539" s="19" t="str">
        <f>IFERROR(VLOOKUP(A539,[2]REPUESTOS!$A:$S,19,FALSE),"SIN ANÁLISIS")</f>
        <v>SIN ANÁLISIS</v>
      </c>
      <c r="I539" s="19">
        <f t="shared" si="30"/>
        <v>0</v>
      </c>
      <c r="J539" s="10" t="str">
        <f>VLOOKUP(A539,[4]REPUESTOS!$B:$FY,180,FALSE)</f>
        <v>Si</v>
      </c>
    </row>
    <row r="540" spans="1:10" x14ac:dyDescent="0.3">
      <c r="A540" s="10" t="s">
        <v>1177</v>
      </c>
      <c r="B540" s="10" t="s">
        <v>1178</v>
      </c>
      <c r="C540" s="17">
        <f>IFERROR(VLOOKUP(A540,[1]REPUESTOS!$A:$D,4,FALSE),"")</f>
        <v>22823</v>
      </c>
      <c r="D540" s="18">
        <f>IFERROR(VLOOKUP(A540,[2]REPUESTOS!$A:$R,18,FALSE),C540)</f>
        <v>22823</v>
      </c>
      <c r="E540" s="19">
        <f t="shared" si="32"/>
        <v>0</v>
      </c>
      <c r="F540" s="10" t="e">
        <f>VLOOKUP(A540,[3]data!$W:$Z,4,FALSE)</f>
        <v>#N/A</v>
      </c>
      <c r="G540" s="10" t="str">
        <f t="shared" si="33"/>
        <v>Electroválvula de alimentación de estanque de bombas de alta presión</v>
      </c>
      <c r="H540" s="19" t="str">
        <f>IFERROR(VLOOKUP(A540,[2]REPUESTOS!$A:$S,19,FALSE),"SIN ANÁLISIS")</f>
        <v>SIN ANÁLISIS</v>
      </c>
      <c r="I540" s="19">
        <f t="shared" si="30"/>
        <v>0</v>
      </c>
      <c r="J540" s="10" t="str">
        <f>VLOOKUP(A540,[4]REPUESTOS!$B:$FY,180,FALSE)</f>
        <v>Si</v>
      </c>
    </row>
    <row r="541" spans="1:10" x14ac:dyDescent="0.3">
      <c r="A541" s="10" t="s">
        <v>1179</v>
      </c>
      <c r="B541" s="10" t="s">
        <v>1180</v>
      </c>
      <c r="C541" s="17">
        <f>IFERROR(VLOOKUP(A541,[1]REPUESTOS!$A:$D,4,FALSE),"")</f>
        <v>184715</v>
      </c>
      <c r="D541" s="18">
        <f>IFERROR(VLOOKUP(A541,[2]REPUESTOS!$A:$R,18,FALSE),C541)</f>
        <v>184715</v>
      </c>
      <c r="E541" s="19">
        <f t="shared" si="32"/>
        <v>0</v>
      </c>
      <c r="F541" s="10" t="e">
        <f>VLOOKUP(A541,[3]data!$W:$Z,4,FALSE)</f>
        <v>#N/A</v>
      </c>
      <c r="G541" s="10" t="str">
        <f t="shared" si="33"/>
        <v>Micro Switch de pie de seguridad</v>
      </c>
      <c r="H541" s="19" t="str">
        <f>IFERROR(VLOOKUP(A541,[2]REPUESTOS!$A:$S,19,FALSE),"SIN ANÁLISIS")</f>
        <v>SIN ANÁLISIS</v>
      </c>
      <c r="I541" s="19">
        <f t="shared" si="30"/>
        <v>0</v>
      </c>
      <c r="J541" s="10" t="str">
        <f>VLOOKUP(A541,[4]REPUESTOS!$B:$FY,180,FALSE)</f>
        <v>Si</v>
      </c>
    </row>
    <row r="542" spans="1:10" x14ac:dyDescent="0.3">
      <c r="A542" s="10" t="s">
        <v>1181</v>
      </c>
      <c r="B542" s="10" t="s">
        <v>1182</v>
      </c>
      <c r="C542" s="17">
        <f>IFERROR(VLOOKUP(A542,[1]REPUESTOS!$A:$D,4,FALSE),"")</f>
        <v>73956</v>
      </c>
      <c r="D542" s="18">
        <f>IFERROR(VLOOKUP(A542,[2]REPUESTOS!$A:$R,18,FALSE),C542)</f>
        <v>73956</v>
      </c>
      <c r="E542" s="19">
        <f t="shared" si="32"/>
        <v>0</v>
      </c>
      <c r="F542" s="10" t="e">
        <f>VLOOKUP(A542,[3]data!$W:$Z,4,FALSE)</f>
        <v>#N/A</v>
      </c>
      <c r="G542" s="10" t="str">
        <f t="shared" si="33"/>
        <v>Borde amarillo de seguridad</v>
      </c>
      <c r="H542" s="19" t="str">
        <f>IFERROR(VLOOKUP(A542,[2]REPUESTOS!$A:$S,19,FALSE),"SIN ANÁLISIS")</f>
        <v>SIN ANÁLISIS</v>
      </c>
      <c r="I542" s="19">
        <f t="shared" si="30"/>
        <v>0</v>
      </c>
      <c r="J542" s="10" t="str">
        <f>VLOOKUP(A542,[4]REPUESTOS!$B:$FY,180,FALSE)</f>
        <v>Si</v>
      </c>
    </row>
    <row r="543" spans="1:10" x14ac:dyDescent="0.3">
      <c r="A543" s="10" t="s">
        <v>1183</v>
      </c>
      <c r="B543" s="10" t="s">
        <v>1184</v>
      </c>
      <c r="C543" s="17">
        <f>IFERROR(VLOOKUP(A543,[1]REPUESTOS!$A:$D,4,FALSE),"")</f>
        <v>92709</v>
      </c>
      <c r="D543" s="18">
        <f>IFERROR(VLOOKUP(A543,[2]REPUESTOS!$A:$R,18,FALSE),C543)</f>
        <v>92709</v>
      </c>
      <c r="E543" s="19">
        <f t="shared" si="32"/>
        <v>0</v>
      </c>
      <c r="F543" s="10" t="e">
        <f>VLOOKUP(A543,[3]data!$W:$Z,4,FALSE)</f>
        <v>#N/A</v>
      </c>
      <c r="G543" s="10" t="str">
        <f t="shared" si="33"/>
        <v>Perno exentrico para rueda de soporte puente lavado</v>
      </c>
      <c r="H543" s="19" t="str">
        <f>IFERROR(VLOOKUP(A543,[2]REPUESTOS!$A:$S,19,FALSE),"SIN ANÁLISIS")</f>
        <v>SIN ANÁLISIS</v>
      </c>
      <c r="I543" s="19">
        <f t="shared" si="30"/>
        <v>0</v>
      </c>
      <c r="J543" s="10" t="str">
        <f>VLOOKUP(A543,[4]REPUESTOS!$B:$FY,180,FALSE)</f>
        <v>Si</v>
      </c>
    </row>
    <row r="544" spans="1:10" x14ac:dyDescent="0.3">
      <c r="A544" s="10" t="s">
        <v>1185</v>
      </c>
      <c r="B544" s="10" t="s">
        <v>1186</v>
      </c>
      <c r="C544" s="17">
        <f>IFERROR(VLOOKUP(A544,[1]REPUESTOS!$A:$D,4,FALSE),"")</f>
        <v>206250</v>
      </c>
      <c r="D544" s="18">
        <f>IFERROR(VLOOKUP(A544,[2]REPUESTOS!$A:$R,18,FALSE),C544)</f>
        <v>206250</v>
      </c>
      <c r="E544" s="19">
        <f t="shared" si="32"/>
        <v>0</v>
      </c>
      <c r="F544" s="10" t="e">
        <f>VLOOKUP(A544,[3]data!$W:$Z,4,FALSE)</f>
        <v>#N/A</v>
      </c>
      <c r="G544" s="10" t="str">
        <f t="shared" si="33"/>
        <v>Estanque de resina para ablandador</v>
      </c>
      <c r="H544" s="19" t="str">
        <f>IFERROR(VLOOKUP(A544,[2]REPUESTOS!$A:$S,19,FALSE),"SIN ANÁLISIS")</f>
        <v>SIN ANÁLISIS</v>
      </c>
      <c r="I544" s="19">
        <f t="shared" si="30"/>
        <v>0</v>
      </c>
      <c r="J544" s="10" t="str">
        <f>VLOOKUP(A544,[4]REPUESTOS!$B:$FY,180,FALSE)</f>
        <v>Si</v>
      </c>
    </row>
    <row r="545" spans="1:10" x14ac:dyDescent="0.3">
      <c r="A545" s="10" t="s">
        <v>1187</v>
      </c>
      <c r="B545" s="10" t="s">
        <v>1188</v>
      </c>
      <c r="C545" s="17" t="s">
        <v>1208</v>
      </c>
      <c r="D545" s="18">
        <v>1150640</v>
      </c>
      <c r="E545" s="19">
        <f t="shared" si="32"/>
        <v>0</v>
      </c>
      <c r="F545" s="10" t="e">
        <f>VLOOKUP(A545,[3]data!$W:$Z,4,FALSE)</f>
        <v>#N/A</v>
      </c>
      <c r="G545" s="10" t="str">
        <f t="shared" si="33"/>
        <v>Display Touch EX 205 MSELF</v>
      </c>
      <c r="H545" s="19" t="str">
        <f>IFERROR(VLOOKUP(A545,[2]REPUESTOS!$A:$S,19,FALSE),"SIN ANÁLISIS")</f>
        <v>SIN ANÁLISIS</v>
      </c>
      <c r="I545" s="19">
        <f t="shared" si="30"/>
        <v>0</v>
      </c>
      <c r="J545" s="10" t="str">
        <f>VLOOKUP(A545,[4]REPUESTOS!$B:$FY,180,FALSE)</f>
        <v>Si</v>
      </c>
    </row>
    <row r="546" spans="1:10" x14ac:dyDescent="0.3">
      <c r="A546" s="10" t="s">
        <v>1189</v>
      </c>
      <c r="B546" s="10" t="s">
        <v>1190</v>
      </c>
      <c r="C546" s="17" t="s">
        <v>1208</v>
      </c>
      <c r="D546" s="18">
        <v>632</v>
      </c>
      <c r="E546" s="19">
        <f t="shared" si="32"/>
        <v>0</v>
      </c>
      <c r="F546" s="10" t="e">
        <f>VLOOKUP(A546,[3]data!$W:$Z,4,FALSE)</f>
        <v>#N/A</v>
      </c>
      <c r="G546" s="10" t="str">
        <f t="shared" si="33"/>
        <v xml:space="preserve">Ficha lavado personalizada Espinoza </v>
      </c>
      <c r="H546" s="19" t="str">
        <f>IFERROR(VLOOKUP(A546,[2]REPUESTOS!$A:$S,19,FALSE),"SIN ANÁLISIS")</f>
        <v>SIN ANÁLISIS</v>
      </c>
      <c r="I546" s="19">
        <f t="shared" si="30"/>
        <v>0</v>
      </c>
      <c r="J546" s="10" t="str">
        <f>VLOOKUP(A546,[4]REPUESTOS!$B:$FY,180,FALSE)</f>
        <v>Si</v>
      </c>
    </row>
    <row r="547" spans="1:10" x14ac:dyDescent="0.3">
      <c r="A547" s="10" t="s">
        <v>1191</v>
      </c>
      <c r="B547" s="10" t="s">
        <v>1192</v>
      </c>
      <c r="C547" s="17" t="s">
        <v>1208</v>
      </c>
      <c r="D547" s="18">
        <v>521</v>
      </c>
      <c r="E547" s="19">
        <f t="shared" si="32"/>
        <v>0</v>
      </c>
      <c r="F547" s="10" t="e">
        <f>VLOOKUP(A547,[3]data!$W:$Z,4,FALSE)</f>
        <v>#N/A</v>
      </c>
      <c r="G547" s="10" t="str">
        <f t="shared" si="33"/>
        <v>Ficha aspirado personalizada Espinoza</v>
      </c>
      <c r="H547" s="19" t="str">
        <f>IFERROR(VLOOKUP(A547,[2]REPUESTOS!$A:$S,19,FALSE),"SIN ANÁLISIS")</f>
        <v>SIN ANÁLISIS</v>
      </c>
      <c r="I547" s="19">
        <f t="shared" si="30"/>
        <v>0</v>
      </c>
      <c r="J547" s="10" t="str">
        <f>VLOOKUP(A547,[4]REPUESTOS!$B:$FY,180,FALSE)</f>
        <v>Si</v>
      </c>
    </row>
    <row r="548" spans="1:10" x14ac:dyDescent="0.3">
      <c r="A548" s="10" t="s">
        <v>1206</v>
      </c>
      <c r="B548" s="10" t="s">
        <v>1204</v>
      </c>
      <c r="C548" s="17" t="s">
        <v>1208</v>
      </c>
      <c r="D548" s="18">
        <v>79792</v>
      </c>
      <c r="E548" s="19">
        <f t="shared" ref="E548:E549" si="34">IFERROR((D548-C548)/C548,0)</f>
        <v>0</v>
      </c>
      <c r="F548" s="10" t="e">
        <f>VLOOKUP(A548,[3]data!$W:$Z,4,FALSE)</f>
        <v>#N/A</v>
      </c>
      <c r="G548" s="10" t="str">
        <f t="shared" ref="G548:G549" si="35">MID(B548,15,100)</f>
        <v>Tapa visor cámara de producto multifunción</v>
      </c>
      <c r="H548" s="19" t="str">
        <f>IFERROR(VLOOKUP(A548,[2]REPUESTOS!$A:$S,19,FALSE),"SIN ANÁLISIS")</f>
        <v>SIN ANÁLISIS</v>
      </c>
      <c r="I548" s="19">
        <f t="shared" ref="I548:I549" si="36">IFERROR(H548-E548,0)</f>
        <v>0</v>
      </c>
      <c r="J548" s="10" t="str">
        <f>VLOOKUP(A548,[4]REPUESTOS!$B:$FY,180,FALSE)</f>
        <v>Si</v>
      </c>
    </row>
    <row r="549" spans="1:10" x14ac:dyDescent="0.3">
      <c r="A549" s="10" t="s">
        <v>1207</v>
      </c>
      <c r="B549" s="10" t="s">
        <v>1205</v>
      </c>
      <c r="C549" s="17" t="s">
        <v>1208</v>
      </c>
      <c r="D549" s="18">
        <v>31316</v>
      </c>
      <c r="E549" s="19">
        <f t="shared" si="34"/>
        <v>0</v>
      </c>
      <c r="F549" s="10" t="e">
        <f>VLOOKUP(A549,[3]data!$W:$Z,4,FALSE)</f>
        <v>#N/A</v>
      </c>
      <c r="G549" s="10" t="str">
        <f t="shared" si="35"/>
        <v>Sello para aspirado multifunción</v>
      </c>
      <c r="H549" s="19" t="str">
        <f>IFERROR(VLOOKUP(A549,[2]REPUESTOS!$A:$S,19,FALSE),"SIN ANÁLISIS")</f>
        <v>SIN ANÁLISIS</v>
      </c>
      <c r="I549" s="19">
        <f t="shared" si="36"/>
        <v>0</v>
      </c>
      <c r="J549" s="10" t="str">
        <f>VLOOKUP(A549,[4]REPUESTOS!$B:$FY,180,FALSE)</f>
        <v>Si</v>
      </c>
    </row>
  </sheetData>
  <autoFilter ref="A1:H527" xr:uid="{00000000-0001-0000-0000-000000000000}"/>
  <phoneticPr fontId="5" type="noConversion"/>
  <pageMargins left="0.7" right="0.7" top="0.75" bottom="0.75" header="0.3" footer="0.3"/>
  <ignoredErrors>
    <ignoredError sqref="A21:A460 A1:A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B97C-AC53-4508-A739-D0363D462AB8}">
  <dimension ref="A1:G49"/>
  <sheetViews>
    <sheetView workbookViewId="0">
      <selection activeCell="G53" sqref="G53"/>
    </sheetView>
  </sheetViews>
  <sheetFormatPr baseColWidth="10" defaultRowHeight="13.8" x14ac:dyDescent="0.3"/>
  <cols>
    <col min="1" max="1" width="11.19921875" style="8"/>
    <col min="2" max="2" width="55.3984375" style="8" bestFit="1" customWidth="1"/>
    <col min="3" max="4" width="11.19921875" style="8"/>
    <col min="5" max="16384" width="11.19921875" style="3"/>
  </cols>
  <sheetData>
    <row r="1" spans="1:7" ht="27.6" x14ac:dyDescent="0.3">
      <c r="A1" s="2" t="s">
        <v>1048</v>
      </c>
      <c r="B1" s="2" t="s">
        <v>1049</v>
      </c>
      <c r="C1" s="2" t="s">
        <v>1146</v>
      </c>
      <c r="D1" s="13" t="s">
        <v>1196</v>
      </c>
      <c r="E1" s="1" t="s">
        <v>1147</v>
      </c>
      <c r="G1" s="12" t="s">
        <v>1197</v>
      </c>
    </row>
    <row r="2" spans="1:7" x14ac:dyDescent="0.3">
      <c r="A2" s="4" t="s">
        <v>1050</v>
      </c>
      <c r="B2" s="5" t="s">
        <v>1051</v>
      </c>
      <c r="C2" s="6">
        <f>IFERROR(VLOOKUP(A2,[1]SERVICIOS!$A:$D,4,FALSE),"SIN VIGENCIA")</f>
        <v>26000</v>
      </c>
      <c r="D2" s="14">
        <f>+C2</f>
        <v>26000</v>
      </c>
      <c r="E2" s="7">
        <f t="shared" ref="E2:E49" si="0">IFERROR((D2-C2)/C2,0)</f>
        <v>0</v>
      </c>
    </row>
    <row r="3" spans="1:7" x14ac:dyDescent="0.3">
      <c r="A3" s="4" t="s">
        <v>1052</v>
      </c>
      <c r="B3" s="5" t="s">
        <v>1053</v>
      </c>
      <c r="C3" s="6">
        <f>IFERROR(VLOOKUP(A3,[1]SERVICIOS!$A:$D,4,FALSE),"SIN VIGENCIA")</f>
        <v>85000</v>
      </c>
      <c r="D3" s="14">
        <f t="shared" ref="D3:D49" si="1">+C3</f>
        <v>85000</v>
      </c>
      <c r="E3" s="7">
        <f t="shared" si="0"/>
        <v>0</v>
      </c>
    </row>
    <row r="4" spans="1:7" x14ac:dyDescent="0.3">
      <c r="A4" s="4" t="s">
        <v>1054</v>
      </c>
      <c r="B4" s="5" t="s">
        <v>1055</v>
      </c>
      <c r="C4" s="6">
        <f>IFERROR(VLOOKUP(A4,[1]SERVICIOS!$A:$D,4,FALSE),"SIN VIGENCIA")</f>
        <v>28500</v>
      </c>
      <c r="D4" s="14">
        <f t="shared" si="1"/>
        <v>28500</v>
      </c>
      <c r="E4" s="7">
        <f t="shared" si="0"/>
        <v>0</v>
      </c>
    </row>
    <row r="5" spans="1:7" x14ac:dyDescent="0.3">
      <c r="A5" s="4" t="s">
        <v>1056</v>
      </c>
      <c r="B5" s="5" t="s">
        <v>1057</v>
      </c>
      <c r="C5" s="6">
        <f>IFERROR(VLOOKUP(A5,[1]SERVICIOS!$A:$D,4,FALSE),"SIN VIGENCIA")</f>
        <v>41500</v>
      </c>
      <c r="D5" s="14">
        <f t="shared" si="1"/>
        <v>41500</v>
      </c>
      <c r="E5" s="7">
        <f t="shared" si="0"/>
        <v>0</v>
      </c>
    </row>
    <row r="6" spans="1:7" x14ac:dyDescent="0.3">
      <c r="A6" s="4" t="s">
        <v>1058</v>
      </c>
      <c r="B6" s="5" t="s">
        <v>1059</v>
      </c>
      <c r="C6" s="6">
        <f>IFERROR(VLOOKUP(A6,[1]SERVICIOS!$A:$D,4,FALSE),"SIN VIGENCIA")</f>
        <v>166000</v>
      </c>
      <c r="D6" s="14">
        <f t="shared" si="1"/>
        <v>166000</v>
      </c>
      <c r="E6" s="7">
        <f t="shared" si="0"/>
        <v>0</v>
      </c>
    </row>
    <row r="7" spans="1:7" x14ac:dyDescent="0.3">
      <c r="A7" s="4" t="s">
        <v>1060</v>
      </c>
      <c r="B7" s="5" t="s">
        <v>1061</v>
      </c>
      <c r="C7" s="6">
        <f>IFERROR(VLOOKUP(A7,[1]SERVICIOS!$A:$D,4,FALSE),"SIN VIGENCIA")</f>
        <v>41500</v>
      </c>
      <c r="D7" s="14">
        <f t="shared" si="1"/>
        <v>41500</v>
      </c>
      <c r="E7" s="7">
        <f t="shared" si="0"/>
        <v>0</v>
      </c>
    </row>
    <row r="8" spans="1:7" x14ac:dyDescent="0.3">
      <c r="A8" s="4" t="s">
        <v>1062</v>
      </c>
      <c r="B8" s="5" t="s">
        <v>1063</v>
      </c>
      <c r="C8" s="6">
        <f>IFERROR(VLOOKUP(A8,[1]SERVICIOS!$A:$D,4,FALSE),"SIN VIGENCIA")</f>
        <v>41500</v>
      </c>
      <c r="D8" s="14">
        <f t="shared" si="1"/>
        <v>41500</v>
      </c>
      <c r="E8" s="7">
        <f t="shared" si="0"/>
        <v>0</v>
      </c>
    </row>
    <row r="9" spans="1:7" x14ac:dyDescent="0.3">
      <c r="A9" s="4" t="s">
        <v>1064</v>
      </c>
      <c r="B9" s="5" t="s">
        <v>1065</v>
      </c>
      <c r="C9" s="6">
        <f>IFERROR(VLOOKUP(A9,[1]SERVICIOS!$A:$D,4,FALSE),"SIN VIGENCIA")</f>
        <v>41500</v>
      </c>
      <c r="D9" s="14">
        <f t="shared" si="1"/>
        <v>41500</v>
      </c>
      <c r="E9" s="7">
        <f t="shared" si="0"/>
        <v>0</v>
      </c>
    </row>
    <row r="10" spans="1:7" x14ac:dyDescent="0.3">
      <c r="A10" s="4" t="s">
        <v>1066</v>
      </c>
      <c r="B10" s="5" t="s">
        <v>1067</v>
      </c>
      <c r="C10" s="6" t="str">
        <f>IFERROR(VLOOKUP(A10,[1]SERVICIOS!$A:$D,4,FALSE),"SIN VIGENCIA")</f>
        <v>SIN VIGENCIA</v>
      </c>
      <c r="D10" s="14" t="str">
        <f t="shared" si="1"/>
        <v>SIN VIGENCIA</v>
      </c>
      <c r="E10" s="7">
        <f t="shared" si="0"/>
        <v>0</v>
      </c>
    </row>
    <row r="11" spans="1:7" x14ac:dyDescent="0.3">
      <c r="A11" s="4" t="s">
        <v>1068</v>
      </c>
      <c r="B11" s="5" t="s">
        <v>1069</v>
      </c>
      <c r="C11" s="6">
        <f>IFERROR(VLOOKUP(A11,[1]SERVICIOS!$A:$D,4,FALSE),"SIN VIGENCIA")</f>
        <v>28500</v>
      </c>
      <c r="D11" s="14">
        <f t="shared" si="1"/>
        <v>28500</v>
      </c>
      <c r="E11" s="7">
        <f t="shared" si="0"/>
        <v>0</v>
      </c>
    </row>
    <row r="12" spans="1:7" x14ac:dyDescent="0.3">
      <c r="A12" s="4" t="s">
        <v>1070</v>
      </c>
      <c r="B12" s="5" t="s">
        <v>1071</v>
      </c>
      <c r="C12" s="6">
        <f>IFERROR(VLOOKUP(A12,[1]SERVICIOS!$A:$D,4,FALSE),"SIN VIGENCIA")</f>
        <v>57000</v>
      </c>
      <c r="D12" s="14">
        <f t="shared" si="1"/>
        <v>57000</v>
      </c>
      <c r="E12" s="7">
        <f t="shared" si="0"/>
        <v>0</v>
      </c>
    </row>
    <row r="13" spans="1:7" x14ac:dyDescent="0.3">
      <c r="A13" s="4" t="s">
        <v>1072</v>
      </c>
      <c r="B13" s="5" t="s">
        <v>1073</v>
      </c>
      <c r="C13" s="6">
        <f>IFERROR(VLOOKUP(A13,[1]SERVICIOS!$A:$D,4,FALSE),"SIN VIGENCIA")</f>
        <v>28500</v>
      </c>
      <c r="D13" s="14">
        <f t="shared" si="1"/>
        <v>28500</v>
      </c>
      <c r="E13" s="7">
        <f t="shared" si="0"/>
        <v>0</v>
      </c>
    </row>
    <row r="14" spans="1:7" x14ac:dyDescent="0.3">
      <c r="A14" s="4" t="s">
        <v>1074</v>
      </c>
      <c r="B14" s="5" t="s">
        <v>1075</v>
      </c>
      <c r="C14" s="6">
        <f>IFERROR(VLOOKUP(A14,[1]SERVICIOS!$A:$D,4,FALSE),"SIN VIGENCIA")</f>
        <v>41500</v>
      </c>
      <c r="D14" s="14">
        <f t="shared" si="1"/>
        <v>41500</v>
      </c>
      <c r="E14" s="7">
        <f t="shared" si="0"/>
        <v>0</v>
      </c>
    </row>
    <row r="15" spans="1:7" x14ac:dyDescent="0.3">
      <c r="A15" s="4" t="s">
        <v>1076</v>
      </c>
      <c r="B15" s="5" t="s">
        <v>1077</v>
      </c>
      <c r="C15" s="6">
        <f>IFERROR(VLOOKUP(A15,[1]SERVICIOS!$A:$D,4,FALSE),"SIN VIGENCIA")</f>
        <v>57000</v>
      </c>
      <c r="D15" s="14">
        <f t="shared" si="1"/>
        <v>57000</v>
      </c>
      <c r="E15" s="7">
        <f t="shared" si="0"/>
        <v>0</v>
      </c>
    </row>
    <row r="16" spans="1:7" x14ac:dyDescent="0.3">
      <c r="A16" s="4" t="s">
        <v>1078</v>
      </c>
      <c r="B16" s="5" t="s">
        <v>1079</v>
      </c>
      <c r="C16" s="6">
        <f>IFERROR(VLOOKUP(A16,[1]SERVICIOS!$A:$D,4,FALSE),"SIN VIGENCIA")</f>
        <v>109000</v>
      </c>
      <c r="D16" s="14">
        <f t="shared" si="1"/>
        <v>109000</v>
      </c>
      <c r="E16" s="7">
        <f t="shared" si="0"/>
        <v>0</v>
      </c>
    </row>
    <row r="17" spans="1:5" x14ac:dyDescent="0.3">
      <c r="A17" s="4" t="s">
        <v>1080</v>
      </c>
      <c r="B17" s="5" t="s">
        <v>1081</v>
      </c>
      <c r="C17" s="6">
        <f>IFERROR(VLOOKUP(A17,[1]SERVICIOS!$A:$D,4,FALSE),"SIN VIGENCIA")</f>
        <v>83000</v>
      </c>
      <c r="D17" s="14">
        <f t="shared" si="1"/>
        <v>83000</v>
      </c>
      <c r="E17" s="7">
        <f t="shared" si="0"/>
        <v>0</v>
      </c>
    </row>
    <row r="18" spans="1:5" x14ac:dyDescent="0.3">
      <c r="A18" s="4" t="s">
        <v>1082</v>
      </c>
      <c r="B18" s="5" t="s">
        <v>1083</v>
      </c>
      <c r="C18" s="6">
        <f>IFERROR(VLOOKUP(A18,[1]SERVICIOS!$A:$D,4,FALSE),"SIN VIGENCIA")</f>
        <v>83000</v>
      </c>
      <c r="D18" s="14">
        <f t="shared" si="1"/>
        <v>83000</v>
      </c>
      <c r="E18" s="7">
        <f t="shared" si="0"/>
        <v>0</v>
      </c>
    </row>
    <row r="19" spans="1:5" x14ac:dyDescent="0.3">
      <c r="A19" s="4" t="s">
        <v>1084</v>
      </c>
      <c r="B19" s="5" t="s">
        <v>1085</v>
      </c>
      <c r="C19" s="6">
        <f>IFERROR(VLOOKUP(A19,[1]SERVICIOS!$A:$D,4,FALSE),"SIN VIGENCIA")</f>
        <v>83000</v>
      </c>
      <c r="D19" s="14">
        <f t="shared" si="1"/>
        <v>83000</v>
      </c>
      <c r="E19" s="7">
        <f t="shared" si="0"/>
        <v>0</v>
      </c>
    </row>
    <row r="20" spans="1:5" x14ac:dyDescent="0.3">
      <c r="A20" s="4" t="s">
        <v>1086</v>
      </c>
      <c r="B20" s="5" t="s">
        <v>1087</v>
      </c>
      <c r="C20" s="6">
        <f>IFERROR(VLOOKUP(A20,[1]SERVICIOS!$A:$D,4,FALSE),"SIN VIGENCIA")</f>
        <v>259000</v>
      </c>
      <c r="D20" s="14">
        <f t="shared" si="1"/>
        <v>259000</v>
      </c>
      <c r="E20" s="7">
        <f t="shared" si="0"/>
        <v>0</v>
      </c>
    </row>
    <row r="21" spans="1:5" x14ac:dyDescent="0.3">
      <c r="A21" s="4" t="s">
        <v>1088</v>
      </c>
      <c r="B21" s="5" t="s">
        <v>1089</v>
      </c>
      <c r="C21" s="6">
        <f>IFERROR(VLOOKUP(A21,[1]SERVICIOS!$A:$D,4,FALSE),"SIN VIGENCIA")</f>
        <v>197000</v>
      </c>
      <c r="D21" s="14">
        <f t="shared" si="1"/>
        <v>197000</v>
      </c>
      <c r="E21" s="7">
        <f t="shared" si="0"/>
        <v>0</v>
      </c>
    </row>
    <row r="22" spans="1:5" x14ac:dyDescent="0.3">
      <c r="A22" s="4" t="s">
        <v>1090</v>
      </c>
      <c r="B22" s="5" t="s">
        <v>1091</v>
      </c>
      <c r="C22" s="6">
        <f>IFERROR(VLOOKUP(A22,[1]SERVICIOS!$A:$D,4,FALSE),"SIN VIGENCIA")</f>
        <v>38500</v>
      </c>
      <c r="D22" s="14">
        <f t="shared" si="1"/>
        <v>38500</v>
      </c>
      <c r="E22" s="7">
        <f t="shared" si="0"/>
        <v>0</v>
      </c>
    </row>
    <row r="23" spans="1:5" x14ac:dyDescent="0.3">
      <c r="A23" s="4" t="s">
        <v>1092</v>
      </c>
      <c r="B23" s="5" t="s">
        <v>1093</v>
      </c>
      <c r="C23" s="6">
        <f>IFERROR(VLOOKUP(A23,[1]SERVICIOS!$A:$D,4,FALSE),"SIN VIGENCIA")</f>
        <v>111000</v>
      </c>
      <c r="D23" s="14">
        <f t="shared" si="1"/>
        <v>111000</v>
      </c>
      <c r="E23" s="7">
        <f t="shared" si="0"/>
        <v>0</v>
      </c>
    </row>
    <row r="24" spans="1:5" x14ac:dyDescent="0.3">
      <c r="A24" s="4" t="s">
        <v>1094</v>
      </c>
      <c r="B24" s="5" t="s">
        <v>1095</v>
      </c>
      <c r="C24" s="6">
        <f>IFERROR(VLOOKUP(A24,[1]SERVICIOS!$A:$D,4,FALSE),"SIN VIGENCIA")</f>
        <v>37000</v>
      </c>
      <c r="D24" s="14">
        <f t="shared" si="1"/>
        <v>37000</v>
      </c>
      <c r="E24" s="7">
        <f t="shared" si="0"/>
        <v>0</v>
      </c>
    </row>
    <row r="25" spans="1:5" x14ac:dyDescent="0.3">
      <c r="A25" s="4" t="s">
        <v>1096</v>
      </c>
      <c r="B25" s="5" t="s">
        <v>1097</v>
      </c>
      <c r="C25" s="6">
        <f>IFERROR(VLOOKUP(A25,[1]SERVICIOS!$A:$D,4,FALSE),"SIN VIGENCIA")</f>
        <v>74000</v>
      </c>
      <c r="D25" s="14">
        <f t="shared" si="1"/>
        <v>74000</v>
      </c>
      <c r="E25" s="7">
        <f t="shared" si="0"/>
        <v>0</v>
      </c>
    </row>
    <row r="26" spans="1:5" x14ac:dyDescent="0.3">
      <c r="A26" s="4" t="s">
        <v>1098</v>
      </c>
      <c r="B26" s="5" t="s">
        <v>1099</v>
      </c>
      <c r="C26" s="6">
        <f>IFERROR(VLOOKUP(A26,[1]SERVICIOS!$A:$D,4,FALSE),"SIN VIGENCIA")</f>
        <v>114000</v>
      </c>
      <c r="D26" s="14">
        <f t="shared" si="1"/>
        <v>114000</v>
      </c>
      <c r="E26" s="7">
        <f t="shared" si="0"/>
        <v>0</v>
      </c>
    </row>
    <row r="27" spans="1:5" x14ac:dyDescent="0.3">
      <c r="A27" s="4" t="s">
        <v>1100</v>
      </c>
      <c r="B27" s="5" t="s">
        <v>1101</v>
      </c>
      <c r="C27" s="6">
        <f>IFERROR(VLOOKUP(A27,[1]SERVICIOS!$A:$D,4,FALSE),"SIN VIGENCIA")</f>
        <v>148000</v>
      </c>
      <c r="D27" s="14">
        <f t="shared" si="1"/>
        <v>148000</v>
      </c>
      <c r="E27" s="7">
        <f t="shared" si="0"/>
        <v>0</v>
      </c>
    </row>
    <row r="28" spans="1:5" x14ac:dyDescent="0.3">
      <c r="A28" s="4" t="s">
        <v>1102</v>
      </c>
      <c r="B28" s="5" t="s">
        <v>1103</v>
      </c>
      <c r="C28" s="6">
        <f>IFERROR(VLOOKUP(A28,[1]SERVICIOS!$A:$D,4,FALSE),"SIN VIGENCIA")</f>
        <v>269000</v>
      </c>
      <c r="D28" s="14">
        <f t="shared" si="1"/>
        <v>269000</v>
      </c>
      <c r="E28" s="7">
        <f t="shared" si="0"/>
        <v>0</v>
      </c>
    </row>
    <row r="29" spans="1:5" x14ac:dyDescent="0.3">
      <c r="A29" s="4" t="s">
        <v>1104</v>
      </c>
      <c r="B29" s="5" t="s">
        <v>1105</v>
      </c>
      <c r="C29" s="6">
        <f>IFERROR(VLOOKUP(A29,[1]SERVICIOS!$A:$D,4,FALSE),"SIN VIGENCIA")</f>
        <v>336500</v>
      </c>
      <c r="D29" s="14">
        <f t="shared" si="1"/>
        <v>336500</v>
      </c>
      <c r="E29" s="7">
        <f t="shared" si="0"/>
        <v>0</v>
      </c>
    </row>
    <row r="30" spans="1:5" x14ac:dyDescent="0.3">
      <c r="A30" s="4" t="s">
        <v>1106</v>
      </c>
      <c r="B30" s="5" t="s">
        <v>1107</v>
      </c>
      <c r="C30" s="6">
        <f>IFERROR(VLOOKUP(A30,[1]SERVICIOS!$A:$D,4,FALSE),"SIN VIGENCIA")</f>
        <v>160500</v>
      </c>
      <c r="D30" s="14">
        <f t="shared" si="1"/>
        <v>160500</v>
      </c>
      <c r="E30" s="7">
        <f t="shared" si="0"/>
        <v>0</v>
      </c>
    </row>
    <row r="31" spans="1:5" x14ac:dyDescent="0.3">
      <c r="A31" s="4" t="s">
        <v>1108</v>
      </c>
      <c r="B31" s="5" t="s">
        <v>1109</v>
      </c>
      <c r="C31" s="6">
        <f>IFERROR(VLOOKUP(A31,[1]SERVICIOS!$A:$D,4,FALSE),"SIN VIGENCIA")</f>
        <v>160500</v>
      </c>
      <c r="D31" s="14">
        <f t="shared" si="1"/>
        <v>160500</v>
      </c>
      <c r="E31" s="7">
        <f t="shared" si="0"/>
        <v>0</v>
      </c>
    </row>
    <row r="32" spans="1:5" x14ac:dyDescent="0.3">
      <c r="A32" s="4" t="s">
        <v>1110</v>
      </c>
      <c r="B32" s="5" t="s">
        <v>1111</v>
      </c>
      <c r="C32" s="6">
        <f>IFERROR(VLOOKUP(A32,[1]SERVICIOS!$A:$D,4,FALSE),"SIN VIGENCIA")</f>
        <v>202000</v>
      </c>
      <c r="D32" s="14">
        <f t="shared" si="1"/>
        <v>202000</v>
      </c>
      <c r="E32" s="7">
        <f t="shared" si="0"/>
        <v>0</v>
      </c>
    </row>
    <row r="33" spans="1:5" x14ac:dyDescent="0.3">
      <c r="A33" s="4" t="s">
        <v>1112</v>
      </c>
      <c r="B33" s="5" t="s">
        <v>1113</v>
      </c>
      <c r="C33" s="6">
        <f>IFERROR(VLOOKUP(A33,[1]SERVICIOS!$A:$D,4,FALSE),"SIN VIGENCIA")</f>
        <v>217000</v>
      </c>
      <c r="D33" s="14">
        <f t="shared" si="1"/>
        <v>217000</v>
      </c>
      <c r="E33" s="7">
        <f t="shared" si="0"/>
        <v>0</v>
      </c>
    </row>
    <row r="34" spans="1:5" x14ac:dyDescent="0.3">
      <c r="A34" s="4" t="s">
        <v>1114</v>
      </c>
      <c r="B34" s="5" t="s">
        <v>1115</v>
      </c>
      <c r="C34" s="6">
        <f>IFERROR(VLOOKUP(A34,[1]SERVICIOS!$A:$D,4,FALSE),"SIN VIGENCIA")</f>
        <v>471000</v>
      </c>
      <c r="D34" s="14">
        <f t="shared" si="1"/>
        <v>471000</v>
      </c>
      <c r="E34" s="7">
        <f t="shared" si="0"/>
        <v>0</v>
      </c>
    </row>
    <row r="35" spans="1:5" x14ac:dyDescent="0.3">
      <c r="A35" s="4" t="s">
        <v>1116</v>
      </c>
      <c r="B35" s="5" t="s">
        <v>1117</v>
      </c>
      <c r="C35" s="6">
        <f>IFERROR(VLOOKUP(A35,[1]SERVICIOS!$A:$D,4,FALSE),"SIN VIGENCIA")</f>
        <v>544000</v>
      </c>
      <c r="D35" s="14">
        <f t="shared" si="1"/>
        <v>544000</v>
      </c>
      <c r="E35" s="7">
        <f t="shared" si="0"/>
        <v>0</v>
      </c>
    </row>
    <row r="36" spans="1:5" x14ac:dyDescent="0.3">
      <c r="A36" s="4" t="s">
        <v>1118</v>
      </c>
      <c r="B36" s="5" t="s">
        <v>1119</v>
      </c>
      <c r="C36" s="6" t="str">
        <f>IFERROR(VLOOKUP(A36,[1]SERVICIOS!$A:$D,4,FALSE),"SIN VIGENCIA")</f>
        <v>SIN VIGENCIA</v>
      </c>
      <c r="D36" s="14" t="str">
        <f t="shared" si="1"/>
        <v>SIN VIGENCIA</v>
      </c>
      <c r="E36" s="7">
        <f t="shared" si="0"/>
        <v>0</v>
      </c>
    </row>
    <row r="37" spans="1:5" x14ac:dyDescent="0.3">
      <c r="A37" s="4" t="s">
        <v>1120</v>
      </c>
      <c r="B37" s="5" t="s">
        <v>1121</v>
      </c>
      <c r="C37" s="6" t="str">
        <f>IFERROR(VLOOKUP(A37,[1]SERVICIOS!$A:$D,4,FALSE),"SIN VIGENCIA")</f>
        <v>SIN VIGENCIA</v>
      </c>
      <c r="D37" s="14" t="str">
        <f t="shared" si="1"/>
        <v>SIN VIGENCIA</v>
      </c>
      <c r="E37" s="7">
        <f t="shared" si="0"/>
        <v>0</v>
      </c>
    </row>
    <row r="38" spans="1:5" x14ac:dyDescent="0.3">
      <c r="A38" s="4" t="s">
        <v>1122</v>
      </c>
      <c r="B38" s="5" t="s">
        <v>1123</v>
      </c>
      <c r="C38" s="6">
        <f>IFERROR(VLOOKUP(A38,[1]SERVICIOS!$A:$D,4,FALSE),"SIN VIGENCIA")</f>
        <v>83000</v>
      </c>
      <c r="D38" s="14">
        <f t="shared" si="1"/>
        <v>83000</v>
      </c>
      <c r="E38" s="7">
        <f t="shared" si="0"/>
        <v>0</v>
      </c>
    </row>
    <row r="39" spans="1:5" x14ac:dyDescent="0.3">
      <c r="A39" s="4" t="s">
        <v>1124</v>
      </c>
      <c r="B39" s="5" t="s">
        <v>1125</v>
      </c>
      <c r="C39" s="6">
        <f>IFERROR(VLOOKUP(A39,[1]SERVICIOS!$A:$D,4,FALSE),"SIN VIGENCIA")</f>
        <v>34000</v>
      </c>
      <c r="D39" s="14">
        <f t="shared" si="1"/>
        <v>34000</v>
      </c>
      <c r="E39" s="7">
        <f t="shared" si="0"/>
        <v>0</v>
      </c>
    </row>
    <row r="40" spans="1:5" x14ac:dyDescent="0.3">
      <c r="A40" s="4" t="s">
        <v>1126</v>
      </c>
      <c r="B40" s="5" t="s">
        <v>1127</v>
      </c>
      <c r="C40" s="6">
        <f>IFERROR(VLOOKUP(A40,[1]SERVICIOS!$A:$D,4,FALSE),"SIN VIGENCIA")</f>
        <v>10500</v>
      </c>
      <c r="D40" s="14">
        <f t="shared" si="1"/>
        <v>10500</v>
      </c>
      <c r="E40" s="7">
        <f t="shared" si="0"/>
        <v>0</v>
      </c>
    </row>
    <row r="41" spans="1:5" x14ac:dyDescent="0.3">
      <c r="A41" s="4" t="s">
        <v>1128</v>
      </c>
      <c r="B41" s="5" t="s">
        <v>1129</v>
      </c>
      <c r="C41" s="6">
        <f>IFERROR(VLOOKUP(A41,[1]SERVICIOS!$A:$D,4,FALSE),"SIN VIGENCIA")</f>
        <v>28500</v>
      </c>
      <c r="D41" s="14">
        <f t="shared" si="1"/>
        <v>28500</v>
      </c>
      <c r="E41" s="7">
        <f t="shared" si="0"/>
        <v>0</v>
      </c>
    </row>
    <row r="42" spans="1:5" x14ac:dyDescent="0.3">
      <c r="A42" s="4" t="s">
        <v>1130</v>
      </c>
      <c r="B42" s="5" t="s">
        <v>1131</v>
      </c>
      <c r="C42" s="6">
        <f>IFERROR(VLOOKUP(A42,[1]SERVICIOS!$A:$D,4,FALSE),"SIN VIGENCIA")</f>
        <v>41500</v>
      </c>
      <c r="D42" s="14">
        <f t="shared" si="1"/>
        <v>41500</v>
      </c>
      <c r="E42" s="7">
        <f t="shared" si="0"/>
        <v>0</v>
      </c>
    </row>
    <row r="43" spans="1:5" x14ac:dyDescent="0.3">
      <c r="A43" s="4" t="s">
        <v>1132</v>
      </c>
      <c r="B43" s="5" t="s">
        <v>1133</v>
      </c>
      <c r="C43" s="6" t="str">
        <f>IFERROR(VLOOKUP(A43,[1]SERVICIOS!$A:$D,4,FALSE),"SIN VIGENCIA")</f>
        <v>SIN VIGENCIA</v>
      </c>
      <c r="D43" s="14" t="str">
        <f t="shared" si="1"/>
        <v>SIN VIGENCIA</v>
      </c>
      <c r="E43" s="7">
        <f t="shared" si="0"/>
        <v>0</v>
      </c>
    </row>
    <row r="44" spans="1:5" x14ac:dyDescent="0.3">
      <c r="A44" s="4" t="s">
        <v>1134</v>
      </c>
      <c r="B44" s="5" t="s">
        <v>1135</v>
      </c>
      <c r="C44" s="6">
        <f>IFERROR(VLOOKUP(A44,[1]SERVICIOS!$A:$D,4,FALSE),"SIN VIGENCIA")</f>
        <v>150000</v>
      </c>
      <c r="D44" s="14">
        <f t="shared" si="1"/>
        <v>150000</v>
      </c>
      <c r="E44" s="7">
        <f t="shared" si="0"/>
        <v>0</v>
      </c>
    </row>
    <row r="45" spans="1:5" x14ac:dyDescent="0.3">
      <c r="A45" s="4" t="s">
        <v>1136</v>
      </c>
      <c r="B45" s="5" t="s">
        <v>1137</v>
      </c>
      <c r="C45" s="6">
        <f>IFERROR(VLOOKUP(A45,[1]SERVICIOS!$A:$D,4,FALSE),"SIN VIGENCIA")</f>
        <v>28500</v>
      </c>
      <c r="D45" s="14">
        <f t="shared" si="1"/>
        <v>28500</v>
      </c>
      <c r="E45" s="7">
        <f t="shared" si="0"/>
        <v>0</v>
      </c>
    </row>
    <row r="46" spans="1:5" x14ac:dyDescent="0.3">
      <c r="A46" s="4" t="s">
        <v>1138</v>
      </c>
      <c r="B46" s="5" t="s">
        <v>1139</v>
      </c>
      <c r="C46" s="6">
        <f>IFERROR(VLOOKUP(A46,[1]SERVICIOS!$A:$D,4,FALSE),"SIN VIGENCIA")</f>
        <v>10500</v>
      </c>
      <c r="D46" s="14">
        <f t="shared" si="1"/>
        <v>10500</v>
      </c>
      <c r="E46" s="7">
        <f t="shared" si="0"/>
        <v>0</v>
      </c>
    </row>
    <row r="47" spans="1:5" x14ac:dyDescent="0.3">
      <c r="A47" s="4" t="s">
        <v>1140</v>
      </c>
      <c r="B47" s="5" t="s">
        <v>1141</v>
      </c>
      <c r="C47" s="6">
        <f>IFERROR(VLOOKUP(A47,[1]SERVICIOS!$A:$D,4,FALSE),"SIN VIGENCIA")</f>
        <v>7500</v>
      </c>
      <c r="D47" s="14">
        <f t="shared" si="1"/>
        <v>7500</v>
      </c>
      <c r="E47" s="7">
        <f t="shared" si="0"/>
        <v>0</v>
      </c>
    </row>
    <row r="48" spans="1:5" x14ac:dyDescent="0.3">
      <c r="A48" s="4" t="s">
        <v>1142</v>
      </c>
      <c r="B48" s="5" t="s">
        <v>1143</v>
      </c>
      <c r="C48" s="6" t="str">
        <f>IFERROR(VLOOKUP(A48,[1]SERVICIOS!$A:$D,4,FALSE),"SIN VIGENCIA")</f>
        <v>SIN VIGENCIA</v>
      </c>
      <c r="D48" s="14" t="str">
        <f t="shared" si="1"/>
        <v>SIN VIGENCIA</v>
      </c>
      <c r="E48" s="7">
        <f t="shared" si="0"/>
        <v>0</v>
      </c>
    </row>
    <row r="49" spans="1:5" x14ac:dyDescent="0.3">
      <c r="A49" s="4" t="s">
        <v>1144</v>
      </c>
      <c r="B49" s="5" t="s">
        <v>1145</v>
      </c>
      <c r="C49" s="6" t="str">
        <f>IFERROR(VLOOKUP(A49,[1]SERVICIOS!$A:$D,4,FALSE),"SIN VIGENCIA")</f>
        <v>SIN VIGENCIA</v>
      </c>
      <c r="D49" s="14" t="str">
        <f t="shared" si="1"/>
        <v>SIN VIGENCIA</v>
      </c>
      <c r="E49" s="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REPUESTOS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Munoz</dc:creator>
  <cp:lastModifiedBy>Jesus Adolfo Gavidia</cp:lastModifiedBy>
  <dcterms:created xsi:type="dcterms:W3CDTF">2025-07-22T15:15:39Z</dcterms:created>
  <dcterms:modified xsi:type="dcterms:W3CDTF">2026-07-24T13:43:23Z</dcterms:modified>
</cp:coreProperties>
</file>